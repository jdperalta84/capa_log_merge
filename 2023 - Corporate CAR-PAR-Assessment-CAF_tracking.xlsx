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amspecllc.sharepoint.com/sites/QATeam-NAM/Shared Documents/99 - Archive/01 - Archived CAPA/2023/"/>
    </mc:Choice>
  </mc:AlternateContent>
  <xr:revisionPtr revIDLastSave="20363" documentId="13_ncr:1_{3D5ED5B0-A055-4A35-AD17-E8C522DB01A5}" xr6:coauthVersionLast="47" xr6:coauthVersionMax="47" xr10:uidLastSave="{D199916C-2B75-4ED5-AF16-A79F885334CC}"/>
  <bookViews>
    <workbookView xWindow="-120" yWindow="-120" windowWidth="20730" windowHeight="11040" firstSheet="3" activeTab="3" xr2:uid="{00000000-000D-0000-FFFF-FFFF00000000}"/>
  </bookViews>
  <sheets>
    <sheet name="PAR tracking 2023" sheetId="8" r:id="rId1"/>
    <sheet name="CAR tracking 2023" sheetId="6" r:id="rId2"/>
    <sheet name="Assessment tracking 2023" sheetId="11" r:id="rId3"/>
    <sheet name="PTO tracking" sheetId="13" r:id="rId4"/>
    <sheet name="CAF tracking 2023" sheetId="12" r:id="rId5"/>
    <sheet name="List source" sheetId="2" r:id="rId6"/>
  </sheets>
  <definedNames>
    <definedName name="_xlnm.Print_Titles" localSheetId="2">'Assessment tracking 2023'!$1:$1</definedName>
    <definedName name="_xlnm.Print_Titles" localSheetId="4">'CAF tracking 2023'!$1:$1</definedName>
    <definedName name="_xlnm.Print_Titles" localSheetId="1">'CAR tracking 2023'!$1:$1</definedName>
    <definedName name="_xlnm.Print_Titles" localSheetId="0">'PAR tracking 2023'!$1:$1</definedName>
    <definedName name="_xlnm.Print_Titles" localSheetId="3">'PTO tracking'!$1:$1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0" i="6" l="1"/>
  <c r="H289" i="13"/>
  <c r="B20" i="6"/>
  <c r="D20" i="6" s="1"/>
  <c r="E20" i="6"/>
  <c r="B17" i="6"/>
  <c r="D17" i="6" s="1"/>
  <c r="B18" i="6"/>
  <c r="D18" i="6" s="1"/>
  <c r="E17" i="6"/>
  <c r="E18" i="6"/>
  <c r="B31" i="6" l="1"/>
  <c r="B32" i="6"/>
  <c r="H180" i="13"/>
  <c r="B2" i="6"/>
  <c r="D2" i="6" s="1"/>
  <c r="B3" i="6"/>
  <c r="B4" i="6"/>
  <c r="B5" i="6"/>
  <c r="B6" i="6"/>
  <c r="B7" i="6"/>
  <c r="B9" i="6"/>
  <c r="B10" i="6"/>
  <c r="B11" i="6"/>
  <c r="B13" i="6"/>
  <c r="B185" i="11"/>
  <c r="D185" i="11" s="1"/>
  <c r="B186" i="11"/>
  <c r="D186" i="11" s="1"/>
  <c r="B187" i="11"/>
  <c r="D187" i="11" s="1"/>
  <c r="B188" i="11"/>
  <c r="D188" i="11" s="1"/>
  <c r="B189" i="11"/>
  <c r="D189" i="11" s="1"/>
  <c r="B190" i="11"/>
  <c r="D190" i="11" s="1"/>
  <c r="B191" i="11"/>
  <c r="D191" i="11" s="1"/>
  <c r="B192" i="11"/>
  <c r="D192" i="11" s="1"/>
  <c r="B193" i="11"/>
  <c r="D193" i="11" s="1"/>
  <c r="B194" i="11"/>
  <c r="D194" i="11" s="1"/>
  <c r="B195" i="11"/>
  <c r="D195" i="11" s="1"/>
  <c r="B196" i="11"/>
  <c r="D196" i="11" s="1"/>
  <c r="B197" i="11"/>
  <c r="D197" i="11" s="1"/>
  <c r="B198" i="11"/>
  <c r="D198" i="11" s="1"/>
  <c r="B199" i="11"/>
  <c r="D199" i="11" s="1"/>
  <c r="B200" i="11"/>
  <c r="D200" i="11" s="1"/>
  <c r="B201" i="11"/>
  <c r="D201" i="11" s="1"/>
  <c r="B152" i="11"/>
  <c r="D152" i="11" s="1"/>
  <c r="B153" i="11"/>
  <c r="D153" i="11" s="1"/>
  <c r="B154" i="11"/>
  <c r="D154" i="11" s="1"/>
  <c r="B155" i="11"/>
  <c r="D155" i="11" s="1"/>
  <c r="B156" i="11"/>
  <c r="D156" i="11" s="1"/>
  <c r="B157" i="11"/>
  <c r="D157" i="11" s="1"/>
  <c r="B158" i="11"/>
  <c r="D158" i="11" s="1"/>
  <c r="B159" i="11"/>
  <c r="D159" i="11" s="1"/>
  <c r="B160" i="11"/>
  <c r="D160" i="11" s="1"/>
  <c r="B161" i="11"/>
  <c r="D161" i="11" s="1"/>
  <c r="B162" i="11"/>
  <c r="D162" i="11" s="1"/>
  <c r="B163" i="11"/>
  <c r="D163" i="11" s="1"/>
  <c r="B164" i="11"/>
  <c r="D164" i="11" s="1"/>
  <c r="B165" i="11"/>
  <c r="D165" i="11" s="1"/>
  <c r="B166" i="11"/>
  <c r="D166" i="11" s="1"/>
  <c r="B167" i="11"/>
  <c r="D167" i="11" s="1"/>
  <c r="B168" i="11"/>
  <c r="D168" i="11" s="1"/>
  <c r="B169" i="11"/>
  <c r="D169" i="11" s="1"/>
  <c r="B170" i="11"/>
  <c r="D170" i="11" s="1"/>
  <c r="B171" i="11"/>
  <c r="D171" i="11" s="1"/>
  <c r="B172" i="11"/>
  <c r="D172" i="11" s="1"/>
  <c r="B173" i="11"/>
  <c r="D173" i="11" s="1"/>
  <c r="B174" i="11"/>
  <c r="D174" i="11" s="1"/>
  <c r="B175" i="11"/>
  <c r="D175" i="11" s="1"/>
  <c r="B176" i="11"/>
  <c r="D176" i="11" s="1"/>
  <c r="B177" i="11"/>
  <c r="D177" i="11" s="1"/>
  <c r="B178" i="11"/>
  <c r="D178" i="11" s="1"/>
  <c r="B179" i="11"/>
  <c r="D179" i="11" s="1"/>
  <c r="B180" i="11"/>
  <c r="D180" i="11" s="1"/>
  <c r="B181" i="11"/>
  <c r="D181" i="11" s="1"/>
  <c r="B182" i="11"/>
  <c r="D182" i="11" s="1"/>
  <c r="B183" i="11"/>
  <c r="D183" i="11" s="1"/>
  <c r="B184" i="11"/>
  <c r="D184" i="11" s="1"/>
  <c r="B200" i="13"/>
  <c r="D200" i="13" s="1"/>
  <c r="H127" i="13"/>
  <c r="H80" i="13"/>
  <c r="B118" i="11"/>
  <c r="D118" i="11" s="1"/>
  <c r="C1002" i="6"/>
  <c r="B152" i="13"/>
  <c r="D152" i="13" s="1"/>
  <c r="B821" i="13"/>
  <c r="D821" i="13" s="1"/>
  <c r="B820" i="13"/>
  <c r="D820" i="13" s="1"/>
  <c r="B819" i="13"/>
  <c r="D819" i="13" s="1"/>
  <c r="B818" i="13"/>
  <c r="D818" i="13" s="1"/>
  <c r="B817" i="13"/>
  <c r="D817" i="13" s="1"/>
  <c r="B816" i="13"/>
  <c r="D816" i="13" s="1"/>
  <c r="B815" i="13"/>
  <c r="D815" i="13" s="1"/>
  <c r="B814" i="13"/>
  <c r="D814" i="13" s="1"/>
  <c r="B813" i="13"/>
  <c r="D813" i="13" s="1"/>
  <c r="B812" i="13"/>
  <c r="D812" i="13" s="1"/>
  <c r="B811" i="13"/>
  <c r="D811" i="13" s="1"/>
  <c r="B810" i="13"/>
  <c r="D810" i="13" s="1"/>
  <c r="B809" i="13"/>
  <c r="D809" i="13" s="1"/>
  <c r="B808" i="13"/>
  <c r="D808" i="13" s="1"/>
  <c r="B807" i="13"/>
  <c r="D807" i="13" s="1"/>
  <c r="B806" i="13"/>
  <c r="D806" i="13" s="1"/>
  <c r="B805" i="13"/>
  <c r="D805" i="13" s="1"/>
  <c r="B804" i="13"/>
  <c r="D804" i="13" s="1"/>
  <c r="B803" i="13"/>
  <c r="D803" i="13" s="1"/>
  <c r="B802" i="13"/>
  <c r="D802" i="13" s="1"/>
  <c r="B801" i="13"/>
  <c r="D801" i="13" s="1"/>
  <c r="B800" i="13"/>
  <c r="D800" i="13" s="1"/>
  <c r="B799" i="13"/>
  <c r="D799" i="13" s="1"/>
  <c r="B798" i="13"/>
  <c r="D798" i="13" s="1"/>
  <c r="B797" i="13"/>
  <c r="D797" i="13" s="1"/>
  <c r="B796" i="13"/>
  <c r="D796" i="13" s="1"/>
  <c r="B795" i="13"/>
  <c r="D795" i="13" s="1"/>
  <c r="B794" i="13"/>
  <c r="D794" i="13" s="1"/>
  <c r="B793" i="13"/>
  <c r="D793" i="13" s="1"/>
  <c r="B792" i="13"/>
  <c r="D792" i="13" s="1"/>
  <c r="B791" i="13"/>
  <c r="D791" i="13" s="1"/>
  <c r="B790" i="13"/>
  <c r="D790" i="13" s="1"/>
  <c r="B789" i="13"/>
  <c r="D789" i="13" s="1"/>
  <c r="B788" i="13"/>
  <c r="D788" i="13" s="1"/>
  <c r="B787" i="13"/>
  <c r="D787" i="13" s="1"/>
  <c r="B786" i="13"/>
  <c r="D786" i="13" s="1"/>
  <c r="B785" i="13"/>
  <c r="D785" i="13" s="1"/>
  <c r="B784" i="13"/>
  <c r="D784" i="13" s="1"/>
  <c r="B783" i="13"/>
  <c r="D783" i="13" s="1"/>
  <c r="B782" i="13"/>
  <c r="D782" i="13" s="1"/>
  <c r="B781" i="13"/>
  <c r="D781" i="13" s="1"/>
  <c r="B780" i="13"/>
  <c r="D780" i="13" s="1"/>
  <c r="B779" i="13"/>
  <c r="D779" i="13" s="1"/>
  <c r="B778" i="13"/>
  <c r="D778" i="13" s="1"/>
  <c r="B777" i="13"/>
  <c r="D777" i="13" s="1"/>
  <c r="B776" i="13"/>
  <c r="D776" i="13" s="1"/>
  <c r="B775" i="13"/>
  <c r="D775" i="13" s="1"/>
  <c r="B774" i="13"/>
  <c r="D774" i="13" s="1"/>
  <c r="B773" i="13"/>
  <c r="D773" i="13" s="1"/>
  <c r="B772" i="13"/>
  <c r="D772" i="13" s="1"/>
  <c r="B771" i="13"/>
  <c r="D771" i="13" s="1"/>
  <c r="B770" i="13"/>
  <c r="D770" i="13" s="1"/>
  <c r="B769" i="13"/>
  <c r="D769" i="13" s="1"/>
  <c r="B768" i="13"/>
  <c r="D768" i="13" s="1"/>
  <c r="B767" i="13"/>
  <c r="D767" i="13" s="1"/>
  <c r="B766" i="13"/>
  <c r="D766" i="13" s="1"/>
  <c r="B765" i="13"/>
  <c r="D765" i="13" s="1"/>
  <c r="B764" i="13"/>
  <c r="D764" i="13" s="1"/>
  <c r="B763" i="13"/>
  <c r="D763" i="13" s="1"/>
  <c r="B762" i="13"/>
  <c r="D762" i="13" s="1"/>
  <c r="B761" i="13"/>
  <c r="D761" i="13" s="1"/>
  <c r="B760" i="13"/>
  <c r="D760" i="13" s="1"/>
  <c r="B759" i="13"/>
  <c r="D759" i="13" s="1"/>
  <c r="B758" i="13"/>
  <c r="D758" i="13" s="1"/>
  <c r="B757" i="13"/>
  <c r="D757" i="13" s="1"/>
  <c r="B756" i="13"/>
  <c r="D756" i="13" s="1"/>
  <c r="B755" i="13"/>
  <c r="D755" i="13" s="1"/>
  <c r="B754" i="13"/>
  <c r="D754" i="13" s="1"/>
  <c r="B753" i="13"/>
  <c r="D753" i="13" s="1"/>
  <c r="B752" i="13"/>
  <c r="D752" i="13" s="1"/>
  <c r="B751" i="13"/>
  <c r="D751" i="13" s="1"/>
  <c r="B750" i="13"/>
  <c r="D750" i="13" s="1"/>
  <c r="B749" i="13"/>
  <c r="D749" i="13" s="1"/>
  <c r="B748" i="13"/>
  <c r="D748" i="13" s="1"/>
  <c r="B747" i="13"/>
  <c r="D747" i="13" s="1"/>
  <c r="B746" i="13"/>
  <c r="D746" i="13" s="1"/>
  <c r="B745" i="13"/>
  <c r="D745" i="13" s="1"/>
  <c r="B744" i="13"/>
  <c r="D744" i="13" s="1"/>
  <c r="B743" i="13"/>
  <c r="D743" i="13" s="1"/>
  <c r="B742" i="13"/>
  <c r="D742" i="13" s="1"/>
  <c r="B741" i="13"/>
  <c r="D741" i="13" s="1"/>
  <c r="B740" i="13"/>
  <c r="D740" i="13" s="1"/>
  <c r="B739" i="13"/>
  <c r="D739" i="13" s="1"/>
  <c r="B738" i="13"/>
  <c r="D738" i="13" s="1"/>
  <c r="B737" i="13"/>
  <c r="D737" i="13" s="1"/>
  <c r="B736" i="13"/>
  <c r="D736" i="13" s="1"/>
  <c r="B735" i="13"/>
  <c r="D735" i="13" s="1"/>
  <c r="B734" i="13"/>
  <c r="D734" i="13" s="1"/>
  <c r="B733" i="13"/>
  <c r="D733" i="13" s="1"/>
  <c r="B732" i="13"/>
  <c r="D732" i="13" s="1"/>
  <c r="B731" i="13"/>
  <c r="D731" i="13" s="1"/>
  <c r="B730" i="13"/>
  <c r="D730" i="13" s="1"/>
  <c r="B729" i="13"/>
  <c r="D729" i="13" s="1"/>
  <c r="B728" i="13"/>
  <c r="D728" i="13" s="1"/>
  <c r="B727" i="13"/>
  <c r="D727" i="13" s="1"/>
  <c r="B726" i="13"/>
  <c r="D726" i="13" s="1"/>
  <c r="B725" i="13"/>
  <c r="D725" i="13" s="1"/>
  <c r="B724" i="13"/>
  <c r="D724" i="13" s="1"/>
  <c r="B723" i="13"/>
  <c r="D723" i="13" s="1"/>
  <c r="B722" i="13"/>
  <c r="D722" i="13" s="1"/>
  <c r="B721" i="13"/>
  <c r="D721" i="13" s="1"/>
  <c r="B720" i="13"/>
  <c r="D720" i="13" s="1"/>
  <c r="B719" i="13"/>
  <c r="D719" i="13" s="1"/>
  <c r="B718" i="13"/>
  <c r="D718" i="13" s="1"/>
  <c r="B717" i="13"/>
  <c r="D717" i="13" s="1"/>
  <c r="B716" i="13"/>
  <c r="D716" i="13" s="1"/>
  <c r="B715" i="13"/>
  <c r="D715" i="13" s="1"/>
  <c r="B714" i="13"/>
  <c r="D714" i="13" s="1"/>
  <c r="B713" i="13"/>
  <c r="D713" i="13" s="1"/>
  <c r="B712" i="13"/>
  <c r="D712" i="13" s="1"/>
  <c r="B711" i="13"/>
  <c r="D711" i="13" s="1"/>
  <c r="B710" i="13"/>
  <c r="D710" i="13" s="1"/>
  <c r="B709" i="13"/>
  <c r="D709" i="13" s="1"/>
  <c r="B708" i="13"/>
  <c r="D708" i="13" s="1"/>
  <c r="B707" i="13"/>
  <c r="D707" i="13" s="1"/>
  <c r="B706" i="13"/>
  <c r="D706" i="13" s="1"/>
  <c r="B705" i="13"/>
  <c r="D705" i="13" s="1"/>
  <c r="B704" i="13"/>
  <c r="D704" i="13" s="1"/>
  <c r="B703" i="13"/>
  <c r="D703" i="13" s="1"/>
  <c r="B702" i="13"/>
  <c r="D702" i="13" s="1"/>
  <c r="B701" i="13"/>
  <c r="D701" i="13" s="1"/>
  <c r="B700" i="13"/>
  <c r="D700" i="13" s="1"/>
  <c r="B699" i="13"/>
  <c r="D699" i="13" s="1"/>
  <c r="B698" i="13"/>
  <c r="D698" i="13" s="1"/>
  <c r="B697" i="13"/>
  <c r="D697" i="13" s="1"/>
  <c r="B696" i="13"/>
  <c r="D696" i="13" s="1"/>
  <c r="B695" i="13"/>
  <c r="D695" i="13" s="1"/>
  <c r="B694" i="13"/>
  <c r="D694" i="13" s="1"/>
  <c r="B693" i="13"/>
  <c r="D693" i="13" s="1"/>
  <c r="B692" i="13"/>
  <c r="D692" i="13" s="1"/>
  <c r="B691" i="13"/>
  <c r="D691" i="13" s="1"/>
  <c r="B690" i="13"/>
  <c r="D690" i="13" s="1"/>
  <c r="B689" i="13"/>
  <c r="D689" i="13" s="1"/>
  <c r="B688" i="13"/>
  <c r="D688" i="13" s="1"/>
  <c r="B687" i="13"/>
  <c r="D687" i="13" s="1"/>
  <c r="B686" i="13"/>
  <c r="D686" i="13" s="1"/>
  <c r="B685" i="13"/>
  <c r="D685" i="13" s="1"/>
  <c r="B684" i="13"/>
  <c r="D684" i="13" s="1"/>
  <c r="B683" i="13"/>
  <c r="D683" i="13" s="1"/>
  <c r="B682" i="13"/>
  <c r="D682" i="13" s="1"/>
  <c r="B681" i="13"/>
  <c r="D681" i="13" s="1"/>
  <c r="B680" i="13"/>
  <c r="D680" i="13" s="1"/>
  <c r="B679" i="13"/>
  <c r="D679" i="13" s="1"/>
  <c r="B678" i="13"/>
  <c r="D678" i="13" s="1"/>
  <c r="B677" i="13"/>
  <c r="D677" i="13" s="1"/>
  <c r="B676" i="13"/>
  <c r="D676" i="13" s="1"/>
  <c r="B675" i="13"/>
  <c r="D675" i="13" s="1"/>
  <c r="B674" i="13"/>
  <c r="D674" i="13" s="1"/>
  <c r="B673" i="13"/>
  <c r="D673" i="13" s="1"/>
  <c r="B672" i="13"/>
  <c r="D672" i="13" s="1"/>
  <c r="B671" i="13"/>
  <c r="D671" i="13" s="1"/>
  <c r="B670" i="13"/>
  <c r="D670" i="13" s="1"/>
  <c r="B669" i="13"/>
  <c r="D669" i="13" s="1"/>
  <c r="B668" i="13"/>
  <c r="D668" i="13" s="1"/>
  <c r="B667" i="13"/>
  <c r="D667" i="13" s="1"/>
  <c r="B666" i="13"/>
  <c r="D666" i="13" s="1"/>
  <c r="B665" i="13"/>
  <c r="D665" i="13" s="1"/>
  <c r="B664" i="13"/>
  <c r="D664" i="13" s="1"/>
  <c r="B663" i="13"/>
  <c r="D663" i="13" s="1"/>
  <c r="B662" i="13"/>
  <c r="D662" i="13" s="1"/>
  <c r="B661" i="13"/>
  <c r="D661" i="13" s="1"/>
  <c r="B660" i="13"/>
  <c r="D660" i="13" s="1"/>
  <c r="B659" i="13"/>
  <c r="D659" i="13" s="1"/>
  <c r="B658" i="13"/>
  <c r="D658" i="13" s="1"/>
  <c r="B657" i="13"/>
  <c r="D657" i="13" s="1"/>
  <c r="B656" i="13"/>
  <c r="D656" i="13" s="1"/>
  <c r="B655" i="13"/>
  <c r="D655" i="13" s="1"/>
  <c r="B654" i="13"/>
  <c r="D654" i="13" s="1"/>
  <c r="B653" i="13"/>
  <c r="D653" i="13" s="1"/>
  <c r="B652" i="13"/>
  <c r="D652" i="13" s="1"/>
  <c r="B651" i="13"/>
  <c r="D651" i="13" s="1"/>
  <c r="B650" i="13"/>
  <c r="D650" i="13" s="1"/>
  <c r="B649" i="13"/>
  <c r="D649" i="13" s="1"/>
  <c r="B648" i="13"/>
  <c r="D648" i="13" s="1"/>
  <c r="B647" i="13"/>
  <c r="D647" i="13" s="1"/>
  <c r="B646" i="13"/>
  <c r="D646" i="13" s="1"/>
  <c r="B645" i="13"/>
  <c r="D645" i="13" s="1"/>
  <c r="B644" i="13"/>
  <c r="D644" i="13" s="1"/>
  <c r="B643" i="13"/>
  <c r="D643" i="13" s="1"/>
  <c r="B642" i="13"/>
  <c r="D642" i="13" s="1"/>
  <c r="B641" i="13"/>
  <c r="D641" i="13" s="1"/>
  <c r="B640" i="13"/>
  <c r="D640" i="13" s="1"/>
  <c r="B639" i="13"/>
  <c r="D639" i="13" s="1"/>
  <c r="B638" i="13"/>
  <c r="D638" i="13" s="1"/>
  <c r="B637" i="13"/>
  <c r="D637" i="13" s="1"/>
  <c r="B636" i="13"/>
  <c r="D636" i="13" s="1"/>
  <c r="B635" i="13"/>
  <c r="D635" i="13" s="1"/>
  <c r="B634" i="13"/>
  <c r="D634" i="13" s="1"/>
  <c r="B633" i="13"/>
  <c r="D633" i="13" s="1"/>
  <c r="B632" i="13"/>
  <c r="D632" i="13" s="1"/>
  <c r="B631" i="13"/>
  <c r="D631" i="13" s="1"/>
  <c r="B630" i="13"/>
  <c r="D630" i="13" s="1"/>
  <c r="B629" i="13"/>
  <c r="D629" i="13" s="1"/>
  <c r="B628" i="13"/>
  <c r="D628" i="13" s="1"/>
  <c r="B627" i="13"/>
  <c r="D627" i="13" s="1"/>
  <c r="B626" i="13"/>
  <c r="D626" i="13" s="1"/>
  <c r="B625" i="13"/>
  <c r="D625" i="13" s="1"/>
  <c r="B624" i="13"/>
  <c r="D624" i="13" s="1"/>
  <c r="B623" i="13"/>
  <c r="D623" i="13" s="1"/>
  <c r="B622" i="13"/>
  <c r="D622" i="13" s="1"/>
  <c r="B621" i="13"/>
  <c r="D621" i="13" s="1"/>
  <c r="B620" i="13"/>
  <c r="D620" i="13" s="1"/>
  <c r="B619" i="13"/>
  <c r="D619" i="13" s="1"/>
  <c r="B618" i="13"/>
  <c r="D618" i="13" s="1"/>
  <c r="B617" i="13"/>
  <c r="D617" i="13" s="1"/>
  <c r="B616" i="13"/>
  <c r="D616" i="13" s="1"/>
  <c r="B615" i="13"/>
  <c r="D615" i="13" s="1"/>
  <c r="B614" i="13"/>
  <c r="D614" i="13" s="1"/>
  <c r="B613" i="13"/>
  <c r="D613" i="13" s="1"/>
  <c r="B612" i="13"/>
  <c r="D612" i="13" s="1"/>
  <c r="B611" i="13"/>
  <c r="D611" i="13" s="1"/>
  <c r="B610" i="13"/>
  <c r="D610" i="13" s="1"/>
  <c r="B609" i="13"/>
  <c r="D609" i="13" s="1"/>
  <c r="B608" i="13"/>
  <c r="D608" i="13" s="1"/>
  <c r="B607" i="13"/>
  <c r="D607" i="13" s="1"/>
  <c r="B606" i="13"/>
  <c r="D606" i="13" s="1"/>
  <c r="B605" i="13"/>
  <c r="D605" i="13" s="1"/>
  <c r="B604" i="13"/>
  <c r="D604" i="13" s="1"/>
  <c r="B603" i="13"/>
  <c r="D603" i="13" s="1"/>
  <c r="B602" i="13"/>
  <c r="D602" i="13" s="1"/>
  <c r="B601" i="13"/>
  <c r="D601" i="13" s="1"/>
  <c r="B600" i="13"/>
  <c r="D600" i="13" s="1"/>
  <c r="B599" i="13"/>
  <c r="D599" i="13" s="1"/>
  <c r="B598" i="13"/>
  <c r="D598" i="13" s="1"/>
  <c r="B597" i="13"/>
  <c r="D597" i="13" s="1"/>
  <c r="B596" i="13"/>
  <c r="D596" i="13" s="1"/>
  <c r="B595" i="13"/>
  <c r="D595" i="13" s="1"/>
  <c r="B594" i="13"/>
  <c r="D594" i="13" s="1"/>
  <c r="B593" i="13"/>
  <c r="D593" i="13" s="1"/>
  <c r="B592" i="13"/>
  <c r="D592" i="13" s="1"/>
  <c r="B591" i="13"/>
  <c r="D591" i="13" s="1"/>
  <c r="B590" i="13"/>
  <c r="D590" i="13" s="1"/>
  <c r="B589" i="13"/>
  <c r="D589" i="13" s="1"/>
  <c r="B588" i="13"/>
  <c r="D588" i="13" s="1"/>
  <c r="B587" i="13"/>
  <c r="D587" i="13" s="1"/>
  <c r="B586" i="13"/>
  <c r="D586" i="13" s="1"/>
  <c r="B585" i="13"/>
  <c r="D585" i="13" s="1"/>
  <c r="B584" i="13"/>
  <c r="D584" i="13" s="1"/>
  <c r="B583" i="13"/>
  <c r="D583" i="13" s="1"/>
  <c r="B582" i="13"/>
  <c r="D582" i="13" s="1"/>
  <c r="B581" i="13"/>
  <c r="D581" i="13" s="1"/>
  <c r="B580" i="13"/>
  <c r="D580" i="13" s="1"/>
  <c r="B579" i="13"/>
  <c r="D579" i="13" s="1"/>
  <c r="B578" i="13"/>
  <c r="D578" i="13" s="1"/>
  <c r="B577" i="13"/>
  <c r="D577" i="13" s="1"/>
  <c r="B576" i="13"/>
  <c r="D576" i="13" s="1"/>
  <c r="B575" i="13"/>
  <c r="D575" i="13" s="1"/>
  <c r="B574" i="13"/>
  <c r="D574" i="13" s="1"/>
  <c r="B573" i="13"/>
  <c r="D573" i="13" s="1"/>
  <c r="B572" i="13"/>
  <c r="D572" i="13" s="1"/>
  <c r="B571" i="13"/>
  <c r="D571" i="13" s="1"/>
  <c r="B570" i="13"/>
  <c r="D570" i="13" s="1"/>
  <c r="B569" i="13"/>
  <c r="D569" i="13" s="1"/>
  <c r="B568" i="13"/>
  <c r="D568" i="13" s="1"/>
  <c r="B567" i="13"/>
  <c r="D567" i="13" s="1"/>
  <c r="B566" i="13"/>
  <c r="D566" i="13" s="1"/>
  <c r="B565" i="13"/>
  <c r="D565" i="13" s="1"/>
  <c r="B564" i="13"/>
  <c r="D564" i="13" s="1"/>
  <c r="B563" i="13"/>
  <c r="D563" i="13" s="1"/>
  <c r="B562" i="13"/>
  <c r="D562" i="13" s="1"/>
  <c r="B561" i="13"/>
  <c r="D561" i="13" s="1"/>
  <c r="B560" i="13"/>
  <c r="D560" i="13" s="1"/>
  <c r="B559" i="13"/>
  <c r="D559" i="13" s="1"/>
  <c r="B558" i="13"/>
  <c r="D558" i="13" s="1"/>
  <c r="B557" i="13"/>
  <c r="D557" i="13" s="1"/>
  <c r="B556" i="13"/>
  <c r="D556" i="13" s="1"/>
  <c r="B555" i="13"/>
  <c r="D555" i="13" s="1"/>
  <c r="B554" i="13"/>
  <c r="D554" i="13" s="1"/>
  <c r="B553" i="13"/>
  <c r="D553" i="13" s="1"/>
  <c r="B552" i="13"/>
  <c r="D552" i="13" s="1"/>
  <c r="B551" i="13"/>
  <c r="D551" i="13" s="1"/>
  <c r="B550" i="13"/>
  <c r="D550" i="13" s="1"/>
  <c r="B549" i="13"/>
  <c r="D549" i="13" s="1"/>
  <c r="B548" i="13"/>
  <c r="D548" i="13" s="1"/>
  <c r="B547" i="13"/>
  <c r="D547" i="13" s="1"/>
  <c r="B546" i="13"/>
  <c r="D546" i="13" s="1"/>
  <c r="B545" i="13"/>
  <c r="D545" i="13" s="1"/>
  <c r="B544" i="13"/>
  <c r="D544" i="13" s="1"/>
  <c r="B543" i="13"/>
  <c r="D543" i="13" s="1"/>
  <c r="B542" i="13"/>
  <c r="D542" i="13" s="1"/>
  <c r="B541" i="13"/>
  <c r="D541" i="13" s="1"/>
  <c r="B540" i="13"/>
  <c r="D540" i="13" s="1"/>
  <c r="B539" i="13"/>
  <c r="D539" i="13" s="1"/>
  <c r="B538" i="13"/>
  <c r="D538" i="13" s="1"/>
  <c r="B537" i="13"/>
  <c r="D537" i="13" s="1"/>
  <c r="B536" i="13"/>
  <c r="D536" i="13" s="1"/>
  <c r="B535" i="13"/>
  <c r="D535" i="13" s="1"/>
  <c r="B534" i="13"/>
  <c r="D534" i="13" s="1"/>
  <c r="B533" i="13"/>
  <c r="D533" i="13" s="1"/>
  <c r="B532" i="13"/>
  <c r="D532" i="13" s="1"/>
  <c r="B531" i="13"/>
  <c r="D531" i="13" s="1"/>
  <c r="B530" i="13"/>
  <c r="D530" i="13" s="1"/>
  <c r="B529" i="13"/>
  <c r="D529" i="13" s="1"/>
  <c r="B528" i="13"/>
  <c r="D528" i="13" s="1"/>
  <c r="B527" i="13"/>
  <c r="D527" i="13" s="1"/>
  <c r="B526" i="13"/>
  <c r="D526" i="13" s="1"/>
  <c r="B525" i="13"/>
  <c r="D525" i="13" s="1"/>
  <c r="B524" i="13"/>
  <c r="D524" i="13" s="1"/>
  <c r="B523" i="13"/>
  <c r="D523" i="13" s="1"/>
  <c r="B522" i="13"/>
  <c r="D522" i="13" s="1"/>
  <c r="B521" i="13"/>
  <c r="D521" i="13" s="1"/>
  <c r="B520" i="13"/>
  <c r="D520" i="13" s="1"/>
  <c r="B519" i="13"/>
  <c r="D519" i="13" s="1"/>
  <c r="B518" i="13"/>
  <c r="D518" i="13" s="1"/>
  <c r="B517" i="13"/>
  <c r="D517" i="13" s="1"/>
  <c r="B516" i="13"/>
  <c r="D516" i="13" s="1"/>
  <c r="B515" i="13"/>
  <c r="D515" i="13" s="1"/>
  <c r="B514" i="13"/>
  <c r="D514" i="13" s="1"/>
  <c r="B513" i="13"/>
  <c r="D513" i="13" s="1"/>
  <c r="B512" i="13"/>
  <c r="D512" i="13" s="1"/>
  <c r="B511" i="13"/>
  <c r="D511" i="13" s="1"/>
  <c r="B510" i="13"/>
  <c r="D510" i="13" s="1"/>
  <c r="B509" i="13"/>
  <c r="D509" i="13" s="1"/>
  <c r="B508" i="13"/>
  <c r="D508" i="13" s="1"/>
  <c r="B507" i="13"/>
  <c r="D507" i="13" s="1"/>
  <c r="B506" i="13"/>
  <c r="D506" i="13" s="1"/>
  <c r="B505" i="13"/>
  <c r="D505" i="13" s="1"/>
  <c r="B504" i="13"/>
  <c r="D504" i="13" s="1"/>
  <c r="B503" i="13"/>
  <c r="D503" i="13" s="1"/>
  <c r="B502" i="13"/>
  <c r="D502" i="13" s="1"/>
  <c r="B501" i="13"/>
  <c r="D501" i="13" s="1"/>
  <c r="B500" i="13"/>
  <c r="D500" i="13" s="1"/>
  <c r="B499" i="13"/>
  <c r="D499" i="13" s="1"/>
  <c r="B498" i="13"/>
  <c r="D498" i="13" s="1"/>
  <c r="B497" i="13"/>
  <c r="D497" i="13" s="1"/>
  <c r="B496" i="13"/>
  <c r="D496" i="13" s="1"/>
  <c r="B495" i="13"/>
  <c r="D495" i="13" s="1"/>
  <c r="B494" i="13"/>
  <c r="D494" i="13" s="1"/>
  <c r="B493" i="13"/>
  <c r="D493" i="13" s="1"/>
  <c r="B492" i="13"/>
  <c r="D492" i="13" s="1"/>
  <c r="B491" i="13"/>
  <c r="D491" i="13" s="1"/>
  <c r="B490" i="13"/>
  <c r="D490" i="13" s="1"/>
  <c r="B489" i="13"/>
  <c r="D489" i="13" s="1"/>
  <c r="B488" i="13"/>
  <c r="D488" i="13" s="1"/>
  <c r="B487" i="13"/>
  <c r="D487" i="13" s="1"/>
  <c r="B486" i="13"/>
  <c r="D486" i="13" s="1"/>
  <c r="B485" i="13"/>
  <c r="D485" i="13" s="1"/>
  <c r="B484" i="13"/>
  <c r="D484" i="13" s="1"/>
  <c r="B483" i="13"/>
  <c r="D483" i="13" s="1"/>
  <c r="B482" i="13"/>
  <c r="D482" i="13" s="1"/>
  <c r="B481" i="13"/>
  <c r="D481" i="13" s="1"/>
  <c r="B480" i="13"/>
  <c r="D480" i="13" s="1"/>
  <c r="B479" i="13"/>
  <c r="D479" i="13" s="1"/>
  <c r="B478" i="13"/>
  <c r="D478" i="13" s="1"/>
  <c r="B477" i="13"/>
  <c r="D477" i="13" s="1"/>
  <c r="B476" i="13"/>
  <c r="D476" i="13" s="1"/>
  <c r="B475" i="13"/>
  <c r="D475" i="13" s="1"/>
  <c r="B474" i="13"/>
  <c r="D474" i="13" s="1"/>
  <c r="B473" i="13"/>
  <c r="D473" i="13" s="1"/>
  <c r="B472" i="13"/>
  <c r="D472" i="13" s="1"/>
  <c r="B471" i="13"/>
  <c r="D471" i="13" s="1"/>
  <c r="B470" i="13"/>
  <c r="D470" i="13" s="1"/>
  <c r="B469" i="13"/>
  <c r="D469" i="13" s="1"/>
  <c r="B468" i="13"/>
  <c r="D468" i="13" s="1"/>
  <c r="B467" i="13"/>
  <c r="D467" i="13" s="1"/>
  <c r="B466" i="13"/>
  <c r="D466" i="13" s="1"/>
  <c r="B465" i="13"/>
  <c r="D465" i="13" s="1"/>
  <c r="B464" i="13"/>
  <c r="D464" i="13" s="1"/>
  <c r="B463" i="13"/>
  <c r="D463" i="13" s="1"/>
  <c r="B462" i="13"/>
  <c r="D462" i="13" s="1"/>
  <c r="B461" i="13"/>
  <c r="D461" i="13" s="1"/>
  <c r="B460" i="13"/>
  <c r="D460" i="13" s="1"/>
  <c r="B459" i="13"/>
  <c r="D459" i="13" s="1"/>
  <c r="B458" i="13"/>
  <c r="D458" i="13" s="1"/>
  <c r="B457" i="13"/>
  <c r="D457" i="13" s="1"/>
  <c r="B456" i="13"/>
  <c r="D456" i="13" s="1"/>
  <c r="B455" i="13"/>
  <c r="D455" i="13" s="1"/>
  <c r="B454" i="13"/>
  <c r="D454" i="13" s="1"/>
  <c r="B453" i="13"/>
  <c r="D453" i="13" s="1"/>
  <c r="B452" i="13"/>
  <c r="D452" i="13" s="1"/>
  <c r="B451" i="13"/>
  <c r="D451" i="13" s="1"/>
  <c r="B450" i="13"/>
  <c r="D450" i="13" s="1"/>
  <c r="B449" i="13"/>
  <c r="D449" i="13" s="1"/>
  <c r="B448" i="13"/>
  <c r="D448" i="13" s="1"/>
  <c r="B447" i="13"/>
  <c r="D447" i="13" s="1"/>
  <c r="B446" i="13"/>
  <c r="D446" i="13" s="1"/>
  <c r="B445" i="13"/>
  <c r="D445" i="13" s="1"/>
  <c r="B444" i="13"/>
  <c r="D444" i="13" s="1"/>
  <c r="B443" i="13"/>
  <c r="D443" i="13" s="1"/>
  <c r="B442" i="13"/>
  <c r="D442" i="13" s="1"/>
  <c r="B441" i="13"/>
  <c r="D441" i="13" s="1"/>
  <c r="B440" i="13"/>
  <c r="D440" i="13" s="1"/>
  <c r="B439" i="13"/>
  <c r="D439" i="13" s="1"/>
  <c r="B438" i="13"/>
  <c r="D438" i="13" s="1"/>
  <c r="B437" i="13"/>
  <c r="D437" i="13" s="1"/>
  <c r="B436" i="13"/>
  <c r="D436" i="13" s="1"/>
  <c r="B435" i="13"/>
  <c r="D435" i="13" s="1"/>
  <c r="B434" i="13"/>
  <c r="D434" i="13" s="1"/>
  <c r="B433" i="13"/>
  <c r="D433" i="13" s="1"/>
  <c r="B432" i="13"/>
  <c r="D432" i="13" s="1"/>
  <c r="B431" i="13"/>
  <c r="D431" i="13" s="1"/>
  <c r="B430" i="13"/>
  <c r="D430" i="13" s="1"/>
  <c r="B429" i="13"/>
  <c r="D429" i="13" s="1"/>
  <c r="B428" i="13"/>
  <c r="D428" i="13" s="1"/>
  <c r="B427" i="13"/>
  <c r="D427" i="13" s="1"/>
  <c r="B426" i="13"/>
  <c r="D426" i="13" s="1"/>
  <c r="B425" i="13"/>
  <c r="D425" i="13" s="1"/>
  <c r="B424" i="13"/>
  <c r="D424" i="13" s="1"/>
  <c r="B423" i="13"/>
  <c r="D423" i="13" s="1"/>
  <c r="B422" i="13"/>
  <c r="D422" i="13" s="1"/>
  <c r="B421" i="13"/>
  <c r="D421" i="13" s="1"/>
  <c r="B420" i="13"/>
  <c r="D420" i="13" s="1"/>
  <c r="B419" i="13"/>
  <c r="D419" i="13" s="1"/>
  <c r="B418" i="13"/>
  <c r="D418" i="13" s="1"/>
  <c r="B417" i="13"/>
  <c r="D417" i="13" s="1"/>
  <c r="B416" i="13"/>
  <c r="D416" i="13" s="1"/>
  <c r="B415" i="13"/>
  <c r="D415" i="13" s="1"/>
  <c r="B414" i="13"/>
  <c r="D414" i="13" s="1"/>
  <c r="B413" i="13"/>
  <c r="D413" i="13" s="1"/>
  <c r="B412" i="13"/>
  <c r="D412" i="13" s="1"/>
  <c r="B411" i="13"/>
  <c r="D411" i="13" s="1"/>
  <c r="B410" i="13"/>
  <c r="D410" i="13" s="1"/>
  <c r="B409" i="13"/>
  <c r="D409" i="13" s="1"/>
  <c r="B408" i="13"/>
  <c r="D408" i="13" s="1"/>
  <c r="B407" i="13"/>
  <c r="D407" i="13" s="1"/>
  <c r="B406" i="13"/>
  <c r="D406" i="13" s="1"/>
  <c r="B405" i="13"/>
  <c r="D405" i="13" s="1"/>
  <c r="B404" i="13"/>
  <c r="D404" i="13" s="1"/>
  <c r="B403" i="13"/>
  <c r="D403" i="13" s="1"/>
  <c r="B402" i="13"/>
  <c r="D402" i="13" s="1"/>
  <c r="B401" i="13"/>
  <c r="D401" i="13" s="1"/>
  <c r="B400" i="13"/>
  <c r="D400" i="13" s="1"/>
  <c r="B399" i="13"/>
  <c r="D399" i="13" s="1"/>
  <c r="B398" i="13"/>
  <c r="D398" i="13" s="1"/>
  <c r="B397" i="13"/>
  <c r="D397" i="13" s="1"/>
  <c r="B396" i="13"/>
  <c r="D396" i="13" s="1"/>
  <c r="B395" i="13"/>
  <c r="D395" i="13" s="1"/>
  <c r="B394" i="13"/>
  <c r="D394" i="13" s="1"/>
  <c r="B393" i="13"/>
  <c r="D393" i="13" s="1"/>
  <c r="B392" i="13"/>
  <c r="D392" i="13" s="1"/>
  <c r="B391" i="13"/>
  <c r="D391" i="13" s="1"/>
  <c r="B390" i="13"/>
  <c r="D390" i="13" s="1"/>
  <c r="B389" i="13"/>
  <c r="D389" i="13" s="1"/>
  <c r="B388" i="13"/>
  <c r="D388" i="13" s="1"/>
  <c r="B387" i="13"/>
  <c r="D387" i="13" s="1"/>
  <c r="B386" i="13"/>
  <c r="D386" i="13" s="1"/>
  <c r="B385" i="13"/>
  <c r="D385" i="13" s="1"/>
  <c r="B384" i="13"/>
  <c r="D384" i="13" s="1"/>
  <c r="B383" i="13"/>
  <c r="D383" i="13" s="1"/>
  <c r="B382" i="13"/>
  <c r="D382" i="13" s="1"/>
  <c r="B381" i="13"/>
  <c r="D381" i="13" s="1"/>
  <c r="B380" i="13"/>
  <c r="D380" i="13" s="1"/>
  <c r="B379" i="13"/>
  <c r="D379" i="13" s="1"/>
  <c r="B378" i="13"/>
  <c r="D378" i="13" s="1"/>
  <c r="B377" i="13"/>
  <c r="D377" i="13" s="1"/>
  <c r="B376" i="13"/>
  <c r="D376" i="13" s="1"/>
  <c r="B375" i="13"/>
  <c r="D375" i="13" s="1"/>
  <c r="B374" i="13"/>
  <c r="D374" i="13" s="1"/>
  <c r="B373" i="13"/>
  <c r="D373" i="13" s="1"/>
  <c r="B372" i="13"/>
  <c r="D372" i="13" s="1"/>
  <c r="B371" i="13"/>
  <c r="D371" i="13" s="1"/>
  <c r="B370" i="13"/>
  <c r="D370" i="13" s="1"/>
  <c r="B369" i="13"/>
  <c r="D369" i="13" s="1"/>
  <c r="B368" i="13"/>
  <c r="D368" i="13" s="1"/>
  <c r="B367" i="13"/>
  <c r="D367" i="13" s="1"/>
  <c r="B366" i="13"/>
  <c r="D366" i="13" s="1"/>
  <c r="B365" i="13"/>
  <c r="D365" i="13" s="1"/>
  <c r="B364" i="13"/>
  <c r="D364" i="13" s="1"/>
  <c r="B363" i="13"/>
  <c r="D363" i="13" s="1"/>
  <c r="B362" i="13"/>
  <c r="D362" i="13" s="1"/>
  <c r="B361" i="13"/>
  <c r="D361" i="13" s="1"/>
  <c r="B360" i="13"/>
  <c r="D360" i="13" s="1"/>
  <c r="B359" i="13"/>
  <c r="D359" i="13" s="1"/>
  <c r="B358" i="13"/>
  <c r="D358" i="13" s="1"/>
  <c r="B357" i="13"/>
  <c r="D357" i="13" s="1"/>
  <c r="B356" i="13"/>
  <c r="D356" i="13" s="1"/>
  <c r="B355" i="13"/>
  <c r="D355" i="13" s="1"/>
  <c r="B354" i="13"/>
  <c r="D354" i="13" s="1"/>
  <c r="B353" i="13"/>
  <c r="D353" i="13" s="1"/>
  <c r="B352" i="13"/>
  <c r="D352" i="13" s="1"/>
  <c r="B351" i="13"/>
  <c r="D351" i="13" s="1"/>
  <c r="B350" i="13"/>
  <c r="D350" i="13" s="1"/>
  <c r="B349" i="13"/>
  <c r="D349" i="13" s="1"/>
  <c r="B348" i="13"/>
  <c r="D348" i="13" s="1"/>
  <c r="B347" i="13"/>
  <c r="D347" i="13" s="1"/>
  <c r="B346" i="13"/>
  <c r="D346" i="13" s="1"/>
  <c r="B345" i="13"/>
  <c r="D345" i="13" s="1"/>
  <c r="B344" i="13"/>
  <c r="D344" i="13" s="1"/>
  <c r="B343" i="13"/>
  <c r="D343" i="13" s="1"/>
  <c r="B342" i="13"/>
  <c r="D342" i="13" s="1"/>
  <c r="B341" i="13"/>
  <c r="D341" i="13" s="1"/>
  <c r="B340" i="13"/>
  <c r="D340" i="13" s="1"/>
  <c r="B339" i="13"/>
  <c r="D339" i="13" s="1"/>
  <c r="B338" i="13"/>
  <c r="D338" i="13" s="1"/>
  <c r="B337" i="13"/>
  <c r="D337" i="13" s="1"/>
  <c r="B336" i="13"/>
  <c r="D336" i="13" s="1"/>
  <c r="B335" i="13"/>
  <c r="D335" i="13" s="1"/>
  <c r="B334" i="13"/>
  <c r="D334" i="13" s="1"/>
  <c r="B333" i="13"/>
  <c r="D333" i="13" s="1"/>
  <c r="B332" i="13"/>
  <c r="D332" i="13" s="1"/>
  <c r="B331" i="13"/>
  <c r="D331" i="13" s="1"/>
  <c r="B330" i="13"/>
  <c r="D330" i="13" s="1"/>
  <c r="B329" i="13"/>
  <c r="D329" i="13" s="1"/>
  <c r="B328" i="13"/>
  <c r="D328" i="13" s="1"/>
  <c r="B327" i="13"/>
  <c r="D327" i="13" s="1"/>
  <c r="B326" i="13"/>
  <c r="D326" i="13" s="1"/>
  <c r="B325" i="13"/>
  <c r="D325" i="13" s="1"/>
  <c r="B324" i="13"/>
  <c r="D324" i="13" s="1"/>
  <c r="B323" i="13"/>
  <c r="D323" i="13" s="1"/>
  <c r="B322" i="13"/>
  <c r="D322" i="13" s="1"/>
  <c r="B321" i="13"/>
  <c r="D321" i="13" s="1"/>
  <c r="B320" i="13"/>
  <c r="D320" i="13" s="1"/>
  <c r="B319" i="13"/>
  <c r="D319" i="13" s="1"/>
  <c r="B318" i="13"/>
  <c r="D318" i="13" s="1"/>
  <c r="B317" i="13"/>
  <c r="D317" i="13" s="1"/>
  <c r="B316" i="13"/>
  <c r="D316" i="13" s="1"/>
  <c r="B315" i="13"/>
  <c r="D315" i="13" s="1"/>
  <c r="B314" i="13"/>
  <c r="D314" i="13" s="1"/>
  <c r="B313" i="13"/>
  <c r="D313" i="13" s="1"/>
  <c r="B312" i="13"/>
  <c r="D312" i="13" s="1"/>
  <c r="B311" i="13"/>
  <c r="D311" i="13" s="1"/>
  <c r="B310" i="13"/>
  <c r="D310" i="13" s="1"/>
  <c r="B309" i="13"/>
  <c r="D309" i="13" s="1"/>
  <c r="B308" i="13"/>
  <c r="D308" i="13" s="1"/>
  <c r="B307" i="13"/>
  <c r="D307" i="13" s="1"/>
  <c r="B306" i="13"/>
  <c r="D306" i="13" s="1"/>
  <c r="B305" i="13"/>
  <c r="D305" i="13" s="1"/>
  <c r="B304" i="13"/>
  <c r="D304" i="13" s="1"/>
  <c r="B303" i="13"/>
  <c r="D303" i="13" s="1"/>
  <c r="B302" i="13"/>
  <c r="D302" i="13" s="1"/>
  <c r="B301" i="13"/>
  <c r="D301" i="13" s="1"/>
  <c r="B300" i="13"/>
  <c r="D300" i="13" s="1"/>
  <c r="B299" i="13"/>
  <c r="D299" i="13" s="1"/>
  <c r="B298" i="13"/>
  <c r="D298" i="13" s="1"/>
  <c r="B297" i="13"/>
  <c r="D297" i="13" s="1"/>
  <c r="B296" i="13"/>
  <c r="D296" i="13" s="1"/>
  <c r="B295" i="13"/>
  <c r="D295" i="13" s="1"/>
  <c r="B294" i="13"/>
  <c r="D294" i="13" s="1"/>
  <c r="B293" i="13"/>
  <c r="D293" i="13" s="1"/>
  <c r="B292" i="13"/>
  <c r="D292" i="13" s="1"/>
  <c r="B291" i="13"/>
  <c r="D291" i="13" s="1"/>
  <c r="B290" i="13"/>
  <c r="D290" i="13" s="1"/>
  <c r="B289" i="13"/>
  <c r="D289" i="13" s="1"/>
  <c r="B288" i="13"/>
  <c r="D288" i="13" s="1"/>
  <c r="B287" i="13"/>
  <c r="D287" i="13" s="1"/>
  <c r="B286" i="13"/>
  <c r="D286" i="13" s="1"/>
  <c r="B285" i="13"/>
  <c r="D285" i="13" s="1"/>
  <c r="B284" i="13"/>
  <c r="D284" i="13" s="1"/>
  <c r="B283" i="13"/>
  <c r="D283" i="13" s="1"/>
  <c r="B282" i="13"/>
  <c r="D282" i="13" s="1"/>
  <c r="B281" i="13"/>
  <c r="D281" i="13" s="1"/>
  <c r="B280" i="13"/>
  <c r="D280" i="13" s="1"/>
  <c r="B279" i="13"/>
  <c r="D279" i="13" s="1"/>
  <c r="B278" i="13"/>
  <c r="D278" i="13" s="1"/>
  <c r="B277" i="13"/>
  <c r="D277" i="13" s="1"/>
  <c r="B276" i="13"/>
  <c r="D276" i="13" s="1"/>
  <c r="B275" i="13"/>
  <c r="D275" i="13" s="1"/>
  <c r="B274" i="13"/>
  <c r="D274" i="13" s="1"/>
  <c r="B273" i="13"/>
  <c r="D273" i="13" s="1"/>
  <c r="B272" i="13"/>
  <c r="D272" i="13" s="1"/>
  <c r="B271" i="13"/>
  <c r="D271" i="13" s="1"/>
  <c r="B270" i="13"/>
  <c r="D270" i="13" s="1"/>
  <c r="B269" i="13"/>
  <c r="D269" i="13" s="1"/>
  <c r="B268" i="13"/>
  <c r="D268" i="13" s="1"/>
  <c r="B267" i="13"/>
  <c r="D267" i="13" s="1"/>
  <c r="B266" i="13"/>
  <c r="D266" i="13" s="1"/>
  <c r="B265" i="13"/>
  <c r="D265" i="13" s="1"/>
  <c r="B264" i="13"/>
  <c r="D264" i="13" s="1"/>
  <c r="B263" i="13"/>
  <c r="D263" i="13" s="1"/>
  <c r="B262" i="13"/>
  <c r="D262" i="13" s="1"/>
  <c r="B261" i="13"/>
  <c r="D261" i="13" s="1"/>
  <c r="B260" i="13"/>
  <c r="D260" i="13" s="1"/>
  <c r="B259" i="13"/>
  <c r="D259" i="13" s="1"/>
  <c r="B258" i="13"/>
  <c r="D258" i="13" s="1"/>
  <c r="B257" i="13"/>
  <c r="D257" i="13" s="1"/>
  <c r="B256" i="13"/>
  <c r="D256" i="13" s="1"/>
  <c r="B255" i="13"/>
  <c r="D255" i="13" s="1"/>
  <c r="B254" i="13"/>
  <c r="D254" i="13" s="1"/>
  <c r="B253" i="13"/>
  <c r="D253" i="13" s="1"/>
  <c r="B252" i="13"/>
  <c r="D252" i="13" s="1"/>
  <c r="B251" i="13"/>
  <c r="D251" i="13" s="1"/>
  <c r="B250" i="13"/>
  <c r="D250" i="13" s="1"/>
  <c r="B249" i="13"/>
  <c r="D249" i="13" s="1"/>
  <c r="B248" i="13"/>
  <c r="D248" i="13" s="1"/>
  <c r="B247" i="13"/>
  <c r="D247" i="13" s="1"/>
  <c r="B246" i="13"/>
  <c r="D246" i="13" s="1"/>
  <c r="B245" i="13"/>
  <c r="D245" i="13" s="1"/>
  <c r="B244" i="13"/>
  <c r="D244" i="13" s="1"/>
  <c r="B243" i="13"/>
  <c r="D243" i="13" s="1"/>
  <c r="B242" i="13"/>
  <c r="D242" i="13" s="1"/>
  <c r="B241" i="13"/>
  <c r="D241" i="13" s="1"/>
  <c r="B240" i="13"/>
  <c r="D240" i="13" s="1"/>
  <c r="B239" i="13"/>
  <c r="D239" i="13" s="1"/>
  <c r="B238" i="13"/>
  <c r="D238" i="13" s="1"/>
  <c r="B237" i="13"/>
  <c r="D237" i="13" s="1"/>
  <c r="B236" i="13"/>
  <c r="D236" i="13" s="1"/>
  <c r="B235" i="13"/>
  <c r="D235" i="13" s="1"/>
  <c r="B234" i="13"/>
  <c r="D234" i="13" s="1"/>
  <c r="B233" i="13"/>
  <c r="D233" i="13" s="1"/>
  <c r="B232" i="13"/>
  <c r="D232" i="13" s="1"/>
  <c r="B231" i="13"/>
  <c r="D231" i="13" s="1"/>
  <c r="B230" i="13"/>
  <c r="D230" i="13" s="1"/>
  <c r="B229" i="13"/>
  <c r="D229" i="13" s="1"/>
  <c r="B228" i="13"/>
  <c r="D228" i="13" s="1"/>
  <c r="B227" i="13"/>
  <c r="D227" i="13" s="1"/>
  <c r="B226" i="13"/>
  <c r="D226" i="13" s="1"/>
  <c r="B225" i="13"/>
  <c r="D225" i="13" s="1"/>
  <c r="B224" i="13"/>
  <c r="D224" i="13" s="1"/>
  <c r="B223" i="13"/>
  <c r="D223" i="13" s="1"/>
  <c r="B222" i="13"/>
  <c r="D222" i="13" s="1"/>
  <c r="B221" i="13"/>
  <c r="D221" i="13" s="1"/>
  <c r="B220" i="13"/>
  <c r="D220" i="13" s="1"/>
  <c r="B219" i="13"/>
  <c r="D219" i="13" s="1"/>
  <c r="B218" i="13"/>
  <c r="D218" i="13" s="1"/>
  <c r="B217" i="13"/>
  <c r="D217" i="13" s="1"/>
  <c r="B216" i="13"/>
  <c r="D216" i="13" s="1"/>
  <c r="B215" i="13"/>
  <c r="D215" i="13" s="1"/>
  <c r="B214" i="13"/>
  <c r="D214" i="13" s="1"/>
  <c r="B213" i="13"/>
  <c r="D213" i="13" s="1"/>
  <c r="B212" i="13"/>
  <c r="D212" i="13" s="1"/>
  <c r="B211" i="13"/>
  <c r="D211" i="13" s="1"/>
  <c r="B210" i="13"/>
  <c r="D210" i="13" s="1"/>
  <c r="B209" i="13"/>
  <c r="D209" i="13" s="1"/>
  <c r="B208" i="13"/>
  <c r="D208" i="13" s="1"/>
  <c r="B207" i="13"/>
  <c r="D207" i="13" s="1"/>
  <c r="B206" i="13"/>
  <c r="D206" i="13" s="1"/>
  <c r="B205" i="13"/>
  <c r="D205" i="13" s="1"/>
  <c r="B204" i="13"/>
  <c r="D204" i="13" s="1"/>
  <c r="B203" i="13"/>
  <c r="D203" i="13" s="1"/>
  <c r="B202" i="13"/>
  <c r="D202" i="13" s="1"/>
  <c r="B201" i="13"/>
  <c r="D201" i="13" s="1"/>
  <c r="B199" i="13"/>
  <c r="D199" i="13" s="1"/>
  <c r="B198" i="13"/>
  <c r="D198" i="13" s="1"/>
  <c r="B197" i="13"/>
  <c r="D197" i="13" s="1"/>
  <c r="B196" i="13"/>
  <c r="D196" i="13" s="1"/>
  <c r="B195" i="13"/>
  <c r="D195" i="13" s="1"/>
  <c r="B194" i="13"/>
  <c r="D194" i="13" s="1"/>
  <c r="B193" i="13"/>
  <c r="D193" i="13" s="1"/>
  <c r="B192" i="13"/>
  <c r="D192" i="13" s="1"/>
  <c r="B191" i="13"/>
  <c r="D191" i="13" s="1"/>
  <c r="B190" i="13"/>
  <c r="D190" i="13" s="1"/>
  <c r="B189" i="13"/>
  <c r="D189" i="13" s="1"/>
  <c r="B188" i="13"/>
  <c r="D188" i="13" s="1"/>
  <c r="B187" i="13"/>
  <c r="D187" i="13" s="1"/>
  <c r="B186" i="13"/>
  <c r="D186" i="13" s="1"/>
  <c r="B185" i="13"/>
  <c r="D185" i="13" s="1"/>
  <c r="B184" i="13"/>
  <c r="D184" i="13" s="1"/>
  <c r="B183" i="13"/>
  <c r="D183" i="13" s="1"/>
  <c r="B182" i="13"/>
  <c r="D182" i="13" s="1"/>
  <c r="B181" i="13"/>
  <c r="D181" i="13" s="1"/>
  <c r="B180" i="13"/>
  <c r="D180" i="13" s="1"/>
  <c r="B179" i="13"/>
  <c r="D179" i="13" s="1"/>
  <c r="B178" i="13"/>
  <c r="D178" i="13" s="1"/>
  <c r="B177" i="13"/>
  <c r="D177" i="13" s="1"/>
  <c r="B176" i="13"/>
  <c r="D176" i="13" s="1"/>
  <c r="B175" i="13"/>
  <c r="D175" i="13" s="1"/>
  <c r="B174" i="13"/>
  <c r="D174" i="13" s="1"/>
  <c r="B173" i="13"/>
  <c r="D173" i="13" s="1"/>
  <c r="B172" i="13"/>
  <c r="D172" i="13" s="1"/>
  <c r="B171" i="13"/>
  <c r="D171" i="13" s="1"/>
  <c r="B170" i="13"/>
  <c r="D170" i="13" s="1"/>
  <c r="B169" i="13"/>
  <c r="D169" i="13" s="1"/>
  <c r="B168" i="13"/>
  <c r="D168" i="13" s="1"/>
  <c r="B167" i="13"/>
  <c r="D167" i="13" s="1"/>
  <c r="B166" i="13"/>
  <c r="D166" i="13" s="1"/>
  <c r="B165" i="13"/>
  <c r="D165" i="13" s="1"/>
  <c r="B164" i="13"/>
  <c r="D164" i="13" s="1"/>
  <c r="B163" i="13"/>
  <c r="D163" i="13" s="1"/>
  <c r="B162" i="13"/>
  <c r="D162" i="13" s="1"/>
  <c r="B161" i="13"/>
  <c r="D161" i="13" s="1"/>
  <c r="B160" i="13"/>
  <c r="D160" i="13" s="1"/>
  <c r="B159" i="13"/>
  <c r="D159" i="13" s="1"/>
  <c r="B158" i="13"/>
  <c r="D158" i="13" s="1"/>
  <c r="B157" i="13"/>
  <c r="D157" i="13" s="1"/>
  <c r="B156" i="13"/>
  <c r="D156" i="13" s="1"/>
  <c r="B155" i="13"/>
  <c r="D155" i="13" s="1"/>
  <c r="B154" i="13"/>
  <c r="D154" i="13" s="1"/>
  <c r="B153" i="13"/>
  <c r="D153" i="13" s="1"/>
  <c r="B151" i="13"/>
  <c r="D151" i="13" s="1"/>
  <c r="B150" i="13"/>
  <c r="D150" i="13" s="1"/>
  <c r="B149" i="13"/>
  <c r="D149" i="13" s="1"/>
  <c r="B148" i="13"/>
  <c r="D148" i="13" s="1"/>
  <c r="B147" i="13"/>
  <c r="D147" i="13" s="1"/>
  <c r="B146" i="13"/>
  <c r="D146" i="13" s="1"/>
  <c r="B145" i="13"/>
  <c r="D145" i="13" s="1"/>
  <c r="B144" i="13"/>
  <c r="D144" i="13" s="1"/>
  <c r="B143" i="13"/>
  <c r="D143" i="13" s="1"/>
  <c r="B142" i="13"/>
  <c r="D142" i="13" s="1"/>
  <c r="B141" i="13"/>
  <c r="D141" i="13" s="1"/>
  <c r="B140" i="13"/>
  <c r="D140" i="13" s="1"/>
  <c r="B139" i="13"/>
  <c r="D139" i="13" s="1"/>
  <c r="B138" i="13"/>
  <c r="D138" i="13" s="1"/>
  <c r="B137" i="13"/>
  <c r="D137" i="13" s="1"/>
  <c r="B136" i="13"/>
  <c r="D136" i="13" s="1"/>
  <c r="B135" i="13"/>
  <c r="D135" i="13" s="1"/>
  <c r="B134" i="13"/>
  <c r="D134" i="13" s="1"/>
  <c r="B133" i="13"/>
  <c r="D133" i="13" s="1"/>
  <c r="B132" i="13"/>
  <c r="D132" i="13" s="1"/>
  <c r="B131" i="13"/>
  <c r="D131" i="13" s="1"/>
  <c r="B130" i="13"/>
  <c r="D130" i="13" s="1"/>
  <c r="B129" i="13"/>
  <c r="D129" i="13" s="1"/>
  <c r="B128" i="13"/>
  <c r="D128" i="13" s="1"/>
  <c r="B127" i="13"/>
  <c r="D127" i="13" s="1"/>
  <c r="B126" i="13"/>
  <c r="D126" i="13" s="1"/>
  <c r="B125" i="13"/>
  <c r="D125" i="13" s="1"/>
  <c r="B124" i="13"/>
  <c r="D124" i="13" s="1"/>
  <c r="B123" i="13"/>
  <c r="D123" i="13" s="1"/>
  <c r="B122" i="13"/>
  <c r="D122" i="13" s="1"/>
  <c r="B121" i="13"/>
  <c r="D121" i="13" s="1"/>
  <c r="B120" i="13"/>
  <c r="D120" i="13" s="1"/>
  <c r="B119" i="13"/>
  <c r="D119" i="13" s="1"/>
  <c r="B118" i="13"/>
  <c r="D118" i="13" s="1"/>
  <c r="B117" i="13"/>
  <c r="D117" i="13" s="1"/>
  <c r="B116" i="13"/>
  <c r="D116" i="13" s="1"/>
  <c r="B115" i="13"/>
  <c r="D115" i="13" s="1"/>
  <c r="B114" i="13"/>
  <c r="D114" i="13" s="1"/>
  <c r="B113" i="13"/>
  <c r="D113" i="13" s="1"/>
  <c r="B112" i="13"/>
  <c r="D112" i="13" s="1"/>
  <c r="B111" i="13"/>
  <c r="D111" i="13" s="1"/>
  <c r="B110" i="13"/>
  <c r="D110" i="13" s="1"/>
  <c r="B109" i="13"/>
  <c r="D109" i="13" s="1"/>
  <c r="B108" i="13"/>
  <c r="D108" i="13" s="1"/>
  <c r="B107" i="13"/>
  <c r="D107" i="13" s="1"/>
  <c r="B106" i="13"/>
  <c r="D106" i="13" s="1"/>
  <c r="B105" i="13"/>
  <c r="D105" i="13" s="1"/>
  <c r="B104" i="13"/>
  <c r="D104" i="13" s="1"/>
  <c r="B103" i="13"/>
  <c r="D103" i="13" s="1"/>
  <c r="B102" i="13"/>
  <c r="D102" i="13" s="1"/>
  <c r="B101" i="13"/>
  <c r="D101" i="13" s="1"/>
  <c r="B100" i="13"/>
  <c r="D100" i="13" s="1"/>
  <c r="B99" i="13"/>
  <c r="D99" i="13" s="1"/>
  <c r="B98" i="13"/>
  <c r="D98" i="13" s="1"/>
  <c r="B97" i="13"/>
  <c r="D97" i="13" s="1"/>
  <c r="B96" i="13"/>
  <c r="D96" i="13" s="1"/>
  <c r="B95" i="13"/>
  <c r="D95" i="13" s="1"/>
  <c r="B94" i="13"/>
  <c r="D94" i="13" s="1"/>
  <c r="B93" i="13"/>
  <c r="D93" i="13" s="1"/>
  <c r="B92" i="13"/>
  <c r="D92" i="13" s="1"/>
  <c r="B91" i="13"/>
  <c r="D91" i="13" s="1"/>
  <c r="B90" i="13"/>
  <c r="D90" i="13" s="1"/>
  <c r="B89" i="13"/>
  <c r="D89" i="13" s="1"/>
  <c r="B88" i="13"/>
  <c r="D88" i="13" s="1"/>
  <c r="B87" i="13"/>
  <c r="D87" i="13" s="1"/>
  <c r="B86" i="13"/>
  <c r="D86" i="13" s="1"/>
  <c r="B85" i="13"/>
  <c r="D85" i="13" s="1"/>
  <c r="B84" i="13"/>
  <c r="D84" i="13" s="1"/>
  <c r="B83" i="13"/>
  <c r="D83" i="13" s="1"/>
  <c r="B82" i="13"/>
  <c r="D82" i="13" s="1"/>
  <c r="B81" i="13"/>
  <c r="D81" i="13" s="1"/>
  <c r="B80" i="13"/>
  <c r="D80" i="13" s="1"/>
  <c r="B79" i="13"/>
  <c r="D79" i="13" s="1"/>
  <c r="B78" i="13"/>
  <c r="D78" i="13" s="1"/>
  <c r="B77" i="13"/>
  <c r="D77" i="13" s="1"/>
  <c r="B76" i="13"/>
  <c r="D76" i="13" s="1"/>
  <c r="B75" i="13"/>
  <c r="D75" i="13" s="1"/>
  <c r="B74" i="13"/>
  <c r="D74" i="13" s="1"/>
  <c r="B73" i="13"/>
  <c r="D73" i="13" s="1"/>
  <c r="B72" i="13"/>
  <c r="D72" i="13" s="1"/>
  <c r="B71" i="13"/>
  <c r="D71" i="13" s="1"/>
  <c r="B70" i="13"/>
  <c r="D70" i="13" s="1"/>
  <c r="B69" i="13"/>
  <c r="D69" i="13" s="1"/>
  <c r="B68" i="13"/>
  <c r="D68" i="13" s="1"/>
  <c r="B67" i="13"/>
  <c r="D67" i="13" s="1"/>
  <c r="B66" i="13"/>
  <c r="D66" i="13" s="1"/>
  <c r="B65" i="13"/>
  <c r="D65" i="13" s="1"/>
  <c r="B64" i="13"/>
  <c r="D64" i="13" s="1"/>
  <c r="B63" i="13"/>
  <c r="D63" i="13" s="1"/>
  <c r="B62" i="13"/>
  <c r="D62" i="13" s="1"/>
  <c r="B61" i="13"/>
  <c r="D61" i="13" s="1"/>
  <c r="B60" i="13"/>
  <c r="D60" i="13" s="1"/>
  <c r="B59" i="13"/>
  <c r="D59" i="13" s="1"/>
  <c r="B58" i="13"/>
  <c r="D58" i="13" s="1"/>
  <c r="B57" i="13"/>
  <c r="D57" i="13" s="1"/>
  <c r="B56" i="13"/>
  <c r="D56" i="13" s="1"/>
  <c r="B55" i="13"/>
  <c r="D55" i="13" s="1"/>
  <c r="B54" i="13"/>
  <c r="D54" i="13" s="1"/>
  <c r="B53" i="13"/>
  <c r="D53" i="13" s="1"/>
  <c r="B52" i="13"/>
  <c r="D52" i="13" s="1"/>
  <c r="B51" i="13"/>
  <c r="D51" i="13" s="1"/>
  <c r="B50" i="13"/>
  <c r="D50" i="13" s="1"/>
  <c r="B49" i="13"/>
  <c r="D49" i="13" s="1"/>
  <c r="B48" i="13"/>
  <c r="D48" i="13" s="1"/>
  <c r="B47" i="13"/>
  <c r="D47" i="13" s="1"/>
  <c r="B46" i="13"/>
  <c r="D46" i="13" s="1"/>
  <c r="B45" i="13"/>
  <c r="D45" i="13" s="1"/>
  <c r="B44" i="13"/>
  <c r="D44" i="13" s="1"/>
  <c r="B43" i="13"/>
  <c r="D43" i="13" s="1"/>
  <c r="B42" i="13"/>
  <c r="D42" i="13" s="1"/>
  <c r="B41" i="13"/>
  <c r="D41" i="13" s="1"/>
  <c r="B40" i="13"/>
  <c r="D40" i="13" s="1"/>
  <c r="B39" i="13"/>
  <c r="D39" i="13" s="1"/>
  <c r="B38" i="13"/>
  <c r="D38" i="13" s="1"/>
  <c r="B37" i="13"/>
  <c r="D37" i="13" s="1"/>
  <c r="B36" i="13"/>
  <c r="D36" i="13" s="1"/>
  <c r="B35" i="13"/>
  <c r="D35" i="13" s="1"/>
  <c r="B34" i="13"/>
  <c r="D34" i="13" s="1"/>
  <c r="B33" i="13"/>
  <c r="D33" i="13" s="1"/>
  <c r="B32" i="13"/>
  <c r="D32" i="13" s="1"/>
  <c r="B31" i="13"/>
  <c r="D31" i="13" s="1"/>
  <c r="B30" i="13"/>
  <c r="D30" i="13" s="1"/>
  <c r="B29" i="13"/>
  <c r="D29" i="13" s="1"/>
  <c r="B28" i="13"/>
  <c r="D28" i="13" s="1"/>
  <c r="B27" i="13"/>
  <c r="D27" i="13" s="1"/>
  <c r="B26" i="13"/>
  <c r="D26" i="13" s="1"/>
  <c r="B25" i="13"/>
  <c r="D25" i="13" s="1"/>
  <c r="B24" i="13"/>
  <c r="D24" i="13" s="1"/>
  <c r="B23" i="13"/>
  <c r="D23" i="13" s="1"/>
  <c r="B22" i="13"/>
  <c r="D22" i="13" s="1"/>
  <c r="B21" i="13"/>
  <c r="D21" i="13" s="1"/>
  <c r="B20" i="13"/>
  <c r="D20" i="13" s="1"/>
  <c r="B19" i="13"/>
  <c r="D19" i="13" s="1"/>
  <c r="B18" i="13"/>
  <c r="D18" i="13" s="1"/>
  <c r="B17" i="13"/>
  <c r="D17" i="13" s="1"/>
  <c r="B16" i="13"/>
  <c r="D16" i="13" s="1"/>
  <c r="B15" i="13"/>
  <c r="D15" i="13" s="1"/>
  <c r="B14" i="13"/>
  <c r="D14" i="13" s="1"/>
  <c r="B13" i="13"/>
  <c r="D13" i="13" s="1"/>
  <c r="B12" i="13"/>
  <c r="D12" i="13" s="1"/>
  <c r="B11" i="13"/>
  <c r="D11" i="13" s="1"/>
  <c r="D10" i="13"/>
  <c r="B9" i="13"/>
  <c r="D9" i="13" s="1"/>
  <c r="B8" i="13"/>
  <c r="D8" i="13" s="1"/>
  <c r="B7" i="13"/>
  <c r="D7" i="13" s="1"/>
  <c r="B6" i="13"/>
  <c r="D6" i="13" s="1"/>
  <c r="B5" i="13"/>
  <c r="D5" i="13" s="1"/>
  <c r="B4" i="13"/>
  <c r="D4" i="13" s="1"/>
  <c r="B3" i="13"/>
  <c r="D3" i="13" s="1"/>
  <c r="B2" i="13"/>
  <c r="D2" i="13" s="1"/>
  <c r="B137" i="6"/>
  <c r="B138" i="6"/>
  <c r="B151" i="6"/>
  <c r="B9" i="11"/>
  <c r="D9" i="11" s="1"/>
  <c r="B61" i="11"/>
  <c r="D61" i="11" s="1"/>
  <c r="B62" i="11"/>
  <c r="D62" i="11" s="1"/>
  <c r="B127" i="11"/>
  <c r="D127" i="11" s="1"/>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B802" i="6"/>
  <c r="D802" i="6" s="1"/>
  <c r="B803" i="6"/>
  <c r="D803" i="6" s="1"/>
  <c r="B804" i="6"/>
  <c r="D804" i="6" s="1"/>
  <c r="B805" i="6"/>
  <c r="D805" i="6" s="1"/>
  <c r="B806" i="6"/>
  <c r="D806" i="6" s="1"/>
  <c r="B807" i="6"/>
  <c r="D807" i="6" s="1"/>
  <c r="B808" i="6"/>
  <c r="D808" i="6" s="1"/>
  <c r="B809" i="6"/>
  <c r="D809" i="6" s="1"/>
  <c r="B810" i="6"/>
  <c r="D810" i="6" s="1"/>
  <c r="B811" i="6"/>
  <c r="D811" i="6" s="1"/>
  <c r="B812" i="6"/>
  <c r="D812" i="6" s="1"/>
  <c r="B813" i="6"/>
  <c r="D813" i="6" s="1"/>
  <c r="B814" i="6"/>
  <c r="D814" i="6" s="1"/>
  <c r="B815" i="6"/>
  <c r="D815" i="6" s="1"/>
  <c r="B816" i="6"/>
  <c r="D816" i="6" s="1"/>
  <c r="B817" i="6"/>
  <c r="D817" i="6" s="1"/>
  <c r="B818" i="6"/>
  <c r="D818" i="6" s="1"/>
  <c r="B819" i="6"/>
  <c r="D819" i="6" s="1"/>
  <c r="B820" i="6"/>
  <c r="D820" i="6" s="1"/>
  <c r="B821" i="6"/>
  <c r="D821" i="6" s="1"/>
  <c r="B822" i="6"/>
  <c r="D822" i="6" s="1"/>
  <c r="B823" i="6"/>
  <c r="D823" i="6" s="1"/>
  <c r="B824" i="6"/>
  <c r="D824" i="6" s="1"/>
  <c r="B825" i="6"/>
  <c r="D825" i="6" s="1"/>
  <c r="B826" i="6"/>
  <c r="D826" i="6" s="1"/>
  <c r="B827" i="6"/>
  <c r="D827" i="6" s="1"/>
  <c r="B828" i="6"/>
  <c r="D828" i="6" s="1"/>
  <c r="B829" i="6"/>
  <c r="D829" i="6" s="1"/>
  <c r="B830" i="6"/>
  <c r="D830" i="6" s="1"/>
  <c r="B831" i="6"/>
  <c r="D831" i="6" s="1"/>
  <c r="B832" i="6"/>
  <c r="D832" i="6" s="1"/>
  <c r="B833" i="6"/>
  <c r="D833" i="6" s="1"/>
  <c r="B834" i="6"/>
  <c r="D834" i="6" s="1"/>
  <c r="B835" i="6"/>
  <c r="D835" i="6" s="1"/>
  <c r="B836" i="6"/>
  <c r="D836" i="6" s="1"/>
  <c r="B837" i="6"/>
  <c r="D837" i="6" s="1"/>
  <c r="B838" i="6"/>
  <c r="D838" i="6" s="1"/>
  <c r="B839" i="6"/>
  <c r="D839" i="6" s="1"/>
  <c r="B840" i="6"/>
  <c r="D840" i="6" s="1"/>
  <c r="B841" i="6"/>
  <c r="D841" i="6" s="1"/>
  <c r="B842" i="6"/>
  <c r="D842" i="6" s="1"/>
  <c r="B843" i="6"/>
  <c r="D843" i="6" s="1"/>
  <c r="B844" i="6"/>
  <c r="D844" i="6" s="1"/>
  <c r="B845" i="6"/>
  <c r="D845" i="6" s="1"/>
  <c r="B846" i="6"/>
  <c r="D846" i="6" s="1"/>
  <c r="B847" i="6"/>
  <c r="D847" i="6" s="1"/>
  <c r="B848" i="6"/>
  <c r="D848" i="6" s="1"/>
  <c r="B849" i="6"/>
  <c r="D849" i="6" s="1"/>
  <c r="B850" i="6"/>
  <c r="D850" i="6" s="1"/>
  <c r="B851" i="6"/>
  <c r="D851" i="6" s="1"/>
  <c r="B852" i="6"/>
  <c r="D852" i="6" s="1"/>
  <c r="B853" i="6"/>
  <c r="D853" i="6" s="1"/>
  <c r="B854" i="6"/>
  <c r="D854" i="6" s="1"/>
  <c r="B855" i="6"/>
  <c r="D855" i="6" s="1"/>
  <c r="B856" i="6"/>
  <c r="D856" i="6" s="1"/>
  <c r="B857" i="6"/>
  <c r="D857" i="6" s="1"/>
  <c r="B858" i="6"/>
  <c r="D858" i="6" s="1"/>
  <c r="B859" i="6"/>
  <c r="D859" i="6" s="1"/>
  <c r="B860" i="6"/>
  <c r="D860" i="6" s="1"/>
  <c r="B861" i="6"/>
  <c r="D861" i="6" s="1"/>
  <c r="B862" i="6"/>
  <c r="D862" i="6" s="1"/>
  <c r="B863" i="6"/>
  <c r="D863" i="6" s="1"/>
  <c r="B864" i="6"/>
  <c r="D864" i="6" s="1"/>
  <c r="B865" i="6"/>
  <c r="D865" i="6" s="1"/>
  <c r="B866" i="6"/>
  <c r="D866" i="6" s="1"/>
  <c r="B867" i="6"/>
  <c r="D867" i="6" s="1"/>
  <c r="B868" i="6"/>
  <c r="D868" i="6" s="1"/>
  <c r="B869" i="6"/>
  <c r="D869" i="6" s="1"/>
  <c r="B870" i="6"/>
  <c r="D870" i="6" s="1"/>
  <c r="B871" i="6"/>
  <c r="D871" i="6" s="1"/>
  <c r="B872" i="6"/>
  <c r="D872" i="6" s="1"/>
  <c r="B873" i="6"/>
  <c r="D873" i="6" s="1"/>
  <c r="B874" i="6"/>
  <c r="D874" i="6" s="1"/>
  <c r="B875" i="6"/>
  <c r="D875" i="6" s="1"/>
  <c r="B876" i="6"/>
  <c r="D876" i="6" s="1"/>
  <c r="B877" i="6"/>
  <c r="D877" i="6" s="1"/>
  <c r="B878" i="6"/>
  <c r="D878" i="6" s="1"/>
  <c r="B879" i="6"/>
  <c r="D879" i="6" s="1"/>
  <c r="B880" i="6"/>
  <c r="D880" i="6" s="1"/>
  <c r="B881" i="6"/>
  <c r="D881" i="6" s="1"/>
  <c r="B882" i="6"/>
  <c r="D882" i="6" s="1"/>
  <c r="B883" i="6"/>
  <c r="D883" i="6" s="1"/>
  <c r="B884" i="6"/>
  <c r="D884" i="6" s="1"/>
  <c r="B885" i="6"/>
  <c r="D885" i="6" s="1"/>
  <c r="B886" i="6"/>
  <c r="D886" i="6" s="1"/>
  <c r="B887" i="6"/>
  <c r="D887" i="6" s="1"/>
  <c r="B888" i="6"/>
  <c r="D888" i="6" s="1"/>
  <c r="B889" i="6"/>
  <c r="D889" i="6" s="1"/>
  <c r="B890" i="6"/>
  <c r="D890" i="6" s="1"/>
  <c r="B891" i="6"/>
  <c r="D891" i="6" s="1"/>
  <c r="B892" i="6"/>
  <c r="D892" i="6" s="1"/>
  <c r="B893" i="6"/>
  <c r="D893" i="6" s="1"/>
  <c r="B894" i="6"/>
  <c r="D894" i="6" s="1"/>
  <c r="B895" i="6"/>
  <c r="D895" i="6" s="1"/>
  <c r="B896" i="6"/>
  <c r="D896" i="6" s="1"/>
  <c r="B897" i="6"/>
  <c r="D897" i="6" s="1"/>
  <c r="B898" i="6"/>
  <c r="D898" i="6" s="1"/>
  <c r="B899" i="6"/>
  <c r="D899" i="6" s="1"/>
  <c r="B900" i="6"/>
  <c r="D900" i="6" s="1"/>
  <c r="B901" i="6"/>
  <c r="D901" i="6" s="1"/>
  <c r="B902" i="6"/>
  <c r="D902" i="6" s="1"/>
  <c r="B903" i="6"/>
  <c r="D903" i="6" s="1"/>
  <c r="B904" i="6"/>
  <c r="D904" i="6" s="1"/>
  <c r="B905" i="6"/>
  <c r="D905" i="6" s="1"/>
  <c r="B906" i="6"/>
  <c r="D906" i="6" s="1"/>
  <c r="B907" i="6"/>
  <c r="D907" i="6" s="1"/>
  <c r="B908" i="6"/>
  <c r="D908" i="6" s="1"/>
  <c r="B909" i="6"/>
  <c r="D909" i="6" s="1"/>
  <c r="B910" i="6"/>
  <c r="D910" i="6" s="1"/>
  <c r="B911" i="6"/>
  <c r="D911" i="6" s="1"/>
  <c r="B912" i="6"/>
  <c r="D912" i="6" s="1"/>
  <c r="B913" i="6"/>
  <c r="D913" i="6" s="1"/>
  <c r="B914" i="6"/>
  <c r="D914" i="6" s="1"/>
  <c r="B915" i="6"/>
  <c r="D915" i="6" s="1"/>
  <c r="B916" i="6"/>
  <c r="D916" i="6" s="1"/>
  <c r="B917" i="6"/>
  <c r="D917" i="6" s="1"/>
  <c r="B918" i="6"/>
  <c r="D918" i="6" s="1"/>
  <c r="B919" i="6"/>
  <c r="D919" i="6" s="1"/>
  <c r="B920" i="6"/>
  <c r="D920" i="6" s="1"/>
  <c r="B921" i="6"/>
  <c r="D921" i="6" s="1"/>
  <c r="B922" i="6"/>
  <c r="D922" i="6" s="1"/>
  <c r="B923" i="6"/>
  <c r="D923" i="6" s="1"/>
  <c r="B924" i="6"/>
  <c r="D924" i="6" s="1"/>
  <c r="B925" i="6"/>
  <c r="D925" i="6" s="1"/>
  <c r="B926" i="6"/>
  <c r="D926" i="6" s="1"/>
  <c r="B927" i="6"/>
  <c r="D927" i="6" s="1"/>
  <c r="B928" i="6"/>
  <c r="D928" i="6" s="1"/>
  <c r="B929" i="6"/>
  <c r="D929" i="6" s="1"/>
  <c r="B930" i="6"/>
  <c r="D930" i="6" s="1"/>
  <c r="B931" i="6"/>
  <c r="D931" i="6" s="1"/>
  <c r="B932" i="6"/>
  <c r="D932" i="6" s="1"/>
  <c r="B933" i="6"/>
  <c r="D933" i="6" s="1"/>
  <c r="B934" i="6"/>
  <c r="D934" i="6" s="1"/>
  <c r="B935" i="6"/>
  <c r="D935" i="6" s="1"/>
  <c r="B936" i="6"/>
  <c r="D936" i="6" s="1"/>
  <c r="B937" i="6"/>
  <c r="D937" i="6" s="1"/>
  <c r="B938" i="6"/>
  <c r="D938" i="6" s="1"/>
  <c r="B939" i="6"/>
  <c r="D939" i="6" s="1"/>
  <c r="B940" i="6"/>
  <c r="D940" i="6" s="1"/>
  <c r="B941" i="6"/>
  <c r="D941" i="6" s="1"/>
  <c r="B942" i="6"/>
  <c r="D942" i="6" s="1"/>
  <c r="B943" i="6"/>
  <c r="D943" i="6" s="1"/>
  <c r="B944" i="6"/>
  <c r="D944" i="6" s="1"/>
  <c r="B945" i="6"/>
  <c r="D945" i="6" s="1"/>
  <c r="B946" i="6"/>
  <c r="D946" i="6" s="1"/>
  <c r="B947" i="6"/>
  <c r="D947" i="6" s="1"/>
  <c r="B948" i="6"/>
  <c r="D948" i="6" s="1"/>
  <c r="B949" i="6"/>
  <c r="D949" i="6" s="1"/>
  <c r="B950" i="6"/>
  <c r="D950" i="6" s="1"/>
  <c r="B951" i="6"/>
  <c r="D951" i="6" s="1"/>
  <c r="B952" i="6"/>
  <c r="D952" i="6" s="1"/>
  <c r="B953" i="6"/>
  <c r="D953" i="6" s="1"/>
  <c r="B954" i="6"/>
  <c r="D954" i="6" s="1"/>
  <c r="B955" i="6"/>
  <c r="D955" i="6" s="1"/>
  <c r="B956" i="6"/>
  <c r="D956" i="6" s="1"/>
  <c r="B957" i="6"/>
  <c r="D957" i="6" s="1"/>
  <c r="B958" i="6"/>
  <c r="D958" i="6" s="1"/>
  <c r="B959" i="6"/>
  <c r="D959" i="6" s="1"/>
  <c r="B960" i="6"/>
  <c r="D960" i="6" s="1"/>
  <c r="B961" i="6"/>
  <c r="D961" i="6" s="1"/>
  <c r="B962" i="6"/>
  <c r="D962" i="6" s="1"/>
  <c r="B963" i="6"/>
  <c r="D963" i="6" s="1"/>
  <c r="B964" i="6"/>
  <c r="D964" i="6" s="1"/>
  <c r="B965" i="6"/>
  <c r="D965" i="6" s="1"/>
  <c r="B966" i="6"/>
  <c r="D966" i="6" s="1"/>
  <c r="B967" i="6"/>
  <c r="D967" i="6" s="1"/>
  <c r="B968" i="6"/>
  <c r="D968" i="6" s="1"/>
  <c r="B969" i="6"/>
  <c r="D969" i="6" s="1"/>
  <c r="B970" i="6"/>
  <c r="D970" i="6" s="1"/>
  <c r="B971" i="6"/>
  <c r="D971" i="6" s="1"/>
  <c r="B972" i="6"/>
  <c r="D972" i="6" s="1"/>
  <c r="B973" i="6"/>
  <c r="D973" i="6" s="1"/>
  <c r="B974" i="6"/>
  <c r="D974" i="6" s="1"/>
  <c r="B975" i="6"/>
  <c r="D975" i="6" s="1"/>
  <c r="B976" i="6"/>
  <c r="D976" i="6" s="1"/>
  <c r="B977" i="6"/>
  <c r="D977" i="6" s="1"/>
  <c r="B978" i="6"/>
  <c r="D978" i="6" s="1"/>
  <c r="B979" i="6"/>
  <c r="D979" i="6" s="1"/>
  <c r="B980" i="6"/>
  <c r="D980" i="6" s="1"/>
  <c r="B981" i="6"/>
  <c r="D981" i="6" s="1"/>
  <c r="B982" i="6"/>
  <c r="D982" i="6" s="1"/>
  <c r="B983" i="6"/>
  <c r="D983" i="6" s="1"/>
  <c r="B984" i="6"/>
  <c r="D984" i="6" s="1"/>
  <c r="B985" i="6"/>
  <c r="D985" i="6" s="1"/>
  <c r="B986" i="6"/>
  <c r="D986" i="6" s="1"/>
  <c r="B987" i="6"/>
  <c r="D987" i="6" s="1"/>
  <c r="B988" i="6"/>
  <c r="D988" i="6" s="1"/>
  <c r="B989" i="6"/>
  <c r="D989" i="6" s="1"/>
  <c r="B990" i="6"/>
  <c r="D990" i="6" s="1"/>
  <c r="B991" i="6"/>
  <c r="D991" i="6" s="1"/>
  <c r="B992" i="6"/>
  <c r="D992" i="6" s="1"/>
  <c r="B993" i="6"/>
  <c r="D993" i="6" s="1"/>
  <c r="B994" i="6"/>
  <c r="D994" i="6" s="1"/>
  <c r="B995" i="6"/>
  <c r="D995" i="6" s="1"/>
  <c r="B996" i="6"/>
  <c r="D996" i="6" s="1"/>
  <c r="B997" i="6"/>
  <c r="D997" i="6" s="1"/>
  <c r="B998" i="6"/>
  <c r="D998" i="6" s="1"/>
  <c r="B999" i="6"/>
  <c r="D999" i="6" s="1"/>
  <c r="B1000" i="6"/>
  <c r="D1000" i="6" s="1"/>
  <c r="B702" i="6"/>
  <c r="D702" i="6" s="1"/>
  <c r="B703" i="6"/>
  <c r="D703" i="6" s="1"/>
  <c r="B704" i="6"/>
  <c r="D704" i="6" s="1"/>
  <c r="B705" i="6"/>
  <c r="D705" i="6" s="1"/>
  <c r="B706" i="6"/>
  <c r="D706" i="6" s="1"/>
  <c r="B707" i="6"/>
  <c r="D707" i="6" s="1"/>
  <c r="B708" i="6"/>
  <c r="D708" i="6" s="1"/>
  <c r="B709" i="6"/>
  <c r="D709" i="6" s="1"/>
  <c r="B710" i="6"/>
  <c r="D710" i="6" s="1"/>
  <c r="B711" i="6"/>
  <c r="D711" i="6" s="1"/>
  <c r="B712" i="6"/>
  <c r="D712" i="6" s="1"/>
  <c r="B713" i="6"/>
  <c r="D713" i="6" s="1"/>
  <c r="B714" i="6"/>
  <c r="D714" i="6" s="1"/>
  <c r="B715" i="6"/>
  <c r="D715" i="6" s="1"/>
  <c r="B716" i="6"/>
  <c r="D716" i="6" s="1"/>
  <c r="B717" i="6"/>
  <c r="D717" i="6" s="1"/>
  <c r="B718" i="6"/>
  <c r="D718" i="6" s="1"/>
  <c r="B719" i="6"/>
  <c r="D719" i="6" s="1"/>
  <c r="B720" i="6"/>
  <c r="D720" i="6" s="1"/>
  <c r="B721" i="6"/>
  <c r="D721" i="6" s="1"/>
  <c r="B722" i="6"/>
  <c r="D722" i="6" s="1"/>
  <c r="B723" i="6"/>
  <c r="D723" i="6" s="1"/>
  <c r="B724" i="6"/>
  <c r="D724" i="6" s="1"/>
  <c r="B725" i="6"/>
  <c r="D725" i="6" s="1"/>
  <c r="B726" i="6"/>
  <c r="D726" i="6" s="1"/>
  <c r="B727" i="6"/>
  <c r="D727" i="6" s="1"/>
  <c r="B728" i="6"/>
  <c r="D728" i="6" s="1"/>
  <c r="B729" i="6"/>
  <c r="D729" i="6" s="1"/>
  <c r="B730" i="6"/>
  <c r="D730" i="6" s="1"/>
  <c r="B731" i="6"/>
  <c r="D731" i="6" s="1"/>
  <c r="B732" i="6"/>
  <c r="D732" i="6" s="1"/>
  <c r="B733" i="6"/>
  <c r="D733" i="6" s="1"/>
  <c r="B734" i="6"/>
  <c r="D734" i="6" s="1"/>
  <c r="B735" i="6"/>
  <c r="D735" i="6" s="1"/>
  <c r="B736" i="6"/>
  <c r="D736" i="6" s="1"/>
  <c r="B737" i="6"/>
  <c r="D737" i="6" s="1"/>
  <c r="B738" i="6"/>
  <c r="D738" i="6" s="1"/>
  <c r="B739" i="6"/>
  <c r="D739" i="6" s="1"/>
  <c r="B740" i="6"/>
  <c r="D740" i="6" s="1"/>
  <c r="B741" i="6"/>
  <c r="D741" i="6" s="1"/>
  <c r="B742" i="6"/>
  <c r="D742" i="6" s="1"/>
  <c r="B743" i="6"/>
  <c r="D743" i="6" s="1"/>
  <c r="B744" i="6"/>
  <c r="D744" i="6" s="1"/>
  <c r="B745" i="6"/>
  <c r="D745" i="6" s="1"/>
  <c r="B746" i="6"/>
  <c r="D746" i="6" s="1"/>
  <c r="B747" i="6"/>
  <c r="D747" i="6" s="1"/>
  <c r="B748" i="6"/>
  <c r="D748" i="6" s="1"/>
  <c r="B749" i="6"/>
  <c r="D749" i="6" s="1"/>
  <c r="B750" i="6"/>
  <c r="D750" i="6" s="1"/>
  <c r="B751" i="6"/>
  <c r="D751" i="6" s="1"/>
  <c r="B752" i="6"/>
  <c r="D752" i="6" s="1"/>
  <c r="B753" i="6"/>
  <c r="D753" i="6" s="1"/>
  <c r="B754" i="6"/>
  <c r="D754" i="6" s="1"/>
  <c r="B755" i="6"/>
  <c r="D755" i="6" s="1"/>
  <c r="B756" i="6"/>
  <c r="D756" i="6" s="1"/>
  <c r="B757" i="6"/>
  <c r="D757" i="6" s="1"/>
  <c r="B758" i="6"/>
  <c r="D758" i="6" s="1"/>
  <c r="B759" i="6"/>
  <c r="D759" i="6" s="1"/>
  <c r="B760" i="6"/>
  <c r="D760" i="6" s="1"/>
  <c r="B761" i="6"/>
  <c r="D761" i="6" s="1"/>
  <c r="B762" i="6"/>
  <c r="D762" i="6" s="1"/>
  <c r="B763" i="6"/>
  <c r="D763" i="6" s="1"/>
  <c r="B764" i="6"/>
  <c r="D764" i="6" s="1"/>
  <c r="B765" i="6"/>
  <c r="D765" i="6" s="1"/>
  <c r="B766" i="6"/>
  <c r="D766" i="6" s="1"/>
  <c r="B767" i="6"/>
  <c r="D767" i="6" s="1"/>
  <c r="B768" i="6"/>
  <c r="D768" i="6" s="1"/>
  <c r="B769" i="6"/>
  <c r="D769" i="6" s="1"/>
  <c r="B770" i="6"/>
  <c r="D770" i="6" s="1"/>
  <c r="B771" i="6"/>
  <c r="D771" i="6" s="1"/>
  <c r="B772" i="6"/>
  <c r="D772" i="6" s="1"/>
  <c r="B773" i="6"/>
  <c r="D773" i="6" s="1"/>
  <c r="B774" i="6"/>
  <c r="D774" i="6" s="1"/>
  <c r="B775" i="6"/>
  <c r="D775" i="6" s="1"/>
  <c r="B776" i="6"/>
  <c r="D776" i="6" s="1"/>
  <c r="B777" i="6"/>
  <c r="D777" i="6" s="1"/>
  <c r="B778" i="6"/>
  <c r="D778" i="6" s="1"/>
  <c r="B779" i="6"/>
  <c r="D779" i="6" s="1"/>
  <c r="B780" i="6"/>
  <c r="D780" i="6" s="1"/>
  <c r="B781" i="6"/>
  <c r="D781" i="6" s="1"/>
  <c r="B782" i="6"/>
  <c r="D782" i="6" s="1"/>
  <c r="B783" i="6"/>
  <c r="D783" i="6" s="1"/>
  <c r="B784" i="6"/>
  <c r="D784" i="6" s="1"/>
  <c r="B785" i="6"/>
  <c r="D785" i="6" s="1"/>
  <c r="B786" i="6"/>
  <c r="D786" i="6" s="1"/>
  <c r="B787" i="6"/>
  <c r="D787" i="6" s="1"/>
  <c r="B788" i="6"/>
  <c r="D788" i="6" s="1"/>
  <c r="B789" i="6"/>
  <c r="D789" i="6" s="1"/>
  <c r="B790" i="6"/>
  <c r="D790" i="6" s="1"/>
  <c r="B791" i="6"/>
  <c r="D791" i="6" s="1"/>
  <c r="B792" i="6"/>
  <c r="D792" i="6" s="1"/>
  <c r="B793" i="6"/>
  <c r="D793" i="6" s="1"/>
  <c r="B794" i="6"/>
  <c r="D794" i="6" s="1"/>
  <c r="B795" i="6"/>
  <c r="D795" i="6" s="1"/>
  <c r="B796" i="6"/>
  <c r="D796" i="6" s="1"/>
  <c r="B797" i="6"/>
  <c r="D797" i="6" s="1"/>
  <c r="B798" i="6"/>
  <c r="D798" i="6" s="1"/>
  <c r="B799" i="6"/>
  <c r="D799" i="6" s="1"/>
  <c r="B800" i="6"/>
  <c r="D800" i="6" s="1"/>
  <c r="B801" i="6"/>
  <c r="D801" i="6" s="1"/>
  <c r="E702" i="6"/>
  <c r="E703" i="6"/>
  <c r="E704" i="6"/>
  <c r="E705" i="6"/>
  <c r="E706" i="6"/>
  <c r="E707" i="6"/>
  <c r="E708" i="6"/>
  <c r="B124" i="11"/>
  <c r="D124" i="11" s="1"/>
  <c r="B613" i="6"/>
  <c r="D613" i="6" s="1"/>
  <c r="B582" i="6"/>
  <c r="D582" i="6" s="1"/>
  <c r="B583" i="6"/>
  <c r="D583" i="6" s="1"/>
  <c r="B584" i="6"/>
  <c r="D584" i="6" s="1"/>
  <c r="B585" i="6"/>
  <c r="D585" i="6" s="1"/>
  <c r="B586" i="6"/>
  <c r="D586" i="6" s="1"/>
  <c r="B587" i="6"/>
  <c r="D587" i="6" s="1"/>
  <c r="B588" i="6"/>
  <c r="D588" i="6" s="1"/>
  <c r="B589" i="6"/>
  <c r="D589" i="6" s="1"/>
  <c r="B590" i="6"/>
  <c r="D590" i="6" s="1"/>
  <c r="B591" i="6"/>
  <c r="D591" i="6" s="1"/>
  <c r="B592" i="6"/>
  <c r="D592" i="6" s="1"/>
  <c r="B593" i="6"/>
  <c r="D593" i="6" s="1"/>
  <c r="B594" i="6"/>
  <c r="D594" i="6" s="1"/>
  <c r="B595" i="6"/>
  <c r="D595" i="6" s="1"/>
  <c r="B596" i="6"/>
  <c r="D596" i="6" s="1"/>
  <c r="B597" i="6"/>
  <c r="D597" i="6" s="1"/>
  <c r="B598" i="6"/>
  <c r="D598" i="6" s="1"/>
  <c r="B599" i="6"/>
  <c r="D599" i="6" s="1"/>
  <c r="B600" i="6"/>
  <c r="D600" i="6" s="1"/>
  <c r="B601" i="6"/>
  <c r="D601" i="6" s="1"/>
  <c r="B602" i="6"/>
  <c r="D602" i="6" s="1"/>
  <c r="B603" i="6"/>
  <c r="D603" i="6" s="1"/>
  <c r="B604" i="6"/>
  <c r="D604" i="6" s="1"/>
  <c r="B605" i="6"/>
  <c r="D605" i="6" s="1"/>
  <c r="B606" i="6"/>
  <c r="D606" i="6" s="1"/>
  <c r="B607" i="6"/>
  <c r="D607" i="6" s="1"/>
  <c r="B608" i="6"/>
  <c r="D608" i="6" s="1"/>
  <c r="B609" i="6"/>
  <c r="D609" i="6" s="1"/>
  <c r="B610" i="6"/>
  <c r="D610" i="6" s="1"/>
  <c r="B611" i="6"/>
  <c r="D611" i="6" s="1"/>
  <c r="B612" i="6"/>
  <c r="D612" i="6" s="1"/>
  <c r="B614" i="6"/>
  <c r="D614" i="6" s="1"/>
  <c r="B615" i="6"/>
  <c r="D615" i="6" s="1"/>
  <c r="B616" i="6"/>
  <c r="D616" i="6" s="1"/>
  <c r="B617" i="6"/>
  <c r="D617" i="6" s="1"/>
  <c r="B618" i="6"/>
  <c r="D618" i="6" s="1"/>
  <c r="B619" i="6"/>
  <c r="D619" i="6" s="1"/>
  <c r="B620" i="6"/>
  <c r="D620" i="6" s="1"/>
  <c r="B621" i="6"/>
  <c r="D621" i="6" s="1"/>
  <c r="B622" i="6"/>
  <c r="D622" i="6" s="1"/>
  <c r="B623" i="6"/>
  <c r="D623" i="6" s="1"/>
  <c r="B624" i="6"/>
  <c r="D624" i="6" s="1"/>
  <c r="B625" i="6"/>
  <c r="D625" i="6" s="1"/>
  <c r="B626" i="6"/>
  <c r="D626" i="6" s="1"/>
  <c r="B627" i="6"/>
  <c r="D627" i="6" s="1"/>
  <c r="B628" i="6"/>
  <c r="D628" i="6" s="1"/>
  <c r="B629" i="6"/>
  <c r="D629" i="6" s="1"/>
  <c r="B630" i="6"/>
  <c r="D630" i="6" s="1"/>
  <c r="B631" i="6"/>
  <c r="D631" i="6" s="1"/>
  <c r="B632" i="6"/>
  <c r="D632" i="6" s="1"/>
  <c r="B633" i="6"/>
  <c r="D633" i="6" s="1"/>
  <c r="B634" i="6"/>
  <c r="D634" i="6" s="1"/>
  <c r="B635" i="6"/>
  <c r="D635" i="6" s="1"/>
  <c r="B636" i="6"/>
  <c r="D636" i="6" s="1"/>
  <c r="B637" i="6"/>
  <c r="D637" i="6" s="1"/>
  <c r="B638" i="6"/>
  <c r="D638" i="6" s="1"/>
  <c r="B639" i="6"/>
  <c r="D639" i="6" s="1"/>
  <c r="B640" i="6"/>
  <c r="D640" i="6" s="1"/>
  <c r="B641" i="6"/>
  <c r="D641" i="6" s="1"/>
  <c r="B642" i="6"/>
  <c r="D642" i="6" s="1"/>
  <c r="B643" i="6"/>
  <c r="D643" i="6" s="1"/>
  <c r="B644" i="6"/>
  <c r="D644" i="6" s="1"/>
  <c r="B645" i="6"/>
  <c r="D645" i="6" s="1"/>
  <c r="B646" i="6"/>
  <c r="D646" i="6" s="1"/>
  <c r="B647" i="6"/>
  <c r="D647" i="6" s="1"/>
  <c r="B648" i="6"/>
  <c r="D648" i="6" s="1"/>
  <c r="B649" i="6"/>
  <c r="D649" i="6" s="1"/>
  <c r="B650" i="6"/>
  <c r="D650" i="6" s="1"/>
  <c r="B651" i="6"/>
  <c r="D651" i="6" s="1"/>
  <c r="B652" i="6"/>
  <c r="D652" i="6" s="1"/>
  <c r="B653" i="6"/>
  <c r="D653" i="6" s="1"/>
  <c r="B654" i="6"/>
  <c r="D654" i="6" s="1"/>
  <c r="B655" i="6"/>
  <c r="D655" i="6" s="1"/>
  <c r="B656" i="6"/>
  <c r="D656" i="6" s="1"/>
  <c r="B657" i="6"/>
  <c r="D657" i="6" s="1"/>
  <c r="B658" i="6"/>
  <c r="D658" i="6" s="1"/>
  <c r="B659" i="6"/>
  <c r="D659" i="6" s="1"/>
  <c r="B660" i="6"/>
  <c r="D660" i="6" s="1"/>
  <c r="B661" i="6"/>
  <c r="D661" i="6" s="1"/>
  <c r="B662" i="6"/>
  <c r="D662" i="6" s="1"/>
  <c r="B663" i="6"/>
  <c r="D663" i="6" s="1"/>
  <c r="B664" i="6"/>
  <c r="D664" i="6" s="1"/>
  <c r="B665" i="6"/>
  <c r="D665" i="6" s="1"/>
  <c r="B666" i="6"/>
  <c r="D666" i="6" s="1"/>
  <c r="B667" i="6"/>
  <c r="D667" i="6" s="1"/>
  <c r="B668" i="6"/>
  <c r="D668" i="6" s="1"/>
  <c r="B669" i="6"/>
  <c r="D669" i="6" s="1"/>
  <c r="B670" i="6"/>
  <c r="D670" i="6" s="1"/>
  <c r="B671" i="6"/>
  <c r="D671" i="6" s="1"/>
  <c r="B672" i="6"/>
  <c r="D672" i="6" s="1"/>
  <c r="B673" i="6"/>
  <c r="D673" i="6" s="1"/>
  <c r="B674" i="6"/>
  <c r="D674" i="6" s="1"/>
  <c r="B675" i="6"/>
  <c r="D675" i="6" s="1"/>
  <c r="B676" i="6"/>
  <c r="D676" i="6" s="1"/>
  <c r="B677" i="6"/>
  <c r="D677" i="6" s="1"/>
  <c r="B678" i="6"/>
  <c r="D678" i="6" s="1"/>
  <c r="B679" i="6"/>
  <c r="D679" i="6" s="1"/>
  <c r="B680" i="6"/>
  <c r="D680" i="6" s="1"/>
  <c r="B681" i="6"/>
  <c r="D681" i="6" s="1"/>
  <c r="B682" i="6"/>
  <c r="D682" i="6" s="1"/>
  <c r="B683" i="6"/>
  <c r="D683" i="6" s="1"/>
  <c r="B684" i="6"/>
  <c r="D684" i="6" s="1"/>
  <c r="B685" i="6"/>
  <c r="D685" i="6" s="1"/>
  <c r="B686" i="6"/>
  <c r="D686" i="6" s="1"/>
  <c r="B687" i="6"/>
  <c r="D687" i="6" s="1"/>
  <c r="B688" i="6"/>
  <c r="D688" i="6" s="1"/>
  <c r="B689" i="6"/>
  <c r="D689" i="6" s="1"/>
  <c r="B690" i="6"/>
  <c r="D690" i="6" s="1"/>
  <c r="B691" i="6"/>
  <c r="D691" i="6" s="1"/>
  <c r="B692" i="6"/>
  <c r="D692" i="6" s="1"/>
  <c r="B693" i="6"/>
  <c r="D693" i="6" s="1"/>
  <c r="B694" i="6"/>
  <c r="D694" i="6" s="1"/>
  <c r="B695" i="6"/>
  <c r="D695" i="6" s="1"/>
  <c r="B696" i="6"/>
  <c r="D696" i="6" s="1"/>
  <c r="B697" i="6"/>
  <c r="D697" i="6" s="1"/>
  <c r="B698" i="6"/>
  <c r="D698" i="6" s="1"/>
  <c r="B699" i="6"/>
  <c r="D699" i="6" s="1"/>
  <c r="B700" i="6"/>
  <c r="D700" i="6" s="1"/>
  <c r="B701" i="6"/>
  <c r="D701" i="6" s="1"/>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B548" i="6"/>
  <c r="D548" i="6" s="1"/>
  <c r="B549" i="6"/>
  <c r="D549" i="6" s="1"/>
  <c r="B550" i="6"/>
  <c r="D550" i="6" s="1"/>
  <c r="B551" i="6"/>
  <c r="D551" i="6" s="1"/>
  <c r="B552" i="6"/>
  <c r="D552" i="6" s="1"/>
  <c r="B553" i="6"/>
  <c r="D553" i="6" s="1"/>
  <c r="B554" i="6"/>
  <c r="D554" i="6" s="1"/>
  <c r="B555" i="6"/>
  <c r="D555" i="6" s="1"/>
  <c r="B556" i="6"/>
  <c r="D556" i="6" s="1"/>
  <c r="B557" i="6"/>
  <c r="D557" i="6" s="1"/>
  <c r="E548" i="6"/>
  <c r="E549" i="6"/>
  <c r="E550" i="6"/>
  <c r="E551" i="6"/>
  <c r="E552" i="6"/>
  <c r="E553" i="6"/>
  <c r="E554" i="6"/>
  <c r="E555" i="6"/>
  <c r="E556" i="6"/>
  <c r="E557" i="6"/>
  <c r="B558" i="6"/>
  <c r="D558" i="6" s="1"/>
  <c r="B559" i="6"/>
  <c r="D559" i="6" s="1"/>
  <c r="B560" i="6"/>
  <c r="D560" i="6" s="1"/>
  <c r="B561" i="6"/>
  <c r="D561" i="6" s="1"/>
  <c r="B562" i="6"/>
  <c r="D562" i="6" s="1"/>
  <c r="B563" i="6"/>
  <c r="D563" i="6" s="1"/>
  <c r="B564" i="6"/>
  <c r="D564" i="6" s="1"/>
  <c r="B565" i="6"/>
  <c r="D565" i="6" s="1"/>
  <c r="B566" i="6"/>
  <c r="D566" i="6" s="1"/>
  <c r="B567" i="6"/>
  <c r="D567" i="6" s="1"/>
  <c r="E558" i="6"/>
  <c r="E559" i="6"/>
  <c r="E560" i="6"/>
  <c r="E561" i="6"/>
  <c r="E562" i="6"/>
  <c r="E563" i="6"/>
  <c r="E564" i="6"/>
  <c r="E565" i="6"/>
  <c r="E566" i="6"/>
  <c r="E567" i="6"/>
  <c r="B568" i="6"/>
  <c r="D568" i="6" s="1"/>
  <c r="E568" i="6"/>
  <c r="B569" i="6"/>
  <c r="D569" i="6" s="1"/>
  <c r="E569" i="6"/>
  <c r="B570" i="6"/>
  <c r="D570" i="6" s="1"/>
  <c r="E570" i="6"/>
  <c r="B571" i="6"/>
  <c r="D571" i="6" s="1"/>
  <c r="E571" i="6"/>
  <c r="B572" i="6"/>
  <c r="D572" i="6" s="1"/>
  <c r="E572" i="6"/>
  <c r="B573" i="6"/>
  <c r="D573" i="6" s="1"/>
  <c r="E573" i="6"/>
  <c r="B574" i="6"/>
  <c r="D574" i="6" s="1"/>
  <c r="E574" i="6"/>
  <c r="B575" i="6"/>
  <c r="D575" i="6" s="1"/>
  <c r="E575" i="6"/>
  <c r="B576" i="6"/>
  <c r="D576" i="6" s="1"/>
  <c r="E576" i="6"/>
  <c r="B577" i="6"/>
  <c r="D577" i="6" s="1"/>
  <c r="E577" i="6"/>
  <c r="B502" i="6"/>
  <c r="D502" i="6" s="1"/>
  <c r="B503" i="6"/>
  <c r="D503" i="6" s="1"/>
  <c r="B504" i="6"/>
  <c r="D504" i="6" s="1"/>
  <c r="B505" i="6"/>
  <c r="D505" i="6" s="1"/>
  <c r="B506" i="6"/>
  <c r="D506" i="6" s="1"/>
  <c r="B507" i="6"/>
  <c r="D507" i="6" s="1"/>
  <c r="B508" i="6"/>
  <c r="D508" i="6" s="1"/>
  <c r="B509" i="6"/>
  <c r="D509" i="6" s="1"/>
  <c r="B510" i="6"/>
  <c r="D510" i="6" s="1"/>
  <c r="B511" i="6"/>
  <c r="D511" i="6" s="1"/>
  <c r="B512" i="6"/>
  <c r="D512" i="6" s="1"/>
  <c r="B513" i="6"/>
  <c r="D513" i="6" s="1"/>
  <c r="B514" i="6"/>
  <c r="D514" i="6" s="1"/>
  <c r="B515" i="6"/>
  <c r="D515" i="6" s="1"/>
  <c r="B516" i="6"/>
  <c r="D516" i="6" s="1"/>
  <c r="B517" i="6"/>
  <c r="D517" i="6" s="1"/>
  <c r="B518" i="6"/>
  <c r="D518" i="6" s="1"/>
  <c r="B519" i="6"/>
  <c r="D519" i="6" s="1"/>
  <c r="B520" i="6"/>
  <c r="D520" i="6" s="1"/>
  <c r="B521" i="6"/>
  <c r="D521" i="6" s="1"/>
  <c r="B522" i="6"/>
  <c r="D522" i="6" s="1"/>
  <c r="B523" i="6"/>
  <c r="D523" i="6" s="1"/>
  <c r="B524" i="6"/>
  <c r="D524" i="6" s="1"/>
  <c r="B525" i="6"/>
  <c r="D525" i="6" s="1"/>
  <c r="B526" i="6"/>
  <c r="D526" i="6" s="1"/>
  <c r="B527" i="6"/>
  <c r="D527" i="6" s="1"/>
  <c r="B528" i="6"/>
  <c r="D528" i="6" s="1"/>
  <c r="B529" i="6"/>
  <c r="D529" i="6" s="1"/>
  <c r="B530" i="6"/>
  <c r="D530" i="6" s="1"/>
  <c r="B531" i="6"/>
  <c r="D531" i="6" s="1"/>
  <c r="B532" i="6"/>
  <c r="D532" i="6" s="1"/>
  <c r="B533" i="6"/>
  <c r="D533" i="6" s="1"/>
  <c r="B534" i="6"/>
  <c r="D534" i="6" s="1"/>
  <c r="B535" i="6"/>
  <c r="D535" i="6" s="1"/>
  <c r="B536" i="6"/>
  <c r="D536" i="6" s="1"/>
  <c r="B537" i="6"/>
  <c r="D537" i="6" s="1"/>
  <c r="B538" i="6"/>
  <c r="B539" i="6"/>
  <c r="D539" i="6" s="1"/>
  <c r="B540" i="6"/>
  <c r="D540" i="6" s="1"/>
  <c r="B541" i="6"/>
  <c r="D541" i="6" s="1"/>
  <c r="B542" i="6"/>
  <c r="D542" i="6" s="1"/>
  <c r="B543" i="6"/>
  <c r="D543" i="6" s="1"/>
  <c r="B544" i="6"/>
  <c r="D544" i="6" s="1"/>
  <c r="B545" i="6"/>
  <c r="D545" i="6" s="1"/>
  <c r="B546" i="6"/>
  <c r="D546" i="6" s="1"/>
  <c r="B547" i="6"/>
  <c r="D547" i="6" s="1"/>
  <c r="B578" i="6"/>
  <c r="D578" i="6" s="1"/>
  <c r="B579" i="6"/>
  <c r="D579" i="6" s="1"/>
  <c r="B580" i="6"/>
  <c r="D580" i="6" s="1"/>
  <c r="B581" i="6"/>
  <c r="D581" i="6" s="1"/>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78" i="6"/>
  <c r="E579" i="6"/>
  <c r="E580" i="6"/>
  <c r="E581" i="6"/>
  <c r="B230" i="6"/>
  <c r="D230" i="6" s="1"/>
  <c r="B231" i="6"/>
  <c r="D231" i="6" s="1"/>
  <c r="B236" i="6"/>
  <c r="D236" i="6" s="1"/>
  <c r="B234" i="6"/>
  <c r="D234" i="6" s="1"/>
  <c r="B233" i="6"/>
  <c r="D233" i="6" s="1"/>
  <c r="B232" i="6"/>
  <c r="D232" i="6" s="1"/>
  <c r="B235" i="6"/>
  <c r="D235" i="6" s="1"/>
  <c r="E232" i="6"/>
  <c r="B172" i="6"/>
  <c r="D172" i="6" s="1"/>
  <c r="E172" i="6"/>
  <c r="B173" i="6"/>
  <c r="D173" i="6" s="1"/>
  <c r="E173" i="6"/>
  <c r="B174" i="6"/>
  <c r="D174" i="6" s="1"/>
  <c r="E174" i="6"/>
  <c r="B175" i="6"/>
  <c r="D175" i="6" s="1"/>
  <c r="E175" i="6"/>
  <c r="B35" i="8"/>
  <c r="D35" i="8" s="1"/>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2" i="6"/>
  <c r="B151" i="12"/>
  <c r="D151" i="12" s="1"/>
  <c r="B150" i="12"/>
  <c r="D150" i="12" s="1"/>
  <c r="B149" i="12"/>
  <c r="D149" i="12" s="1"/>
  <c r="B148" i="12"/>
  <c r="D148" i="12" s="1"/>
  <c r="B147" i="12"/>
  <c r="D147" i="12" s="1"/>
  <c r="B146" i="12"/>
  <c r="D146" i="12" s="1"/>
  <c r="B145" i="12"/>
  <c r="D145" i="12" s="1"/>
  <c r="B144" i="12"/>
  <c r="D144" i="12" s="1"/>
  <c r="B143" i="12"/>
  <c r="D143" i="12" s="1"/>
  <c r="B142" i="12"/>
  <c r="D142" i="12" s="1"/>
  <c r="B141" i="12"/>
  <c r="D141" i="12" s="1"/>
  <c r="B140" i="12"/>
  <c r="D140" i="12" s="1"/>
  <c r="B139" i="12"/>
  <c r="D139" i="12" s="1"/>
  <c r="B138" i="12"/>
  <c r="D138" i="12" s="1"/>
  <c r="B137" i="12"/>
  <c r="D137" i="12" s="1"/>
  <c r="B136" i="12"/>
  <c r="D136" i="12" s="1"/>
  <c r="B135" i="12"/>
  <c r="D135" i="12" s="1"/>
  <c r="B134" i="12"/>
  <c r="D134" i="12" s="1"/>
  <c r="B133" i="12"/>
  <c r="D133" i="12" s="1"/>
  <c r="B132" i="12"/>
  <c r="D132" i="12" s="1"/>
  <c r="B131" i="12"/>
  <c r="D131" i="12" s="1"/>
  <c r="B130" i="12"/>
  <c r="D130" i="12" s="1"/>
  <c r="B129" i="12"/>
  <c r="D129" i="12" s="1"/>
  <c r="B128" i="12"/>
  <c r="D128" i="12" s="1"/>
  <c r="B127" i="12"/>
  <c r="D127" i="12" s="1"/>
  <c r="B126" i="12"/>
  <c r="D126" i="12" s="1"/>
  <c r="B125" i="12"/>
  <c r="D125" i="12" s="1"/>
  <c r="B124" i="12"/>
  <c r="D124" i="12" s="1"/>
  <c r="B123" i="12"/>
  <c r="D123" i="12" s="1"/>
  <c r="B122" i="12"/>
  <c r="D122" i="12" s="1"/>
  <c r="B121" i="12"/>
  <c r="D121" i="12" s="1"/>
  <c r="B120" i="12"/>
  <c r="D120" i="12" s="1"/>
  <c r="B119" i="12"/>
  <c r="D119" i="12" s="1"/>
  <c r="B118" i="12"/>
  <c r="D118" i="12" s="1"/>
  <c r="B117" i="12"/>
  <c r="D117" i="12" s="1"/>
  <c r="B116" i="12"/>
  <c r="D116" i="12" s="1"/>
  <c r="B115" i="12"/>
  <c r="D115" i="12" s="1"/>
  <c r="B114" i="12"/>
  <c r="D114" i="12" s="1"/>
  <c r="B113" i="12"/>
  <c r="D113" i="12" s="1"/>
  <c r="B112" i="12"/>
  <c r="D112" i="12" s="1"/>
  <c r="B111" i="12"/>
  <c r="D111" i="12" s="1"/>
  <c r="B110" i="12"/>
  <c r="D110" i="12" s="1"/>
  <c r="B109" i="12"/>
  <c r="D109" i="12" s="1"/>
  <c r="B108" i="12"/>
  <c r="D108" i="12" s="1"/>
  <c r="B107" i="12"/>
  <c r="D107" i="12" s="1"/>
  <c r="B106" i="12"/>
  <c r="D106" i="12" s="1"/>
  <c r="B105" i="12"/>
  <c r="D105" i="12" s="1"/>
  <c r="B104" i="12"/>
  <c r="D104" i="12" s="1"/>
  <c r="B103" i="12"/>
  <c r="D103" i="12" s="1"/>
  <c r="B102" i="12"/>
  <c r="D102" i="12" s="1"/>
  <c r="B101" i="12"/>
  <c r="D101" i="12" s="1"/>
  <c r="B100" i="12"/>
  <c r="D100" i="12" s="1"/>
  <c r="B99" i="12"/>
  <c r="D99" i="12" s="1"/>
  <c r="B98" i="12"/>
  <c r="D98" i="12" s="1"/>
  <c r="B97" i="12"/>
  <c r="D97" i="12" s="1"/>
  <c r="B96" i="12"/>
  <c r="D96" i="12" s="1"/>
  <c r="B95" i="12"/>
  <c r="D95" i="12" s="1"/>
  <c r="B94" i="12"/>
  <c r="D94" i="12" s="1"/>
  <c r="B93" i="12"/>
  <c r="D93" i="12" s="1"/>
  <c r="B92" i="12"/>
  <c r="D92" i="12" s="1"/>
  <c r="B91" i="12"/>
  <c r="D91" i="12" s="1"/>
  <c r="B90" i="12"/>
  <c r="D90" i="12" s="1"/>
  <c r="B89" i="12"/>
  <c r="D89" i="12" s="1"/>
  <c r="B88" i="12"/>
  <c r="D88" i="12" s="1"/>
  <c r="B87" i="12"/>
  <c r="D87" i="12" s="1"/>
  <c r="B86" i="12"/>
  <c r="D86" i="12" s="1"/>
  <c r="B85" i="12"/>
  <c r="D85" i="12" s="1"/>
  <c r="B84" i="12"/>
  <c r="D84" i="12" s="1"/>
  <c r="B83" i="12"/>
  <c r="D83" i="12" s="1"/>
  <c r="B82" i="12"/>
  <c r="D82" i="12" s="1"/>
  <c r="B81" i="12"/>
  <c r="D81" i="12" s="1"/>
  <c r="B80" i="12"/>
  <c r="D80" i="12" s="1"/>
  <c r="B79" i="12"/>
  <c r="D79" i="12" s="1"/>
  <c r="B78" i="12"/>
  <c r="D78" i="12" s="1"/>
  <c r="B77" i="12"/>
  <c r="D77" i="12" s="1"/>
  <c r="B76" i="12"/>
  <c r="D76" i="12" s="1"/>
  <c r="B75" i="12"/>
  <c r="D75" i="12" s="1"/>
  <c r="B74" i="12"/>
  <c r="D74" i="12" s="1"/>
  <c r="B73" i="12"/>
  <c r="D73" i="12" s="1"/>
  <c r="B72" i="12"/>
  <c r="D72" i="12" s="1"/>
  <c r="B71" i="12"/>
  <c r="D71" i="12" s="1"/>
  <c r="B70" i="12"/>
  <c r="D70" i="12" s="1"/>
  <c r="B69" i="12"/>
  <c r="D69" i="12" s="1"/>
  <c r="B68" i="12"/>
  <c r="D68" i="12" s="1"/>
  <c r="B67" i="12"/>
  <c r="D67" i="12" s="1"/>
  <c r="B66" i="12"/>
  <c r="D66" i="12" s="1"/>
  <c r="B65" i="12"/>
  <c r="D65" i="12" s="1"/>
  <c r="B64" i="12"/>
  <c r="D64" i="12" s="1"/>
  <c r="B63" i="12"/>
  <c r="D63" i="12" s="1"/>
  <c r="B62" i="12"/>
  <c r="D62" i="12" s="1"/>
  <c r="B61" i="12"/>
  <c r="D61" i="12" s="1"/>
  <c r="B60" i="12"/>
  <c r="D60" i="12" s="1"/>
  <c r="B59" i="12"/>
  <c r="D59" i="12" s="1"/>
  <c r="B58" i="12"/>
  <c r="D58" i="12" s="1"/>
  <c r="B57" i="12"/>
  <c r="D57" i="12" s="1"/>
  <c r="B56" i="12"/>
  <c r="D56" i="12" s="1"/>
  <c r="B55" i="12"/>
  <c r="D55" i="12" s="1"/>
  <c r="B54" i="12"/>
  <c r="D54" i="12" s="1"/>
  <c r="B53" i="12"/>
  <c r="D53" i="12" s="1"/>
  <c r="B52" i="12"/>
  <c r="D52" i="12" s="1"/>
  <c r="B51" i="12"/>
  <c r="D51" i="12" s="1"/>
  <c r="B50" i="12"/>
  <c r="D50" i="12" s="1"/>
  <c r="B49" i="12"/>
  <c r="D49" i="12" s="1"/>
  <c r="B48" i="12"/>
  <c r="D48" i="12" s="1"/>
  <c r="B47" i="12"/>
  <c r="D47" i="12" s="1"/>
  <c r="B46" i="12"/>
  <c r="D46" i="12" s="1"/>
  <c r="B45" i="12"/>
  <c r="D45" i="12" s="1"/>
  <c r="B44" i="12"/>
  <c r="D44" i="12" s="1"/>
  <c r="B43" i="12"/>
  <c r="D43" i="12" s="1"/>
  <c r="B42" i="12"/>
  <c r="D42" i="12" s="1"/>
  <c r="B41" i="12"/>
  <c r="D41" i="12" s="1"/>
  <c r="B40" i="12"/>
  <c r="D40" i="12" s="1"/>
  <c r="B39" i="12"/>
  <c r="D39" i="12" s="1"/>
  <c r="B38" i="12"/>
  <c r="D38" i="12" s="1"/>
  <c r="B37" i="12"/>
  <c r="D37" i="12" s="1"/>
  <c r="B36" i="12"/>
  <c r="D36" i="12" s="1"/>
  <c r="B35" i="12"/>
  <c r="D35" i="12" s="1"/>
  <c r="B34" i="12"/>
  <c r="D34" i="12" s="1"/>
  <c r="B33" i="12"/>
  <c r="D33" i="12" s="1"/>
  <c r="B32" i="12"/>
  <c r="D32" i="12" s="1"/>
  <c r="B31" i="12"/>
  <c r="D31" i="12" s="1"/>
  <c r="B30" i="12"/>
  <c r="D30" i="12" s="1"/>
  <c r="B29" i="12"/>
  <c r="D29" i="12" s="1"/>
  <c r="B28" i="12"/>
  <c r="D28" i="12" s="1"/>
  <c r="B27" i="12"/>
  <c r="D27" i="12" s="1"/>
  <c r="B26" i="12"/>
  <c r="D26" i="12" s="1"/>
  <c r="B25" i="12"/>
  <c r="D25" i="12" s="1"/>
  <c r="B24" i="12"/>
  <c r="D24" i="12" s="1"/>
  <c r="B23" i="12"/>
  <c r="D23" i="12" s="1"/>
  <c r="B22" i="12"/>
  <c r="D22" i="12" s="1"/>
  <c r="B21" i="12"/>
  <c r="D21" i="12" s="1"/>
  <c r="B20" i="12"/>
  <c r="D20" i="12" s="1"/>
  <c r="B19" i="12"/>
  <c r="D19" i="12" s="1"/>
  <c r="B18" i="12"/>
  <c r="D18" i="12" s="1"/>
  <c r="B17" i="12"/>
  <c r="D17" i="12" s="1"/>
  <c r="B16" i="12"/>
  <c r="D16" i="12" s="1"/>
  <c r="B15" i="12"/>
  <c r="D15" i="12" s="1"/>
  <c r="B14" i="12"/>
  <c r="D14" i="12" s="1"/>
  <c r="B13" i="12"/>
  <c r="D13" i="12" s="1"/>
  <c r="B12" i="12"/>
  <c r="D12" i="12" s="1"/>
  <c r="B11" i="12"/>
  <c r="D11" i="12" s="1"/>
  <c r="B10" i="12"/>
  <c r="D10" i="12" s="1"/>
  <c r="B9" i="12"/>
  <c r="D9" i="12" s="1"/>
  <c r="B8" i="12"/>
  <c r="D8" i="12" s="1"/>
  <c r="B7" i="12"/>
  <c r="D7" i="12" s="1"/>
  <c r="B6" i="12"/>
  <c r="D6" i="12" s="1"/>
  <c r="B5" i="12"/>
  <c r="D5" i="12" s="1"/>
  <c r="B4" i="12"/>
  <c r="D4" i="12" s="1"/>
  <c r="B3" i="12"/>
  <c r="D3" i="12" s="1"/>
  <c r="B2" i="12"/>
  <c r="D2" i="12" s="1"/>
  <c r="B169" i="8"/>
  <c r="D169" i="8" s="1"/>
  <c r="B170" i="8"/>
  <c r="D170" i="8" s="1"/>
  <c r="B171" i="8"/>
  <c r="D171" i="8" s="1"/>
  <c r="B172" i="8"/>
  <c r="D172" i="8" s="1"/>
  <c r="B173" i="8"/>
  <c r="D173" i="8" s="1"/>
  <c r="B174" i="8"/>
  <c r="D174" i="8" s="1"/>
  <c r="B175" i="8"/>
  <c r="D175" i="8" s="1"/>
  <c r="B176" i="8"/>
  <c r="D176" i="8" s="1"/>
  <c r="B177" i="8"/>
  <c r="D177" i="8" s="1"/>
  <c r="B178" i="8"/>
  <c r="D178" i="8" s="1"/>
  <c r="B179" i="8"/>
  <c r="D179" i="8" s="1"/>
  <c r="B2" i="8"/>
  <c r="D2" i="8" s="1"/>
  <c r="B3" i="8"/>
  <c r="D3" i="8" s="1"/>
  <c r="D4" i="8"/>
  <c r="D5" i="8"/>
  <c r="B6" i="8"/>
  <c r="D6" i="8" s="1"/>
  <c r="B7" i="8"/>
  <c r="D7" i="8" s="1"/>
  <c r="B8" i="8"/>
  <c r="D8" i="8" s="1"/>
  <c r="B9" i="8"/>
  <c r="D9" i="8" s="1"/>
  <c r="B10" i="8"/>
  <c r="D10" i="8" s="1"/>
  <c r="B11" i="8"/>
  <c r="D11" i="8" s="1"/>
  <c r="B12" i="8"/>
  <c r="D12" i="8" s="1"/>
  <c r="B13" i="8"/>
  <c r="D13" i="8" s="1"/>
  <c r="B14" i="8"/>
  <c r="D14" i="8" s="1"/>
  <c r="B15" i="8"/>
  <c r="D15" i="8" s="1"/>
  <c r="B16" i="8"/>
  <c r="D16" i="8" s="1"/>
  <c r="B17" i="8"/>
  <c r="D17" i="8" s="1"/>
  <c r="B18" i="8"/>
  <c r="D18" i="8" s="1"/>
  <c r="B19" i="8"/>
  <c r="D19" i="8" s="1"/>
  <c r="B20" i="8"/>
  <c r="D20" i="8" s="1"/>
  <c r="B21" i="8"/>
  <c r="D21" i="8" s="1"/>
  <c r="B22" i="8"/>
  <c r="D22" i="8" s="1"/>
  <c r="B23" i="8"/>
  <c r="D23" i="8" s="1"/>
  <c r="B24" i="8"/>
  <c r="D24" i="8" s="1"/>
  <c r="B25" i="8"/>
  <c r="D25" i="8" s="1"/>
  <c r="B26" i="8"/>
  <c r="D26" i="8" s="1"/>
  <c r="B27" i="8"/>
  <c r="D27" i="8" s="1"/>
  <c r="B28" i="8"/>
  <c r="D28" i="8" s="1"/>
  <c r="B29" i="8"/>
  <c r="D29" i="8" s="1"/>
  <c r="B30" i="8"/>
  <c r="D30" i="8" s="1"/>
  <c r="B31" i="8"/>
  <c r="D31" i="8" s="1"/>
  <c r="B32" i="8"/>
  <c r="D32" i="8" s="1"/>
  <c r="B33" i="8"/>
  <c r="D33" i="8" s="1"/>
  <c r="B34" i="8"/>
  <c r="D34" i="8" s="1"/>
  <c r="B36" i="8"/>
  <c r="D36" i="8" s="1"/>
  <c r="B37" i="8"/>
  <c r="D37" i="8" s="1"/>
  <c r="B38" i="8"/>
  <c r="D38" i="8" s="1"/>
  <c r="B39" i="8"/>
  <c r="D39" i="8" s="1"/>
  <c r="B40" i="8"/>
  <c r="D40" i="8" s="1"/>
  <c r="B41" i="8"/>
  <c r="D41" i="8" s="1"/>
  <c r="B42" i="8"/>
  <c r="D42" i="8" s="1"/>
  <c r="D43" i="8"/>
  <c r="B44" i="8"/>
  <c r="D44" i="8" s="1"/>
  <c r="B45" i="8"/>
  <c r="D45" i="8" s="1"/>
  <c r="B46" i="8"/>
  <c r="D46" i="8" s="1"/>
  <c r="B47" i="8"/>
  <c r="D47" i="8" s="1"/>
  <c r="B48" i="8"/>
  <c r="D48" i="8" s="1"/>
  <c r="B49" i="8"/>
  <c r="D49" i="8" s="1"/>
  <c r="B50" i="8"/>
  <c r="D50" i="8" s="1"/>
  <c r="B51" i="8"/>
  <c r="D51" i="8" s="1"/>
  <c r="B52" i="8"/>
  <c r="D52" i="8" s="1"/>
  <c r="B53" i="8"/>
  <c r="D53" i="8" s="1"/>
  <c r="B54" i="8"/>
  <c r="D54" i="8" s="1"/>
  <c r="B55" i="8"/>
  <c r="D55" i="8" s="1"/>
  <c r="B56" i="8"/>
  <c r="D56" i="8" s="1"/>
  <c r="B57" i="8"/>
  <c r="D57" i="8" s="1"/>
  <c r="B58" i="8"/>
  <c r="D58" i="8" s="1"/>
  <c r="B59" i="8"/>
  <c r="D59" i="8" s="1"/>
  <c r="B60" i="8"/>
  <c r="D60" i="8" s="1"/>
  <c r="B61" i="8"/>
  <c r="D61" i="8" s="1"/>
  <c r="B62" i="8"/>
  <c r="D62" i="8" s="1"/>
  <c r="B63" i="8"/>
  <c r="D63" i="8" s="1"/>
  <c r="B64" i="8"/>
  <c r="D64" i="8" s="1"/>
  <c r="B65" i="8"/>
  <c r="D65" i="8" s="1"/>
  <c r="B66" i="8"/>
  <c r="D66" i="8" s="1"/>
  <c r="B67" i="8"/>
  <c r="D67" i="8" s="1"/>
  <c r="B68" i="8"/>
  <c r="D68" i="8" s="1"/>
  <c r="B69" i="8"/>
  <c r="D69" i="8" s="1"/>
  <c r="B70" i="8"/>
  <c r="D70" i="8" s="1"/>
  <c r="B71" i="8"/>
  <c r="D71" i="8" s="1"/>
  <c r="B72" i="8"/>
  <c r="D72" i="8" s="1"/>
  <c r="B73" i="8"/>
  <c r="D73" i="8" s="1"/>
  <c r="B74" i="8"/>
  <c r="D74" i="8" s="1"/>
  <c r="B75" i="8"/>
  <c r="D75" i="8" s="1"/>
  <c r="B76" i="8"/>
  <c r="D76" i="8" s="1"/>
  <c r="B77" i="8"/>
  <c r="D77" i="8" s="1"/>
  <c r="B78" i="8"/>
  <c r="D78" i="8" s="1"/>
  <c r="B79" i="8"/>
  <c r="D79" i="8" s="1"/>
  <c r="B80" i="8"/>
  <c r="D80" i="8" s="1"/>
  <c r="B81" i="8"/>
  <c r="D81" i="8" s="1"/>
  <c r="B82" i="8"/>
  <c r="D82" i="8" s="1"/>
  <c r="B83" i="8"/>
  <c r="D83" i="8" s="1"/>
  <c r="B84" i="8"/>
  <c r="D84" i="8" s="1"/>
  <c r="B85" i="8"/>
  <c r="D85" i="8" s="1"/>
  <c r="B86" i="8"/>
  <c r="D86" i="8" s="1"/>
  <c r="B87" i="8"/>
  <c r="D87" i="8" s="1"/>
  <c r="B88" i="8"/>
  <c r="D88" i="8" s="1"/>
  <c r="B89" i="8"/>
  <c r="D89" i="8" s="1"/>
  <c r="B90" i="8"/>
  <c r="D90" i="8" s="1"/>
  <c r="B91" i="8"/>
  <c r="D91" i="8" s="1"/>
  <c r="B92" i="8"/>
  <c r="D92" i="8" s="1"/>
  <c r="B93" i="8"/>
  <c r="D93" i="8" s="1"/>
  <c r="B94" i="8"/>
  <c r="D94" i="8" s="1"/>
  <c r="B95" i="8"/>
  <c r="D95" i="8" s="1"/>
  <c r="B96" i="8"/>
  <c r="D96" i="8" s="1"/>
  <c r="B97" i="8"/>
  <c r="D97" i="8" s="1"/>
  <c r="B98" i="8"/>
  <c r="D98" i="8" s="1"/>
  <c r="B99" i="8"/>
  <c r="D99" i="8" s="1"/>
  <c r="B100" i="8"/>
  <c r="D100" i="8" s="1"/>
  <c r="B101" i="8"/>
  <c r="D101" i="8" s="1"/>
  <c r="B102" i="8"/>
  <c r="D102" i="8" s="1"/>
  <c r="B103" i="8"/>
  <c r="D103" i="8" s="1"/>
  <c r="B104" i="8"/>
  <c r="D104" i="8" s="1"/>
  <c r="B105" i="8"/>
  <c r="D105" i="8" s="1"/>
  <c r="B106" i="8"/>
  <c r="D106" i="8" s="1"/>
  <c r="B107" i="8"/>
  <c r="D107" i="8" s="1"/>
  <c r="B108" i="8"/>
  <c r="D108" i="8" s="1"/>
  <c r="B109" i="8"/>
  <c r="D109" i="8" s="1"/>
  <c r="B110" i="8"/>
  <c r="D110" i="8" s="1"/>
  <c r="B111" i="8"/>
  <c r="D111" i="8" s="1"/>
  <c r="B112" i="8"/>
  <c r="D112" i="8" s="1"/>
  <c r="B113" i="8"/>
  <c r="D113" i="8" s="1"/>
  <c r="B114" i="8"/>
  <c r="D114" i="8" s="1"/>
  <c r="B115" i="8"/>
  <c r="D115" i="8" s="1"/>
  <c r="B116" i="8"/>
  <c r="D116" i="8" s="1"/>
  <c r="B117" i="8"/>
  <c r="D117" i="8" s="1"/>
  <c r="B118" i="8"/>
  <c r="D118" i="8" s="1"/>
  <c r="B119" i="8"/>
  <c r="D119" i="8" s="1"/>
  <c r="B120" i="8"/>
  <c r="D120" i="8" s="1"/>
  <c r="B121" i="8"/>
  <c r="D121" i="8" s="1"/>
  <c r="B122" i="8"/>
  <c r="D122" i="8" s="1"/>
  <c r="B123" i="8"/>
  <c r="D123" i="8" s="1"/>
  <c r="B124" i="8"/>
  <c r="D124" i="8" s="1"/>
  <c r="B125" i="8"/>
  <c r="D125" i="8" s="1"/>
  <c r="B126" i="8"/>
  <c r="D126" i="8" s="1"/>
  <c r="B127" i="8"/>
  <c r="D127" i="8" s="1"/>
  <c r="B128" i="8"/>
  <c r="D128" i="8" s="1"/>
  <c r="B129" i="8"/>
  <c r="D129" i="8" s="1"/>
  <c r="B130" i="8"/>
  <c r="D130" i="8" s="1"/>
  <c r="B131" i="8"/>
  <c r="D131" i="8" s="1"/>
  <c r="B132" i="8"/>
  <c r="D132" i="8" s="1"/>
  <c r="B133" i="8"/>
  <c r="D133" i="8" s="1"/>
  <c r="B134" i="8"/>
  <c r="D134" i="8" s="1"/>
  <c r="B135" i="8"/>
  <c r="D135" i="8" s="1"/>
  <c r="B136" i="8"/>
  <c r="D136" i="8" s="1"/>
  <c r="B137" i="8"/>
  <c r="D137" i="8" s="1"/>
  <c r="B138" i="8"/>
  <c r="D138" i="8" s="1"/>
  <c r="B139" i="8"/>
  <c r="D139" i="8" s="1"/>
  <c r="B140" i="8"/>
  <c r="D140" i="8" s="1"/>
  <c r="B141" i="8"/>
  <c r="D141" i="8" s="1"/>
  <c r="B142" i="8"/>
  <c r="D142" i="8" s="1"/>
  <c r="B143" i="8"/>
  <c r="D143" i="8" s="1"/>
  <c r="B144" i="8"/>
  <c r="D144" i="8" s="1"/>
  <c r="B145" i="8"/>
  <c r="D145" i="8" s="1"/>
  <c r="B146" i="8"/>
  <c r="D146" i="8" s="1"/>
  <c r="B147" i="8"/>
  <c r="D147" i="8" s="1"/>
  <c r="B148" i="8"/>
  <c r="D148" i="8" s="1"/>
  <c r="B149" i="8"/>
  <c r="D149" i="8" s="1"/>
  <c r="B150" i="8"/>
  <c r="D150" i="8" s="1"/>
  <c r="B151" i="8"/>
  <c r="D151" i="8" s="1"/>
  <c r="B152" i="8"/>
  <c r="D152" i="8" s="1"/>
  <c r="B153" i="8"/>
  <c r="D153" i="8" s="1"/>
  <c r="B154" i="8"/>
  <c r="D154" i="8" s="1"/>
  <c r="B155" i="8"/>
  <c r="D155" i="8" s="1"/>
  <c r="B156" i="8"/>
  <c r="D156" i="8" s="1"/>
  <c r="B157" i="8"/>
  <c r="D157" i="8" s="1"/>
  <c r="B158" i="8"/>
  <c r="D158" i="8" s="1"/>
  <c r="B159" i="8"/>
  <c r="D159" i="8" s="1"/>
  <c r="B160" i="8"/>
  <c r="D160" i="8" s="1"/>
  <c r="B161" i="8"/>
  <c r="D161" i="8" s="1"/>
  <c r="B162" i="8"/>
  <c r="D162" i="8" s="1"/>
  <c r="B163" i="8"/>
  <c r="D163" i="8" s="1"/>
  <c r="B164" i="8"/>
  <c r="D164" i="8" s="1"/>
  <c r="B165" i="8"/>
  <c r="D165" i="8" s="1"/>
  <c r="B166" i="8"/>
  <c r="D166" i="8" s="1"/>
  <c r="B167" i="8"/>
  <c r="D167" i="8" s="1"/>
  <c r="B168" i="8"/>
  <c r="D168" i="8" s="1"/>
  <c r="E3" i="6"/>
  <c r="E4" i="6"/>
  <c r="E5" i="6"/>
  <c r="E6" i="6"/>
  <c r="E7" i="6"/>
  <c r="E8" i="6"/>
  <c r="E9" i="6"/>
  <c r="E10" i="6"/>
  <c r="E11" i="6"/>
  <c r="E12" i="6"/>
  <c r="E13" i="6"/>
  <c r="E14" i="6"/>
  <c r="E15" i="6"/>
  <c r="E16" i="6"/>
  <c r="E1001" i="6"/>
  <c r="E19"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50" i="6"/>
  <c r="E49"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3" i="6"/>
  <c r="E154" i="6"/>
  <c r="E155" i="6"/>
  <c r="E156" i="6"/>
  <c r="E157" i="6"/>
  <c r="E158" i="6"/>
  <c r="E159" i="6"/>
  <c r="E160" i="6"/>
  <c r="E161" i="6"/>
  <c r="E162" i="6"/>
  <c r="E163" i="6"/>
  <c r="E164" i="6"/>
  <c r="E165" i="6"/>
  <c r="E166" i="6"/>
  <c r="E167" i="6"/>
  <c r="E168" i="6"/>
  <c r="E169" i="6"/>
  <c r="E170" i="6"/>
  <c r="E171"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B242" i="6"/>
  <c r="D242" i="6" s="1"/>
  <c r="B2" i="11" l="1"/>
  <c r="D2" i="11" s="1"/>
  <c r="B151" i="11" l="1"/>
  <c r="D151" i="11" s="1"/>
  <c r="B150" i="11"/>
  <c r="D150" i="11" s="1"/>
  <c r="B149" i="11"/>
  <c r="D149" i="11" s="1"/>
  <c r="B148" i="11"/>
  <c r="D148" i="11" s="1"/>
  <c r="B147" i="11"/>
  <c r="D147" i="11" s="1"/>
  <c r="B146" i="11"/>
  <c r="D146" i="11" s="1"/>
  <c r="B145" i="11"/>
  <c r="D145" i="11" s="1"/>
  <c r="B144" i="11"/>
  <c r="D144" i="11" s="1"/>
  <c r="B143" i="11"/>
  <c r="D143" i="11" s="1"/>
  <c r="B142" i="11"/>
  <c r="D142" i="11" s="1"/>
  <c r="B141" i="11"/>
  <c r="D141" i="11" s="1"/>
  <c r="B140" i="11"/>
  <c r="D140" i="11" s="1"/>
  <c r="B139" i="11"/>
  <c r="D139" i="11" s="1"/>
  <c r="B138" i="11"/>
  <c r="D138" i="11" s="1"/>
  <c r="B137" i="11"/>
  <c r="D137" i="11" s="1"/>
  <c r="B136" i="11"/>
  <c r="D136" i="11" s="1"/>
  <c r="B135" i="11"/>
  <c r="D135" i="11" s="1"/>
  <c r="B134" i="11"/>
  <c r="D134" i="11" s="1"/>
  <c r="B133" i="11"/>
  <c r="D133" i="11" s="1"/>
  <c r="B132" i="11"/>
  <c r="D132" i="11" s="1"/>
  <c r="B131" i="11"/>
  <c r="D131" i="11" s="1"/>
  <c r="B130" i="11"/>
  <c r="D130" i="11" s="1"/>
  <c r="B129" i="11"/>
  <c r="D129" i="11" s="1"/>
  <c r="B128" i="11"/>
  <c r="D128" i="11" s="1"/>
  <c r="B126" i="11"/>
  <c r="D126" i="11" s="1"/>
  <c r="B125" i="11"/>
  <c r="D125" i="11" s="1"/>
  <c r="B123" i="11"/>
  <c r="D123" i="11" s="1"/>
  <c r="B122" i="11"/>
  <c r="D122" i="11" s="1"/>
  <c r="B121" i="11"/>
  <c r="D121" i="11" s="1"/>
  <c r="B120" i="11"/>
  <c r="D120" i="11" s="1"/>
  <c r="B119" i="11"/>
  <c r="D119" i="11" s="1"/>
  <c r="B117" i="11"/>
  <c r="D117" i="11" s="1"/>
  <c r="B116" i="11"/>
  <c r="D116" i="11" s="1"/>
  <c r="B115" i="11"/>
  <c r="D115" i="11" s="1"/>
  <c r="B114" i="11"/>
  <c r="D114" i="11" s="1"/>
  <c r="B113" i="11"/>
  <c r="D113" i="11" s="1"/>
  <c r="B112" i="11"/>
  <c r="D112" i="11" s="1"/>
  <c r="B111" i="11"/>
  <c r="D111" i="11" s="1"/>
  <c r="B110" i="11"/>
  <c r="D110" i="11" s="1"/>
  <c r="B109" i="11"/>
  <c r="D109" i="11" s="1"/>
  <c r="B108" i="11"/>
  <c r="D108" i="11" s="1"/>
  <c r="B107" i="11"/>
  <c r="D107" i="11" s="1"/>
  <c r="B106" i="11"/>
  <c r="D106" i="11" s="1"/>
  <c r="B105" i="11"/>
  <c r="D105" i="11" s="1"/>
  <c r="B104" i="11"/>
  <c r="D104" i="11" s="1"/>
  <c r="B103" i="11"/>
  <c r="D103" i="11" s="1"/>
  <c r="B102" i="11"/>
  <c r="D102" i="11" s="1"/>
  <c r="B101" i="11"/>
  <c r="D101" i="11" s="1"/>
  <c r="B100" i="11"/>
  <c r="D100" i="11" s="1"/>
  <c r="B99" i="11"/>
  <c r="D99" i="11" s="1"/>
  <c r="B98" i="11"/>
  <c r="D98" i="11" s="1"/>
  <c r="B97" i="11"/>
  <c r="D97" i="11" s="1"/>
  <c r="B96" i="11"/>
  <c r="D96" i="11" s="1"/>
  <c r="B95" i="11"/>
  <c r="D95" i="11" s="1"/>
  <c r="B94" i="11"/>
  <c r="D94" i="11" s="1"/>
  <c r="B93" i="11"/>
  <c r="D93" i="11" s="1"/>
  <c r="B92" i="11"/>
  <c r="D92" i="11" s="1"/>
  <c r="B91" i="11"/>
  <c r="D91" i="11" s="1"/>
  <c r="B90" i="11"/>
  <c r="B89" i="11"/>
  <c r="D89" i="11" s="1"/>
  <c r="B88" i="11"/>
  <c r="D88" i="11" s="1"/>
  <c r="B87" i="11"/>
  <c r="D87" i="11" s="1"/>
  <c r="B86" i="11"/>
  <c r="D86" i="11" s="1"/>
  <c r="B85" i="11"/>
  <c r="D85" i="11" s="1"/>
  <c r="B84" i="11"/>
  <c r="D84" i="11" s="1"/>
  <c r="B83" i="11"/>
  <c r="D83" i="11" s="1"/>
  <c r="B82" i="11"/>
  <c r="D82" i="11" s="1"/>
  <c r="B81" i="11"/>
  <c r="D81" i="11" s="1"/>
  <c r="B80" i="11"/>
  <c r="D80" i="11" s="1"/>
  <c r="B79" i="11"/>
  <c r="D79" i="11" s="1"/>
  <c r="B78" i="11"/>
  <c r="D78" i="11" s="1"/>
  <c r="B77" i="11"/>
  <c r="D77" i="11" s="1"/>
  <c r="B76" i="11"/>
  <c r="D76" i="11" s="1"/>
  <c r="B75" i="11"/>
  <c r="D75" i="11" s="1"/>
  <c r="B74" i="11"/>
  <c r="D74" i="11" s="1"/>
  <c r="B73" i="11"/>
  <c r="D73" i="11" s="1"/>
  <c r="B72" i="11"/>
  <c r="D72" i="11" s="1"/>
  <c r="B71" i="11"/>
  <c r="D71" i="11" s="1"/>
  <c r="B70" i="11"/>
  <c r="D70" i="11" s="1"/>
  <c r="B69" i="11"/>
  <c r="D69" i="11" s="1"/>
  <c r="B68" i="11"/>
  <c r="D68" i="11" s="1"/>
  <c r="B67" i="11"/>
  <c r="D67" i="11" s="1"/>
  <c r="B66" i="11"/>
  <c r="D66" i="11" s="1"/>
  <c r="B65" i="11"/>
  <c r="D65" i="11" s="1"/>
  <c r="B64" i="11"/>
  <c r="D64" i="11" s="1"/>
  <c r="B63" i="11"/>
  <c r="D63" i="11" s="1"/>
  <c r="B60" i="11"/>
  <c r="D60" i="11" s="1"/>
  <c r="B59" i="11"/>
  <c r="D59" i="11" s="1"/>
  <c r="B58" i="11"/>
  <c r="D58" i="11" s="1"/>
  <c r="B57" i="11"/>
  <c r="D57" i="11" s="1"/>
  <c r="B56" i="11"/>
  <c r="D56" i="11" s="1"/>
  <c r="B55" i="11"/>
  <c r="D55" i="11" s="1"/>
  <c r="B54" i="11"/>
  <c r="D54" i="11" s="1"/>
  <c r="B53" i="11"/>
  <c r="D53" i="11" s="1"/>
  <c r="B52" i="11"/>
  <c r="D52" i="11" s="1"/>
  <c r="B51" i="11"/>
  <c r="D51" i="11" s="1"/>
  <c r="B50" i="11"/>
  <c r="D50" i="11" s="1"/>
  <c r="B49" i="11"/>
  <c r="D49" i="11" s="1"/>
  <c r="B48" i="11"/>
  <c r="D48" i="11" s="1"/>
  <c r="B47" i="11"/>
  <c r="D47" i="11" s="1"/>
  <c r="B46" i="11"/>
  <c r="D46" i="11" s="1"/>
  <c r="B45" i="11"/>
  <c r="D45" i="11" s="1"/>
  <c r="B44" i="11"/>
  <c r="D44" i="11" s="1"/>
  <c r="B43" i="11"/>
  <c r="D43" i="11" s="1"/>
  <c r="B42" i="11"/>
  <c r="D42" i="11" s="1"/>
  <c r="B41" i="11"/>
  <c r="D41" i="11" s="1"/>
  <c r="B40" i="11"/>
  <c r="D40" i="11" s="1"/>
  <c r="B39" i="11"/>
  <c r="D39" i="11" s="1"/>
  <c r="B38" i="11"/>
  <c r="D38" i="11" s="1"/>
  <c r="B37" i="11"/>
  <c r="D37" i="11" s="1"/>
  <c r="B36" i="11"/>
  <c r="D36" i="11" s="1"/>
  <c r="B35" i="11"/>
  <c r="D35" i="11" s="1"/>
  <c r="B34" i="11"/>
  <c r="D34" i="11" s="1"/>
  <c r="B33" i="11"/>
  <c r="D33" i="11" s="1"/>
  <c r="B32" i="11"/>
  <c r="D32" i="11" s="1"/>
  <c r="B31" i="11"/>
  <c r="D31" i="11" s="1"/>
  <c r="B30" i="11"/>
  <c r="D30" i="11" s="1"/>
  <c r="B29" i="11"/>
  <c r="D29" i="11" s="1"/>
  <c r="B28" i="11"/>
  <c r="D28" i="11" s="1"/>
  <c r="B27" i="11"/>
  <c r="D27" i="11" s="1"/>
  <c r="B26" i="11"/>
  <c r="D26" i="11" s="1"/>
  <c r="B25" i="11"/>
  <c r="D25" i="11" s="1"/>
  <c r="B24" i="11"/>
  <c r="D24" i="11" s="1"/>
  <c r="B23" i="11"/>
  <c r="D23" i="11" s="1"/>
  <c r="B22" i="11"/>
  <c r="D22" i="11" s="1"/>
  <c r="B21" i="11"/>
  <c r="D21" i="11" s="1"/>
  <c r="B20" i="11"/>
  <c r="D20" i="11" s="1"/>
  <c r="B19" i="11"/>
  <c r="D19" i="11" s="1"/>
  <c r="B18" i="11"/>
  <c r="D18" i="11" s="1"/>
  <c r="B17" i="11"/>
  <c r="D17" i="11" s="1"/>
  <c r="B16" i="11"/>
  <c r="D16" i="11" s="1"/>
  <c r="B15" i="11"/>
  <c r="D15" i="11" s="1"/>
  <c r="B14" i="11"/>
  <c r="D14" i="11" s="1"/>
  <c r="B13" i="11"/>
  <c r="D13" i="11" s="1"/>
  <c r="B12" i="11"/>
  <c r="D12" i="11" s="1"/>
  <c r="B11" i="11"/>
  <c r="D11" i="11" s="1"/>
  <c r="B10" i="11"/>
  <c r="D10" i="11" s="1"/>
  <c r="B8" i="11"/>
  <c r="D8" i="11" s="1"/>
  <c r="B7" i="11"/>
  <c r="D7" i="11" s="1"/>
  <c r="B6" i="11"/>
  <c r="D6" i="11" s="1"/>
  <c r="B5" i="11"/>
  <c r="D5" i="11" s="1"/>
  <c r="B4" i="11"/>
  <c r="D4" i="11" s="1"/>
  <c r="B3" i="11"/>
  <c r="D3" i="11" s="1"/>
  <c r="B251" i="8" l="1"/>
  <c r="D251" i="8" s="1"/>
  <c r="B252" i="8"/>
  <c r="D252" i="8" s="1"/>
  <c r="B253" i="8"/>
  <c r="D253" i="8" s="1"/>
  <c r="B254" i="8"/>
  <c r="D254" i="8" s="1"/>
  <c r="B255" i="8"/>
  <c r="D255" i="8" s="1"/>
  <c r="B256" i="8"/>
  <c r="D256" i="8" s="1"/>
  <c r="B257" i="8"/>
  <c r="D257" i="8" s="1"/>
  <c r="B258" i="8"/>
  <c r="D258" i="8" s="1"/>
  <c r="B259" i="8"/>
  <c r="D259" i="8" s="1"/>
  <c r="B260" i="8"/>
  <c r="D260" i="8" s="1"/>
  <c r="B261" i="8"/>
  <c r="D261" i="8" s="1"/>
  <c r="B262" i="8"/>
  <c r="D262" i="8" s="1"/>
  <c r="B263" i="8"/>
  <c r="D263" i="8" s="1"/>
  <c r="B264" i="8"/>
  <c r="D264" i="8" s="1"/>
  <c r="B265" i="8"/>
  <c r="D265" i="8" s="1"/>
  <c r="B266" i="8"/>
  <c r="D266" i="8" s="1"/>
  <c r="B267" i="8"/>
  <c r="D267" i="8" s="1"/>
  <c r="B268" i="8"/>
  <c r="D268" i="8" s="1"/>
  <c r="B269" i="8"/>
  <c r="D269" i="8" s="1"/>
  <c r="B270" i="8"/>
  <c r="D270" i="8" s="1"/>
  <c r="B271" i="8"/>
  <c r="D271" i="8" s="1"/>
  <c r="B272" i="8"/>
  <c r="D272" i="8" s="1"/>
  <c r="B273" i="8"/>
  <c r="D273" i="8" s="1"/>
  <c r="B274" i="8"/>
  <c r="D274" i="8" s="1"/>
  <c r="B275" i="8"/>
  <c r="D275" i="8" s="1"/>
  <c r="B276" i="8"/>
  <c r="D276" i="8" s="1"/>
  <c r="B277" i="8"/>
  <c r="D277" i="8" s="1"/>
  <c r="B278" i="8"/>
  <c r="D278" i="8" s="1"/>
  <c r="B279" i="8"/>
  <c r="D279" i="8" s="1"/>
  <c r="B280" i="8"/>
  <c r="D280" i="8" s="1"/>
  <c r="B281" i="8"/>
  <c r="D281" i="8" s="1"/>
  <c r="B282" i="8"/>
  <c r="D282" i="8" s="1"/>
  <c r="B283" i="8"/>
  <c r="D283" i="8" s="1"/>
  <c r="B284" i="8"/>
  <c r="D284" i="8" s="1"/>
  <c r="B285" i="8"/>
  <c r="D285" i="8" s="1"/>
  <c r="B286" i="8"/>
  <c r="D286" i="8" s="1"/>
  <c r="B287" i="8"/>
  <c r="D287" i="8" s="1"/>
  <c r="B288" i="8"/>
  <c r="D288" i="8" s="1"/>
  <c r="B289" i="8"/>
  <c r="D289" i="8" s="1"/>
  <c r="B290" i="8"/>
  <c r="D290" i="8" s="1"/>
  <c r="B291" i="8"/>
  <c r="D291" i="8" s="1"/>
  <c r="B292" i="8"/>
  <c r="D292" i="8" s="1"/>
  <c r="B293" i="8"/>
  <c r="D293" i="8" s="1"/>
  <c r="B294" i="8"/>
  <c r="D294" i="8" s="1"/>
  <c r="B295" i="8"/>
  <c r="D295" i="8" s="1"/>
  <c r="B296" i="8"/>
  <c r="D296" i="8" s="1"/>
  <c r="B297" i="8"/>
  <c r="D297" i="8" s="1"/>
  <c r="B298" i="8"/>
  <c r="D298" i="8" s="1"/>
  <c r="B299" i="8"/>
  <c r="D299" i="8" s="1"/>
  <c r="B300" i="8"/>
  <c r="D300" i="8" s="1"/>
  <c r="B301" i="8"/>
  <c r="D301" i="8" s="1"/>
  <c r="B302" i="8"/>
  <c r="D302" i="8" s="1"/>
  <c r="B303" i="8"/>
  <c r="D303" i="8" s="1"/>
  <c r="B304" i="8"/>
  <c r="D304" i="8" s="1"/>
  <c r="B305" i="8"/>
  <c r="D305" i="8" s="1"/>
  <c r="B306" i="8"/>
  <c r="D306" i="8" s="1"/>
  <c r="B307" i="8"/>
  <c r="D307" i="8" s="1"/>
  <c r="B308" i="8"/>
  <c r="D308" i="8" s="1"/>
  <c r="B309" i="8"/>
  <c r="D309" i="8" s="1"/>
  <c r="B310" i="8"/>
  <c r="D310" i="8" s="1"/>
  <c r="B311" i="8"/>
  <c r="D311" i="8" s="1"/>
  <c r="B312" i="8"/>
  <c r="D312" i="8" s="1"/>
  <c r="B313" i="8"/>
  <c r="D313" i="8" s="1"/>
  <c r="B314" i="8"/>
  <c r="D314" i="8" s="1"/>
  <c r="B315" i="8"/>
  <c r="D315" i="8" s="1"/>
  <c r="B316" i="8"/>
  <c r="D316" i="8" s="1"/>
  <c r="B317" i="8"/>
  <c r="D317" i="8" s="1"/>
  <c r="B318" i="8"/>
  <c r="D318" i="8" s="1"/>
  <c r="B319" i="8"/>
  <c r="D319" i="8" s="1"/>
  <c r="B320" i="8"/>
  <c r="D320" i="8" s="1"/>
  <c r="B321" i="8"/>
  <c r="D321" i="8" s="1"/>
  <c r="B322" i="8"/>
  <c r="D322" i="8" s="1"/>
  <c r="B323" i="8"/>
  <c r="D323" i="8" s="1"/>
  <c r="B324" i="8"/>
  <c r="D324" i="8" s="1"/>
  <c r="B325" i="8"/>
  <c r="D325" i="8" s="1"/>
  <c r="B326" i="8"/>
  <c r="D326" i="8" s="1"/>
  <c r="B327" i="8"/>
  <c r="D327" i="8" s="1"/>
  <c r="B328" i="8"/>
  <c r="D328" i="8" s="1"/>
  <c r="B329" i="8"/>
  <c r="D329" i="8" s="1"/>
  <c r="B330" i="8"/>
  <c r="D330" i="8" s="1"/>
  <c r="B331" i="8"/>
  <c r="D331" i="8" s="1"/>
  <c r="B332" i="8"/>
  <c r="D332" i="8" s="1"/>
  <c r="B333" i="8"/>
  <c r="D333" i="8" s="1"/>
  <c r="B334" i="8"/>
  <c r="D334" i="8" s="1"/>
  <c r="B335" i="8"/>
  <c r="D335" i="8" s="1"/>
  <c r="B336" i="8"/>
  <c r="D336" i="8" s="1"/>
  <c r="B337" i="8"/>
  <c r="D337" i="8" s="1"/>
  <c r="B338" i="8"/>
  <c r="D338" i="8" s="1"/>
  <c r="B339" i="8"/>
  <c r="D339" i="8" s="1"/>
  <c r="B340" i="8"/>
  <c r="D340" i="8" s="1"/>
  <c r="B341" i="8"/>
  <c r="D341" i="8" s="1"/>
  <c r="B342" i="8"/>
  <c r="D342" i="8" s="1"/>
  <c r="B343" i="8"/>
  <c r="D343" i="8" s="1"/>
  <c r="B344" i="8"/>
  <c r="D344" i="8" s="1"/>
  <c r="B345" i="8"/>
  <c r="D345" i="8" s="1"/>
  <c r="B346" i="8"/>
  <c r="D346" i="8" s="1"/>
  <c r="B347" i="8"/>
  <c r="D347" i="8" s="1"/>
  <c r="B348" i="8"/>
  <c r="D348" i="8" s="1"/>
  <c r="B349" i="8"/>
  <c r="D349" i="8" s="1"/>
  <c r="B350" i="8"/>
  <c r="D350" i="8" s="1"/>
  <c r="B351" i="8"/>
  <c r="D351" i="8" s="1"/>
  <c r="B352" i="8"/>
  <c r="D352" i="8" s="1"/>
  <c r="B353" i="8"/>
  <c r="D353" i="8" s="1"/>
  <c r="B354" i="8"/>
  <c r="D354" i="8" s="1"/>
  <c r="B355" i="8"/>
  <c r="D355" i="8" s="1"/>
  <c r="B356" i="8"/>
  <c r="D356" i="8" s="1"/>
  <c r="B357" i="8"/>
  <c r="D357" i="8" s="1"/>
  <c r="B358" i="8"/>
  <c r="D358" i="8" s="1"/>
  <c r="B359" i="8"/>
  <c r="D359" i="8" s="1"/>
  <c r="B360" i="8"/>
  <c r="D360" i="8" s="1"/>
  <c r="B361" i="8"/>
  <c r="D361" i="8" s="1"/>
  <c r="B362" i="8"/>
  <c r="D362" i="8" s="1"/>
  <c r="B363" i="8"/>
  <c r="D363" i="8" s="1"/>
  <c r="B364" i="8"/>
  <c r="D364" i="8" s="1"/>
  <c r="B365" i="8"/>
  <c r="D365" i="8" s="1"/>
  <c r="B366" i="8"/>
  <c r="D366" i="8" s="1"/>
  <c r="B367" i="8"/>
  <c r="D367" i="8" s="1"/>
  <c r="B368" i="8"/>
  <c r="D368" i="8" s="1"/>
  <c r="B369" i="8"/>
  <c r="D369" i="8" s="1"/>
  <c r="B370" i="8"/>
  <c r="D370" i="8" s="1"/>
  <c r="B371" i="8"/>
  <c r="D371" i="8" s="1"/>
  <c r="B372" i="8"/>
  <c r="D372" i="8" s="1"/>
  <c r="B373" i="8"/>
  <c r="D373" i="8" s="1"/>
  <c r="B374" i="8"/>
  <c r="D374" i="8" s="1"/>
  <c r="B375" i="8"/>
  <c r="D375" i="8" s="1"/>
  <c r="B376" i="8"/>
  <c r="D376" i="8" s="1"/>
  <c r="B377" i="8"/>
  <c r="D377" i="8" s="1"/>
  <c r="B378" i="8"/>
  <c r="D378" i="8" s="1"/>
  <c r="B379" i="8"/>
  <c r="D379" i="8" s="1"/>
  <c r="B380" i="8"/>
  <c r="D380" i="8" s="1"/>
  <c r="B381" i="8"/>
  <c r="D381" i="8" s="1"/>
  <c r="B382" i="8"/>
  <c r="D382" i="8" s="1"/>
  <c r="B383" i="8"/>
  <c r="D383" i="8" s="1"/>
  <c r="B384" i="8"/>
  <c r="D384" i="8" s="1"/>
  <c r="B385" i="8"/>
  <c r="D385" i="8" s="1"/>
  <c r="B386" i="8"/>
  <c r="D386" i="8" s="1"/>
  <c r="B387" i="8"/>
  <c r="D387" i="8" s="1"/>
  <c r="B388" i="8"/>
  <c r="D388" i="8" s="1"/>
  <c r="B389" i="8"/>
  <c r="D389" i="8" s="1"/>
  <c r="B390" i="8"/>
  <c r="D390" i="8" s="1"/>
  <c r="B391" i="8"/>
  <c r="D391" i="8" s="1"/>
  <c r="B392" i="8"/>
  <c r="D392" i="8" s="1"/>
  <c r="B393" i="8"/>
  <c r="D393" i="8" s="1"/>
  <c r="B394" i="8"/>
  <c r="D394" i="8" s="1"/>
  <c r="B395" i="8"/>
  <c r="D395" i="8" s="1"/>
  <c r="B396" i="8"/>
  <c r="D396" i="8" s="1"/>
  <c r="B397" i="8"/>
  <c r="D397" i="8" s="1"/>
  <c r="B398" i="8"/>
  <c r="D398" i="8" s="1"/>
  <c r="B399" i="8"/>
  <c r="D399" i="8" s="1"/>
  <c r="B400" i="8"/>
  <c r="D400" i="8" s="1"/>
  <c r="B401" i="8"/>
  <c r="D401" i="8" s="1"/>
  <c r="B402" i="8"/>
  <c r="D402" i="8" s="1"/>
  <c r="B403" i="8"/>
  <c r="D403" i="8" s="1"/>
  <c r="B404" i="8"/>
  <c r="D404" i="8" s="1"/>
  <c r="B405" i="8"/>
  <c r="D405" i="8" s="1"/>
  <c r="B406" i="8"/>
  <c r="D406" i="8" s="1"/>
  <c r="B407" i="8"/>
  <c r="D407" i="8" s="1"/>
  <c r="B408" i="8"/>
  <c r="D408" i="8" s="1"/>
  <c r="B409" i="8"/>
  <c r="D409" i="8" s="1"/>
  <c r="B410" i="8"/>
  <c r="D410" i="8" s="1"/>
  <c r="B411" i="8"/>
  <c r="D411" i="8" s="1"/>
  <c r="B412" i="8"/>
  <c r="D412" i="8" s="1"/>
  <c r="B413" i="8"/>
  <c r="D413" i="8" s="1"/>
  <c r="B414" i="8"/>
  <c r="D414" i="8" s="1"/>
  <c r="B415" i="8"/>
  <c r="D415" i="8" s="1"/>
  <c r="B416" i="8"/>
  <c r="D416" i="8" s="1"/>
  <c r="B417" i="8"/>
  <c r="D417" i="8" s="1"/>
  <c r="B418" i="8"/>
  <c r="D418" i="8" s="1"/>
  <c r="B419" i="8"/>
  <c r="D419" i="8" s="1"/>
  <c r="B420" i="8"/>
  <c r="D420" i="8" s="1"/>
  <c r="B421" i="8"/>
  <c r="D421" i="8" s="1"/>
  <c r="B422" i="8"/>
  <c r="D422" i="8" s="1"/>
  <c r="B423" i="8"/>
  <c r="D423" i="8" s="1"/>
  <c r="B424" i="8"/>
  <c r="D424" i="8" s="1"/>
  <c r="B425" i="8"/>
  <c r="D425" i="8" s="1"/>
  <c r="B426" i="8"/>
  <c r="D426" i="8" s="1"/>
  <c r="B427" i="8"/>
  <c r="D427" i="8" s="1"/>
  <c r="B428" i="8"/>
  <c r="D428" i="8" s="1"/>
  <c r="B429" i="8"/>
  <c r="D429" i="8" s="1"/>
  <c r="B430" i="8"/>
  <c r="D430" i="8" s="1"/>
  <c r="B431" i="8"/>
  <c r="D431" i="8" s="1"/>
  <c r="B432" i="8"/>
  <c r="D432" i="8" s="1"/>
  <c r="B433" i="8"/>
  <c r="D433" i="8" s="1"/>
  <c r="B434" i="8"/>
  <c r="D434" i="8" s="1"/>
  <c r="B435" i="8"/>
  <c r="D435" i="8" s="1"/>
  <c r="B436" i="8"/>
  <c r="D436" i="8" s="1"/>
  <c r="B437" i="8"/>
  <c r="D437" i="8" s="1"/>
  <c r="B438" i="8"/>
  <c r="D438" i="8" s="1"/>
  <c r="B439" i="8"/>
  <c r="D439" i="8" s="1"/>
  <c r="B440" i="8"/>
  <c r="D440" i="8" s="1"/>
  <c r="B441" i="8"/>
  <c r="D441" i="8" s="1"/>
  <c r="B442" i="8"/>
  <c r="D442" i="8" s="1"/>
  <c r="B443" i="8"/>
  <c r="D443" i="8" s="1"/>
  <c r="B444" i="8"/>
  <c r="D444" i="8" s="1"/>
  <c r="B445" i="8"/>
  <c r="D445" i="8" s="1"/>
  <c r="B446" i="8"/>
  <c r="D446" i="8" s="1"/>
  <c r="B447" i="8"/>
  <c r="D447" i="8" s="1"/>
  <c r="B448" i="8"/>
  <c r="D448" i="8" s="1"/>
  <c r="B449" i="8"/>
  <c r="D449" i="8" s="1"/>
  <c r="B450" i="8"/>
  <c r="D450" i="8" s="1"/>
  <c r="B451" i="8"/>
  <c r="D451" i="8" s="1"/>
  <c r="B452" i="8"/>
  <c r="D452" i="8" s="1"/>
  <c r="B453" i="8"/>
  <c r="D453" i="8" s="1"/>
  <c r="B454" i="8"/>
  <c r="D454" i="8" s="1"/>
  <c r="B455" i="8"/>
  <c r="D455" i="8" s="1"/>
  <c r="B456" i="8"/>
  <c r="D456" i="8" s="1"/>
  <c r="B457" i="8"/>
  <c r="D457" i="8" s="1"/>
  <c r="B458" i="8"/>
  <c r="D458" i="8" s="1"/>
  <c r="B459" i="8"/>
  <c r="D459" i="8" s="1"/>
  <c r="B460" i="8"/>
  <c r="D460" i="8" s="1"/>
  <c r="B461" i="8"/>
  <c r="D461" i="8" s="1"/>
  <c r="B462" i="8"/>
  <c r="D462" i="8" s="1"/>
  <c r="B463" i="8"/>
  <c r="D463" i="8" s="1"/>
  <c r="B464" i="8"/>
  <c r="D464" i="8" s="1"/>
  <c r="B465" i="8"/>
  <c r="D465" i="8" s="1"/>
  <c r="B466" i="8"/>
  <c r="D466" i="8" s="1"/>
  <c r="B467" i="8"/>
  <c r="D467" i="8" s="1"/>
  <c r="B468" i="8"/>
  <c r="D468" i="8" s="1"/>
  <c r="B469" i="8"/>
  <c r="D469" i="8" s="1"/>
  <c r="B470" i="8"/>
  <c r="D470" i="8" s="1"/>
  <c r="B471" i="8"/>
  <c r="D471" i="8" s="1"/>
  <c r="B472" i="8"/>
  <c r="D472" i="8" s="1"/>
  <c r="B473" i="8"/>
  <c r="D473" i="8" s="1"/>
  <c r="B474" i="8"/>
  <c r="D474" i="8" s="1"/>
  <c r="B475" i="8"/>
  <c r="D475" i="8" s="1"/>
  <c r="B476" i="8"/>
  <c r="D476" i="8" s="1"/>
  <c r="B477" i="8"/>
  <c r="D477" i="8" s="1"/>
  <c r="B478" i="8"/>
  <c r="D478" i="8" s="1"/>
  <c r="B479" i="8"/>
  <c r="D479" i="8" s="1"/>
  <c r="B480" i="8"/>
  <c r="D480" i="8" s="1"/>
  <c r="B481" i="8"/>
  <c r="D481" i="8" s="1"/>
  <c r="B482" i="8"/>
  <c r="D482" i="8" s="1"/>
  <c r="B483" i="8"/>
  <c r="D483" i="8" s="1"/>
  <c r="B484" i="8"/>
  <c r="D484" i="8" s="1"/>
  <c r="B485" i="8"/>
  <c r="D485" i="8" s="1"/>
  <c r="B486" i="8"/>
  <c r="D486" i="8" s="1"/>
  <c r="B487" i="8"/>
  <c r="D487" i="8" s="1"/>
  <c r="B488" i="8"/>
  <c r="D488" i="8" s="1"/>
  <c r="B489" i="8"/>
  <c r="D489" i="8" s="1"/>
  <c r="B490" i="8"/>
  <c r="D490" i="8" s="1"/>
  <c r="B491" i="8"/>
  <c r="D491" i="8" s="1"/>
  <c r="B492" i="8"/>
  <c r="D492" i="8" s="1"/>
  <c r="B493" i="8"/>
  <c r="D493" i="8" s="1"/>
  <c r="B494" i="8"/>
  <c r="D494" i="8" s="1"/>
  <c r="B495" i="8"/>
  <c r="D495" i="8" s="1"/>
  <c r="B496" i="8"/>
  <c r="D496" i="8" s="1"/>
  <c r="B497" i="8"/>
  <c r="D497" i="8" s="1"/>
  <c r="B498" i="8"/>
  <c r="D498" i="8" s="1"/>
  <c r="B499" i="8"/>
  <c r="D499" i="8" s="1"/>
  <c r="B500" i="8"/>
  <c r="D500" i="8" s="1"/>
  <c r="B501" i="8"/>
  <c r="D501" i="8" s="1"/>
  <c r="B180" i="8" l="1"/>
  <c r="D180" i="8" s="1"/>
  <c r="B181" i="8"/>
  <c r="D181" i="8" s="1"/>
  <c r="B182" i="8"/>
  <c r="D182" i="8" s="1"/>
  <c r="B183" i="8"/>
  <c r="D183" i="8" s="1"/>
  <c r="B184" i="8"/>
  <c r="D184" i="8" s="1"/>
  <c r="B185" i="8"/>
  <c r="D185" i="8" s="1"/>
  <c r="B186" i="8"/>
  <c r="D186" i="8" s="1"/>
  <c r="B187" i="8"/>
  <c r="D187" i="8" s="1"/>
  <c r="B188" i="8"/>
  <c r="D188" i="8" s="1"/>
  <c r="B189" i="8"/>
  <c r="D189" i="8" s="1"/>
  <c r="B190" i="8"/>
  <c r="D190" i="8" s="1"/>
  <c r="B191" i="8"/>
  <c r="D191" i="8" s="1"/>
  <c r="B192" i="8"/>
  <c r="D192" i="8" s="1"/>
  <c r="B193" i="8"/>
  <c r="D193" i="8" s="1"/>
  <c r="B194" i="8"/>
  <c r="D194" i="8" s="1"/>
  <c r="B195" i="8"/>
  <c r="D195" i="8" s="1"/>
  <c r="B196" i="8"/>
  <c r="D196" i="8" s="1"/>
  <c r="B197" i="8"/>
  <c r="D197" i="8" s="1"/>
  <c r="B198" i="8"/>
  <c r="D198" i="8" s="1"/>
  <c r="B199" i="8"/>
  <c r="D199" i="8" s="1"/>
  <c r="B200" i="8"/>
  <c r="D200" i="8" s="1"/>
  <c r="B201" i="8"/>
  <c r="D201" i="8" s="1"/>
  <c r="B202" i="8"/>
  <c r="D202" i="8" s="1"/>
  <c r="B203" i="8"/>
  <c r="D203" i="8" s="1"/>
  <c r="B204" i="8"/>
  <c r="D204" i="8" s="1"/>
  <c r="B205" i="8"/>
  <c r="D205" i="8" s="1"/>
  <c r="B206" i="8"/>
  <c r="D206" i="8" s="1"/>
  <c r="B207" i="8"/>
  <c r="D207" i="8" s="1"/>
  <c r="B208" i="8"/>
  <c r="D208" i="8" s="1"/>
  <c r="B209" i="8"/>
  <c r="D209" i="8" s="1"/>
  <c r="B210" i="8"/>
  <c r="D210" i="8" s="1"/>
  <c r="B211" i="8"/>
  <c r="D211" i="8" s="1"/>
  <c r="B212" i="8"/>
  <c r="D212" i="8" s="1"/>
  <c r="B213" i="8"/>
  <c r="D213" i="8" s="1"/>
  <c r="B214" i="8"/>
  <c r="D214" i="8" s="1"/>
  <c r="B215" i="8"/>
  <c r="D215" i="8" s="1"/>
  <c r="B216" i="8"/>
  <c r="D216" i="8" s="1"/>
  <c r="B217" i="8"/>
  <c r="D217" i="8" s="1"/>
  <c r="B218" i="8"/>
  <c r="D218" i="8" s="1"/>
  <c r="B219" i="8"/>
  <c r="D219" i="8" s="1"/>
  <c r="B220" i="8"/>
  <c r="D220" i="8" s="1"/>
  <c r="B221" i="8"/>
  <c r="D221" i="8" s="1"/>
  <c r="B222" i="8"/>
  <c r="D222" i="8" s="1"/>
  <c r="B223" i="8"/>
  <c r="D223" i="8" s="1"/>
  <c r="B224" i="8"/>
  <c r="D224" i="8" s="1"/>
  <c r="B225" i="8"/>
  <c r="D225" i="8" s="1"/>
  <c r="B226" i="8"/>
  <c r="D226" i="8" s="1"/>
  <c r="B227" i="8"/>
  <c r="D227" i="8" s="1"/>
  <c r="B228" i="8"/>
  <c r="D228" i="8" s="1"/>
  <c r="B229" i="8"/>
  <c r="D229" i="8" s="1"/>
  <c r="B230" i="8"/>
  <c r="D230" i="8" s="1"/>
  <c r="B231" i="8"/>
  <c r="D231" i="8" s="1"/>
  <c r="B232" i="8"/>
  <c r="D232" i="8" s="1"/>
  <c r="B233" i="8"/>
  <c r="D233" i="8" s="1"/>
  <c r="B234" i="8"/>
  <c r="D234" i="8" s="1"/>
  <c r="B235" i="8"/>
  <c r="D235" i="8" s="1"/>
  <c r="B236" i="8"/>
  <c r="D236" i="8" s="1"/>
  <c r="B237" i="8"/>
  <c r="D237" i="8" s="1"/>
  <c r="B238" i="8"/>
  <c r="D238" i="8" s="1"/>
  <c r="B239" i="8"/>
  <c r="D239" i="8" s="1"/>
  <c r="B240" i="8"/>
  <c r="D240" i="8" s="1"/>
  <c r="B241" i="8"/>
  <c r="D241" i="8" s="1"/>
  <c r="B242" i="8"/>
  <c r="D242" i="8" s="1"/>
  <c r="B243" i="8"/>
  <c r="D243" i="8" s="1"/>
  <c r="B244" i="8"/>
  <c r="D244" i="8" s="1"/>
  <c r="B245" i="8"/>
  <c r="D245" i="8" s="1"/>
  <c r="B246" i="8"/>
  <c r="D246" i="8" s="1"/>
  <c r="B247" i="8"/>
  <c r="D247" i="8" s="1"/>
  <c r="B248" i="8"/>
  <c r="D248" i="8" s="1"/>
  <c r="B249" i="8"/>
  <c r="D249" i="8" s="1"/>
  <c r="B250" i="8"/>
  <c r="D250" i="8" s="1"/>
  <c r="B459" i="6" l="1"/>
  <c r="D459" i="6" s="1"/>
  <c r="B14" i="6" l="1"/>
  <c r="D14" i="6" s="1"/>
  <c r="B476" i="6" l="1"/>
  <c r="D476" i="6" s="1"/>
  <c r="B453" i="6" l="1"/>
  <c r="D453" i="6" s="1"/>
  <c r="B426" i="6" l="1"/>
  <c r="D426" i="6" s="1"/>
  <c r="B324" i="6"/>
  <c r="D324" i="6" s="1"/>
  <c r="B208" i="6"/>
  <c r="D208" i="6" s="1"/>
  <c r="B209" i="6"/>
  <c r="D209" i="6" s="1"/>
  <c r="B187" i="6"/>
  <c r="D187" i="6" s="1"/>
  <c r="B165" i="6"/>
  <c r="D165" i="6" s="1"/>
  <c r="B266" i="6"/>
  <c r="D266" i="6" s="1"/>
  <c r="B439" i="6"/>
  <c r="D439" i="6" s="1"/>
  <c r="B440" i="6"/>
  <c r="D440" i="6" s="1"/>
  <c r="B441" i="6"/>
  <c r="D441" i="6" s="1"/>
  <c r="B442" i="6"/>
  <c r="D442" i="6" s="1"/>
  <c r="B443" i="6"/>
  <c r="D443" i="6" s="1"/>
  <c r="B444" i="6"/>
  <c r="D444" i="6" s="1"/>
  <c r="B445" i="6"/>
  <c r="D445" i="6" s="1"/>
  <c r="B446" i="6"/>
  <c r="D446" i="6" s="1"/>
  <c r="B447" i="6"/>
  <c r="D447" i="6" s="1"/>
  <c r="B448" i="6"/>
  <c r="D448" i="6" s="1"/>
  <c r="B449" i="6"/>
  <c r="D449" i="6" s="1"/>
  <c r="B450" i="6"/>
  <c r="D450" i="6" s="1"/>
  <c r="B451" i="6"/>
  <c r="D451" i="6" s="1"/>
  <c r="B452" i="6"/>
  <c r="D452" i="6" s="1"/>
  <c r="B454" i="6"/>
  <c r="D454" i="6" s="1"/>
  <c r="B455" i="6"/>
  <c r="D455" i="6" s="1"/>
  <c r="B456" i="6"/>
  <c r="D456" i="6" s="1"/>
  <c r="B457" i="6"/>
  <c r="D457" i="6" s="1"/>
  <c r="B458" i="6"/>
  <c r="D458" i="6" s="1"/>
  <c r="B460" i="6"/>
  <c r="D460" i="6" s="1"/>
  <c r="B461" i="6"/>
  <c r="D461" i="6" s="1"/>
  <c r="B462" i="6"/>
  <c r="D462" i="6" s="1"/>
  <c r="B463" i="6"/>
  <c r="D463" i="6" s="1"/>
  <c r="B464" i="6"/>
  <c r="D464" i="6" s="1"/>
  <c r="B465" i="6"/>
  <c r="D465" i="6" s="1"/>
  <c r="B466" i="6"/>
  <c r="D466" i="6" s="1"/>
  <c r="B467" i="6"/>
  <c r="D467" i="6" s="1"/>
  <c r="B468" i="6"/>
  <c r="D468" i="6" s="1"/>
  <c r="B469" i="6"/>
  <c r="D469" i="6" s="1"/>
  <c r="B470" i="6"/>
  <c r="D470" i="6" s="1"/>
  <c r="B471" i="6"/>
  <c r="D471" i="6" s="1"/>
  <c r="B472" i="6"/>
  <c r="D472" i="6" s="1"/>
  <c r="B473" i="6"/>
  <c r="D473" i="6" s="1"/>
  <c r="B474" i="6"/>
  <c r="D474" i="6" s="1"/>
  <c r="B475" i="6"/>
  <c r="D475" i="6" s="1"/>
  <c r="B477" i="6"/>
  <c r="D477" i="6" s="1"/>
  <c r="B478" i="6"/>
  <c r="D478" i="6" s="1"/>
  <c r="B479" i="6"/>
  <c r="D479" i="6" s="1"/>
  <c r="B480" i="6"/>
  <c r="D480" i="6" s="1"/>
  <c r="B481" i="6"/>
  <c r="D481" i="6" s="1"/>
  <c r="B482" i="6"/>
  <c r="D482" i="6" s="1"/>
  <c r="B483" i="6"/>
  <c r="D483" i="6" s="1"/>
  <c r="B484" i="6"/>
  <c r="D484" i="6" s="1"/>
  <c r="B485" i="6"/>
  <c r="D485" i="6" s="1"/>
  <c r="B486" i="6"/>
  <c r="D486" i="6" s="1"/>
  <c r="B487" i="6"/>
  <c r="D487" i="6" s="1"/>
  <c r="B488" i="6"/>
  <c r="D488" i="6" s="1"/>
  <c r="B489" i="6"/>
  <c r="D489" i="6" s="1"/>
  <c r="B490" i="6"/>
  <c r="D490" i="6" s="1"/>
  <c r="B491" i="6"/>
  <c r="D491" i="6" s="1"/>
  <c r="B492" i="6"/>
  <c r="D492" i="6" s="1"/>
  <c r="B493" i="6"/>
  <c r="D493" i="6" s="1"/>
  <c r="B494" i="6"/>
  <c r="D494" i="6" s="1"/>
  <c r="B495" i="6"/>
  <c r="D495" i="6" s="1"/>
  <c r="B496" i="6"/>
  <c r="D496" i="6" s="1"/>
  <c r="B497" i="6"/>
  <c r="D497" i="6" s="1"/>
  <c r="B498" i="6"/>
  <c r="D498" i="6" s="1"/>
  <c r="B499" i="6"/>
  <c r="D499" i="6" s="1"/>
  <c r="B500" i="6"/>
  <c r="D500" i="6" s="1"/>
  <c r="B501" i="6"/>
  <c r="D501" i="6" s="1"/>
  <c r="B319" i="6"/>
  <c r="D319" i="6" s="1"/>
  <c r="B320" i="6"/>
  <c r="D320" i="6" s="1"/>
  <c r="B321" i="6"/>
  <c r="D321" i="6" s="1"/>
  <c r="B322" i="6"/>
  <c r="D322" i="6" s="1"/>
  <c r="B323" i="6"/>
  <c r="D323" i="6" s="1"/>
  <c r="B325" i="6"/>
  <c r="D325" i="6" s="1"/>
  <c r="B326" i="6"/>
  <c r="D326" i="6" s="1"/>
  <c r="B327" i="6"/>
  <c r="D327" i="6" s="1"/>
  <c r="B328" i="6"/>
  <c r="D328" i="6" s="1"/>
  <c r="B329" i="6"/>
  <c r="D329" i="6" s="1"/>
  <c r="B330" i="6"/>
  <c r="D330" i="6" s="1"/>
  <c r="B331" i="6"/>
  <c r="D331" i="6" s="1"/>
  <c r="B332" i="6"/>
  <c r="D332" i="6" s="1"/>
  <c r="B333" i="6"/>
  <c r="D333" i="6" s="1"/>
  <c r="B334" i="6"/>
  <c r="D334" i="6" s="1"/>
  <c r="B335" i="6"/>
  <c r="D335" i="6" s="1"/>
  <c r="B336" i="6"/>
  <c r="D336" i="6" s="1"/>
  <c r="B337" i="6"/>
  <c r="D337" i="6" s="1"/>
  <c r="B338" i="6"/>
  <c r="D338" i="6" s="1"/>
  <c r="B339" i="6"/>
  <c r="D339" i="6" s="1"/>
  <c r="B340" i="6"/>
  <c r="D340" i="6" s="1"/>
  <c r="B341" i="6"/>
  <c r="D341" i="6" s="1"/>
  <c r="B342" i="6"/>
  <c r="D342" i="6" s="1"/>
  <c r="B343" i="6"/>
  <c r="D343" i="6" s="1"/>
  <c r="B344" i="6"/>
  <c r="D344" i="6" s="1"/>
  <c r="B345" i="6"/>
  <c r="D345" i="6" s="1"/>
  <c r="B346" i="6"/>
  <c r="D346" i="6" s="1"/>
  <c r="B347" i="6"/>
  <c r="D347" i="6" s="1"/>
  <c r="B348" i="6"/>
  <c r="D348" i="6" s="1"/>
  <c r="B349" i="6"/>
  <c r="D349" i="6" s="1"/>
  <c r="B350" i="6"/>
  <c r="D350" i="6" s="1"/>
  <c r="B351" i="6"/>
  <c r="D351" i="6" s="1"/>
  <c r="B352" i="6"/>
  <c r="D352" i="6" s="1"/>
  <c r="B353" i="6"/>
  <c r="D353" i="6" s="1"/>
  <c r="B354" i="6"/>
  <c r="D354" i="6" s="1"/>
  <c r="B355" i="6"/>
  <c r="D355" i="6" s="1"/>
  <c r="B356" i="6"/>
  <c r="D356" i="6" s="1"/>
  <c r="B357" i="6"/>
  <c r="D357" i="6" s="1"/>
  <c r="B358" i="6"/>
  <c r="D358" i="6" s="1"/>
  <c r="B359" i="6"/>
  <c r="D359" i="6" s="1"/>
  <c r="B360" i="6"/>
  <c r="D360" i="6" s="1"/>
  <c r="B361" i="6"/>
  <c r="D361" i="6" s="1"/>
  <c r="B362" i="6"/>
  <c r="D362" i="6" s="1"/>
  <c r="B363" i="6"/>
  <c r="D363" i="6" s="1"/>
  <c r="B364" i="6"/>
  <c r="D364" i="6" s="1"/>
  <c r="B365" i="6"/>
  <c r="D365" i="6" s="1"/>
  <c r="B366" i="6"/>
  <c r="D366" i="6" s="1"/>
  <c r="B367" i="6"/>
  <c r="D367" i="6" s="1"/>
  <c r="B368" i="6"/>
  <c r="D368" i="6" s="1"/>
  <c r="B369" i="6"/>
  <c r="D369" i="6" s="1"/>
  <c r="B370" i="6"/>
  <c r="D370" i="6" s="1"/>
  <c r="B371" i="6"/>
  <c r="D371" i="6" s="1"/>
  <c r="B372" i="6"/>
  <c r="D372" i="6" s="1"/>
  <c r="B373" i="6"/>
  <c r="D373" i="6" s="1"/>
  <c r="B374" i="6"/>
  <c r="D374" i="6" s="1"/>
  <c r="B375" i="6"/>
  <c r="D375" i="6" s="1"/>
  <c r="B376" i="6"/>
  <c r="D376" i="6" s="1"/>
  <c r="B377" i="6"/>
  <c r="D377" i="6" s="1"/>
  <c r="B378" i="6"/>
  <c r="D378" i="6" s="1"/>
  <c r="B379" i="6"/>
  <c r="D379" i="6" s="1"/>
  <c r="B380" i="6"/>
  <c r="D380" i="6" s="1"/>
  <c r="B381" i="6"/>
  <c r="D381" i="6" s="1"/>
  <c r="B382" i="6"/>
  <c r="D382" i="6" s="1"/>
  <c r="B383" i="6"/>
  <c r="D383" i="6" s="1"/>
  <c r="B384" i="6"/>
  <c r="D384" i="6" s="1"/>
  <c r="B385" i="6"/>
  <c r="D385" i="6" s="1"/>
  <c r="B386" i="6"/>
  <c r="D386" i="6" s="1"/>
  <c r="B387" i="6"/>
  <c r="D387" i="6" s="1"/>
  <c r="B388" i="6"/>
  <c r="D388" i="6" s="1"/>
  <c r="B389" i="6"/>
  <c r="D389" i="6" s="1"/>
  <c r="B390" i="6"/>
  <c r="D390" i="6" s="1"/>
  <c r="B391" i="6"/>
  <c r="D391" i="6" s="1"/>
  <c r="B392" i="6"/>
  <c r="D392" i="6" s="1"/>
  <c r="B393" i="6"/>
  <c r="D393" i="6" s="1"/>
  <c r="B394" i="6"/>
  <c r="D394" i="6" s="1"/>
  <c r="B395" i="6"/>
  <c r="D395" i="6" s="1"/>
  <c r="B396" i="6"/>
  <c r="D396" i="6" s="1"/>
  <c r="B397" i="6"/>
  <c r="D397" i="6" s="1"/>
  <c r="B398" i="6"/>
  <c r="D398" i="6" s="1"/>
  <c r="B399" i="6"/>
  <c r="D399" i="6" s="1"/>
  <c r="B400" i="6"/>
  <c r="D400" i="6" s="1"/>
  <c r="B401" i="6"/>
  <c r="D401" i="6" s="1"/>
  <c r="B402" i="6"/>
  <c r="D402" i="6" s="1"/>
  <c r="B403" i="6"/>
  <c r="D403" i="6" s="1"/>
  <c r="B404" i="6"/>
  <c r="D404" i="6" s="1"/>
  <c r="B405" i="6"/>
  <c r="D405" i="6" s="1"/>
  <c r="B406" i="6"/>
  <c r="D406" i="6" s="1"/>
  <c r="B407" i="6"/>
  <c r="D407" i="6" s="1"/>
  <c r="B408" i="6"/>
  <c r="D408" i="6" s="1"/>
  <c r="B409" i="6"/>
  <c r="D409" i="6" s="1"/>
  <c r="B410" i="6"/>
  <c r="D410" i="6" s="1"/>
  <c r="B411" i="6"/>
  <c r="D411" i="6" s="1"/>
  <c r="B412" i="6"/>
  <c r="D412" i="6" s="1"/>
  <c r="B413" i="6"/>
  <c r="D413" i="6" s="1"/>
  <c r="B414" i="6"/>
  <c r="D414" i="6" s="1"/>
  <c r="B415" i="6"/>
  <c r="D415" i="6" s="1"/>
  <c r="B416" i="6"/>
  <c r="D416" i="6" s="1"/>
  <c r="B417" i="6"/>
  <c r="D417" i="6" s="1"/>
  <c r="B418" i="6"/>
  <c r="D418" i="6" s="1"/>
  <c r="B419" i="6"/>
  <c r="D419" i="6" s="1"/>
  <c r="B420" i="6"/>
  <c r="D420" i="6" s="1"/>
  <c r="B421" i="6"/>
  <c r="D421" i="6" s="1"/>
  <c r="B422" i="6"/>
  <c r="D422" i="6" s="1"/>
  <c r="B423" i="6"/>
  <c r="D423" i="6" s="1"/>
  <c r="B424" i="6"/>
  <c r="D424" i="6" s="1"/>
  <c r="B425" i="6"/>
  <c r="D425" i="6" s="1"/>
  <c r="B427" i="6"/>
  <c r="D427" i="6" s="1"/>
  <c r="B428" i="6"/>
  <c r="D428" i="6" s="1"/>
  <c r="B429" i="6"/>
  <c r="D429" i="6" s="1"/>
  <c r="B430" i="6"/>
  <c r="D430" i="6" s="1"/>
  <c r="B431" i="6"/>
  <c r="D431" i="6" s="1"/>
  <c r="B432" i="6"/>
  <c r="D432" i="6" s="1"/>
  <c r="B433" i="6"/>
  <c r="D433" i="6" s="1"/>
  <c r="B434" i="6"/>
  <c r="D434" i="6" s="1"/>
  <c r="B435" i="6"/>
  <c r="D435" i="6" s="1"/>
  <c r="B436" i="6"/>
  <c r="D436" i="6" s="1"/>
  <c r="B437" i="6"/>
  <c r="D437" i="6" s="1"/>
  <c r="B438" i="6"/>
  <c r="D438" i="6" s="1"/>
  <c r="B301" i="6"/>
  <c r="D301" i="6" s="1"/>
  <c r="B302" i="6"/>
  <c r="D302" i="6" s="1"/>
  <c r="B303" i="6"/>
  <c r="D303" i="6" s="1"/>
  <c r="B304" i="6"/>
  <c r="D304" i="6" s="1"/>
  <c r="B305" i="6"/>
  <c r="D305" i="6" s="1"/>
  <c r="B306" i="6"/>
  <c r="D306" i="6" s="1"/>
  <c r="B307" i="6"/>
  <c r="D307" i="6" s="1"/>
  <c r="B308" i="6"/>
  <c r="D308" i="6" s="1"/>
  <c r="B309" i="6"/>
  <c r="D309" i="6" s="1"/>
  <c r="B310" i="6"/>
  <c r="D310" i="6" s="1"/>
  <c r="B311" i="6"/>
  <c r="D311" i="6" s="1"/>
  <c r="B312" i="6"/>
  <c r="D312" i="6" s="1"/>
  <c r="B313" i="6"/>
  <c r="D313" i="6" s="1"/>
  <c r="B314" i="6"/>
  <c r="D314" i="6" s="1"/>
  <c r="B315" i="6"/>
  <c r="D315" i="6" s="1"/>
  <c r="B316" i="6"/>
  <c r="D316" i="6" s="1"/>
  <c r="B317" i="6"/>
  <c r="D317" i="6" s="1"/>
  <c r="B318" i="6"/>
  <c r="D318" i="6" s="1"/>
  <c r="D3" i="6"/>
  <c r="D4" i="6"/>
  <c r="D5" i="6"/>
  <c r="D6" i="6"/>
  <c r="D7" i="6"/>
  <c r="B8" i="6"/>
  <c r="D8" i="6" s="1"/>
  <c r="D9" i="6"/>
  <c r="D10" i="6"/>
  <c r="D11" i="6"/>
  <c r="B12" i="6"/>
  <c r="D12" i="6" s="1"/>
  <c r="D13" i="6"/>
  <c r="B15" i="6"/>
  <c r="D15" i="6" s="1"/>
  <c r="B16" i="6"/>
  <c r="D16" i="6" s="1"/>
  <c r="B19" i="6"/>
  <c r="D19" i="6" s="1"/>
  <c r="B21" i="6"/>
  <c r="D21" i="6" s="1"/>
  <c r="B22" i="6"/>
  <c r="D22" i="6" s="1"/>
  <c r="B23" i="6"/>
  <c r="D23" i="6" s="1"/>
  <c r="B24" i="6"/>
  <c r="D24" i="6" s="1"/>
  <c r="B25" i="6"/>
  <c r="D25" i="6" s="1"/>
  <c r="B26" i="6"/>
  <c r="D26" i="6" s="1"/>
  <c r="B27" i="6"/>
  <c r="D27" i="6" s="1"/>
  <c r="B28" i="6"/>
  <c r="D28" i="6" s="1"/>
  <c r="B29" i="6"/>
  <c r="D29" i="6" s="1"/>
  <c r="B30" i="6"/>
  <c r="D30" i="6" s="1"/>
  <c r="D31" i="6"/>
  <c r="D32" i="6"/>
  <c r="B33" i="6"/>
  <c r="D33" i="6" s="1"/>
  <c r="B34" i="6"/>
  <c r="D34" i="6" s="1"/>
  <c r="B35" i="6"/>
  <c r="D35" i="6" s="1"/>
  <c r="B36" i="6"/>
  <c r="D36" i="6" s="1"/>
  <c r="B37" i="6"/>
  <c r="D37" i="6" s="1"/>
  <c r="B38" i="6"/>
  <c r="D38" i="6" s="1"/>
  <c r="B39" i="6"/>
  <c r="D39" i="6" s="1"/>
  <c r="B40" i="6"/>
  <c r="D40" i="6" s="1"/>
  <c r="B41" i="6"/>
  <c r="D41" i="6" s="1"/>
  <c r="B42" i="6"/>
  <c r="D42" i="6" s="1"/>
  <c r="B43" i="6"/>
  <c r="D43" i="6" s="1"/>
  <c r="B44" i="6"/>
  <c r="D44" i="6" s="1"/>
  <c r="B45" i="6"/>
  <c r="D45" i="6" s="1"/>
  <c r="B46" i="6"/>
  <c r="D46" i="6" s="1"/>
  <c r="B47" i="6"/>
  <c r="D47" i="6" s="1"/>
  <c r="B48" i="6"/>
  <c r="D48" i="6" s="1"/>
  <c r="B50" i="6"/>
  <c r="D50" i="6" s="1"/>
  <c r="B49" i="6"/>
  <c r="D49" i="6" s="1"/>
  <c r="B51" i="6"/>
  <c r="D51" i="6" s="1"/>
  <c r="B52" i="6"/>
  <c r="D52" i="6" s="1"/>
  <c r="B53" i="6"/>
  <c r="D53" i="6" s="1"/>
  <c r="B54" i="6"/>
  <c r="D54" i="6" s="1"/>
  <c r="B55" i="6"/>
  <c r="D55" i="6" s="1"/>
  <c r="B56" i="6"/>
  <c r="D56" i="6" s="1"/>
  <c r="B57" i="6"/>
  <c r="D57" i="6" s="1"/>
  <c r="B58" i="6"/>
  <c r="D58" i="6" s="1"/>
  <c r="B59" i="6"/>
  <c r="D59" i="6" s="1"/>
  <c r="B60" i="6"/>
  <c r="D60" i="6" s="1"/>
  <c r="B61" i="6"/>
  <c r="D61" i="6" s="1"/>
  <c r="B62" i="6"/>
  <c r="D62" i="6" s="1"/>
  <c r="B63" i="6"/>
  <c r="D63" i="6" s="1"/>
  <c r="B64" i="6"/>
  <c r="D64" i="6" s="1"/>
  <c r="B65" i="6"/>
  <c r="D65" i="6" s="1"/>
  <c r="B66" i="6"/>
  <c r="D66" i="6" s="1"/>
  <c r="B67" i="6"/>
  <c r="D67" i="6" s="1"/>
  <c r="B68" i="6"/>
  <c r="D68" i="6" s="1"/>
  <c r="B69" i="6"/>
  <c r="D69" i="6" s="1"/>
  <c r="B70" i="6"/>
  <c r="D70" i="6" s="1"/>
  <c r="B71" i="6"/>
  <c r="D71" i="6" s="1"/>
  <c r="B72" i="6"/>
  <c r="D72" i="6" s="1"/>
  <c r="B73" i="6"/>
  <c r="D73" i="6" s="1"/>
  <c r="B74" i="6"/>
  <c r="D74" i="6" s="1"/>
  <c r="B75" i="6"/>
  <c r="D75" i="6" s="1"/>
  <c r="B76" i="6"/>
  <c r="D76" i="6" s="1"/>
  <c r="B77" i="6"/>
  <c r="D77" i="6" s="1"/>
  <c r="B78" i="6"/>
  <c r="D78" i="6" s="1"/>
  <c r="B79" i="6"/>
  <c r="D79" i="6" s="1"/>
  <c r="B80" i="6"/>
  <c r="D80" i="6" s="1"/>
  <c r="B81" i="6"/>
  <c r="D81" i="6" s="1"/>
  <c r="B82" i="6"/>
  <c r="D82" i="6" s="1"/>
  <c r="B83" i="6"/>
  <c r="D83" i="6" s="1"/>
  <c r="B84" i="6"/>
  <c r="D84" i="6" s="1"/>
  <c r="B85" i="6"/>
  <c r="D85" i="6" s="1"/>
  <c r="B86" i="6"/>
  <c r="D86" i="6" s="1"/>
  <c r="B87" i="6"/>
  <c r="D87" i="6" s="1"/>
  <c r="B88" i="6"/>
  <c r="D88" i="6" s="1"/>
  <c r="B89" i="6"/>
  <c r="D89" i="6" s="1"/>
  <c r="B90" i="6"/>
  <c r="D90" i="6" s="1"/>
  <c r="B91" i="6"/>
  <c r="D91" i="6" s="1"/>
  <c r="B92" i="6"/>
  <c r="D92" i="6" s="1"/>
  <c r="B93" i="6"/>
  <c r="D93" i="6" s="1"/>
  <c r="B94" i="6"/>
  <c r="D94" i="6" s="1"/>
  <c r="B95" i="6"/>
  <c r="D95" i="6" s="1"/>
  <c r="B96" i="6"/>
  <c r="D96" i="6" s="1"/>
  <c r="B97" i="6"/>
  <c r="D97" i="6" s="1"/>
  <c r="B98" i="6"/>
  <c r="D98" i="6" s="1"/>
  <c r="B99" i="6"/>
  <c r="D99" i="6" s="1"/>
  <c r="B100" i="6"/>
  <c r="D100" i="6" s="1"/>
  <c r="B101" i="6"/>
  <c r="D101" i="6" s="1"/>
  <c r="B102" i="6"/>
  <c r="D102" i="6" s="1"/>
  <c r="B103" i="6"/>
  <c r="D103" i="6" s="1"/>
  <c r="B104" i="6"/>
  <c r="D104" i="6" s="1"/>
  <c r="B105" i="6"/>
  <c r="D105" i="6" s="1"/>
  <c r="B106" i="6"/>
  <c r="D106" i="6" s="1"/>
  <c r="B107" i="6"/>
  <c r="D107" i="6" s="1"/>
  <c r="B108" i="6"/>
  <c r="D108" i="6" s="1"/>
  <c r="B109" i="6"/>
  <c r="D109" i="6" s="1"/>
  <c r="B110" i="6"/>
  <c r="D110" i="6" s="1"/>
  <c r="B111" i="6"/>
  <c r="D111" i="6" s="1"/>
  <c r="B112" i="6"/>
  <c r="D112" i="6" s="1"/>
  <c r="B113" i="6"/>
  <c r="D113" i="6" s="1"/>
  <c r="B114" i="6"/>
  <c r="D114" i="6" s="1"/>
  <c r="B115" i="6"/>
  <c r="D115" i="6" s="1"/>
  <c r="B116" i="6"/>
  <c r="D116" i="6" s="1"/>
  <c r="B117" i="6"/>
  <c r="D117" i="6" s="1"/>
  <c r="B118" i="6"/>
  <c r="D118" i="6" s="1"/>
  <c r="B119" i="6"/>
  <c r="D119" i="6" s="1"/>
  <c r="B120" i="6"/>
  <c r="D120" i="6" s="1"/>
  <c r="B121" i="6"/>
  <c r="D121" i="6" s="1"/>
  <c r="B122" i="6"/>
  <c r="D122" i="6" s="1"/>
  <c r="B123" i="6"/>
  <c r="D123" i="6" s="1"/>
  <c r="B124" i="6"/>
  <c r="D124" i="6" s="1"/>
  <c r="B125" i="6"/>
  <c r="D125" i="6" s="1"/>
  <c r="B126" i="6"/>
  <c r="D126" i="6" s="1"/>
  <c r="B127" i="6"/>
  <c r="D127" i="6" s="1"/>
  <c r="B128" i="6"/>
  <c r="D128" i="6" s="1"/>
  <c r="B129" i="6"/>
  <c r="D129" i="6" s="1"/>
  <c r="B130" i="6"/>
  <c r="D130" i="6" s="1"/>
  <c r="B131" i="6"/>
  <c r="D131" i="6" s="1"/>
  <c r="B132" i="6"/>
  <c r="D132" i="6" s="1"/>
  <c r="B133" i="6"/>
  <c r="D133" i="6" s="1"/>
  <c r="B134" i="6"/>
  <c r="D134" i="6" s="1"/>
  <c r="B135" i="6"/>
  <c r="D135" i="6" s="1"/>
  <c r="B136" i="6"/>
  <c r="D136" i="6" s="1"/>
  <c r="D137" i="6"/>
  <c r="D138" i="6"/>
  <c r="B139" i="6"/>
  <c r="D139" i="6" s="1"/>
  <c r="B140" i="6"/>
  <c r="D140" i="6" s="1"/>
  <c r="B141" i="6"/>
  <c r="D141" i="6" s="1"/>
  <c r="B142" i="6"/>
  <c r="D142" i="6" s="1"/>
  <c r="B143" i="6"/>
  <c r="D143" i="6" s="1"/>
  <c r="B144" i="6"/>
  <c r="D144" i="6" s="1"/>
  <c r="B145" i="6"/>
  <c r="D145" i="6" s="1"/>
  <c r="B146" i="6"/>
  <c r="D146" i="6" s="1"/>
  <c r="B147" i="6"/>
  <c r="D147" i="6" s="1"/>
  <c r="B148" i="6"/>
  <c r="D148" i="6" s="1"/>
  <c r="B149" i="6"/>
  <c r="D149" i="6" s="1"/>
  <c r="B150" i="6"/>
  <c r="D150" i="6" s="1"/>
  <c r="D151" i="6"/>
  <c r="B153" i="6"/>
  <c r="D153" i="6" s="1"/>
  <c r="B154" i="6"/>
  <c r="D154" i="6" s="1"/>
  <c r="B155" i="6"/>
  <c r="D155" i="6" s="1"/>
  <c r="B156" i="6"/>
  <c r="D156" i="6" s="1"/>
  <c r="B157" i="6"/>
  <c r="D157" i="6" s="1"/>
  <c r="B158" i="6"/>
  <c r="D158" i="6" s="1"/>
  <c r="B159" i="6"/>
  <c r="D159" i="6" s="1"/>
  <c r="B160" i="6"/>
  <c r="D160" i="6" s="1"/>
  <c r="B161" i="6"/>
  <c r="D161" i="6" s="1"/>
  <c r="B162" i="6"/>
  <c r="D162" i="6" s="1"/>
  <c r="B163" i="6"/>
  <c r="D163" i="6" s="1"/>
  <c r="B164" i="6"/>
  <c r="D164" i="6" s="1"/>
  <c r="B166" i="6"/>
  <c r="D166" i="6" s="1"/>
  <c r="B167" i="6"/>
  <c r="D167" i="6" s="1"/>
  <c r="B168" i="6"/>
  <c r="D168" i="6" s="1"/>
  <c r="B169" i="6"/>
  <c r="D169" i="6" s="1"/>
  <c r="B170" i="6"/>
  <c r="D170" i="6" s="1"/>
  <c r="B171" i="6"/>
  <c r="D171" i="6" s="1"/>
  <c r="B176" i="6"/>
  <c r="D176" i="6" s="1"/>
  <c r="B177" i="6"/>
  <c r="D177" i="6" s="1"/>
  <c r="B178" i="6"/>
  <c r="D178" i="6" s="1"/>
  <c r="B179" i="6"/>
  <c r="D179" i="6" s="1"/>
  <c r="B180" i="6"/>
  <c r="D180" i="6" s="1"/>
  <c r="B181" i="6"/>
  <c r="D181" i="6" s="1"/>
  <c r="B182" i="6"/>
  <c r="D182" i="6" s="1"/>
  <c r="B183" i="6"/>
  <c r="D183" i="6" s="1"/>
  <c r="B184" i="6"/>
  <c r="D184" i="6" s="1"/>
  <c r="B185" i="6"/>
  <c r="D185" i="6" s="1"/>
  <c r="B186" i="6"/>
  <c r="D186" i="6" s="1"/>
  <c r="B188" i="6"/>
  <c r="D188" i="6" s="1"/>
  <c r="B189" i="6"/>
  <c r="D189" i="6" s="1"/>
  <c r="B190" i="6"/>
  <c r="D190" i="6" s="1"/>
  <c r="B191" i="6"/>
  <c r="D191" i="6" s="1"/>
  <c r="B192" i="6"/>
  <c r="D192" i="6" s="1"/>
  <c r="B193" i="6"/>
  <c r="D193" i="6" s="1"/>
  <c r="B194" i="6"/>
  <c r="D194" i="6" s="1"/>
  <c r="B195" i="6"/>
  <c r="D195" i="6" s="1"/>
  <c r="B196" i="6"/>
  <c r="D196" i="6" s="1"/>
  <c r="B197" i="6"/>
  <c r="D197" i="6" s="1"/>
  <c r="B198" i="6"/>
  <c r="D198" i="6" s="1"/>
  <c r="B199" i="6"/>
  <c r="D199" i="6" s="1"/>
  <c r="D200" i="6"/>
  <c r="B201" i="6"/>
  <c r="D201" i="6" s="1"/>
  <c r="B202" i="6"/>
  <c r="D202" i="6" s="1"/>
  <c r="B203" i="6"/>
  <c r="D203" i="6" s="1"/>
  <c r="B204" i="6"/>
  <c r="D204" i="6" s="1"/>
  <c r="B205" i="6"/>
  <c r="D205" i="6" s="1"/>
  <c r="B206" i="6"/>
  <c r="D206" i="6" s="1"/>
  <c r="B207" i="6"/>
  <c r="D207" i="6" s="1"/>
  <c r="B210" i="6"/>
  <c r="D210" i="6" s="1"/>
  <c r="B211" i="6"/>
  <c r="D211" i="6" s="1"/>
  <c r="B212" i="6"/>
  <c r="D212" i="6" s="1"/>
  <c r="B213" i="6"/>
  <c r="D213" i="6" s="1"/>
  <c r="B214" i="6"/>
  <c r="D214" i="6" s="1"/>
  <c r="B215" i="6"/>
  <c r="D215" i="6" s="1"/>
  <c r="B216" i="6"/>
  <c r="D216" i="6" s="1"/>
  <c r="B217" i="6"/>
  <c r="D217" i="6" s="1"/>
  <c r="B218" i="6"/>
  <c r="D218" i="6" s="1"/>
  <c r="B219" i="6"/>
  <c r="D219" i="6" s="1"/>
  <c r="B220" i="6"/>
  <c r="D220" i="6" s="1"/>
  <c r="B221" i="6"/>
  <c r="D221" i="6" s="1"/>
  <c r="B222" i="6"/>
  <c r="D222" i="6" s="1"/>
  <c r="B223" i="6"/>
  <c r="D223" i="6" s="1"/>
  <c r="B224" i="6"/>
  <c r="D224" i="6" s="1"/>
  <c r="B225" i="6"/>
  <c r="D225" i="6" s="1"/>
  <c r="B226" i="6"/>
  <c r="D226" i="6" s="1"/>
  <c r="B227" i="6"/>
  <c r="D227" i="6" s="1"/>
  <c r="B228" i="6"/>
  <c r="D228" i="6" s="1"/>
  <c r="B229" i="6"/>
  <c r="D229" i="6" s="1"/>
  <c r="B237" i="6"/>
  <c r="D237" i="6" s="1"/>
  <c r="B238" i="6"/>
  <c r="D238" i="6" s="1"/>
  <c r="B239" i="6"/>
  <c r="D239" i="6" s="1"/>
  <c r="B240" i="6"/>
  <c r="D240" i="6" s="1"/>
  <c r="B241" i="6"/>
  <c r="D241" i="6" s="1"/>
  <c r="B243" i="6"/>
  <c r="D243" i="6" s="1"/>
  <c r="B244" i="6"/>
  <c r="D244" i="6" s="1"/>
  <c r="B245" i="6"/>
  <c r="D245" i="6" s="1"/>
  <c r="B246" i="6"/>
  <c r="D246" i="6" s="1"/>
  <c r="B247" i="6"/>
  <c r="D247" i="6" s="1"/>
  <c r="B248" i="6"/>
  <c r="D248" i="6" s="1"/>
  <c r="B249" i="6"/>
  <c r="D249" i="6" s="1"/>
  <c r="B250" i="6"/>
  <c r="D250" i="6" s="1"/>
  <c r="B251" i="6"/>
  <c r="D251" i="6" s="1"/>
  <c r="B252" i="6"/>
  <c r="D252" i="6" s="1"/>
  <c r="B253" i="6"/>
  <c r="D253" i="6" s="1"/>
  <c r="B254" i="6"/>
  <c r="D254" i="6" s="1"/>
  <c r="B255" i="6"/>
  <c r="D255" i="6" s="1"/>
  <c r="B256" i="6"/>
  <c r="D256" i="6" s="1"/>
  <c r="B257" i="6"/>
  <c r="D257" i="6" s="1"/>
  <c r="B258" i="6"/>
  <c r="D258" i="6" s="1"/>
  <c r="B259" i="6"/>
  <c r="D259" i="6" s="1"/>
  <c r="B260" i="6"/>
  <c r="D260" i="6" s="1"/>
  <c r="B261" i="6"/>
  <c r="D261" i="6" s="1"/>
  <c r="B262" i="6"/>
  <c r="D262" i="6" s="1"/>
  <c r="B263" i="6"/>
  <c r="D263" i="6" s="1"/>
  <c r="B264" i="6"/>
  <c r="D264" i="6" s="1"/>
  <c r="B265" i="6"/>
  <c r="D265" i="6" s="1"/>
  <c r="B267" i="6"/>
  <c r="D267" i="6" s="1"/>
  <c r="B268" i="6"/>
  <c r="D268" i="6" s="1"/>
  <c r="B269" i="6"/>
  <c r="D269" i="6" s="1"/>
  <c r="B270" i="6"/>
  <c r="D270" i="6" s="1"/>
  <c r="B271" i="6"/>
  <c r="D271" i="6" s="1"/>
  <c r="B272" i="6"/>
  <c r="D272" i="6" s="1"/>
  <c r="B273" i="6"/>
  <c r="D273" i="6" s="1"/>
  <c r="B274" i="6"/>
  <c r="D274" i="6" s="1"/>
  <c r="B275" i="6"/>
  <c r="D275" i="6" s="1"/>
  <c r="B276" i="6"/>
  <c r="D276" i="6" s="1"/>
  <c r="B277" i="6"/>
  <c r="D277" i="6" s="1"/>
  <c r="B278" i="6"/>
  <c r="D278" i="6" s="1"/>
  <c r="B279" i="6"/>
  <c r="D279" i="6" s="1"/>
  <c r="B280" i="6"/>
  <c r="D280" i="6" s="1"/>
  <c r="B281" i="6"/>
  <c r="D281" i="6" s="1"/>
  <c r="B282" i="6"/>
  <c r="D282" i="6" s="1"/>
  <c r="B283" i="6"/>
  <c r="D283" i="6" s="1"/>
  <c r="B284" i="6"/>
  <c r="D284" i="6" s="1"/>
  <c r="B285" i="6"/>
  <c r="D285" i="6" s="1"/>
  <c r="B286" i="6"/>
  <c r="D286" i="6" s="1"/>
  <c r="B287" i="6"/>
  <c r="D287" i="6" s="1"/>
  <c r="B288" i="6"/>
  <c r="D288" i="6" s="1"/>
  <c r="B289" i="6"/>
  <c r="D289" i="6" s="1"/>
  <c r="B290" i="6"/>
  <c r="D290" i="6" s="1"/>
  <c r="B291" i="6"/>
  <c r="D291" i="6" s="1"/>
  <c r="B292" i="6"/>
  <c r="D292" i="6" s="1"/>
  <c r="B293" i="6"/>
  <c r="D293" i="6" s="1"/>
  <c r="B294" i="6"/>
  <c r="D294" i="6" s="1"/>
  <c r="B295" i="6"/>
  <c r="D295" i="6" s="1"/>
  <c r="B296" i="6"/>
  <c r="D296" i="6" s="1"/>
  <c r="B297" i="6"/>
  <c r="D297" i="6" s="1"/>
  <c r="B298" i="6"/>
  <c r="D298" i="6" s="1"/>
  <c r="B299" i="6"/>
  <c r="D299" i="6" s="1"/>
  <c r="B300" i="6"/>
  <c r="D300"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tc={C67A75FD-0E68-437C-A1CF-11CC56EB77C0}</author>
  </authors>
  <commentList>
    <comment ref="D1" authorId="0" shapeId="0" xr:uid="{C67A75FD-0E68-437C-A1CF-11CC56EB77C0}">
      <text>
        <t>[Threaded comment]
Your version of Excel allows you to read this threaded comment; however, any edits to it will get removed if the file is opened in a newer version of Excel. Learn more: https://go.microsoft.com/fwlink/?linkid=870924
Comment:
    Yellow highlight indicates PAR missing from OneDrive (updated 01.27.2025)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tc={B38A7651-580B-4A1C-9060-88AB9B706AF4}</author>
    <author>tc={6E079E65-DBCD-483E-905C-71D1EAB5194A}</author>
  </authors>
  <commentList>
    <comment ref="D1" authorId="0" shapeId="0" xr:uid="{B38A7651-580B-4A1C-9060-88AB9B706AF4}">
      <text>
        <t>[Threaded comment]
Your version of Excel allows you to read this threaded comment; however, any edits to it will get removed if the file is opened in a newer version of Excel. Learn more: https://go.microsoft.com/fwlink/?linkid=870924
Comment:
    Yellow highlight indicates CAR missing from OneDrive (updated 01.27.2025)</t>
      </text>
    </comment>
    <comment ref="J748" authorId="1" shapeId="0" xr:uid="{6E079E65-DBCD-483E-905C-71D1EAB5194A}">
      <text>
        <t xml:space="preserve">[Threaded comment]
Your version of Excel allows you to read this threaded comment; however, any edits to it will get removed if the file is opened in a newer version of Excel. Learn more: https://go.microsoft.com/fwlink/?linkid=870924
Comment:
    Closed for BQ-9000 auditor. QA waiting for updated Appen 15B for us to close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tc={A0EB16C4-715E-447A-AF3B-ED108A65A6DD}</author>
  </authors>
  <commentList>
    <comment ref="D1" authorId="0" shapeId="0" xr:uid="{A0EB16C4-715E-447A-AF3B-ED108A65A6DD}">
      <text>
        <t>[Threaded comment]
Your version of Excel allows you to read this threaded comment; however, any edits to it will get removed if the file is opened in a newer version of Excel. Learn more: https://go.microsoft.com/fwlink/?linkid=870924
Comment:
    Yellow highlight indicates report missing from OneDrive (updated 01.27.2025)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tc={F880EB0C-25FB-42FE-B3A5-339D4F9CEFCB}</author>
  </authors>
  <commentList>
    <comment ref="D1" authorId="0" shapeId="0" xr:uid="{F880EB0C-25FB-42FE-B3A5-339D4F9CEFCB}">
      <text>
        <t>[Threaded comment]
Your version of Excel allows you to read this threaded comment; however, any edits to it will get removed if the file is opened in a newer version of Excel. Learn more: https://go.microsoft.com/fwlink/?linkid=870924
Comment:
    Yellow highlight indicates PTO missing from OneDrive (updated 01.27.2025)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tc={1AD75E28-AB6F-451A-B91C-83016666B329}</author>
  </authors>
  <commentList>
    <comment ref="D1" authorId="0" shapeId="0" xr:uid="{1AD75E28-AB6F-451A-B91C-83016666B329}">
      <text>
        <t>[Threaded comment]
Your version of Excel allows you to read this threaded comment; however, any edits to it will get removed if the file is opened in a newer version of Excel. Learn more: https://go.microsoft.com/fwlink/?linkid=870924
Comment:
    Yellow highlight indicates CAF missing from OneDrive (updated 01.27.2025)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tc={3D7DA280-C290-4BCE-9E67-467DDB0D6FD0}</author>
    <author>tc={B59257E5-D171-436C-9AEB-ACB11C0FAFEF}</author>
    <author>tc={777DA137-969E-48BA-BE19-AC02A29A5831}</author>
  </authors>
  <commentList>
    <comment ref="C1" authorId="0" shapeId="0" xr:uid="{3D7DA280-C290-4BCE-9E67-467DDB0D6FD0}">
      <text>
        <t>[Threaded comment]
Your version of Excel allows you to read this threaded comment; however, any edits to it will get removed if the file is opened in a newer version of Excel. Learn more: https://go.microsoft.com/fwlink/?linkid=870924
Comment:
    Add Lab &amp; Ops for 2024</t>
      </text>
    </comment>
    <comment ref="E2" authorId="1"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'old - 120A until 12/18/20</t>
      </text>
    </comment>
    <comment ref="E30" authorId="2"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'formerly 197L</t>
      </text>
    </comment>
  </commentList>
</comments>
</file>

<file path=xl/sharedStrings.xml><?xml version="1.0" encoding="utf-8"?>
<sst xmlns="http://schemas.openxmlformats.org/spreadsheetml/2006/main" count="13067" uniqueCount="2943">
  <si>
    <t>Location 
(drop-down)</t>
  </si>
  <si>
    <t>Location ID</t>
  </si>
  <si>
    <t>#</t>
  </si>
  <si>
    <t>PAR #</t>
  </si>
  <si>
    <t>PAR type</t>
  </si>
  <si>
    <r>
      <t xml:space="preserve">BRIEF DESCRIPTION OF PAR
</t>
    </r>
    <r>
      <rPr>
        <i/>
        <sz val="11"/>
        <color theme="1"/>
        <rFont val="Calibri"/>
        <family val="2"/>
        <scheme val="minor"/>
      </rPr>
      <t>if VOID:  Location, type, details (initials, date)</t>
    </r>
  </si>
  <si>
    <t>PAR initialized date</t>
  </si>
  <si>
    <t>QA team member initials</t>
  </si>
  <si>
    <t>Date closed</t>
  </si>
  <si>
    <t>Area (Ops, Lab, Misc., PT)
(drop-down)</t>
  </si>
  <si>
    <t>Projected Improvement</t>
  </si>
  <si>
    <t>Action taken</t>
  </si>
  <si>
    <t>Notes</t>
  </si>
  <si>
    <t>Tampa, FL</t>
  </si>
  <si>
    <t>001</t>
  </si>
  <si>
    <t>PT</t>
  </si>
  <si>
    <t>PT: JF2207; D1322 - Smoke Point, Man</t>
  </si>
  <si>
    <t>JN</t>
  </si>
  <si>
    <t>To minimize future PT outliers and improve lab accuracy.</t>
  </si>
  <si>
    <t>Ensure techs are properly trained</t>
  </si>
  <si>
    <t>002</t>
  </si>
  <si>
    <t>PT: JF2207; D6045 - Color, Auto, as D156 Saybolt</t>
  </si>
  <si>
    <t>Los Angeles (Signal Hill), CA</t>
  </si>
  <si>
    <t>003</t>
  </si>
  <si>
    <t>PT: JF2207; D56 - Flash Point, TAG, Corrected</t>
  </si>
  <si>
    <t>004</t>
  </si>
  <si>
    <t>PT: JF2207; D1840 - Napthalenes, by UVS, Proc A</t>
  </si>
  <si>
    <t>Bellingham (Ferndale), WA</t>
  </si>
  <si>
    <t>005</t>
  </si>
  <si>
    <t>PT: JF2207; D86 - Distillation, Auto, IBP</t>
  </si>
  <si>
    <t>006</t>
  </si>
  <si>
    <t>PT: JF2207; D1319 - HC Type, Olefins, Oxy-Free</t>
  </si>
  <si>
    <t>N/A</t>
  </si>
  <si>
    <t>007</t>
  </si>
  <si>
    <t>PT: R-1328; D2699 - Octane Number, Research</t>
  </si>
  <si>
    <t>Technicians to be throughly trained to improve future Z-scores.</t>
  </si>
  <si>
    <t>Training</t>
  </si>
  <si>
    <t>Brownsville, TX</t>
  </si>
  <si>
    <t>008</t>
  </si>
  <si>
    <t>PT: MG2208; D1319 - HC Type, Aromatics, Corrected &amp; Oxy-Free</t>
  </si>
  <si>
    <t>009</t>
  </si>
  <si>
    <t>PT: MG2208; D5453 - Sulfur, by UVF</t>
  </si>
  <si>
    <t>Halifax (Dartmouth), NS</t>
  </si>
  <si>
    <t>010</t>
  </si>
  <si>
    <t>PT: JF2207; D3242 - Acidity</t>
  </si>
  <si>
    <t>011</t>
  </si>
  <si>
    <t>PT: JF2207; D3338 - Net Heat of Combustion</t>
  </si>
  <si>
    <t>Bahamas (Freeport), GBI</t>
  </si>
  <si>
    <t>012</t>
  </si>
  <si>
    <t>PT: JF2207; D2622 - Sulfur by WDXRF</t>
  </si>
  <si>
    <t>VOID</t>
  </si>
  <si>
    <t>oided per local MOC 132 due to lab fire on 11/2/24.</t>
  </si>
  <si>
    <t>Cape Canaveral, FL</t>
  </si>
  <si>
    <t>013</t>
  </si>
  <si>
    <t>PT: RFG2210; D5769 - Aromatics, Total, by GC/MS (EPA)</t>
  </si>
  <si>
    <t>To minmize PT outliers and improve lab competency</t>
  </si>
  <si>
    <t>N/A, original results within ASTM test method reproducibility</t>
  </si>
  <si>
    <t>Corpus Christi, TX</t>
  </si>
  <si>
    <t>014</t>
  </si>
  <si>
    <t>PT: TM10C-22; D2700 - Motor Octane Number</t>
  </si>
  <si>
    <t>To monitor method performance</t>
  </si>
  <si>
    <t xml:space="preserve">Houston (HTC), TX </t>
  </si>
  <si>
    <t>015</t>
  </si>
  <si>
    <t>PT: RFG2210; D8071 - HC Type, Naphthenes, GC-VUV</t>
  </si>
  <si>
    <t>Monitor testing performance and improve accuracy</t>
  </si>
  <si>
    <t>Cross reference GC methods before reporting results</t>
  </si>
  <si>
    <t xml:space="preserve">Lake Charles (Sulfur), LA  </t>
  </si>
  <si>
    <t>016</t>
  </si>
  <si>
    <t>PT: RFG2211; D6839 - HC Type/Oxy, Aromatics, Benzene, &amp; Saturates, by M-D GC</t>
  </si>
  <si>
    <t>017</t>
  </si>
  <si>
    <t>PT: RFG2211; D3606 - Toluene, by GC, Proc B &amp; EPA</t>
  </si>
  <si>
    <t>retraining</t>
  </si>
  <si>
    <t>Montreal, QC</t>
  </si>
  <si>
    <t>018</t>
  </si>
  <si>
    <t>PT: RFG2211; D5453 - Sulfur, by UVF</t>
  </si>
  <si>
    <t xml:space="preserve">Mickleton (Philly), NJ </t>
  </si>
  <si>
    <t>019</t>
  </si>
  <si>
    <t>PT: NP2210; D1159 - Bromine Number, titration</t>
  </si>
  <si>
    <t>Retraining (email to all techs)</t>
  </si>
  <si>
    <t>Boston (Everett), MA</t>
  </si>
  <si>
    <t>020</t>
  </si>
  <si>
    <t>PT: AT-351; D2699 - Research Octane Number</t>
  </si>
  <si>
    <t>To ensure proper instrument function and decrease NC results</t>
  </si>
  <si>
    <t>Calibration / verification schedule established</t>
  </si>
  <si>
    <t>021</t>
  </si>
  <si>
    <t>PT: DF22210; D86 - Distillation, Auto, IBP</t>
  </si>
  <si>
    <t>Within method R</t>
  </si>
  <si>
    <t>St Croix, USVI</t>
  </si>
  <si>
    <t>022</t>
  </si>
  <si>
    <t>PT: RFG2211; D1319 - HC Type, Aromatics, Corrected (EPA)</t>
  </si>
  <si>
    <t>TMA and retraining</t>
  </si>
  <si>
    <t>023</t>
  </si>
  <si>
    <t>PT: RFG2212; D1319 19(EPA) &amp; -20a - HC Type, Olefins, Corrected &amp; Oxy-Free</t>
  </si>
  <si>
    <t>024</t>
  </si>
  <si>
    <t>Internal assessment (9001 &amp; 17025)</t>
  </si>
  <si>
    <t>IA: Irving Flow Times SOP should be locally controlled</t>
  </si>
  <si>
    <t>ECC</t>
  </si>
  <si>
    <t>Lab</t>
  </si>
  <si>
    <t>To control all non-AmSpec SOPs</t>
  </si>
  <si>
    <t>Controlled SOP</t>
  </si>
  <si>
    <t>025</t>
  </si>
  <si>
    <t>IA: Surrogate bottle RVP-03 has lost some liquid and will be redone</t>
  </si>
  <si>
    <t>Aid lab in observing correct volumes and temps</t>
  </si>
  <si>
    <t>Redo reference bottle</t>
  </si>
  <si>
    <t>026</t>
  </si>
  <si>
    <t>IA: FL 15.3s do not record hours that oil was changed, no record of filter change</t>
  </si>
  <si>
    <t>To ensure record of maintenance is recorded</t>
  </si>
  <si>
    <t>Completed FL 15.3 for last oil/filter change</t>
  </si>
  <si>
    <t>Memphis, TN</t>
  </si>
  <si>
    <t>027</t>
  </si>
  <si>
    <t>PT: RFG2212; D86 - HC Type, Saturates, Corrected (EPA)</t>
  </si>
  <si>
    <t>Syringes have been uniquely identified. Controlled reference documented posted in D1319 area</t>
  </si>
  <si>
    <t>Collins (Purvis), MS</t>
  </si>
  <si>
    <t>028</t>
  </si>
  <si>
    <t>PT: CE501; D5769 - Total Aromatics</t>
  </si>
  <si>
    <t>029</t>
  </si>
  <si>
    <t>PT: CE501; D2699 - Research Octane Number</t>
  </si>
  <si>
    <t>030</t>
  </si>
  <si>
    <t xml:space="preserve">Controlled SOP </t>
  </si>
  <si>
    <t>031</t>
  </si>
  <si>
    <t>PT: DF22210; D4052 - API Gravity, Digital, 60 °F</t>
  </si>
  <si>
    <t>032</t>
  </si>
  <si>
    <t>PT: DF22210; D189 - Carbon Residue, Conradson</t>
  </si>
  <si>
    <t>transcription error</t>
  </si>
  <si>
    <t>033</t>
  </si>
  <si>
    <t>PT: RFG2212; D5188 - V/L Ratio Temp, Evac Chamber</t>
  </si>
  <si>
    <t>Ft Lauderdale (Davie), FL</t>
  </si>
  <si>
    <t>034</t>
  </si>
  <si>
    <t>IA - QC</t>
  </si>
  <si>
    <t>RB</t>
  </si>
  <si>
    <t>Completed RVP notes in QC Plus</t>
  </si>
  <si>
    <t>VOIDED ASSMT/CAR/PAR NO</t>
  </si>
  <si>
    <t>035</t>
  </si>
  <si>
    <t>VOID: Ft. Lauderdale, IA - Equipment Maintenance (RB)</t>
  </si>
  <si>
    <t>036</t>
  </si>
  <si>
    <t>IA - TMA D445</t>
  </si>
  <si>
    <t>Thermometer placement</t>
  </si>
  <si>
    <t>037</t>
  </si>
  <si>
    <t>IA - TMA D5769</t>
  </si>
  <si>
    <t>Improve results</t>
  </si>
  <si>
    <t>Method review</t>
  </si>
  <si>
    <t>038</t>
  </si>
  <si>
    <t>IA - PT</t>
  </si>
  <si>
    <t>Improve PT program</t>
  </si>
  <si>
    <t>Enroll in additional programs</t>
  </si>
  <si>
    <t>039</t>
  </si>
  <si>
    <t>IA - Purchasing</t>
  </si>
  <si>
    <t>Operations</t>
  </si>
  <si>
    <t>PO Compliance</t>
  </si>
  <si>
    <t>Quality statement</t>
  </si>
  <si>
    <t>040</t>
  </si>
  <si>
    <t>IA - Quality &amp; Safety Meetings</t>
  </si>
  <si>
    <t>Emp knowledge</t>
  </si>
  <si>
    <t>Review policies</t>
  </si>
  <si>
    <t>041</t>
  </si>
  <si>
    <t>IA - Outsourcing</t>
  </si>
  <si>
    <t>Corp form usage</t>
  </si>
  <si>
    <t>Remove older version</t>
  </si>
  <si>
    <t>042</t>
  </si>
  <si>
    <t>Customer audit   </t>
  </si>
  <si>
    <t>Management Of Change</t>
  </si>
  <si>
    <t>HB</t>
  </si>
  <si>
    <t>043</t>
  </si>
  <si>
    <t>TMA record for ASTM D
1838 Copper corrosion
and IMPCA -03
Appearance of methanol
during 2020 are not available.</t>
  </si>
  <si>
    <t>044</t>
  </si>
  <si>
    <t>Corrections to the
handwritten entries not
traceable in 3 out of 12
examples e.g. 120-2210588,
120-21-10371,
120-2301583-009.</t>
  </si>
  <si>
    <t>045</t>
  </si>
  <si>
    <t>ASTM D5453-19a during
TMA, it was observed
that syringe drive rate
was 0.01 micorl/s instead
of 1microl/s, furnace
oxygen flowmeter settings
are to be within
450ml/min to 500ml/min
however it was 447
ml/min actual.</t>
  </si>
  <si>
    <t>Chicago, IL</t>
  </si>
  <si>
    <t>046</t>
  </si>
  <si>
    <t>PT: DF22210; D1319 - HC Type, Olefins, Oxy-Free</t>
  </si>
  <si>
    <t>Port Arthur (Beaumont), TX</t>
  </si>
  <si>
    <t>047</t>
  </si>
  <si>
    <t>PT: DF22210; D86 - Distillation, Auto, 50%, 60%, &amp; 90%</t>
  </si>
  <si>
    <t>San Francisco (Concord), CA</t>
  </si>
  <si>
    <t>048</t>
  </si>
  <si>
    <t>PT: RFG2301; D5769 - Aromatics, Total, by GC/MS</t>
  </si>
  <si>
    <t>Replaced septum</t>
  </si>
  <si>
    <t>Texas City, TX</t>
  </si>
  <si>
    <t>049</t>
  </si>
  <si>
    <t>PT: RFG2301; D86 - Distillation, Auto, IBP</t>
  </si>
  <si>
    <t>050</t>
  </si>
  <si>
    <t>PT: RFG2301; D5188 - V/L Ratio Temp, Evac Chamber</t>
  </si>
  <si>
    <t>051</t>
  </si>
  <si>
    <t>PT: JF2211; D1840 - Napthalenes, by UVS, Proc B</t>
  </si>
  <si>
    <t>avoid outlier</t>
  </si>
  <si>
    <t xml:space="preserve">none. Bad sample </t>
  </si>
  <si>
    <t>052</t>
  </si>
  <si>
    <t>IA: Document Control</t>
  </si>
  <si>
    <t>CS</t>
  </si>
  <si>
    <t>Document Control</t>
  </si>
  <si>
    <t>053</t>
  </si>
  <si>
    <t>IA: Octane Engines Not on Top Dead Center</t>
  </si>
  <si>
    <t>Preventive Maintenance</t>
  </si>
  <si>
    <t>054</t>
  </si>
  <si>
    <t>055</t>
  </si>
  <si>
    <t>Chevron - Safety Observations</t>
  </si>
  <si>
    <t>Safe working enviroment</t>
  </si>
  <si>
    <t>F Hood verification / Monthly safety review with inspectors</t>
  </si>
  <si>
    <t>Inscal 04,05 Monthly safety mtg</t>
  </si>
  <si>
    <t>056</t>
  </si>
  <si>
    <t>PT: D-1190; D613 - Cetane Number</t>
  </si>
  <si>
    <t>Refresher training, impact study</t>
  </si>
  <si>
    <t>057</t>
  </si>
  <si>
    <t>PT: OC2212; D2700 - Octane Number, Motor</t>
  </si>
  <si>
    <t>Octane Engine maintenance</t>
  </si>
  <si>
    <t>058</t>
  </si>
  <si>
    <t>PT: ETOH2212; D5501 - Ethanol, By GC</t>
  </si>
  <si>
    <t>Portland, ME</t>
  </si>
  <si>
    <t>059</t>
  </si>
  <si>
    <t>PT: ETOH2212; D5501 - Methanol, By GC</t>
  </si>
  <si>
    <t>Added component to QC schedule</t>
  </si>
  <si>
    <t>060</t>
  </si>
  <si>
    <t>PT: ETOH2212; D5453 - Sulfur, by UVF</t>
  </si>
  <si>
    <t>061</t>
  </si>
  <si>
    <t>PT: RFG2303; D1319-19 (EPA) &amp; D1319-20a - HC Type, Olefins, Corrected &amp; D1319-20a - HC Type, Olefins, Oxy-free</t>
  </si>
  <si>
    <t xml:space="preserve">Proper storage for Silica gel </t>
  </si>
  <si>
    <t>062</t>
  </si>
  <si>
    <t>PT: RFG2302; D5191, Vapor Pressure, DVPE, 1L (EPA)</t>
  </si>
  <si>
    <t>To minimize human error and improve the ability to produce consistent accurate results</t>
  </si>
  <si>
    <t>063</t>
  </si>
  <si>
    <t>PT: CO2211; D4007 - Water and Sediment, Centrifuge</t>
  </si>
  <si>
    <t>064</t>
  </si>
  <si>
    <t>PT: F62209; D97 - Pour Point, Residual Fuels</t>
  </si>
  <si>
    <t>065</t>
  </si>
  <si>
    <t>PT: F62209; D473 - Sediment</t>
  </si>
  <si>
    <t>Avenel (NYH), NJ</t>
  </si>
  <si>
    <t>066</t>
  </si>
  <si>
    <t>PT: F62009; D482 - Ash</t>
  </si>
  <si>
    <t>067</t>
  </si>
  <si>
    <t>PT: F62209; D93 - Flash Point, PMCC, Proc B, corr</t>
  </si>
  <si>
    <t>Apparatus performance</t>
  </si>
  <si>
    <t>068</t>
  </si>
  <si>
    <t>Pecos (West Texas), TX</t>
  </si>
  <si>
    <t>069</t>
  </si>
  <si>
    <t>PT: CO2211; D7169 - BP Dist by HT-GC, Cut 8, 720C (1328F)</t>
  </si>
  <si>
    <t>Review SOP/training</t>
  </si>
  <si>
    <t>Puerto Rico</t>
  </si>
  <si>
    <t>070</t>
  </si>
  <si>
    <t>Refresher training, reference document for lab staff</t>
  </si>
  <si>
    <t>071</t>
  </si>
  <si>
    <t>PT: JF2211; D3338 - Net Heat of Combustion</t>
  </si>
  <si>
    <t>To monitor method performance and technician capabilities</t>
  </si>
  <si>
    <t>Retraining</t>
  </si>
  <si>
    <t>072</t>
  </si>
  <si>
    <t>PT: JF2211; D93 - Flash Point, TAG, Corrected</t>
  </si>
  <si>
    <t>073</t>
  </si>
  <si>
    <t>PT: JF2211; D2386 - Freeze Point</t>
  </si>
  <si>
    <t>074</t>
  </si>
  <si>
    <t>PT: JF2211; D3227 - Mercaptan Sulfur, Potentiometric</t>
  </si>
  <si>
    <t>075</t>
  </si>
  <si>
    <t>PT: JF2211; D1319 - HC Type, Aromatics, Oxy-Free</t>
  </si>
  <si>
    <t>076</t>
  </si>
  <si>
    <t>PT: JF2211; D2887 - BP Distribution, GC, Proc B, 20% &amp; 70%</t>
  </si>
  <si>
    <t>To improve method performance</t>
  </si>
  <si>
    <t>Results within method R</t>
  </si>
  <si>
    <t>077</t>
  </si>
  <si>
    <t>PT: CE504; D1319 - Olefins (Oxy-Free)</t>
  </si>
  <si>
    <t>To improve  results</t>
  </si>
  <si>
    <t>078</t>
  </si>
  <si>
    <t>PT: R-1334; Gravity, API at 60oF</t>
  </si>
  <si>
    <t>To improve data integrity</t>
  </si>
  <si>
    <t>Refresher training</t>
  </si>
  <si>
    <t>079</t>
  </si>
  <si>
    <t>PT: R-1331 &amp; R-1332; D2700 - Motor Octane Number</t>
  </si>
  <si>
    <t>Implement D2700 QC</t>
  </si>
  <si>
    <t>080</t>
  </si>
  <si>
    <t>081</t>
  </si>
  <si>
    <t>082</t>
  </si>
  <si>
    <t>Other (QC, customer alert, improper procedure)</t>
  </si>
  <si>
    <t>Lab Improvement - D1159 Bromine number</t>
  </si>
  <si>
    <t>Reinstall D1159 program</t>
  </si>
  <si>
    <t>083</t>
  </si>
  <si>
    <t>AOC - USCBP Signatory</t>
  </si>
  <si>
    <t>Comply CBP COA requirements</t>
  </si>
  <si>
    <t>Format COAs</t>
  </si>
  <si>
    <t>084</t>
  </si>
  <si>
    <t>AOC - MOC for Agri relocation</t>
  </si>
  <si>
    <t>Improve accuracy of equipment list</t>
  </si>
  <si>
    <t>MOC for instrument transfer to Agri</t>
  </si>
  <si>
    <t>085</t>
  </si>
  <si>
    <t>AOC - Chemical inventory</t>
  </si>
  <si>
    <t>086</t>
  </si>
  <si>
    <t>AOC - Laboratory training</t>
  </si>
  <si>
    <t>New TMA matrix/all LSOP1s signed</t>
  </si>
  <si>
    <t>087</t>
  </si>
  <si>
    <t xml:space="preserve">AOC - Lab Equipment Maintenance </t>
  </si>
  <si>
    <t>FL 24, glassware cooler, Cal schedule</t>
  </si>
  <si>
    <t>088</t>
  </si>
  <si>
    <t>OFI - PAR Log</t>
  </si>
  <si>
    <t>Document control</t>
  </si>
  <si>
    <t>Compile PAR Log</t>
  </si>
  <si>
    <t>089</t>
  </si>
  <si>
    <t>OFI - Equipment Maintenance / Consolidate working thermometer verification dates</t>
  </si>
  <si>
    <t>Reduce verification dates</t>
  </si>
  <si>
    <t>Consolidate working therm verification dates</t>
  </si>
  <si>
    <t>090</t>
  </si>
  <si>
    <t>091</t>
  </si>
  <si>
    <t>PT: F62209; D4294 - Sulfur, by EDXRF</t>
  </si>
  <si>
    <t>092</t>
  </si>
  <si>
    <t>093</t>
  </si>
  <si>
    <t>PT: F62209; D482 - Ash</t>
  </si>
  <si>
    <t>094</t>
  </si>
  <si>
    <t>PT: D-1189; D445 - Viscosity at 40°C</t>
  </si>
  <si>
    <t>Cleaning procedure implemented</t>
  </si>
  <si>
    <t>095</t>
  </si>
  <si>
    <t>Recalibration with all 5 levels for Methanol curve</t>
  </si>
  <si>
    <t>096</t>
  </si>
  <si>
    <t>PT: ETOH2212; pHe</t>
  </si>
  <si>
    <t>To improve D6423 pHe results</t>
  </si>
  <si>
    <t>Replaced probe</t>
  </si>
  <si>
    <t>097</t>
  </si>
  <si>
    <t>reference document developed for lab techs</t>
  </si>
  <si>
    <t>098</t>
  </si>
  <si>
    <t>099</t>
  </si>
  <si>
    <t>PT: CO2211; D5762 - Nitrogen, Boat-Inlet Chemilum</t>
  </si>
  <si>
    <t>100</t>
  </si>
  <si>
    <t>PT: CO2211; D4294 - Sulfur, by EDXRF</t>
  </si>
  <si>
    <t>101</t>
  </si>
  <si>
    <t>PT: JF2211; D3948 - Water Separation, by Portable Sep</t>
  </si>
  <si>
    <t>102</t>
  </si>
  <si>
    <t>PT: JF2211; D56 - Flash Point, TAG, Corrected</t>
  </si>
  <si>
    <t>103</t>
  </si>
  <si>
    <t>PT: JF2211; D86 - Distillation, Auto, IBP</t>
  </si>
  <si>
    <t>New Orleans (Destrehan), LA</t>
  </si>
  <si>
    <t>104</t>
  </si>
  <si>
    <t>PT: JF2211; D2622 - Sulfur by WDXRF</t>
  </si>
  <si>
    <t>105</t>
  </si>
  <si>
    <t>106</t>
  </si>
  <si>
    <t>PT: RFG2302; D1319 - HC Type, Aromatics, Oxy-Free (EPA)</t>
  </si>
  <si>
    <t>Use Pre-dried silica packs</t>
  </si>
  <si>
    <t>Mobile, AL</t>
  </si>
  <si>
    <t>107</t>
  </si>
  <si>
    <t>PT: CE503; D2699 - Research Octane Number &amp; R-M Sensitivity</t>
  </si>
  <si>
    <t>Ensure functionality of equipment</t>
  </si>
  <si>
    <t>108</t>
  </si>
  <si>
    <t>PT: DF22302; D2624 - Electrical Conductivity, Proc A</t>
  </si>
  <si>
    <t>109</t>
  </si>
  <si>
    <t>VOID: 3rd party audit, General discussion during customer audit (AH)</t>
  </si>
  <si>
    <t>110</t>
  </si>
  <si>
    <t>PT: RFG2303; D1319 - HC Type, Olefins, Corrected (EPA)</t>
  </si>
  <si>
    <t>111</t>
  </si>
  <si>
    <t>PT: TM03C-23; D2700 - Motor Octane Number</t>
  </si>
  <si>
    <t>112</t>
  </si>
  <si>
    <t>PT: MG2212; D3606 - Toluene, by GC, Proc B (EPA)</t>
  </si>
  <si>
    <t>113</t>
  </si>
  <si>
    <t>PT: F62301; D4870 - Sediment, Total</t>
  </si>
  <si>
    <t>114</t>
  </si>
  <si>
    <t>115</t>
  </si>
  <si>
    <t>PT: RFG2304; D1319 - HC Type, Olefins, Corrected &amp; Oxy-Free (EPA)</t>
  </si>
  <si>
    <t>116</t>
  </si>
  <si>
    <t>PT: DF22302; D6079 - Lubricity, HFRR, Scar Diameter</t>
  </si>
  <si>
    <t>117</t>
  </si>
  <si>
    <t>PT: DF22302; D2500 - Cloud Point</t>
  </si>
  <si>
    <t>118</t>
  </si>
  <si>
    <t>PT: DF22302; D93 - Flash Point, PMCC, Proc A, corrected</t>
  </si>
  <si>
    <t>119</t>
  </si>
  <si>
    <t>PT: DF22302; D4052 - API Gravity, Digital, 60 °F</t>
  </si>
  <si>
    <t>120</t>
  </si>
  <si>
    <t>PT: CET2302; D445 - Viscosity, Kinematic, 40 °C</t>
  </si>
  <si>
    <t>121</t>
  </si>
  <si>
    <t>PT: CET2302; D2622 - Sulfur by WDXRF</t>
  </si>
  <si>
    <t>Daily Sulfur Window change log initiated</t>
  </si>
  <si>
    <t>122</t>
  </si>
  <si>
    <t>PT: RFG2305; D2622 - Sulfur by WDXRF &amp; EPA</t>
  </si>
  <si>
    <t>123</t>
  </si>
  <si>
    <t>PT: RFG2305; D5453 - Sulfur, by UVF</t>
  </si>
  <si>
    <t>Increased QC frequency</t>
  </si>
  <si>
    <t>124</t>
  </si>
  <si>
    <t>PT: F62301; D482 - Ash</t>
  </si>
  <si>
    <t>125</t>
  </si>
  <si>
    <t>PT: DF22302; D6304 - Water, by Coul KF, Meth A Direct Injection, mg/kg</t>
  </si>
  <si>
    <t>126</t>
  </si>
  <si>
    <t>PT: DF22302; D1319 - HC Type, Olefins &amp; Saturates, Oxy-Free</t>
  </si>
  <si>
    <t>127</t>
  </si>
  <si>
    <t>PT: F62301; D1796 - Water and Sediment by Centrifuge</t>
  </si>
  <si>
    <t>128</t>
  </si>
  <si>
    <t>PT: DF22302; D445 - Viscosity, Kinematic, 40 °C</t>
  </si>
  <si>
    <t>Belle Chasse, LA</t>
  </si>
  <si>
    <t>129</t>
  </si>
  <si>
    <t>PT: DF22302; D86 - Distillation, Auto, 90% &amp; 95%</t>
  </si>
  <si>
    <t>130</t>
  </si>
  <si>
    <t>Minimize PT outliers</t>
  </si>
  <si>
    <t>TMA performed. ASTM D2500 added to yearly TMA schedule</t>
  </si>
  <si>
    <t>131</t>
  </si>
  <si>
    <t>PT: DF22302; D1298 - Density, by Hydrometer at 15 °C</t>
  </si>
  <si>
    <t>132</t>
  </si>
  <si>
    <t>PT: DF22302; D1319 - HC Type, Olefins, Oxy-Free</t>
  </si>
  <si>
    <t>133</t>
  </si>
  <si>
    <t>PT: F62301; D5185 - Element, Iron, ICPAES</t>
  </si>
  <si>
    <t>134</t>
  </si>
  <si>
    <t>PT: ETOH2304; D7795 - Acidity, Proc B</t>
  </si>
  <si>
    <t>TMA, SQC added to QC schedule</t>
  </si>
  <si>
    <t>135</t>
  </si>
  <si>
    <t>PT: AT-353; D2700 - Motor Octane Number</t>
  </si>
  <si>
    <t>Re-training</t>
  </si>
  <si>
    <t>136</t>
  </si>
  <si>
    <t>Refresher Training</t>
  </si>
  <si>
    <t>137</t>
  </si>
  <si>
    <t>VOID: Mickleton (Asphalt): IA reference probes in use AOC, duplicate of P150-180-23</t>
  </si>
  <si>
    <t>Duplicate of P150-180-23</t>
  </si>
  <si>
    <t>138</t>
  </si>
  <si>
    <t>PT: AT-353; D86 - Distillation, 50%</t>
  </si>
  <si>
    <t>Proper Sample handling</t>
  </si>
  <si>
    <t>local lab management monitor</t>
  </si>
  <si>
    <t>139</t>
  </si>
  <si>
    <t>140</t>
  </si>
  <si>
    <t>PT: ETOH2304; D5453 - Sulfur, by UVF</t>
  </si>
  <si>
    <t>141</t>
  </si>
  <si>
    <t>PT: RFG2305; D1319 - HC Type, Saturates, Oxy-Free (EPA)</t>
  </si>
  <si>
    <t>re-training</t>
  </si>
  <si>
    <t>Yorktown (Norfolk), VA</t>
  </si>
  <si>
    <t>142</t>
  </si>
  <si>
    <t>PT: RFG2305; D5599 - Oxygenates, Oxygen, Total, by GC OFID (EPA)</t>
  </si>
  <si>
    <t>143</t>
  </si>
  <si>
    <t>Smoke and Carbon Monoxide Detector</t>
  </si>
  <si>
    <t>ECo</t>
  </si>
  <si>
    <t>Prevent unsafe environment</t>
  </si>
  <si>
    <t>Change batteries monthly</t>
  </si>
  <si>
    <t>144</t>
  </si>
  <si>
    <t>Fuel Drums</t>
  </si>
  <si>
    <t>Monthly inspection log</t>
  </si>
  <si>
    <t>145</t>
  </si>
  <si>
    <t>Duct Work</t>
  </si>
  <si>
    <t>Prevent fire hazard</t>
  </si>
  <si>
    <t>Yearly Duct Work cleaning</t>
  </si>
  <si>
    <t>146</t>
  </si>
  <si>
    <t>Retain Room</t>
  </si>
  <si>
    <t>Ensure access to more fire extinguishers</t>
  </si>
  <si>
    <t>Obtain 3 fire extinguishers</t>
  </si>
  <si>
    <t>147</t>
  </si>
  <si>
    <t xml:space="preserve">Lab not familiar with TPI and σmax monitoring requirement </t>
  </si>
  <si>
    <t>Better understanding of monitoring requirements</t>
  </si>
  <si>
    <t>148</t>
  </si>
  <si>
    <t>D664 results</t>
  </si>
  <si>
    <t>KA</t>
  </si>
  <si>
    <t>Prevent D664 mistakes</t>
  </si>
  <si>
    <t>Did TMV for all technicians in Lab</t>
  </si>
  <si>
    <t>149</t>
  </si>
  <si>
    <t>IA: Asphalt - TMA.</t>
  </si>
  <si>
    <t>AH</t>
  </si>
  <si>
    <t>150</t>
  </si>
  <si>
    <t>IA: Asphalt - MOC</t>
  </si>
  <si>
    <t>MT</t>
  </si>
  <si>
    <t>151</t>
  </si>
  <si>
    <t>Monthly bath temperature check for D1838 is being performed at the ice point – need to also include test temperature.</t>
  </si>
  <si>
    <t>Newfoundland (Arnold's Cove)</t>
  </si>
  <si>
    <t>152</t>
  </si>
  <si>
    <t>Job order content can be improved to better communicate requirements</t>
  </si>
  <si>
    <t>GF</t>
  </si>
  <si>
    <t>Revise statement on Job order to clarify requirements</t>
  </si>
  <si>
    <t>Statement has been revised</t>
  </si>
  <si>
    <t>153</t>
  </si>
  <si>
    <t>D4292 Run Log</t>
  </si>
  <si>
    <t>154</t>
  </si>
  <si>
    <t xml:space="preserve">64F thermometer, SN 8426 - Calibration certificate reflects due date 04.06.2018, record should be maintained when expiration date is not applicable, and unit is assessed biannually to extend calibration due date. Working thermometer temperatures were not recorded to accuracy that is required to determine if unit pass/fail tolerance.
</t>
  </si>
  <si>
    <t>155</t>
  </si>
  <si>
    <t xml:space="preserve">D6667 Cal date 11.01.2019 (method D6667 S&amp;N 1200mV). One of two verification standards expired at time of use.
</t>
  </si>
  <si>
    <t>156</t>
  </si>
  <si>
    <t xml:space="preserve">Routine maintenance (other than oil and filter changes) for the cetane engine needs to be scheduled activities and be properly documented.
</t>
  </si>
  <si>
    <t>157</t>
  </si>
  <si>
    <t>General lab practices</t>
  </si>
  <si>
    <t xml:space="preserve">Ensure lab results are of good quality, traceable, and possible hazards avoided. </t>
  </si>
  <si>
    <t>158</t>
  </si>
  <si>
    <t>CITGO:  method deviations</t>
  </si>
  <si>
    <t>Ensure all techs are performing method according to ASTM requirements.</t>
  </si>
  <si>
    <t>159</t>
  </si>
  <si>
    <t>VOID: Corporate, Other, Method specific TMAs (KA, 09.04.2025)</t>
  </si>
  <si>
    <t>PAR completed and recorded in 2024 log</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</si>
  <si>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</si>
  <si>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</si>
  <si>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</si>
  <si>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</si>
  <si>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</si>
  <si>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</si>
  <si>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</si>
  <si>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</si>
  <si>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</si>
  <si>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</si>
  <si>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</si>
  <si>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</si>
  <si>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</si>
  <si>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</si>
  <si>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</si>
  <si>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</si>
  <si>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</si>
  <si>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</si>
  <si>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</si>
  <si>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</si>
  <si>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</si>
  <si>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</si>
  <si>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</si>
  <si>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</si>
  <si>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</si>
  <si>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</si>
  <si>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</si>
  <si>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</si>
  <si>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</si>
  <si>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</si>
  <si>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</si>
  <si>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</si>
  <si>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</si>
  <si>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</si>
  <si>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</si>
  <si>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</si>
  <si>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</si>
  <si>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</si>
  <si>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</si>
  <si>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</si>
  <si>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</si>
  <si>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</si>
  <si>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</si>
  <si>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</si>
  <si>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</si>
  <si>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</si>
  <si>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</si>
  <si>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</si>
  <si>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</si>
  <si>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</si>
  <si>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</si>
  <si>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</si>
  <si>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</si>
  <si>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</si>
  <si>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</si>
  <si>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</si>
  <si>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</si>
  <si>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</si>
  <si>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</si>
  <si>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</si>
  <si>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</si>
  <si>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</si>
  <si>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</si>
  <si>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</si>
  <si>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</si>
  <si>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</si>
  <si>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</si>
  <si>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</si>
  <si>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</si>
  <si>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</si>
  <si>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</si>
  <si>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</si>
  <si>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</si>
  <si>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</si>
  <si>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</si>
  <si>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</si>
  <si>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</si>
  <si>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</si>
  <si>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</si>
  <si>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</si>
  <si>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</si>
  <si>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</si>
  <si>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</si>
  <si>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</si>
  <si>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</si>
  <si>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</si>
  <si>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</si>
  <si>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</si>
  <si>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</si>
  <si>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</si>
  <si>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</si>
  <si>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</si>
  <si>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</si>
  <si>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</si>
  <si>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</si>
  <si>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</si>
  <si>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</si>
  <si>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</si>
  <si>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</si>
  <si>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</si>
  <si>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</si>
  <si>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</si>
  <si>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</si>
  <si>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</si>
  <si>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</si>
  <si>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</si>
  <si>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</si>
  <si>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</si>
  <si>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</si>
  <si>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</si>
  <si>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</si>
  <si>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</si>
  <si>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</si>
  <si>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</si>
  <si>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</si>
  <si>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</si>
  <si>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</si>
  <si>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</si>
  <si>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</si>
  <si>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</si>
  <si>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</si>
  <si>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</si>
  <si>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</si>
  <si>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</si>
  <si>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</si>
  <si>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</si>
  <si>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</si>
  <si>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</si>
  <si>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</si>
  <si>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</si>
  <si>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</si>
  <si>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</si>
  <si>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</si>
  <si>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</si>
  <si>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</si>
  <si>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</si>
  <si>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</si>
  <si>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</si>
  <si>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</si>
  <si>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</si>
  <si>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</si>
  <si>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</si>
  <si>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</si>
  <si>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</si>
  <si>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</si>
  <si>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</si>
  <si>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</si>
  <si>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</si>
  <si>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</si>
  <si>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</si>
  <si>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</si>
  <si>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</si>
  <si>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</si>
  <si>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</si>
  <si>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</si>
  <si>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</si>
  <si>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</si>
  <si>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</si>
  <si>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</si>
  <si>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</si>
  <si>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</si>
  <si>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</si>
  <si>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</si>
  <si>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</si>
  <si>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</si>
  <si>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</si>
  <si>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</si>
  <si>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</si>
  <si>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</si>
  <si>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</si>
  <si>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</si>
  <si>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</si>
  <si>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</si>
  <si>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</si>
  <si>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</si>
  <si>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</si>
  <si>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</si>
  <si>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</si>
  <si>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</si>
  <si>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</si>
  <si>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</si>
  <si>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</si>
  <si>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</si>
  <si>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</si>
  <si>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</si>
  <si>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</si>
  <si>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</si>
  <si>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</si>
  <si>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</si>
  <si>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</si>
  <si>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</si>
  <si>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</si>
  <si>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</si>
  <si>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</si>
  <si>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</si>
  <si>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</si>
  <si>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</si>
  <si>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</si>
  <si>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</si>
  <si>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</si>
  <si>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</si>
  <si>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</si>
  <si>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</si>
  <si>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</si>
  <si>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</si>
  <si>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</si>
  <si>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</si>
  <si>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</si>
  <si>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</si>
  <si>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</si>
  <si>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</si>
  <si>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</si>
  <si>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</si>
  <si>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</si>
  <si>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</si>
  <si>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</si>
  <si>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</si>
  <si>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</si>
  <si>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</si>
  <si>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</si>
  <si>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</si>
  <si>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</si>
  <si>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</si>
  <si>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</si>
  <si>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</si>
  <si>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</si>
  <si>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</si>
  <si>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</si>
  <si>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</si>
  <si>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</si>
  <si>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</si>
  <si>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</si>
  <si>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</si>
  <si>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</si>
  <si>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</si>
  <si>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</si>
  <si>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</si>
  <si>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</si>
  <si>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</si>
  <si>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</si>
  <si>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</si>
  <si>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</si>
  <si>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</si>
  <si>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</si>
  <si>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</si>
  <si>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</si>
  <si>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</si>
  <si>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</si>
  <si>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</si>
  <si>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</si>
  <si>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</si>
  <si>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</si>
  <si>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</si>
  <si>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</si>
  <si>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</si>
  <si>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</si>
  <si>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</si>
  <si>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</si>
  <si>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</si>
  <si>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</si>
  <si>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</si>
  <si>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</si>
  <si>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</si>
  <si>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</si>
  <si>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</si>
  <si>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</si>
  <si>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</si>
  <si>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</si>
  <si>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</si>
  <si>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</si>
  <si>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</si>
  <si>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</si>
  <si>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</si>
  <si>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</si>
  <si>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</si>
  <si>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</si>
  <si>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</si>
  <si>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</si>
  <si>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</si>
  <si>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</si>
  <si>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</si>
  <si>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</si>
  <si>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</si>
  <si>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</si>
  <si>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</si>
  <si>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</si>
  <si>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</si>
  <si>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</si>
  <si>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</si>
  <si>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</si>
  <si>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</si>
  <si>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</si>
  <si>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</si>
  <si>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</si>
  <si>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</si>
  <si>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</si>
  <si>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</si>
  <si>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</si>
  <si>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</si>
  <si>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</si>
  <si>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</si>
  <si>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</si>
  <si>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</si>
  <si>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</si>
  <si>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</si>
  <si>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</si>
  <si>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</si>
  <si>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</si>
  <si>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</si>
  <si>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</si>
  <si>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</si>
  <si>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</si>
  <si>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</si>
  <si>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</si>
  <si>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</si>
  <si>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</si>
  <si>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</si>
  <si>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</si>
  <si>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</si>
  <si>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</si>
  <si>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</si>
  <si>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</si>
  <si>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</si>
  <si>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</si>
  <si>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</si>
  <si>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</si>
  <si>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</si>
  <si>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</si>
  <si>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</si>
  <si>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</si>
  <si>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</si>
  <si>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</si>
  <si>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</si>
  <si>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</si>
  <si>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</si>
  <si>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</si>
  <si>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</si>
  <si>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</si>
  <si>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</si>
  <si>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</si>
  <si>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</si>
  <si>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CAR #</t>
  </si>
  <si>
    <t>Area</t>
  </si>
  <si>
    <t>CAR Type</t>
  </si>
  <si>
    <r>
      <t xml:space="preserve">BRIEF DESCRIPTION OF NC
</t>
    </r>
    <r>
      <rPr>
        <i/>
        <sz val="11"/>
        <color theme="1"/>
        <rFont val="Calibri"/>
        <family val="2"/>
        <scheme val="minor"/>
      </rPr>
      <t>if VOID:  "VOID, Location, type, 
details (initials, date)"</t>
    </r>
  </si>
  <si>
    <t>CAR initialized date</t>
  </si>
  <si>
    <t>Date Corrective Action completed</t>
  </si>
  <si>
    <t>Effectiveness Review &amp; date deemed effective</t>
  </si>
  <si>
    <r>
      <t xml:space="preserve">Area (Lab, Ops, PT, Misc.)
</t>
    </r>
    <r>
      <rPr>
        <i/>
        <sz val="11"/>
        <color theme="1"/>
        <rFont val="Calibri"/>
        <family val="2"/>
        <scheme val="minor"/>
      </rPr>
      <t>(drop-down)</t>
    </r>
  </si>
  <si>
    <r>
      <t xml:space="preserve">Types of Deficiency
</t>
    </r>
    <r>
      <rPr>
        <i/>
        <sz val="11"/>
        <color theme="1"/>
        <rFont val="Calibri"/>
        <family val="2"/>
        <scheme val="minor"/>
      </rPr>
      <t>(drop-down)</t>
    </r>
  </si>
  <si>
    <r>
      <t xml:space="preserve">Types of Root Cause
</t>
    </r>
    <r>
      <rPr>
        <i/>
        <sz val="11"/>
        <color theme="1"/>
        <rFont val="Calibri"/>
        <family val="2"/>
        <scheme val="minor"/>
      </rPr>
      <t>(drop-down)</t>
    </r>
  </si>
  <si>
    <t>PT: JF2207; D2386 - Freeze Point, Z-Score = -8.00</t>
  </si>
  <si>
    <t>Closed</t>
  </si>
  <si>
    <t>Training/ competency</t>
  </si>
  <si>
    <t>PT: JF2207; D445 - Viscosity, Kinematic, -20 °C, Z-Score = -14.91</t>
  </si>
  <si>
    <t>PT: CO2207; D4294 - Sulfur, by EDXRF, Z-Score = 3.18</t>
  </si>
  <si>
    <t>PT: D-1187; D445 - Viscosity at 40°C, Z-Score = -6.54</t>
  </si>
  <si>
    <t>New Haven, CT</t>
  </si>
  <si>
    <t>PT: ULSD2210; D5453 - Sulfur by UVF, Z-Score = 3.02</t>
  </si>
  <si>
    <t>Normal statistics variance - no CA</t>
  </si>
  <si>
    <t xml:space="preserve">PT: MG2208; D3227 - Mercaptan Sulfur, Potentiometric, Z-Score = 4.70 </t>
  </si>
  <si>
    <t>PT: JF2207; D86 - Distillation, Auto, IBP, Z-Score = -5.07</t>
  </si>
  <si>
    <t>PT: JF2207; D1319 - HC Type, Aromatics, Olefins, &amp; Saturates, Oxy-Free, Z-Scores = -4.80, 15.14, &amp; -4.40</t>
  </si>
  <si>
    <t>Equipment/ calibration</t>
  </si>
  <si>
    <t>PT: JF2207; D1840 - Napthalenes, by UVS, Proc A, Z-Score = 9.60</t>
  </si>
  <si>
    <t>PT: JF2207; D7039 - Sulfur by MWDXRF, Z-Score = -4.40</t>
  </si>
  <si>
    <t>PT: JF2207; D4052 - API Gravity, Digital, 60°F, Z-Score = 6.30</t>
  </si>
  <si>
    <t>PT: JF2207; D1298 - Density, by Hydrometer, 15 °C, Z-Score = -4.95</t>
  </si>
  <si>
    <t>Negligence (typo, no review)</t>
  </si>
  <si>
    <t>PT: JF2207; D86 - Distillation, Auto 60%, 70%, 80%, &amp; 90%, Z-scores = -2.74, -3.02, -2.63, &amp; -2.38</t>
  </si>
  <si>
    <t>PT: JF2207; D2386 - Freeze Point, Z-Score = -4.00</t>
  </si>
  <si>
    <t>PT: JF2207; D3227 - Mercaptan Sulfur, Potentiometric, Z-Score = 3.44</t>
  </si>
  <si>
    <t>PT: JF2207; D2622 - Sulfur by WDXRF, Z-Score = -7.87</t>
  </si>
  <si>
    <t>PT: JF2207; D4294 - Sulfur by EDXRF, Z-Score = 6.20</t>
  </si>
  <si>
    <t>PT: JF2207; D445 - Viscosity, Kinematic, -20 °C, Z-Score = 6.74</t>
  </si>
  <si>
    <t>PT: JF2207; D7042 - Viscosity, Stabinger, Kin, -20 °C, Z-Score = 3.32</t>
  </si>
  <si>
    <t>PT: RFG2210; D1319 - HC Type, Aromatics, Corrected &amp; Oxy Free, 20a &amp; 19, Z-Scores = 4.41, 3.03, &amp; 4.84</t>
  </si>
  <si>
    <t>PT: RFG2210; D5191 - Vapor Pressure, TVP, 1L (EPA), Z-Score = 3.02</t>
  </si>
  <si>
    <t>PT: RFG2210; D5580 - Total Aromatics, Benzene &amp; Toluene, by GC, Z-Scores = 7.94, 14.14, &amp; 20.50</t>
  </si>
  <si>
    <t>PT: RFG2210; D1319 - HC Type, Saturates, Corrected (EPA), Z-Score = 5.75</t>
  </si>
  <si>
    <t>PT: D329; D86 - Distillation, Loss, Z-Score = 4.43</t>
  </si>
  <si>
    <t>PT: RFG2211; D86 - Distillation, Auto, % Loss (EPA), Z-Score = -5.30</t>
  </si>
  <si>
    <t>PT: RFG2211; D86 - Distillation, Auto, 70%, °F (EPA), Z-Score = -8.55</t>
  </si>
  <si>
    <t>Complaint</t>
  </si>
  <si>
    <t>Vitol - Silicon result off spec</t>
  </si>
  <si>
    <t>Technical (Calibration/ Verification/ Maintenance/ PT/ method deviation)</t>
  </si>
  <si>
    <t xml:space="preserve">Internal standard </t>
  </si>
  <si>
    <t>IA - QC – Job file 155-22-03771</t>
  </si>
  <si>
    <t>Traceability and records (SR-1, raw data)</t>
  </si>
  <si>
    <t>Ineffective/ Lack system/ procedure</t>
  </si>
  <si>
    <t xml:space="preserve">IA - File review: Operations </t>
  </si>
  <si>
    <t xml:space="preserve">IA - 2022 Test Method Assessments (TMA) are not completed per schedule   </t>
  </si>
  <si>
    <t>IA - Training Record</t>
  </si>
  <si>
    <t>Training (include quality, safety, ethics)</t>
  </si>
  <si>
    <t xml:space="preserve">IA - Clause 6.2.3 Staff Competency   </t>
  </si>
  <si>
    <t xml:space="preserve">IA - Clause 7.2.1.2 and Clause 8.3 Equipment manual use for PCS HFRR lubricity operating, maintenance, calibration, verification is not controlled.    </t>
  </si>
  <si>
    <t xml:space="preserve">IA - Clause 7.5.1 Technical records   </t>
  </si>
  <si>
    <t xml:space="preserve">IA - Clause 7.8.1.2 Test Report General Requirements </t>
  </si>
  <si>
    <t>IA - Clause 7.8.3.1 (e) Specific Information required by method</t>
  </si>
  <si>
    <t xml:space="preserve">IA - Clause 7.8.2.1 (p) Test outsources are not identified in the following test reports.  </t>
  </si>
  <si>
    <t>CHESM - Inspectors cell phone rang while sampling the BATTLE AMY</t>
  </si>
  <si>
    <t>Safety</t>
  </si>
  <si>
    <t>CHESM Field Audit</t>
  </si>
  <si>
    <t>QC - D6379 Improper Sample Handling</t>
  </si>
  <si>
    <t>Baton Rouge (Gonzales), LA</t>
  </si>
  <si>
    <t>Methanex - Sample submitted not labeled</t>
  </si>
  <si>
    <t>DA</t>
  </si>
  <si>
    <t xml:space="preserve">Petroineos - Failure to meet client expectations. </t>
  </si>
  <si>
    <t>MV approved 1 30 23</t>
  </si>
  <si>
    <t>Pittsburgh, PA</t>
  </si>
  <si>
    <t xml:space="preserve">IA - File review  </t>
  </si>
  <si>
    <t>IA - Inspectors FIT Test</t>
  </si>
  <si>
    <t>Communication</t>
  </si>
  <si>
    <t>PT: RFG2210; D86 - Distillation, Auto, % Resid (EPA), Z-Score = -4.36</t>
  </si>
  <si>
    <t>PT: RFG2210; D86 - Distillation, Auto, 95%, Z-Score = -3.01</t>
  </si>
  <si>
    <t>PT: D-1188; D445 - Viscosity at 40°C, Z-Score = 10.08</t>
  </si>
  <si>
    <t>See P</t>
  </si>
  <si>
    <t>Marcus Hook, PA</t>
  </si>
  <si>
    <t>IA: Notations on methods ##, **, * do not have explanations at bottom of COA</t>
  </si>
  <si>
    <t>IA:  S. Ayoub - no retraining since 2018</t>
  </si>
  <si>
    <t>INSCAL not current / missing</t>
  </si>
  <si>
    <t>Weekly storage area inspection not completed</t>
  </si>
  <si>
    <t>Inspector training records</t>
  </si>
  <si>
    <t>Clause 6.2.3 Test witnessing / review</t>
  </si>
  <si>
    <t>Clause 6.2.5 c Lab Training Record</t>
  </si>
  <si>
    <t>Clause 6.4.7 Equipment</t>
  </si>
  <si>
    <t>Clause 6.5 Metrological traceability</t>
  </si>
  <si>
    <t>Clause 7.5.1 Technical Record</t>
  </si>
  <si>
    <t>Clause 7.8.1.1 Job review</t>
  </si>
  <si>
    <t xml:space="preserve">Closed </t>
  </si>
  <si>
    <t>Clause 7.8.1.2 &amp; 7.8.3.1 Test reports</t>
  </si>
  <si>
    <t>Clause 8.8.2 d Timeliness of Corrective actions</t>
  </si>
  <si>
    <t>Test method witnessing (D130, IP540 / D381, D3606, D86, GC standards).</t>
  </si>
  <si>
    <t>Expired H2S cylinder</t>
  </si>
  <si>
    <t>Equipment &amp; Reagent status</t>
  </si>
  <si>
    <t>No review of COAs for lab reference materials</t>
  </si>
  <si>
    <t xml:space="preserve">PT: RFG2210; D5580 - Benzene, by GC, Z-Score = 3.38 </t>
  </si>
  <si>
    <t>PT: RFG2210; D5188 - V/L Ratio Temp, Evac Chamber, Z-Score = -7.36</t>
  </si>
  <si>
    <t>PT: RFG2211; D2622 - Sulfur by WDXRF, Z-Score = -3.31</t>
  </si>
  <si>
    <t>PT: RFG2211; D7039 - Sulfur, by MWDXRF, Z-Score = -4.46</t>
  </si>
  <si>
    <t>PT: RFG2210; D1319 - HC Type, Aromatics &amp; Olefins, Corrected &amp; Oxy Free(EPA), Z-Scores = 6.78, 7.57, -4.97, &amp; -6.47</t>
  </si>
  <si>
    <t>Unmanaged risks</t>
  </si>
  <si>
    <t>Irving Oil - Inspectors did not arrive to the terminal prior to the barge docking.</t>
  </si>
  <si>
    <t>P66 - Billing cycle exceeds 30 days</t>
  </si>
  <si>
    <t>Misc</t>
  </si>
  <si>
    <t>Management (CQI, Quality Policy posting, PO, AVL, CAR/PAR)</t>
  </si>
  <si>
    <t>A137-130-22</t>
  </si>
  <si>
    <t xml:space="preserve">Valero - The inspectors sampling the Seaways Skopelos which loaded two segreagations and failed to sample the Reformate cargo.  </t>
  </si>
  <si>
    <t>CAF004</t>
  </si>
  <si>
    <t>PT: AT-351; D2700 - Motor Octane Number, Z-Score = 4.35</t>
  </si>
  <si>
    <t>PT: AT-351; GC-MS Aromatics, Z-Score = -8.51</t>
  </si>
  <si>
    <t>PT: CET2210; D1319 - HC Type, Olefins, Oxy-Free, Z-Score = 20.24</t>
  </si>
  <si>
    <t>PT: CET2210; D2622 - Sulfur by WDXRF, Z-Score = -4.74</t>
  </si>
  <si>
    <t>PT: CET2210; D445 - Viscosity, Kinematic, 40 °C, Z-Score = 8.97</t>
  </si>
  <si>
    <t>PT: DF22210; D97 - Pour Point, Z-Score = -3.00</t>
  </si>
  <si>
    <t>Savannah, GA / Charleston, SC</t>
  </si>
  <si>
    <t>AmSpec - Failure to follow existing protocols</t>
  </si>
  <si>
    <t>Phillips 66 - Intransit Discrepancy</t>
  </si>
  <si>
    <t>PT: RFG2210; D2622 - Sulfur by WDXRF &amp; EPA, Z-Scores = -6.54 &amp; -6.48</t>
  </si>
  <si>
    <t>PT: RFG2211; D86 - Distillation, Auto, 10%, 20%, 30%, 40%, 70%, 80%, &amp; E300, °F (EPA), Z-Scores = Multiple Outliers</t>
  </si>
  <si>
    <t>PT: RFG2211; D2622 - Sulfur by WDXRF, Z-Score = -9.05</t>
  </si>
  <si>
    <t>PT: RFG2212; D4052 - Density, Digital, 15 °C, Z-Score = 146.38</t>
  </si>
  <si>
    <t>PT: BIOD2211; D482 - Ash, Z-Score = 12.31</t>
  </si>
  <si>
    <t>PT: BIOD2211; D7501 - Fuel Filter Blocking by CSFT, Z-Score = -4.10</t>
  </si>
  <si>
    <t>PT: BIOD2211; D7321 - Particulates, Lab Filtration, Z-Score = 4.26</t>
  </si>
  <si>
    <t>PT: CET2210; D86 - Distillation, Auto, 40%, 50%, 60%, &amp; 95%, Z-Scores = 2.34, 2.86, 2.53, &amp; 7.01</t>
  </si>
  <si>
    <t>3rd party audit (DNV, A2LA, AASHTO…)</t>
  </si>
  <si>
    <t>Clause 7.2.1.2 Doc control</t>
  </si>
  <si>
    <t>Clause 6.4.1 Equipment OOS</t>
  </si>
  <si>
    <t>Clause 6.4.13 a firmware</t>
  </si>
  <si>
    <t>PBF - Off specification Nitrogen result</t>
  </si>
  <si>
    <t>Ops packing list</t>
  </si>
  <si>
    <t>Inspection raw data</t>
  </si>
  <si>
    <t>Operation/Inspector training</t>
  </si>
  <si>
    <t>SCBA recertification</t>
  </si>
  <si>
    <t>Clause 6.2.5 training</t>
  </si>
  <si>
    <t>Clause 6.2.3 Staff competency</t>
  </si>
  <si>
    <t>Clause 6.4.5 &amp; 6.4.10 equipment</t>
  </si>
  <si>
    <t>Clause 7.5.1 technical record</t>
  </si>
  <si>
    <t>Clause 7.7.1 validity of results</t>
  </si>
  <si>
    <t>Clause 7.10.1 nonconforming results</t>
  </si>
  <si>
    <t>Clause 8.2.4 document control</t>
  </si>
  <si>
    <t xml:space="preserve">MPC - Inspector did not follow SOP by taking non-representative samples from the line and turning them in as barge samples. </t>
  </si>
  <si>
    <t>Not a Complaint // Improper Procedure per Branch Manager</t>
  </si>
  <si>
    <t>Seabrook (Chemicals), TX</t>
  </si>
  <si>
    <t>Janex / PBF - Seabrook Coordinator released a Certificate of Analysis (COA) without proper data review</t>
  </si>
  <si>
    <t>Reference C801-121-22 / CAF035-121-22 - PBF requested revision 2 28 2023</t>
  </si>
  <si>
    <t>Musket - Naphtha loading - Engine results issue</t>
  </si>
  <si>
    <t>Clause 6.4.1 equipment oos</t>
  </si>
  <si>
    <t>Clause 7.5.1 tech record - time stamp</t>
  </si>
  <si>
    <t>Clause 6.4.13 firmware</t>
  </si>
  <si>
    <t>Clause 6.4.8 status of equipment</t>
  </si>
  <si>
    <t>Clause 6.6.2 AVL and procedure</t>
  </si>
  <si>
    <t>A2LA P102 metrological traceability</t>
  </si>
  <si>
    <t>Clause 7.7.1 Validity checks</t>
  </si>
  <si>
    <t>Clause 6.5.1 metrological traceability</t>
  </si>
  <si>
    <t>TB/QB not reviewed</t>
  </si>
  <si>
    <t>FL103 and FL104 (Waste Management) record not maintained.</t>
  </si>
  <si>
    <t>Inaccuracy in ops report</t>
  </si>
  <si>
    <t>Inspector training</t>
  </si>
  <si>
    <t>inspector equipment</t>
  </si>
  <si>
    <t>Clause 6.2.3 Staff Competency</t>
  </si>
  <si>
    <t>Clause 6.2.5 Lab training</t>
  </si>
  <si>
    <t>Clause 6.4.8 &amp; 6.5.1 Met traceability &amp; equip status</t>
  </si>
  <si>
    <t>Clause 6.4.10 Equipment intermediate check</t>
  </si>
  <si>
    <t>Clause 6.4.13 Equipment record</t>
  </si>
  <si>
    <t>Clause 6.6.2c and 6.6.3 a procurement</t>
  </si>
  <si>
    <t>Clause 7.7.1 &amp; 7.7.6 Validity Checks</t>
  </si>
  <si>
    <t>Clause 8.3.1 Document control</t>
  </si>
  <si>
    <t>Clause 8.4.1 write over</t>
  </si>
  <si>
    <t>Clause 8.4.1 record retention</t>
  </si>
  <si>
    <t>A:  File review</t>
  </si>
  <si>
    <t>IA:  No TRB-01 for inspector</t>
  </si>
  <si>
    <t>IA:  Expired innage tape</t>
  </si>
  <si>
    <t>IA:  Expired standards for D6550 calibration</t>
  </si>
  <si>
    <t>IA:  Lab tech training</t>
  </si>
  <si>
    <t>IA: Laboratory Training Records</t>
  </si>
  <si>
    <t>VOID: HTC (HB)</t>
  </si>
  <si>
    <t>IA - File Review</t>
  </si>
  <si>
    <t>IA - Laboratory Document Control</t>
  </si>
  <si>
    <t>IA - Laboratory Training</t>
  </si>
  <si>
    <t>IA - RVP PSSC Certificate Temp Fail without notation</t>
  </si>
  <si>
    <t>USCBP - Notification</t>
  </si>
  <si>
    <t xml:space="preserve">USCBP - Recordkeeping </t>
  </si>
  <si>
    <t>USCBP - Major Equipment Records</t>
  </si>
  <si>
    <t>USCBP - Equipment</t>
  </si>
  <si>
    <t>USCBP - Gauging records</t>
  </si>
  <si>
    <t>USCBP - Gauging reports</t>
  </si>
  <si>
    <t>USCBP - Representation of Customs-accredited status</t>
  </si>
  <si>
    <t>USCBP - Signatory Notification - Lab</t>
  </si>
  <si>
    <t>USCBP - Laboratory analysis reports</t>
  </si>
  <si>
    <t>C151-158-23</t>
  </si>
  <si>
    <t>PT: TM10-22; D2699 - Research Octane Number, Z-Score = 5.12</t>
  </si>
  <si>
    <t>PT: TM10-22; Sulfur, Z-Score = 8.13</t>
  </si>
  <si>
    <t>PT: TM10-22; API, Z-Score = -6.87</t>
  </si>
  <si>
    <t>PT: RFG2211; D86 - Distillation, Auto, 30%, °F (EPA), Z-Scores = -3.07 &amp; -3.12</t>
  </si>
  <si>
    <t>IA - Dispatcher Training</t>
  </si>
  <si>
    <t>IA - MFDB not signed for review</t>
  </si>
  <si>
    <t>IA - Clause 6.2.3 Method Deviation/Staff Competency:</t>
  </si>
  <si>
    <t>IA - Clause 6.2.5.c</t>
  </si>
  <si>
    <t>IA - Clause 6.4.4</t>
  </si>
  <si>
    <t>IA - Clause 6.4.10</t>
  </si>
  <si>
    <t>IA - Clause 6.4.13.g Maintenance: D2699 Oil change records.</t>
  </si>
  <si>
    <t>IA - Clause 6.5</t>
  </si>
  <si>
    <t>IA - Clause 7.5.1 &amp; 7.5.2</t>
  </si>
  <si>
    <t>IA - Clause 7.7.1 &amp; 7.7.3</t>
  </si>
  <si>
    <t>IA - Clause 7.8.3.1.e</t>
  </si>
  <si>
    <t>IA - Clause 7.10.1</t>
  </si>
  <si>
    <t>Irving - D5452 not following procedure</t>
  </si>
  <si>
    <t>Motiva - NM 1021 - No shore tank samples</t>
  </si>
  <si>
    <t>See C289</t>
  </si>
  <si>
    <t>St John, NB</t>
  </si>
  <si>
    <t>Irving Oil - Inspector recorded incorrect gauges on ST 199. Inspector terminated.</t>
  </si>
  <si>
    <t>Motiva - NM 1021 - No data traceability on  gauge ticket</t>
  </si>
  <si>
    <t>HOFTI / Channelview, TX</t>
  </si>
  <si>
    <t>Test method witnessing - D3279, D4870</t>
  </si>
  <si>
    <t>Balance weight set expired</t>
  </si>
  <si>
    <t>No thermometer verification record for ASTM 5C SN 24055</t>
  </si>
  <si>
    <t>Job file review/checklist</t>
  </si>
  <si>
    <t>Also NC in lab area</t>
  </si>
  <si>
    <t>PT: OC2210; D2699 - Research Octane Number, Z-Score = 3.29</t>
  </si>
  <si>
    <t>PT: OC2210; API - API Gravity, Z-Score = -4.86</t>
  </si>
  <si>
    <t>PT: DF22210; D4530 - Carbon Residue, Micro, 10% btm, Z-Score = 3.85</t>
  </si>
  <si>
    <t>PT: DF22210; D240 - Heat of Combustion, Gross, by Bomb Calorimeter, Z-Score = 143.46</t>
  </si>
  <si>
    <t>PT: DF22210; D6591 - HC Type, by HPLC, Di-Aro &amp; PAH, Z-Scores = -3.46 &amp; -3.41</t>
  </si>
  <si>
    <t>PT: DF22210; D6079 - Lubricity, HFRR, Scar Diameter, Z-Score = -3.20</t>
  </si>
  <si>
    <t>PT: DF22210; D4052 - API Gravity, Digital, 60 °F &amp; Density, Digital, 15 °C, Z-Scores = 2.23 &amp; -3.36</t>
  </si>
  <si>
    <t>PT: DF22210; D664 - Acid Number, A, 60 mL, inflection EP, Z-Score = 3.44</t>
  </si>
  <si>
    <t>PT: DF22210; D6371 - Cold Filter Plugging Point, CFPP, Z-Score = -3.00</t>
  </si>
  <si>
    <t>PT: DF22210; D2500 - Cloud Point, Z-Score = 3.00</t>
  </si>
  <si>
    <t>PT: DF22210; D2622 - Sulfur by WDXRF, Z-Score = -7.22</t>
  </si>
  <si>
    <t>PT: RFG2212; D86 - Distillation, Auto, FBP, °F (EPA), Z-Score = -87.77</t>
  </si>
  <si>
    <t>PT: RFG2212; D6550 - HC Type, Olefins, by SFC, Z-Score = -4.63</t>
  </si>
  <si>
    <t>IA - Reporting (COA and Inspection Report)</t>
  </si>
  <si>
    <t>IA - Raw data and traceability</t>
  </si>
  <si>
    <t>IA - Laboaratory Equipment Calibration / Verification</t>
  </si>
  <si>
    <t>IA - Test witnessing / method review</t>
  </si>
  <si>
    <t>IA - Mutiple chemicals in the laboratory are missing expiration dates</t>
  </si>
  <si>
    <t>IA - Equipment Maintenance</t>
  </si>
  <si>
    <t>IA - TB &amp; QB reviewed by laboratory, no evidence of operational review.</t>
  </si>
  <si>
    <t>Inspection Equipment &amp; Inspectors TRB</t>
  </si>
  <si>
    <t>GCC LLC - Nomination was revised but missed by Coordinator. Barges completed loading without inspection.</t>
  </si>
  <si>
    <t>Shell - CoA review findings</t>
  </si>
  <si>
    <t>Cincinnati (Erlanger), OH</t>
  </si>
  <si>
    <t>IA:  File Review (nonconforming and reporting)</t>
  </si>
  <si>
    <t>IA:  Tape S/N: 21428 - grounding cable broken.</t>
  </si>
  <si>
    <t>IA: Inspectors' TRBs</t>
  </si>
  <si>
    <t>IA: Write overs in Marine Field Data Books and gauge tickets</t>
  </si>
  <si>
    <t>Freeport, TX</t>
  </si>
  <si>
    <t>No quality statement on lab purchase orders</t>
  </si>
  <si>
    <t>Obsolete version of FL 101 in use</t>
  </si>
  <si>
    <t>Amended COAs</t>
  </si>
  <si>
    <t>Job File review</t>
  </si>
  <si>
    <t>Solutions prep + records/Chemical + Reference inventories</t>
  </si>
  <si>
    <t>Test Method Assessments</t>
  </si>
  <si>
    <t>Test Method Witnessing (D5623, D2163, D6667, D4807, D3230, D664)</t>
  </si>
  <si>
    <t>Equipment</t>
  </si>
  <si>
    <t>Quality Control/Validity of results</t>
  </si>
  <si>
    <t>Lab Training</t>
  </si>
  <si>
    <t>PBF - Improper Sampling GM-13501 nomination</t>
  </si>
  <si>
    <t>pending PBF acceptance. Spot sample concern.</t>
  </si>
  <si>
    <t>AGRI (HTC)</t>
  </si>
  <si>
    <t>IA:  No MOCs for 2022</t>
  </si>
  <si>
    <t>IA:  No solutions prep log</t>
  </si>
  <si>
    <t>IA: No TMA schedule</t>
  </si>
  <si>
    <t>IA:  Training records</t>
  </si>
  <si>
    <t>IA: Raw data in lab drawer</t>
  </si>
  <si>
    <t>IA:  Equipment calibrations/expirations</t>
  </si>
  <si>
    <t>IA:  Failed balance without investigation</t>
  </si>
  <si>
    <t>IA: Chemicals not on Chemical Inventory</t>
  </si>
  <si>
    <t>IA: Inspectors' TRBs &amp; INSCAL forms</t>
  </si>
  <si>
    <t>IA: File review</t>
  </si>
  <si>
    <t>PT: TM11-22; Sulfur, Z-Score = 4.00</t>
  </si>
  <si>
    <t>PT: TM12-22; D2699 - Research Octane Number, Z-Score = -4.00</t>
  </si>
  <si>
    <t>PT: RFG2212; D86 - Distillation, Auto, % Resid (EPA), Z-Score = 4.36</t>
  </si>
  <si>
    <t>PT: DF22210; D7042 - Viscosity, Stabinger, Kin, 40 °C</t>
  </si>
  <si>
    <t>PT: DF22210; D4294 - Sulfur, by EDXRF, Z-Score = 10.76</t>
  </si>
  <si>
    <t>PT: DF22210; D6079 - Lubricity, HFRR, Scar Diameter, Z-Score = 8.00</t>
  </si>
  <si>
    <t>PT: DF22210; D6304 - Water, by Coul KF, Meth A Direct Injection, mg/kg, Z-Score = 7.40</t>
  </si>
  <si>
    <t>PT: DF22210; D664 - Acid Number, A, 60 mL, inflection EP, Z-Score = 5.25</t>
  </si>
  <si>
    <t>PT: DF22210; D6304 - Water, by Coul KF, Meth A Direct Injection, mg/kg, Z-Score = 3.30</t>
  </si>
  <si>
    <t>PT: DF22210; D524 - Carbon Residue, Ramsbottom, Z-Score = 18.32</t>
  </si>
  <si>
    <t>PT: DF22210; D1298 - Density, by Hydrometer at 15 °C, Z-Score = -3.23</t>
  </si>
  <si>
    <t>PT: DF22210; D86 - Distillation, Auto, 10%, Z-Scores = -3.33</t>
  </si>
  <si>
    <t>PT: DF22210; D445 - Viscosity, Kinematic, 40 °C, Z-Score = 6.45</t>
  </si>
  <si>
    <t>Hamilton (Burlington), ON</t>
  </si>
  <si>
    <t>PT: DF22210; D93 - Flash Point, PMCC, Proc A, corrected, Z-Score = -3.33</t>
  </si>
  <si>
    <t>PT: R-1326; Vapor Pressure - All Methods, Z-Score = 5.55</t>
  </si>
  <si>
    <t>PT: RFG2301; D5580 - Aromatics, Total, by GC, Z-Score = -10.61</t>
  </si>
  <si>
    <t>Glassware cleaning</t>
  </si>
  <si>
    <t>PT: RFG2301; D6550 - HC Type, Olefins, by SFC, Z-Score = 4.94</t>
  </si>
  <si>
    <t>PT: RFG2301; D1319 - HC Type, Arom., Corr. (2.97), Ole. Corr. (9.24), Ole. Oxy-Free (8.32), Sat. Corr. (-4.88), &amp; Sat. Oxy-Free (-8.30)</t>
  </si>
  <si>
    <t>PT: LPG2211; D2163 - Hydrocarbons, Isobutane &amp; Propane, Z-Scores = 23.56 &amp; -5.61</t>
  </si>
  <si>
    <t>PT: CO2211; D5708 - Element, Vanadium, ICPAES, Method A, Z-Score = -4.07</t>
  </si>
  <si>
    <t>PT: CO2211; D4807 - Sediment, Membrane Filtration, Z-Score = 4.21</t>
  </si>
  <si>
    <t>PT: CO2211; D445 - Viscosity, Kinematic, 40 °C, Z-Score = 7.49</t>
  </si>
  <si>
    <t>PT: JF2211; D3241 - Thermal Stability, Ellipsometric, @275, Thickness, Z-Score = 10.60</t>
  </si>
  <si>
    <t>PT: JF2211; D86 - Distillation, Auto, % Resid, Z-Score = -5.03</t>
  </si>
  <si>
    <t>PT: RFG2302; D6839 - HC Type/Oxy, Olefins, by M-D GC, Z-Score = -7.08</t>
  </si>
  <si>
    <t>IA: Chemical expiration date</t>
  </si>
  <si>
    <t>IA: TMA</t>
  </si>
  <si>
    <t>IA: Lab raw data/traceability</t>
  </si>
  <si>
    <t>IA: Test witnessing</t>
  </si>
  <si>
    <t>IA: Lab equipment</t>
  </si>
  <si>
    <t>PT: OC2212; D1319 - Hydrocarbon Type D1319, Oxy-Free - Olefins, Z-Score = 7.39</t>
  </si>
  <si>
    <t>PT: ETOH2212; D5453 - Sulfur, by UVF, Z-Score = 12.33</t>
  </si>
  <si>
    <t>PT: ETOH2212; D7319 - Chloride, Inorganic, by DI-IC, Z-Score = 3.06</t>
  </si>
  <si>
    <t>PBF requested documentation for a COA that was amended with a recheck result.</t>
  </si>
  <si>
    <t>Corpus Christi, TX (CITGO Lab)</t>
  </si>
  <si>
    <t>CITGO Lab - There was a delay of producing the refinery COA which created a negative impact on CITGO's refining operations.</t>
  </si>
  <si>
    <t>No Lab job board, email comm</t>
  </si>
  <si>
    <t>PT: RFG2302; D2622-16 - Sulfur by WDXRF &amp; EPA, Z-Scores = 5.24 &amp; 2.98</t>
  </si>
  <si>
    <t>Inspection equipment and inspector training</t>
  </si>
  <si>
    <t>Ops review of TB and QB</t>
  </si>
  <si>
    <t>Job file checklists</t>
  </si>
  <si>
    <t>VOID: LA, IA CAR, Sample ID not on SR 1 changed from NC to AOC (KA, 05.04.2023)</t>
  </si>
  <si>
    <t>CAPARs not closed</t>
  </si>
  <si>
    <t>Biodiesel PT z score not charted</t>
  </si>
  <si>
    <t>Clause 6.2.1 Competency / Test Method</t>
  </si>
  <si>
    <t>Clause 5.2.5 Lab training</t>
  </si>
  <si>
    <t>Clause 6.4 Lab equipment</t>
  </si>
  <si>
    <t>Clause 6.5.3 Metrological traceability</t>
  </si>
  <si>
    <t>Clause 7.5 Technical Record</t>
  </si>
  <si>
    <t>Clause 7.7.1 Validity check</t>
  </si>
  <si>
    <t>Clause 7.8 lab reporting</t>
  </si>
  <si>
    <t>Clause 8.4.1 document control</t>
  </si>
  <si>
    <t>PT: CO2211; D4530 - Carbon Residue, Micro, Z-Score = -3.18</t>
  </si>
  <si>
    <t>PT: RFG2302; D86 - Distillation, Auto, 50% - 95%, E200 &amp; E300, °F (EPA), Z-Scores = -3.05, -5.01, -5.95, -8.41, -8.04, -10.27, 3.60 &amp; 7.34</t>
  </si>
  <si>
    <t>PT: RFG2302; D3606 - Toluene, by GC, Proc B (EPA), Z-Score = 8.10</t>
  </si>
  <si>
    <t>PT: CO2211; D5002 - Density, digital, 15 °C, Z-Score = 49.09</t>
  </si>
  <si>
    <t>PT: CO2211; D473 - Sediment, Z-Score = 3.38</t>
  </si>
  <si>
    <t>PT: RFG2303; D86 - Distillation, Auto, % Resid (EPA), Z-Score = 3.81</t>
  </si>
  <si>
    <t>PT: F62209; D5863 - Element, Nickel &amp; Sodium, AAS, Proc B, Z-Scores = 7.70 &amp; -3.08</t>
  </si>
  <si>
    <t>PT: F62209; D5184 - Element, Aluminum &amp; Silicon, by ICPAES, Z-Scores = -6.40 &amp; -4.20</t>
  </si>
  <si>
    <t>PT: F62209; D6560 - Asphaltenes (Heptane Insolubles), Z-Score = -5.05</t>
  </si>
  <si>
    <t>PT: F62209; D5184 - Element, Aluminum, by ICPAES, Z-Score = -3.10</t>
  </si>
  <si>
    <t>PT: F62209; D473 - Sediment, Z-Score = 7.92</t>
  </si>
  <si>
    <t>PT: F62209; D5184 - Element, Silicon, by ICPAES, Z-Score = 3.10</t>
  </si>
  <si>
    <t>PMI: USCG CAR for D2386 from LC lab result</t>
  </si>
  <si>
    <t>Regional car for L Charles, compiled at HTC</t>
  </si>
  <si>
    <t>PT: R-1333; D2700 - Motor Octane Number, Z-Score = 3.13</t>
  </si>
  <si>
    <t>PT: JF2211; D3241 - Thermal Stability, Ellipsometric, @260, Thickness &amp; Volume, Z-Scores = 12.90 &amp; 5.47</t>
  </si>
  <si>
    <t>PT: JF2211; D3227 - Mercaptan Sulfur, Potentiometric, Z-Score = -3.66</t>
  </si>
  <si>
    <t>Irving - Incorrect API on final report</t>
  </si>
  <si>
    <t>PT: JF2211; D1840 - Napthalenes, by UVS, Proc B, Z-Score = 5.39</t>
  </si>
  <si>
    <t>PT: JF2211; D4294 - Sulfur, by EDXRF, Z-Score = 6.20</t>
  </si>
  <si>
    <t>PT: JF2211; D1319 - HC Type, Aromatics, Oxy-Free, Z-Score = -3.19</t>
  </si>
  <si>
    <t>Irving - Amspec inspectors not following proper protocals for respiratory protection with H2S</t>
  </si>
  <si>
    <t>PT: RFG2303; D5769 - Benzene &amp; Toluene, by GC/MS (EPA), Z-Scores = -12.11 &amp; 6.43</t>
  </si>
  <si>
    <t>PT: RFG2303; D5191 - Vapor Pressure, TVP, 1L (EPA), Z-Score = -3.02</t>
  </si>
  <si>
    <t>Test Witnessing</t>
  </si>
  <si>
    <t>D7039 correction factor</t>
  </si>
  <si>
    <t>Inspector safety meeting &amp; fit tests</t>
  </si>
  <si>
    <t>Lab training record</t>
  </si>
  <si>
    <t>Sample COC</t>
  </si>
  <si>
    <t>IA - Safety: Inspector in lab, no FRC, safety glasses</t>
  </si>
  <si>
    <t>IA - TB / QB Review</t>
  </si>
  <si>
    <t>IA - Inspection</t>
  </si>
  <si>
    <t>IA - Lab Training</t>
  </si>
  <si>
    <t>IA - D5191: Ice Bath Time Study</t>
  </si>
  <si>
    <t>VOID, Chicago, IA, D1840B - no SQC Chart (required by new Appen 16A with 10.2023 compliance date) (KA, 05.24.2023)</t>
  </si>
  <si>
    <t>IA - Job file checklist</t>
  </si>
  <si>
    <t>IA - Ops file review MFDB JSA</t>
  </si>
  <si>
    <t>IA - Lab file review</t>
  </si>
  <si>
    <t>PT: JF2211; D3227 - Mercaptan Sulfur, Potentiometric, Z-Score = 3.47</t>
  </si>
  <si>
    <t>PT: R-1334; D2700 - Motor Octane Number, Z-Score = 5.28</t>
  </si>
  <si>
    <t>PT: CE503; D2699 - Research Octane Number, Z-Score = 5.40 &amp; R-M Sensitivity, Z-Score = 3.27</t>
  </si>
  <si>
    <t>Improper Procedure - Mercuria - Disposal of sample in permanent reteintion.</t>
  </si>
  <si>
    <t>No complaint / Improper Procedure</t>
  </si>
  <si>
    <t>Trafigura - Part of Fuel oil cargo discharged to incorrect shore tank causing cargo contamination</t>
  </si>
  <si>
    <t>Communication - Loss Control / Cargo Rep / Terminal</t>
  </si>
  <si>
    <t>Hartree - Safety issue - Inspector backed into a truck at a terminal causing a dent in the bumper</t>
  </si>
  <si>
    <t>Safety issue - not a complaint</t>
  </si>
  <si>
    <t>NStop - RVP ice bath depleted of ice (AOC)</t>
  </si>
  <si>
    <t>Several standards/chemicals, available for use, are not traceable to reference/chemical
inventory list.</t>
  </si>
  <si>
    <t xml:space="preserve">Solutions prep log needs to be reviewed for compliance. </t>
  </si>
  <si>
    <t>Clause 7.2.1.7 Verification of methods/Test Method witnessing.</t>
  </si>
  <si>
    <t>Clause 6.4 Equipment/ Intermediate checks</t>
  </si>
  <si>
    <t>Clause 6.5 Metrological Traceability</t>
  </si>
  <si>
    <t>Clause 6.2 Personnel/Competency</t>
  </si>
  <si>
    <t>Clause 7.5 Technical records/Job File Review</t>
  </si>
  <si>
    <t>Clause 7.8 Reporting of results</t>
  </si>
  <si>
    <t>Clause 6.6.2c Externally provided products and services/Approved vendors.</t>
  </si>
  <si>
    <t>Inspector failed to properly sign in at Terminal</t>
  </si>
  <si>
    <t>PT: F62209; D473 - Sediment, Z-Score = 5.82</t>
  </si>
  <si>
    <t>PT: F62209; D664 - Acid Number, A, 60 mL, Buffer EP, Z-Score = 10.85</t>
  </si>
  <si>
    <t>PT: D-1189; D86 - Distillation, 50% Recovered, Z-Score = 4.81</t>
  </si>
  <si>
    <t>PT: D-1190; D445 - Viscosity at 40oC, Z-Score = 11.01</t>
  </si>
  <si>
    <t>PT: OC2212; D86 - Distillation, % Residual, Z-Score = -6.88</t>
  </si>
  <si>
    <t>PT: ETOH2212; E1064 - Water, by Coul KF, Z-Score = 81.80</t>
  </si>
  <si>
    <t>Jet Flash issue - local internal CAR</t>
  </si>
  <si>
    <t>USCBP -  Signature Font</t>
  </si>
  <si>
    <t>USCBP - Personnel Records</t>
  </si>
  <si>
    <t>VOID (HB)</t>
  </si>
  <si>
    <t>Dup.</t>
  </si>
  <si>
    <t>PT: CO2211; D445 - Viscosity, Kinematic, 40 °C, Z-Score = 6.63</t>
  </si>
  <si>
    <t>PT: CO2211; D5002 - Density, digital, 15 °C, Z-Score = 7.08</t>
  </si>
  <si>
    <t>PT: JF2211; D4052 - Density, Digital, 15 °C, Z-Score = -3.74</t>
  </si>
  <si>
    <t>PT: JF2211; D5453 - Sulfur, by UVF, Z-Score = 3.80</t>
  </si>
  <si>
    <t>PT: JF2211; D56 - Flash Point, TAG, Corrected, Z-Score = 3.77</t>
  </si>
  <si>
    <t>PT: D4052 - Density, by Hydrometer, 15 °C, Z-Score = -19.42</t>
  </si>
  <si>
    <t>PT: JF2211; D86 - Distillation, Auto, IBP &amp; FBP, Z-Scores = -8.41 &amp; -3.04</t>
  </si>
  <si>
    <t>PT: JF2211; D56 - Flash Point, TAG, Corrected, Z-Score = 3.05</t>
  </si>
  <si>
    <t>PT: RFG2302; D5769 - Benzene, by GC/MS (EPA), Z-Score = 3.21</t>
  </si>
  <si>
    <t>PT: RFG2302; D86 - Distillation, Auto, % Resid (EPA), Z-Score = 4.17</t>
  </si>
  <si>
    <t>PT: RFG2302; D1319 - HC Type, Aromatics, Corrected (EPA), Z-Score = 5.89</t>
  </si>
  <si>
    <t>PT: RFG2302; D5580 - Aromatics, C9+ &amp; Toluene, by GC, Z-Scores = -6.24 &amp; -2.28</t>
  </si>
  <si>
    <t>PT: RFG2302; D4815 - Oxygenates, Ethanol &amp; Total Oxygen, by GC, Z-Scores = 2.97 &amp; 3.20</t>
  </si>
  <si>
    <t>PT: MG2212; D6730 - HC Type, Total Naphthenes, Total Aromatics &amp; C9+ Aromatics, by pre-Col Hi Res GC, Z-Scores = 4.40, -2.94 &amp; -2.99</t>
  </si>
  <si>
    <t>PT: MG2212; D6839 - HC Type/Oxy, Benzene, by M-D GC, Z-Score = 3.08</t>
  </si>
  <si>
    <t>PT: DF22302; D5949 - Pour Point, Auto Pressure Pulse (Models 70V, 70X, 70Xi), Z-Score = -3.20</t>
  </si>
  <si>
    <t>PT: DF22302; D2887 - BP Distribution, GC, Proc B, IBP, 5%, 10%, 20%, 30%, 40%, Z-Scores = -8.39, -11.17, -8.24, -2.16, -2.52, &amp; -2.34</t>
  </si>
  <si>
    <t>PT: F242302; D3242 - Acidity, Z-Score = 7.85</t>
  </si>
  <si>
    <t>PT: F242302; D3241 - Thermal Stability, Ellipsometric, @260, Thickness, Z-Score = 14.40</t>
  </si>
  <si>
    <t>PT: F62301; D97 - Pour Point, Residual Fuels, Z-Score = 3.20</t>
  </si>
  <si>
    <t>Vitol Customer audit</t>
  </si>
  <si>
    <t>Sample retention</t>
  </si>
  <si>
    <t>AASHTO:  ASTM D6521-2022 - Thermometer used in PAV oven needs to read up to 180C, current thermometer reads up to only 170C.</t>
  </si>
  <si>
    <t>AASHTO:  Training records for Joe Hiddemen and Jill Hiddemen did not include records for procedures R29 and D7643.</t>
  </si>
  <si>
    <t>PT: OC2302; D86 - Distillation, 10%, Z-Score = -10.94</t>
  </si>
  <si>
    <t xml:space="preserve">PT: RFG2303; D5580 - Aromatics, C9 + &amp; Total, by GC, Z-Scores = -6.13 &amp; -5.99 </t>
  </si>
  <si>
    <t>PT: R-1331; D2699 - Research Octane Number, Z-Score = -21.48</t>
  </si>
  <si>
    <t>PT: R-1332; D86 - Recovery, Z-Score = -91.49</t>
  </si>
  <si>
    <t>PT: R-1334; Sulfur, Z-Score = -4.65</t>
  </si>
  <si>
    <t>PT: CE504; D86 - Distillation, EP, Z-Score = 4.43</t>
  </si>
  <si>
    <t>PT: TM03C-23; Sulfur, Z-Score = 3.00</t>
  </si>
  <si>
    <t>PT: TM03C-23; ETOH, Z-Score = -30.72</t>
  </si>
  <si>
    <t>PT: TM03C-23; D2699 - Research Octane Number, Z-Score = -4.16</t>
  </si>
  <si>
    <t>PT: TM03C-23; D86 - Distillation, 10%, Z-Score = -7.72</t>
  </si>
  <si>
    <t>PT: TM03C-23; D86 - Distillation, 10% &amp; 90%, Z-Score = 5.54 &amp; -2.17</t>
  </si>
  <si>
    <t>PT: MG2212; D5580 - Aromatics, Total, by GC, Z-Score = -5.79</t>
  </si>
  <si>
    <t>Sample prep. with proper glassware</t>
  </si>
  <si>
    <t>PT: MG2212; D86 - Distillation, Auto, % Resid (EPA), Z-Score = 4.41</t>
  </si>
  <si>
    <t>PT: MG2212; D86 - Distillation, Auto, 10% &amp; 20%, °F (EPA), Z-Scores = 5.25 &amp; 5.28</t>
  </si>
  <si>
    <t>PT: MG2212; D1319 - HC Type, Olefins, Oxy-Free (EPA), Z-Score = 5.44</t>
  </si>
  <si>
    <t>PT: F62301; D445 - Viscosity, Kinematic, 50 °C, Z-Score = -15.76</t>
  </si>
  <si>
    <t>Kenai, AK</t>
  </si>
  <si>
    <t>USCBP - PET daily check with LIG thermometer, Tape daily check</t>
  </si>
  <si>
    <t>USCBP - Records only maintained for 3 years</t>
  </si>
  <si>
    <t>USCBP - Water damage to the lab. Safety shower not checked every month</t>
  </si>
  <si>
    <t>USCBP - Analysis subcontracted to LA - COA not properly formatted. D4052</t>
  </si>
  <si>
    <t>USCBP - Analysis subcontracted to LA - Lab tech who signed COA not on LA signatory list</t>
  </si>
  <si>
    <t>USCBP - D5002 QC Water not freshly boiled</t>
  </si>
  <si>
    <t>USCBP - Sindie maintenance records missing</t>
  </si>
  <si>
    <t>PT: CE505; D5188 - V/L Temp, Z-Score = -3.10</t>
  </si>
  <si>
    <t>Clause 6.3.3 Env condition - sample temp</t>
  </si>
  <si>
    <t>Clause 7.5.1- technical record</t>
  </si>
  <si>
    <t>Clause 7.1.1 Lab subcontracting and COA</t>
  </si>
  <si>
    <t>Clause 7.2.1.7 Test method witnessing (D2500)</t>
  </si>
  <si>
    <t>Clause 6.4.10, 6.4.13cf - Equipment (D664, D130, D974, CGSB-3.0 No 14.3)</t>
  </si>
  <si>
    <t>Clause 6.5.1 Metrological traceability (D5191, D93, D664, D1322, D974)</t>
  </si>
  <si>
    <t>Clause 6.5.1 Metrological traceability -Cl certs for D2500, D97, D664, D3227, D3237, D3831)</t>
  </si>
  <si>
    <t>Clause 7.7.1 - Validity of results (D3831, D3237, D3241, D130, D2386, D3948/D7724, TM-0172, CGSB-3.0 No 60.32, CGSB-3.0 No 14.3)</t>
  </si>
  <si>
    <t>Clause 7.7.3 Validity of results (D56, D93)</t>
  </si>
  <si>
    <t>Clause 7.8.3.1e - Reporting of results (D86, D482, D613, D2699, D2700, CGSB-3.0 No 14.3)</t>
  </si>
  <si>
    <t>Job File review (job folder checklist, SR-1s)</t>
  </si>
  <si>
    <t>No review of calibration certificates for inspection field equipment.</t>
  </si>
  <si>
    <t>PT: F62301; D287 - API Gravity, Hydrometer, Z-Score = -10.28</t>
  </si>
  <si>
    <t>PT: F62301; D97 - Pour Point, Residual Fuels, Z-Score = -3.30</t>
  </si>
  <si>
    <t>PT: F62301; D4870 - Sediment, Predicted, B Chem Aging, Z-Score = 4.72</t>
  </si>
  <si>
    <t>PT: F62301; D445 - Viscosity, Kinematic, 50oC, Z-Score = 10.61</t>
  </si>
  <si>
    <t>Bostco, TX</t>
  </si>
  <si>
    <t>IA - Equipment calibration, verification and maintenance</t>
  </si>
  <si>
    <t>IA - Equipment status</t>
  </si>
  <si>
    <t>IA - Chemical / Standards missing expiration dates</t>
  </si>
  <si>
    <t>IA - Technicial Records</t>
  </si>
  <si>
    <t>IA - Inspector Annual audit overdue</t>
  </si>
  <si>
    <t>PT: DF22302; D4629 - Nitrogen, by Chemiluminescence, Z-Score = 4.51</t>
  </si>
  <si>
    <t>PT: DF22302; D93 - Flash Point, PMCC, Proc A, corrected, Z-Score = -3.44</t>
  </si>
  <si>
    <t>PT: DF22302; D1298 - Density, by Hydrometer at 15 °C, Z-Score = 3.54</t>
  </si>
  <si>
    <t>PT: DF22302; D664 - Acid Number, A, 60 mL, inflection EP, Z-Score = 5.62</t>
  </si>
  <si>
    <t>PT: DF22302; D6079 - Lubricity, HFRR, Scar Diameter, Z-Score = -5.60</t>
  </si>
  <si>
    <t>IA - Records not retained for 5 years</t>
  </si>
  <si>
    <t>IA - Document Control</t>
  </si>
  <si>
    <t>IA - Test Witnessing</t>
  </si>
  <si>
    <t>IA - Lab Equipment</t>
  </si>
  <si>
    <t>Valdez, AK</t>
  </si>
  <si>
    <t>VOID, Refer to C430-155-23</t>
  </si>
  <si>
    <t>Clause 7.8.3.1 COA reporting - MU and Asterik w no notation</t>
  </si>
  <si>
    <t xml:space="preserve">Mitsubishi - Off spec D4052 Specific Gravity @20°C result </t>
  </si>
  <si>
    <t>Levis (Quebec City), Quebec</t>
  </si>
  <si>
    <t>IA: expired tape</t>
  </si>
  <si>
    <t>IA: Inspector TRBs</t>
  </si>
  <si>
    <t>IA: Clause 6.2.2</t>
  </si>
  <si>
    <t>IA: Clause 6.4.4</t>
  </si>
  <si>
    <t>IA: Clause 6.5.2</t>
  </si>
  <si>
    <t>IA: Clause 6.6.3</t>
  </si>
  <si>
    <t>IA: Clause 7.1.1, 7.1.8 - Lab &amp; Ops POs</t>
  </si>
  <si>
    <t>IA: Clause 7.4.4</t>
  </si>
  <si>
    <t>IA: Clause 7.8.8</t>
  </si>
  <si>
    <t>Suncor audit: Resources</t>
  </si>
  <si>
    <t>Suncor audit: Root Cause Analysis</t>
  </si>
  <si>
    <t>Suncor audit: Risk-Based Thinking</t>
  </si>
  <si>
    <t>Ineos - Vessel composite analysis for the Benzene parcel was rejected due to High Toluene content. Erroneous results were reported.</t>
  </si>
  <si>
    <t>HTC Lab compiling CAR</t>
  </si>
  <si>
    <t>ISO 17025 Clause 6.5</t>
  </si>
  <si>
    <t>IA- Document Control</t>
  </si>
  <si>
    <t>IA- Asterisk (*) added to reporting of D482 &amp; D4294 on COAs with no notation of what it represents</t>
  </si>
  <si>
    <t>IA- IP 143 &amp; D482 test were not repeated when the the asphaltenes/ash content suggest the sample size used was incorrect</t>
  </si>
  <si>
    <t>IA- FIT test for two inspectors has expired. Two SCBA assembly calibration expired in May 2023</t>
  </si>
  <si>
    <t>St James, LA</t>
  </si>
  <si>
    <t>IA- Asterisk (*) added to reporting of E394 &amp; D4294 on COAs with no notation of what it represents. D4294 sample was centrifuged but not notated on COA.</t>
  </si>
  <si>
    <t>IA- No inspection equipment serial numbers referenced in inspection report 171-23-00601 or Tally book. Tally book missing inspection equipment serial numbers on job 171-23-00262.</t>
  </si>
  <si>
    <t>PT: DF22302; D5453 - Sulfur, by UVF, Z-Score = 3.32</t>
  </si>
  <si>
    <t>Clause 6.11.3 0 corrective actions for data out of statistical control (A083-110-23)</t>
  </si>
  <si>
    <t>Clause 9.2 Training records (A083-110-23)</t>
  </si>
  <si>
    <t>Valero, off-spec D1688 copper results</t>
  </si>
  <si>
    <t>PT: DF22302; D4052 - API Gravity, Digital, 60 °F &amp; Density, Digital, 15 °C, Z-Scores = 2.49 &amp; -3.51</t>
  </si>
  <si>
    <t>PT: RFG2305; D381 - Gum, Unwashed, Z-Score = 3.00</t>
  </si>
  <si>
    <t>PT: NP2302; D4629 - Nitrogen, by Chemiluminescence, Z-Score = 10.82</t>
  </si>
  <si>
    <t>PT: NP2302; D2622 - Sulfur by WDXRF, Z-Score = 41.40</t>
  </si>
  <si>
    <t>PT: NP2302; D5453 - Sulfur, by UVF, Z-Score = 64.06</t>
  </si>
  <si>
    <t>PT: RFG2305; D86 - Distillation, Auto, IBP, 40 - 80%, E200, E300, &amp; Loss, Z-Score = Multiple Outliers</t>
  </si>
  <si>
    <t>PT: ETOH2304; E1064 - Water by Coul KF, Z-Score = 8.27</t>
  </si>
  <si>
    <t>PT: RFG2305; D86 - Distillation, Auto, 5%, 10%, &amp; 20%, Z-Scores = 4.66, 4.86, &amp; 4.93</t>
  </si>
  <si>
    <t>PT: RFG2305; D1319 - HC Type, Saturates, Corrected, Z-Score = 4.64</t>
  </si>
  <si>
    <t>PT: GGO2303; D611 - Aniline Point, Meth B, Z-Score = -48.94</t>
  </si>
  <si>
    <t>PT: RFG2305; D5188 - V/L Ratio Temp, Evac Chamber, Z-Score = -6.16</t>
  </si>
  <si>
    <t>PT: CET2302; D4052 - Density, Digital, 15 °C, Z-Score = -92.29</t>
  </si>
  <si>
    <t>PT: CET2302; D86 - Distillation, Auto, 30% - 95%, Z-Scores = Multiple Outliers</t>
  </si>
  <si>
    <t>PT: NP2302; D2887 - BP Distribution, GC, Proc A, FBP, Z-Score = -4.21</t>
  </si>
  <si>
    <t>PT: NP2302; D3227 - Mercaptan Sulfur, Potentiometric, Z-Score = 12.38</t>
  </si>
  <si>
    <t>PT: NP2302; D4629 - Nitrogen, by Chemiluminescence, Z-Score = 12.38</t>
  </si>
  <si>
    <t>PT: NP2302; D5191 - Vapor Pressure, DVPE, 1L, Z-Score = 7.67</t>
  </si>
  <si>
    <t>PT: AT-353; Sulfur, Z-Score = 4.51</t>
  </si>
  <si>
    <t>IA: FL 13.1a trainer module</t>
  </si>
  <si>
    <t>CAR # listed as C474 in report (typo)</t>
  </si>
  <si>
    <t>IA: Clause 6.2.3</t>
  </si>
  <si>
    <t>IA: Clause 6.2.5</t>
  </si>
  <si>
    <t>IA: Clause 6.4.3</t>
  </si>
  <si>
    <t>IA: Clause 6.4.5</t>
  </si>
  <si>
    <t>IA: Clause 6.4.10</t>
  </si>
  <si>
    <t>IA: Clause 6.4.13</t>
  </si>
  <si>
    <t>IA: Clause 7.5.1</t>
  </si>
  <si>
    <t>IA: Clause 7.7.1</t>
  </si>
  <si>
    <t>IA: Clause 8.3.1</t>
  </si>
  <si>
    <t>CHESM - Sampling</t>
  </si>
  <si>
    <t>CHESM - Improper descent on Gangway</t>
  </si>
  <si>
    <t>CHESM - Safety PPE</t>
  </si>
  <si>
    <t>Neste - Weekly balance Verification</t>
  </si>
  <si>
    <t>Neste - D56  QC Chart</t>
  </si>
  <si>
    <t xml:space="preserve">Neste </t>
  </si>
  <si>
    <t>Neste</t>
  </si>
  <si>
    <t xml:space="preserve">Push bar for door </t>
  </si>
  <si>
    <t>PT: DF22302; D6371 - Cold Filter Plugging Point, CFPP, Z-Score = -4.80</t>
  </si>
  <si>
    <t>PT: MG2212; D7039 - Sulfur, by MWDXRF, Z-Score = -7.17</t>
  </si>
  <si>
    <t>PT: MG2212; D86 - Distillation, Auto, 90%, 95%, 95% (EPA), FBP, &amp; FBP (EPA), °F, Z-Scores = 2.41, 3.14, -3.26, &amp; -3.07</t>
  </si>
  <si>
    <t>PT: F62301; D473 - Sediment, Z-Score = 15.29</t>
  </si>
  <si>
    <t>PT: RFG2304; D4052 - Density, Digital, 15 °C, Z-Score = 5.93</t>
  </si>
  <si>
    <t>501</t>
  </si>
  <si>
    <t>PT: F62301; D445 - Viscosity, Kinematic, 100oC, Z-Score = -4.61</t>
  </si>
  <si>
    <t>502</t>
  </si>
  <si>
    <t>PT: DF22302; D5453 - Sulfur, by UVF, Z-Score = -3.19</t>
  </si>
  <si>
    <t>503</t>
  </si>
  <si>
    <t xml:space="preserve">PBF -  Failed to follow proper recheck procedure when rechecking D664 TAN </t>
  </si>
  <si>
    <t>504</t>
  </si>
  <si>
    <t>PT: DF22302; D664 - Acid Number, A, 125 mL, inflection EP, Z-Score = 13.43</t>
  </si>
  <si>
    <t>505</t>
  </si>
  <si>
    <t>PT: DF22302; D4530 - Carbon Residue, Micro, 10% btm, Z-Score = 14.78</t>
  </si>
  <si>
    <t>HM</t>
  </si>
  <si>
    <t>506</t>
  </si>
  <si>
    <t>PT: DF22302; D6304 - Water, by Coul KF, Meth A Direct Injection, mg/kg, Z-Score = 3.00</t>
  </si>
  <si>
    <t>507</t>
  </si>
  <si>
    <t>PT: DF22302; D6468 - Stability, High Temp, 90 min. aging, Z-Score = -3.10</t>
  </si>
  <si>
    <t>508</t>
  </si>
  <si>
    <t>PT: F62301; D445 - Viscosity, Kinematic, 50oC, Z-Score = -5.97</t>
  </si>
  <si>
    <t>509</t>
  </si>
  <si>
    <t>PT: F62301; D47870 - Sediment, Predicted, B Chem Aging &amp; Total, Z-Scores = -3.09 &amp; -2.93</t>
  </si>
  <si>
    <t>510</t>
  </si>
  <si>
    <t>PT: F62301; D5708 - Element, Iron, ICPAES, Method A, Z-Score = 4.72</t>
  </si>
  <si>
    <t>511</t>
  </si>
  <si>
    <t>PT: RFG2304; D86 - Distillation, Auto, 80%, Z-Score = -3.23</t>
  </si>
  <si>
    <t>512</t>
  </si>
  <si>
    <t xml:space="preserve">PT: RFG2304; D5580 - C9+ &amp; Total Aromatics, by GC, Z-Scores = -5.97 &amp; -2.86 </t>
  </si>
  <si>
    <t>513</t>
  </si>
  <si>
    <t>PT: RFG2304; D86 - Distillation, Auto, 10%, 20%, &amp; 30%, °F (EPA), Z-Scores = -3.12, -3.32, &amp; -3.50</t>
  </si>
  <si>
    <t>St Louis, MO</t>
  </si>
  <si>
    <t>514</t>
  </si>
  <si>
    <t>PT: RFG2304; D4052 - Density, Digital, 15 °C, Z-Score = -13.68</t>
  </si>
  <si>
    <t>515</t>
  </si>
  <si>
    <t>PT: RFG2304; D86 - Distillation, Auto, IBP, °F (EPA), Z-Score = -7.09</t>
  </si>
  <si>
    <t>Minot, ND</t>
  </si>
  <si>
    <t>516</t>
  </si>
  <si>
    <t>Inspector TRB</t>
  </si>
  <si>
    <t>517</t>
  </si>
  <si>
    <t>518</t>
  </si>
  <si>
    <t>Technical record</t>
  </si>
  <si>
    <t>519</t>
  </si>
  <si>
    <t>Lab reagents and chemicals</t>
  </si>
  <si>
    <t>520</t>
  </si>
  <si>
    <t>COA and reporting</t>
  </si>
  <si>
    <t>521</t>
  </si>
  <si>
    <t>Lab Equipment calibration/verification/maintenance</t>
  </si>
  <si>
    <t>522</t>
  </si>
  <si>
    <t>Lab training</t>
  </si>
  <si>
    <t>523</t>
  </si>
  <si>
    <t>QC program</t>
  </si>
  <si>
    <t>524</t>
  </si>
  <si>
    <t>Investigation of equip failing as found</t>
  </si>
  <si>
    <t>525</t>
  </si>
  <si>
    <t>526</t>
  </si>
  <si>
    <t>PT: BIOD2211; D6079 - Lubricity, HFRR, Scar Diameter, Z-Score = 3.00</t>
  </si>
  <si>
    <t>527</t>
  </si>
  <si>
    <t>PT: ETOH2304; D6423 - pHe, Z-Score = 4.78</t>
  </si>
  <si>
    <t>528</t>
  </si>
  <si>
    <t>PT: RFG2305; D1319 - HC Type, Aromatics &amp; Olefins, Oxy-Free (EPA), Z-Scores = 2.22 &amp; -3.35</t>
  </si>
  <si>
    <t>529</t>
  </si>
  <si>
    <t xml:space="preserve">Shell - Inconsistent lab results, Silver Corrosion on job 120-23-11236 (Shore Tank AP-19 @ DPR)
</t>
  </si>
  <si>
    <t>530</t>
  </si>
  <si>
    <t>PT: R-1335; Gravity, API at 60 °F, Z-Score = -11.08</t>
  </si>
  <si>
    <t>531</t>
  </si>
  <si>
    <t>PT: R-1335; D86 - Distillation, FBP Evaporated, Z-Score = -4.65</t>
  </si>
  <si>
    <t>532</t>
  </si>
  <si>
    <t>PT: ETOH2304; E1064 - Water, by Coul KF, Z-Score = 4.32</t>
  </si>
  <si>
    <t>533</t>
  </si>
  <si>
    <t>PT: ETOH2304; D5501 - Ethanol, By GC, Z-Score = 4.22</t>
  </si>
  <si>
    <t>534</t>
  </si>
  <si>
    <t>PT: ETOH2304; E1064 - Water, by Coul KF, Z-Score = -4.77</t>
  </si>
  <si>
    <t>535</t>
  </si>
  <si>
    <t>PT: RFG2305; D5580 - C9+ &amp; Total Aromatics, &amp; Benzene, by GC, Z-Scores = -5.69, -3.23, &amp; 3.18</t>
  </si>
  <si>
    <t>536</t>
  </si>
  <si>
    <t>PT: RFG2305; D4052 - Density, Digital, 15 °C, Z-Score = 17.88</t>
  </si>
  <si>
    <t>537</t>
  </si>
  <si>
    <t>C537-160-23</t>
  </si>
  <si>
    <t>Citgo - D4006 Off Spec</t>
  </si>
  <si>
    <t>538</t>
  </si>
  <si>
    <t xml:space="preserve">Chevron - Failure in following proper chain of custody procedures.  
</t>
  </si>
  <si>
    <t>539</t>
  </si>
  <si>
    <t>EPA Streamlining</t>
  </si>
  <si>
    <t>EC</t>
  </si>
  <si>
    <t>540</t>
  </si>
  <si>
    <t>Proficiency Testing</t>
  </si>
  <si>
    <t>541</t>
  </si>
  <si>
    <t>D5580 (Benzene)</t>
  </si>
  <si>
    <t>542</t>
  </si>
  <si>
    <t>Documents</t>
  </si>
  <si>
    <t>543</t>
  </si>
  <si>
    <t>Test Method Witnessing</t>
  </si>
  <si>
    <t>544</t>
  </si>
  <si>
    <t>Calibration and Maintenance</t>
  </si>
  <si>
    <t>545</t>
  </si>
  <si>
    <t>Draft Marks Training</t>
  </si>
  <si>
    <t>546</t>
  </si>
  <si>
    <t>Shell requesting CAR for RFG2108 outlier due to transcription error</t>
  </si>
  <si>
    <t>547</t>
  </si>
  <si>
    <t>Citgo - The sampling instructions per the nomination were not followed.</t>
  </si>
  <si>
    <t>548</t>
  </si>
  <si>
    <t>Improper Procedure - Sample shipping to Signal Hill</t>
  </si>
  <si>
    <t>549</t>
  </si>
  <si>
    <t>Citgo - SQC run rule violations not efficiently addressed</t>
  </si>
  <si>
    <t>550</t>
  </si>
  <si>
    <t xml:space="preserve">Citgo - Sampler did not rinse sample bottles prior to catching samples, samples obtained were below 70% </t>
  </si>
  <si>
    <t>551</t>
  </si>
  <si>
    <t>Citgo - Laboratory fume hood not working</t>
  </si>
  <si>
    <t>552</t>
  </si>
  <si>
    <t>Citgo - D5191 Test Method Witnessing</t>
  </si>
  <si>
    <t>553</t>
  </si>
  <si>
    <t xml:space="preserve">Weekly Waste Storage Area Inspection Log (FL 103) NOT being completed. </t>
  </si>
  <si>
    <t>554</t>
  </si>
  <si>
    <t>Packing slips not being kept on file</t>
  </si>
  <si>
    <t>555</t>
  </si>
  <si>
    <t xml:space="preserve">Inspector TRB not current or missing documentation. </t>
  </si>
  <si>
    <t>556</t>
  </si>
  <si>
    <t>No monthly temperature verfications for UTI for Jan to Mar 2023</t>
  </si>
  <si>
    <t>557</t>
  </si>
  <si>
    <t>Field audits required for 3 inspectors</t>
  </si>
  <si>
    <t>558</t>
  </si>
  <si>
    <t>Cal certs not signed/dated by Ops</t>
  </si>
  <si>
    <t>559</t>
  </si>
  <si>
    <t>Test Method Witnessing (D381/IP 540, D3227)</t>
  </si>
  <si>
    <t>560</t>
  </si>
  <si>
    <t>Technical bulletins are not being reviewed consistently by the lab</t>
  </si>
  <si>
    <t>561</t>
  </si>
  <si>
    <t>Job File Review</t>
  </si>
  <si>
    <t>562</t>
  </si>
  <si>
    <t>Retention times for RFG samples being assigned incorrectly</t>
  </si>
  <si>
    <t>Baltimore (Glen Burnie), MD</t>
  </si>
  <si>
    <t>563</t>
  </si>
  <si>
    <t>IA -  File Review - Ullage Report</t>
  </si>
  <si>
    <t>564</t>
  </si>
  <si>
    <t>USCBP - Unique ID for Solvent</t>
  </si>
  <si>
    <t>565</t>
  </si>
  <si>
    <t>Marathon - ops Job file 132-23-00067</t>
  </si>
  <si>
    <t>566</t>
  </si>
  <si>
    <t>Marathon - ops Job file 132-23-00168</t>
  </si>
  <si>
    <t>567</t>
  </si>
  <si>
    <t>Marathon - Lab raw data job file 132-23-00122</t>
  </si>
  <si>
    <t>568</t>
  </si>
  <si>
    <t>Marathon - Incorrectly reported D97</t>
  </si>
  <si>
    <t>569</t>
  </si>
  <si>
    <t>Marathon  - D5191</t>
  </si>
  <si>
    <t>570</t>
  </si>
  <si>
    <t>Marathon - D7039</t>
  </si>
  <si>
    <t>571</t>
  </si>
  <si>
    <t>Marathon - D86</t>
  </si>
  <si>
    <t>572</t>
  </si>
  <si>
    <t>Marathon - D2699</t>
  </si>
  <si>
    <t>573</t>
  </si>
  <si>
    <t>Marathon - D2700</t>
  </si>
  <si>
    <t>Providence, RI</t>
  </si>
  <si>
    <t>574</t>
  </si>
  <si>
    <t>IA: FL 103 not being completed</t>
  </si>
  <si>
    <t>575</t>
  </si>
  <si>
    <t>IA:  D5191 failed as found; no investigation</t>
  </si>
  <si>
    <t>576</t>
  </si>
  <si>
    <t>IA:  Test witnessing</t>
  </si>
  <si>
    <t>577</t>
  </si>
  <si>
    <t>578</t>
  </si>
  <si>
    <t>EBMSI audit: TMA procedure</t>
  </si>
  <si>
    <t>579</t>
  </si>
  <si>
    <t>EBMSI audit: identification of critical tests and their TMA schedule</t>
  </si>
  <si>
    <t>580</t>
  </si>
  <si>
    <t>EBMSI audit: Densitometer does not print unique unit ID on printout</t>
  </si>
  <si>
    <t>581</t>
  </si>
  <si>
    <t>SRI not correctly completed</t>
  </si>
  <si>
    <t>582</t>
  </si>
  <si>
    <t>Marine field data book not available</t>
  </si>
  <si>
    <t>583</t>
  </si>
  <si>
    <t>Weekly waste storage area inspecrtion log not being complete</t>
  </si>
  <si>
    <t>584</t>
  </si>
  <si>
    <t xml:space="preserve">Quality and technical bulletins not being reviewed and documented. </t>
  </si>
  <si>
    <t>585</t>
  </si>
  <si>
    <t>Balance not being verified weekly</t>
  </si>
  <si>
    <t>586</t>
  </si>
  <si>
    <t>No verification for lab oven temperature</t>
  </si>
  <si>
    <t>587</t>
  </si>
  <si>
    <t>Stirring not performed for D4807</t>
  </si>
  <si>
    <t>588</t>
  </si>
  <si>
    <t>Fumehood not certified</t>
  </si>
  <si>
    <t>589</t>
  </si>
  <si>
    <t>D5002 - Air and water checks not being performed weekly</t>
  </si>
  <si>
    <t>590</t>
  </si>
  <si>
    <t>Green/red tag not in  place</t>
  </si>
  <si>
    <t>591</t>
  </si>
  <si>
    <t>File 138-23-00287 API on insp report and COA</t>
  </si>
  <si>
    <t>592</t>
  </si>
  <si>
    <t>File 138-23-00074 ROB/OBQ reporting</t>
  </si>
  <si>
    <t>593</t>
  </si>
  <si>
    <t>File 138-23-00329 Barge gauge point</t>
  </si>
  <si>
    <t>594</t>
  </si>
  <si>
    <t xml:space="preserve">Inspector Training Record Book </t>
  </si>
  <si>
    <t>595</t>
  </si>
  <si>
    <t>596</t>
  </si>
  <si>
    <t>Calibration - failed as found investigation.</t>
  </si>
  <si>
    <t>597</t>
  </si>
  <si>
    <t>Method Deviations</t>
  </si>
  <si>
    <t>598</t>
  </si>
  <si>
    <t xml:space="preserve">Equipment Calibration. </t>
  </si>
  <si>
    <t>599</t>
  </si>
  <si>
    <t>SQC</t>
  </si>
  <si>
    <t>600</t>
  </si>
  <si>
    <t>Inspector FIT test</t>
  </si>
  <si>
    <t>601</t>
  </si>
  <si>
    <t>Ops job file checklist</t>
  </si>
  <si>
    <t>602</t>
  </si>
  <si>
    <t>Clause 6.2.2</t>
  </si>
  <si>
    <t>603</t>
  </si>
  <si>
    <t>Clause 7.1.5</t>
  </si>
  <si>
    <t>604</t>
  </si>
  <si>
    <t>Clause 6.4.1 Access to equipment</t>
  </si>
  <si>
    <t>closed</t>
  </si>
  <si>
    <t>605</t>
  </si>
  <si>
    <t>Clause 6.4.4 and 6.4.5 Equipment</t>
  </si>
  <si>
    <t>606</t>
  </si>
  <si>
    <t>607</t>
  </si>
  <si>
    <t>Clasue 7.5.1 Technical record</t>
  </si>
  <si>
    <t>608</t>
  </si>
  <si>
    <t xml:space="preserve">Clause 7.7.3 Monitor validity of results </t>
  </si>
  <si>
    <t>609</t>
  </si>
  <si>
    <t>Clause 7.8.3.1 e reporting per method</t>
  </si>
  <si>
    <t>610</t>
  </si>
  <si>
    <t>Clasue 8.3.2d Doc control</t>
  </si>
  <si>
    <t>611</t>
  </si>
  <si>
    <t>A2LA R103 PT 3 Distribution of PT tests</t>
  </si>
  <si>
    <t>612</t>
  </si>
  <si>
    <t>ISO 17025 Clause 6.4.1 Equipment</t>
  </si>
  <si>
    <t>613</t>
  </si>
  <si>
    <t>ISO 17025 Clause 6.4.4 Equipment</t>
  </si>
  <si>
    <t>614</t>
  </si>
  <si>
    <t>ISO 17025 Clause 6.4.8 Equipment</t>
  </si>
  <si>
    <t>615</t>
  </si>
  <si>
    <t>ISO 17025 Clause 6.4.13 Equipment</t>
  </si>
  <si>
    <t>616</t>
  </si>
  <si>
    <t>ISO 17025 Clause 6.5.1 Metrological traceability</t>
  </si>
  <si>
    <t>617</t>
  </si>
  <si>
    <t>ISO 17025 Clause 7.2.1.7 Test method witnessing (selection and verification of methods)</t>
  </si>
  <si>
    <t>618</t>
  </si>
  <si>
    <t>ISO 17025 Clause 7.7.1 Validity of results</t>
  </si>
  <si>
    <t>619</t>
  </si>
  <si>
    <t>ISO 17025 Clause 7.5.1 Technical records</t>
  </si>
  <si>
    <t>620</t>
  </si>
  <si>
    <t>Inspector Field equipment + calibration records</t>
  </si>
  <si>
    <t>621</t>
  </si>
  <si>
    <t>622</t>
  </si>
  <si>
    <t>Job file review</t>
  </si>
  <si>
    <t>623</t>
  </si>
  <si>
    <t>Chevron - Retain technician dumped live samples</t>
  </si>
  <si>
    <t>624</t>
  </si>
  <si>
    <t>IA: FL 104</t>
  </si>
  <si>
    <t>625</t>
  </si>
  <si>
    <t>IA:  FL13.1a &amp; FL 13.1b</t>
  </si>
  <si>
    <t>626</t>
  </si>
  <si>
    <t>IA:  Inspector TRB</t>
  </si>
  <si>
    <t>627</t>
  </si>
  <si>
    <t xml:space="preserve">IA:  File review  </t>
  </si>
  <si>
    <t>628</t>
  </si>
  <si>
    <t>IA:  Test witnessing (D4052 &amp; D1319)</t>
  </si>
  <si>
    <t>629</t>
  </si>
  <si>
    <t>IA: TB/QB Review</t>
  </si>
  <si>
    <t>630</t>
  </si>
  <si>
    <t>IA: Controlled Document List</t>
  </si>
  <si>
    <t>631</t>
  </si>
  <si>
    <t>IA: PSSC Certificate review Temp Fail</t>
  </si>
  <si>
    <t>632</t>
  </si>
  <si>
    <t>IA: SQC charts not functioning properly</t>
  </si>
  <si>
    <t>633</t>
  </si>
  <si>
    <t>IA: Lab Technician training</t>
  </si>
  <si>
    <t>634</t>
  </si>
  <si>
    <t>IA: File Review</t>
  </si>
  <si>
    <t>635</t>
  </si>
  <si>
    <t>IA: Laboratory Certificates</t>
  </si>
  <si>
    <t>636</t>
  </si>
  <si>
    <t>IA: Expired Chemicals</t>
  </si>
  <si>
    <t>637</t>
  </si>
  <si>
    <t xml:space="preserve">IA: Test Witnessing </t>
  </si>
  <si>
    <t>638</t>
  </si>
  <si>
    <t>US Oil - Asphaltenes D6560 and n-Heptane Insolubles D3279 expected results not within client expectations.</t>
  </si>
  <si>
    <t>639</t>
  </si>
  <si>
    <t>Motiva Refinery - Safety violation</t>
  </si>
  <si>
    <t>640</t>
  </si>
  <si>
    <t>Clause 7.5.1 Technical Record - D445 timer ID, D482 Balance ID</t>
  </si>
  <si>
    <t>641</t>
  </si>
  <si>
    <t>Clause 6.4.8 calibration label</t>
  </si>
  <si>
    <t>642</t>
  </si>
  <si>
    <t>Clause 6.3.3 Evidence of test temperature control/monitoring D130 and D525</t>
  </si>
  <si>
    <t>643</t>
  </si>
  <si>
    <t>D5452 - Ohm meter and oven temperature</t>
  </si>
  <si>
    <t>644</t>
  </si>
  <si>
    <t>Clause 7.7.1 Validity check D974</t>
  </si>
  <si>
    <t>645</t>
  </si>
  <si>
    <t>Clause 6.4.13 Software and Firmware version</t>
  </si>
  <si>
    <t>646</t>
  </si>
  <si>
    <t>ISO17025: A122-170-23, D70 records do not include the ID of the blalnce</t>
  </si>
  <si>
    <t>647</t>
  </si>
  <si>
    <t>ISO17025: A122-170-23, D130 technician did not complete all the steps as required</t>
  </si>
  <si>
    <t>648</t>
  </si>
  <si>
    <t>Irving - D5191 log</t>
  </si>
  <si>
    <t>649</t>
  </si>
  <si>
    <t>Irving - D5453 S range on cal curve</t>
  </si>
  <si>
    <t>Cushing, OK</t>
  </si>
  <si>
    <t>650</t>
  </si>
  <si>
    <t>IA - Equipment Calibration / Verification</t>
  </si>
  <si>
    <t>651</t>
  </si>
  <si>
    <t>652</t>
  </si>
  <si>
    <t>IA - SQC</t>
  </si>
  <si>
    <t>653</t>
  </si>
  <si>
    <t>654</t>
  </si>
  <si>
    <t>IA - Reporting</t>
  </si>
  <si>
    <t>655</t>
  </si>
  <si>
    <t>IA - MOC</t>
  </si>
  <si>
    <t>656</t>
  </si>
  <si>
    <t xml:space="preserve">Citgo section 6.3.1 </t>
  </si>
  <si>
    <t>657</t>
  </si>
  <si>
    <t xml:space="preserve">Citgo section 6.11.3 </t>
  </si>
  <si>
    <t>658</t>
  </si>
  <si>
    <t>Citgo section 6.16</t>
  </si>
  <si>
    <t>659</t>
  </si>
  <si>
    <t>VOID:  Citgo section 6.18 (initial date 10.09.2023 by HB)</t>
  </si>
  <si>
    <t>660</t>
  </si>
  <si>
    <t>Citgo section 9.1.2</t>
  </si>
  <si>
    <t>661</t>
  </si>
  <si>
    <t>Citgo section 14</t>
  </si>
  <si>
    <t>662</t>
  </si>
  <si>
    <t>Citgo section 15</t>
  </si>
  <si>
    <t>663</t>
  </si>
  <si>
    <t>Test method witnessing (D97, D2500, D86, D381, D130, D93)</t>
  </si>
  <si>
    <t>664</t>
  </si>
  <si>
    <t>Lab equipment</t>
  </si>
  <si>
    <t>665</t>
  </si>
  <si>
    <t>Lab training records</t>
  </si>
  <si>
    <t>666</t>
  </si>
  <si>
    <t>Validity of results</t>
  </si>
  <si>
    <t>667</t>
  </si>
  <si>
    <t>NC also for ops</t>
  </si>
  <si>
    <t>668</t>
  </si>
  <si>
    <t>Procurement</t>
  </si>
  <si>
    <t>669</t>
  </si>
  <si>
    <t>Quality bulletins</t>
  </si>
  <si>
    <t>670</t>
  </si>
  <si>
    <t>Inspector training binders</t>
  </si>
  <si>
    <t>671</t>
  </si>
  <si>
    <t>672</t>
  </si>
  <si>
    <t>673</t>
  </si>
  <si>
    <t>Expired working thermometers (requested by Lab Mngr)</t>
  </si>
  <si>
    <t>674</t>
  </si>
  <si>
    <t xml:space="preserve">Citgo - The UTI serial number was missing from the Tally book and file folder </t>
  </si>
  <si>
    <t>Customer audit</t>
  </si>
  <si>
    <t>675</t>
  </si>
  <si>
    <t xml:space="preserve">Unipec - Operations failed to properly calculate final vessel figures after a reverse lightering. 
</t>
  </si>
  <si>
    <t>676</t>
  </si>
  <si>
    <t>Citgo-SQC</t>
  </si>
  <si>
    <t>677</t>
  </si>
  <si>
    <t>Irving - Test Witnessing (D3242 - Pipette not verified, D5972 - Control chart limits not updated in QCPlus)</t>
  </si>
  <si>
    <t>678</t>
  </si>
  <si>
    <t>Irving - Test Witnessings (D2624 - Technician not familiar with calibration stamp on probe)</t>
  </si>
  <si>
    <t>679</t>
  </si>
  <si>
    <t xml:space="preserve">Marathon - D5191 QC </t>
  </si>
  <si>
    <t>680</t>
  </si>
  <si>
    <t>Office did not have a calibrated UTI for months. Supply issues with vendors</t>
  </si>
  <si>
    <t>681</t>
  </si>
  <si>
    <t>Vessels automatic temperatures being used on the Palanca Rio instead of manual temperatures.</t>
  </si>
  <si>
    <t>Tacoma, WA</t>
  </si>
  <si>
    <t>682</t>
  </si>
  <si>
    <t>Training records</t>
  </si>
  <si>
    <t>683</t>
  </si>
  <si>
    <t>684</t>
  </si>
  <si>
    <t>Lab equipment (calibration/verification/maintenance)</t>
  </si>
  <si>
    <t>685</t>
  </si>
  <si>
    <t>Quality Management System</t>
  </si>
  <si>
    <t>686</t>
  </si>
  <si>
    <t>IA: Clause 6.2.3 &amp; 6.2.5c</t>
  </si>
  <si>
    <t>687</t>
  </si>
  <si>
    <t>IA: Clause 6.4.7 &amp; 6.4.10</t>
  </si>
  <si>
    <t>688</t>
  </si>
  <si>
    <t>IA: Clause 6.4.9</t>
  </si>
  <si>
    <t>689</t>
  </si>
  <si>
    <t>690</t>
  </si>
  <si>
    <t>IA: Clause 7.7.1d</t>
  </si>
  <si>
    <t>691</t>
  </si>
  <si>
    <t>IA: Clause 7.8.8.1</t>
  </si>
  <si>
    <t>692</t>
  </si>
  <si>
    <t>Procurement - PO and AVL</t>
  </si>
  <si>
    <t>693</t>
  </si>
  <si>
    <t>Inspection equipment</t>
  </si>
  <si>
    <t>694</t>
  </si>
  <si>
    <t>695</t>
  </si>
  <si>
    <t>Lab Records</t>
  </si>
  <si>
    <t>696</t>
  </si>
  <si>
    <t>QC</t>
  </si>
  <si>
    <t>697</t>
  </si>
  <si>
    <t>Test method deviations</t>
  </si>
  <si>
    <t>698</t>
  </si>
  <si>
    <t>Job file</t>
  </si>
  <si>
    <t>699</t>
  </si>
  <si>
    <t>Sample traceability and COC</t>
  </si>
  <si>
    <t>700</t>
  </si>
  <si>
    <t>Lyondell - Dispatch made an error on a inhibitor form and told the inspector the wrong amount of inhibitor to be added</t>
  </si>
  <si>
    <t>EB / MV</t>
  </si>
  <si>
    <t>701</t>
  </si>
  <si>
    <t>VOID, Tampa, 3rd party audit,Statistical Quality Control (SQC) Run Sheet (control number 126-L004.001) used as a daily qc log was not up to date.  Quality control limit range did not correspond to the SQC limits, 11/14/23. (JP)</t>
  </si>
  <si>
    <t>NC was addressed with C702</t>
  </si>
  <si>
    <t>702</t>
  </si>
  <si>
    <t xml:space="preserve">As per SQC records, QC samples results were not promptly plotted on the control chart.
Therefore, immediate actions were taken to address the SQC violations listed below. 
D5191 (10209): 07/4/23, 7/5/23 &amp; 7/6/23 SQC flagged. However, no QC investigation was documented.                                                                                                                       
D2622: 02/8/23. SQC flagged (EWMA). However, there is not evidence of QC investigation or immediate action taken in a reasonable time. Comment was submitted a month later on 3-9-23.                                                                                 </t>
  </si>
  <si>
    <t>JP</t>
  </si>
  <si>
    <t>703</t>
  </si>
  <si>
    <t>D2622 Calibration</t>
  </si>
  <si>
    <t>Eco</t>
  </si>
  <si>
    <t>704</t>
  </si>
  <si>
    <t>Raw data traceability</t>
  </si>
  <si>
    <t>705</t>
  </si>
  <si>
    <t>Clause 7.4.4 Env condition</t>
  </si>
  <si>
    <t>706</t>
  </si>
  <si>
    <t>Marathon - QC Chart TPI</t>
  </si>
  <si>
    <t>707</t>
  </si>
  <si>
    <t>Marathon - D6299</t>
  </si>
  <si>
    <t>708</t>
  </si>
  <si>
    <t>IA: Probe check S/Ns on MFDB GTs</t>
  </si>
  <si>
    <t>709</t>
  </si>
  <si>
    <t>IA:  Clause 6.4.9 &amp; 6.4.10</t>
  </si>
  <si>
    <t>710</t>
  </si>
  <si>
    <t>IA:  Clause 6.5.2</t>
  </si>
  <si>
    <t>711</t>
  </si>
  <si>
    <t>IA:  Clause 7.5.1</t>
  </si>
  <si>
    <t>712</t>
  </si>
  <si>
    <t>IA:  Clause 7.7.1d</t>
  </si>
  <si>
    <t>713</t>
  </si>
  <si>
    <t>IA:  Clause 7.8.8.1</t>
  </si>
  <si>
    <t>714</t>
  </si>
  <si>
    <t>ISO 17025 clause 7.7.1a</t>
  </si>
  <si>
    <t>715</t>
  </si>
  <si>
    <t>ISO 17025 clause  7.5.1</t>
  </si>
  <si>
    <t>716</t>
  </si>
  <si>
    <t>ISO 17025 clause 8.9.2</t>
  </si>
  <si>
    <t>717</t>
  </si>
  <si>
    <t>ISO 17025 clause 8.3.2</t>
  </si>
  <si>
    <t>718</t>
  </si>
  <si>
    <t xml:space="preserve">Not testing and charting quality control samples for sulfur in 1000-1500 ppm range. </t>
  </si>
  <si>
    <t>719</t>
  </si>
  <si>
    <t>Flash point Unit # BH 230 CRM standard test results were outside range as per ASTM D93.</t>
  </si>
  <si>
    <t>720</t>
  </si>
  <si>
    <t>IP 570 H2S in liquid instrument not working properly.</t>
  </si>
  <si>
    <t>721</t>
  </si>
  <si>
    <t>Technician failed to mention the sample preparation step of mixing the sample in a shaker for 3 minutes during verbal demonstration of ASTM D5705 H2S in vapor method.</t>
  </si>
  <si>
    <t>722</t>
  </si>
  <si>
    <t>Proper sample preparation lacking for Sediment and Water determination by ASTM D95 and ASTM D1796 test methods.</t>
  </si>
  <si>
    <t>723</t>
  </si>
  <si>
    <t xml:space="preserve"> BS&amp;W- heated centrifuge didn't function properly.</t>
  </si>
  <si>
    <t>724</t>
  </si>
  <si>
    <t>Technicians was not aware of proper sulfur curve selection when testing samples for sulfur content.</t>
  </si>
  <si>
    <t>725</t>
  </si>
  <si>
    <t xml:space="preserve">Horiba SLFA X-ray unit had old samples sitting in the sample carousel prior to testing. </t>
  </si>
  <si>
    <t>726</t>
  </si>
  <si>
    <t>Marathon - Free Water (apx 1,200 bbls) not identified on job 132-23-00844.</t>
  </si>
  <si>
    <t>Inspectors sign off pending 12/18/23</t>
  </si>
  <si>
    <t>727</t>
  </si>
  <si>
    <t>IA - Job File Review</t>
  </si>
  <si>
    <t>728</t>
  </si>
  <si>
    <t>IA - Inspector TRB</t>
  </si>
  <si>
    <t>729</t>
  </si>
  <si>
    <t>4/2/2024 SP</t>
  </si>
  <si>
    <t>730</t>
  </si>
  <si>
    <t xml:space="preserve">Citgo - Lab technicians training records were not completed. </t>
  </si>
  <si>
    <t>731</t>
  </si>
  <si>
    <t>IA 9001: Lab Equipment - ASTM D7328 calibration</t>
  </si>
  <si>
    <t>732</t>
  </si>
  <si>
    <t>IA 9001: Test method witnessing</t>
  </si>
  <si>
    <t>733</t>
  </si>
  <si>
    <t>IA 9001: In-house solutions preparation and records</t>
  </si>
  <si>
    <t>734</t>
  </si>
  <si>
    <t>IA 9001: Job File review</t>
  </si>
  <si>
    <t>735</t>
  </si>
  <si>
    <t>IA 9001: Controlled documents</t>
  </si>
  <si>
    <t>736</t>
  </si>
  <si>
    <t>VOID, St. Louis, IA 9001, CAR No. no longer needed for report - AH / 08.16</t>
  </si>
  <si>
    <t>737</t>
  </si>
  <si>
    <t>IA 9001: QC charts</t>
  </si>
  <si>
    <t>738</t>
  </si>
  <si>
    <t>Clause 6.4.4 Calibrations D525 gauge and G524 well temp</t>
  </si>
  <si>
    <t>739</t>
  </si>
  <si>
    <t>Clause 7.5.1 Technical record D3231 prep</t>
  </si>
  <si>
    <t>740</t>
  </si>
  <si>
    <t>Clause 7.7.1 No QC fro D3279</t>
  </si>
  <si>
    <t>741</t>
  </si>
  <si>
    <t>Clause 7.8.1.2 reporting no notation on ***ASTM D3279</t>
  </si>
  <si>
    <t>742</t>
  </si>
  <si>
    <t>Clause 6.4.4, 6.4.6, A2LA T1 Equipment calibration D93 probe D381 gauge</t>
  </si>
  <si>
    <t>743</t>
  </si>
  <si>
    <t>Clause 6.5.2b D6550 CRM</t>
  </si>
  <si>
    <t>744</t>
  </si>
  <si>
    <t xml:space="preserve">Clause 7.7.1 QC samples are not run for ASTM D6560 and ASTM D3279 </t>
  </si>
  <si>
    <t>745</t>
  </si>
  <si>
    <t>BP - NSTOP Inspector sampling issues</t>
  </si>
  <si>
    <t>CAR pending branch review &amp; Insp Trn 12/20</t>
  </si>
  <si>
    <t>746</t>
  </si>
  <si>
    <t>BQ-9000 audit: Corrective action</t>
  </si>
  <si>
    <t>747</t>
  </si>
  <si>
    <t>BQ-9000 audit: calibration</t>
  </si>
  <si>
    <t>748</t>
  </si>
  <si>
    <t>BQ-9000 audit: proficiency testing</t>
  </si>
  <si>
    <t>749</t>
  </si>
  <si>
    <t>PBF - D2170 incorrect result</t>
  </si>
  <si>
    <t>MV 1/18/24 - Asphalt - Tech terminated</t>
  </si>
  <si>
    <t>750</t>
  </si>
  <si>
    <t>No SOP for Chevron Simdis method</t>
  </si>
  <si>
    <t>751</t>
  </si>
  <si>
    <t>D7169 - no Gas filter traps for H2, Air, N2 gas supplies, sample temp, and maintenance log.</t>
  </si>
  <si>
    <t>752</t>
  </si>
  <si>
    <t>The laboratory has not followed the CTC sequence as recommended.</t>
  </si>
  <si>
    <t>753</t>
  </si>
  <si>
    <t xml:space="preserve">Sample Analysis </t>
  </si>
  <si>
    <t>754</t>
  </si>
  <si>
    <t>D7900 - Samples are not stored in the refrigerator before opening or preparation and The Laboratory does not have the gas filters for GC</t>
  </si>
  <si>
    <t>755</t>
  </si>
  <si>
    <t>CHESM - Grounding of Equipment</t>
  </si>
  <si>
    <t>756</t>
  </si>
  <si>
    <t>CHESM - Muster Points &amp; Alarms</t>
  </si>
  <si>
    <t>757</t>
  </si>
  <si>
    <t>CHESM - Sampling Depth</t>
  </si>
  <si>
    <t>758</t>
  </si>
  <si>
    <t>CHESM - Emergency Guide Book</t>
  </si>
  <si>
    <t>759</t>
  </si>
  <si>
    <t>Marathon - Inspector failed to gauge slop tanks on the vessel 750-3 @MPLX Mt. Airy</t>
  </si>
  <si>
    <t>Not a complaint / Improper Procedure</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</si>
  <si>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</si>
  <si>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</si>
  <si>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</si>
  <si>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</si>
  <si>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</si>
  <si>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</si>
  <si>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</si>
  <si>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</si>
  <si>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</si>
  <si>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</si>
  <si>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</si>
  <si>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</si>
  <si>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</si>
  <si>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</si>
  <si>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</si>
  <si>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</si>
  <si>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</si>
  <si>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</si>
  <si>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</si>
  <si>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</si>
  <si>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</si>
  <si>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</si>
  <si>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</si>
  <si>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</si>
  <si>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</si>
  <si>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</si>
  <si>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</si>
  <si>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</si>
  <si>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</si>
  <si>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</si>
  <si>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</si>
  <si>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</si>
  <si>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</si>
  <si>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</si>
  <si>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</si>
  <si>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</si>
  <si>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</si>
  <si>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</si>
  <si>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</si>
  <si>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</si>
  <si>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</si>
  <si>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</si>
  <si>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</si>
  <si>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</si>
  <si>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</si>
  <si>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</si>
  <si>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</si>
  <si>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</si>
  <si>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</si>
  <si>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</si>
  <si>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</si>
  <si>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</si>
  <si>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</si>
  <si>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</si>
  <si>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</si>
  <si>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</si>
  <si>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</si>
  <si>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</si>
  <si>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</si>
  <si>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</si>
  <si>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</si>
  <si>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</si>
  <si>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</si>
  <si>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</si>
  <si>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</si>
  <si>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</si>
  <si>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</si>
  <si>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</si>
  <si>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</si>
  <si>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</si>
  <si>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</si>
  <si>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</si>
  <si>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</si>
  <si>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</si>
  <si>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</si>
  <si>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</si>
  <si>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</si>
  <si>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</si>
  <si>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</si>
  <si>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</si>
  <si>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</si>
  <si>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</si>
  <si>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</si>
  <si>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</si>
  <si>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</si>
  <si>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</si>
  <si>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</si>
  <si>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</si>
  <si>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</si>
  <si>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</si>
  <si>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</si>
  <si>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</si>
  <si>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</si>
  <si>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</si>
  <si>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</si>
  <si>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</si>
  <si>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</si>
  <si>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</si>
  <si>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</si>
  <si>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</si>
  <si>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</si>
  <si>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</si>
  <si>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</si>
  <si>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</si>
  <si>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</si>
  <si>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</si>
  <si>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</si>
  <si>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</si>
  <si>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</si>
  <si>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</si>
  <si>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</si>
  <si>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</si>
  <si>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</si>
  <si>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</si>
  <si>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</si>
  <si>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</si>
  <si>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</si>
  <si>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</si>
  <si>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</si>
  <si>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</si>
  <si>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</si>
  <si>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</si>
  <si>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</si>
  <si>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</si>
  <si>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</si>
  <si>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</si>
  <si>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</si>
  <si>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</si>
  <si>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</si>
  <si>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</si>
  <si>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</si>
  <si>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</si>
  <si>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</si>
  <si>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</si>
  <si>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</si>
  <si>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</si>
  <si>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</si>
  <si>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</si>
  <si>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</si>
  <si>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</si>
  <si>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</si>
  <si>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</si>
  <si>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</si>
  <si>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</si>
  <si>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</si>
  <si>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</si>
  <si>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</si>
  <si>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</si>
  <si>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</si>
  <si>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</si>
  <si>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</si>
  <si>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</si>
  <si>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</si>
  <si>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</si>
  <si>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</si>
  <si>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</si>
  <si>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</si>
  <si>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</si>
  <si>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</si>
  <si>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</si>
  <si>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</si>
  <si>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</si>
  <si>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</si>
  <si>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</si>
  <si>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</si>
  <si>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</si>
  <si>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</si>
  <si>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</si>
  <si>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</si>
  <si>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</si>
  <si>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</si>
  <si>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</si>
  <si>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</si>
  <si>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</si>
  <si>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</si>
  <si>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</si>
  <si>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</si>
  <si>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</si>
  <si>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</si>
  <si>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</si>
  <si>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</si>
  <si>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</si>
  <si>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</si>
  <si>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</si>
  <si>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</si>
  <si>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</si>
  <si>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</si>
  <si>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</si>
  <si>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</si>
  <si>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</si>
  <si>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</si>
  <si>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</si>
  <si>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</si>
  <si>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</si>
  <si>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</si>
  <si>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</si>
  <si>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</si>
  <si>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</si>
  <si>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</si>
  <si>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</si>
  <si>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</si>
  <si>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</si>
  <si>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</si>
  <si>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</si>
  <si>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</si>
  <si>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</si>
  <si>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</si>
  <si>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</si>
  <si>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</si>
  <si>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</si>
  <si>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</si>
  <si>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</si>
  <si>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</si>
  <si>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</si>
  <si>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</si>
  <si>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</si>
  <si>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</si>
  <si>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</si>
  <si>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</si>
  <si>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</si>
  <si>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</si>
  <si>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</si>
  <si>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</si>
  <si>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</si>
  <si>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</si>
  <si>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</si>
  <si>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</si>
  <si>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</si>
  <si>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</si>
  <si>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</si>
  <si>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</si>
  <si>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</si>
  <si>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</si>
  <si>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</si>
  <si>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</si>
  <si>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</si>
  <si>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</si>
  <si>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</si>
  <si>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</si>
  <si>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</si>
  <si>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r>
      <t xml:space="preserve">Location 
</t>
    </r>
    <r>
      <rPr>
        <i/>
        <sz val="11"/>
        <color theme="1"/>
        <rFont val="Calibri"/>
        <family val="2"/>
        <scheme val="minor"/>
      </rPr>
      <t>(drop-down)</t>
    </r>
  </si>
  <si>
    <t>Assessment #</t>
  </si>
  <si>
    <t>Start Date</t>
  </si>
  <si>
    <t>End Date</t>
  </si>
  <si>
    <t>Report Issued</t>
  </si>
  <si>
    <r>
      <t xml:space="preserve">Type of Assessment 
</t>
    </r>
    <r>
      <rPr>
        <i/>
        <sz val="11"/>
        <color theme="1"/>
        <rFont val="Calibri"/>
        <family val="2"/>
        <scheme val="minor"/>
      </rPr>
      <t>(drop-down)</t>
    </r>
  </si>
  <si>
    <r>
      <t xml:space="preserve">Scope of Assessment
</t>
    </r>
    <r>
      <rPr>
        <i/>
        <sz val="11"/>
        <color theme="1"/>
        <rFont val="Calibri"/>
        <family val="2"/>
        <scheme val="minor"/>
      </rPr>
      <t>(drop-down)</t>
    </r>
  </si>
  <si>
    <t>QA In Charge 
(Get a copy of assessment report or summary)</t>
  </si>
  <si>
    <t>Assessor(s) / Auditor(s) name(s)</t>
  </si>
  <si>
    <t>Assessor's company</t>
  </si>
  <si>
    <r>
      <t xml:space="preserve">Agency Type 
(Regulatory / certification / accreditation agency)
</t>
    </r>
    <r>
      <rPr>
        <i/>
        <sz val="11"/>
        <rFont val="Calibri"/>
        <family val="2"/>
        <scheme val="minor"/>
      </rPr>
      <t>(drop-down)</t>
    </r>
  </si>
  <si>
    <t>Brief description of assessment scope</t>
  </si>
  <si>
    <t xml:space="preserve">Internal  </t>
  </si>
  <si>
    <t>Inspection &amp; Laboratory</t>
  </si>
  <si>
    <t>AmSpec</t>
  </si>
  <si>
    <t>Annual internal quality systems assessment (ISO 9001)</t>
  </si>
  <si>
    <t>RB, MT</t>
  </si>
  <si>
    <t>Laboratory</t>
  </si>
  <si>
    <t>Annual internal quality systems assessment  (ISO 17025)</t>
  </si>
  <si>
    <t>KA, MT</t>
  </si>
  <si>
    <t>Certifications</t>
  </si>
  <si>
    <t>Linda Zatkalik</t>
  </si>
  <si>
    <t>NBAC</t>
  </si>
  <si>
    <t>BQ-9000 24 month surveillance audit (Year 2)</t>
  </si>
  <si>
    <t>Customer</t>
  </si>
  <si>
    <t>Inspection</t>
  </si>
  <si>
    <t>Brandon Gray</t>
  </si>
  <si>
    <t>CHESM</t>
  </si>
  <si>
    <t xml:space="preserve">RB  </t>
  </si>
  <si>
    <t>Samuel Dapaah</t>
  </si>
  <si>
    <t>Chevron</t>
  </si>
  <si>
    <t>Assess Hazards Assessment Safeguards</t>
  </si>
  <si>
    <t>RB/KA/MT</t>
  </si>
  <si>
    <t>Chris Garth</t>
  </si>
  <si>
    <t>Louis Buisson</t>
  </si>
  <si>
    <t>AmSpec HSSE</t>
  </si>
  <si>
    <t>M. Cahill</t>
  </si>
  <si>
    <t>A2LA</t>
  </si>
  <si>
    <t>Accredited agency</t>
  </si>
  <si>
    <t>A2LA renewal assessment (ISO 17025)</t>
  </si>
  <si>
    <t>MT/AH</t>
  </si>
  <si>
    <t>A2LA initial scope assessment (ISO 17025)</t>
  </si>
  <si>
    <t>A. Lathrop &amp; S. Lerman</t>
  </si>
  <si>
    <t>K. Byrd &amp; S. Anthony</t>
  </si>
  <si>
    <t>Shell Oil</t>
  </si>
  <si>
    <t>Inspection, sampling, and laboratory areas assessed</t>
  </si>
  <si>
    <t>Regulatory</t>
  </si>
  <si>
    <t>Arlene Badillo</t>
  </si>
  <si>
    <t>USCBP</t>
  </si>
  <si>
    <t>Operations / Inspection / Lab</t>
  </si>
  <si>
    <t>uploaded</t>
  </si>
  <si>
    <t>Kiran Vibhandik</t>
  </si>
  <si>
    <t>ExxonMobil</t>
  </si>
  <si>
    <t>QP&amp;G Lab</t>
  </si>
  <si>
    <t>Maria Fernandez</t>
  </si>
  <si>
    <t>Citgo</t>
  </si>
  <si>
    <t>Charalambos Papaioannou</t>
  </si>
  <si>
    <t>BP Air</t>
  </si>
  <si>
    <t>Krashod Byrd, Scott Anthony, and Umit Ayna</t>
  </si>
  <si>
    <t>Shell Distillate</t>
  </si>
  <si>
    <t>MT/AH/RB</t>
  </si>
  <si>
    <t>Annual internal quality systems assessment  (BQ-9000)</t>
  </si>
  <si>
    <t>AH/MT</t>
  </si>
  <si>
    <t>Matt Levis</t>
  </si>
  <si>
    <t>Irving</t>
  </si>
  <si>
    <t>D5452</t>
  </si>
  <si>
    <t>AH/KA</t>
  </si>
  <si>
    <t>J. Pate</t>
  </si>
  <si>
    <t>LA Dept. of Environmental Quality</t>
  </si>
  <si>
    <t>Inspection and assessment x-ray equipment to meet local state requirements.</t>
  </si>
  <si>
    <t>Allison Blair</t>
  </si>
  <si>
    <t>USCBP Triennial</t>
  </si>
  <si>
    <t>Raquel Hernandez-Andres</t>
  </si>
  <si>
    <t xml:space="preserve">MT </t>
  </si>
  <si>
    <t>KA / MT</t>
  </si>
  <si>
    <t>Y. Patel</t>
  </si>
  <si>
    <t>DNV</t>
  </si>
  <si>
    <t>DNV ISO 9001 2023 audits</t>
  </si>
  <si>
    <t>S. Quirch</t>
  </si>
  <si>
    <t>D. Gilstrap</t>
  </si>
  <si>
    <t>T. Como</t>
  </si>
  <si>
    <t>KA / RB</t>
  </si>
  <si>
    <t>C. Papaioannou, K. Bower</t>
  </si>
  <si>
    <t>S. Venkata Rao</t>
  </si>
  <si>
    <t>EMBSI</t>
  </si>
  <si>
    <t>Exxon Mobil Tier III assessment</t>
  </si>
  <si>
    <t xml:space="preserve">A. Gee, M. Rahman, E. Franzmann </t>
  </si>
  <si>
    <t>Suncor</t>
  </si>
  <si>
    <t>Suncor Audit</t>
  </si>
  <si>
    <r>
      <t>Luis Qui</t>
    </r>
    <r>
      <rPr>
        <sz val="11"/>
        <color theme="1"/>
        <rFont val="Calibri"/>
        <family val="2"/>
      </rPr>
      <t>ñ</t>
    </r>
    <r>
      <rPr>
        <sz val="11"/>
        <color theme="1"/>
        <rFont val="Calibri"/>
        <family val="2"/>
        <scheme val="minor"/>
      </rPr>
      <t>ones</t>
    </r>
  </si>
  <si>
    <t>W. Booker</t>
  </si>
  <si>
    <t>Duplicate number assigned to BP RIICs external assessment for Port Arthur - 07.03, A. Henry</t>
  </si>
  <si>
    <t>Shell</t>
  </si>
  <si>
    <t>J. Ward / WCS
B. Bevan, C. Pry / Vitol</t>
  </si>
  <si>
    <t>Vitol, Ward Consulting Services</t>
  </si>
  <si>
    <t>R. Pomaville</t>
  </si>
  <si>
    <t>Melissa Angeles</t>
  </si>
  <si>
    <t>AASHTO</t>
  </si>
  <si>
    <t>Annual AASHTO audit</t>
  </si>
  <si>
    <t>R. H. Andrez</t>
  </si>
  <si>
    <t>USCBP 1st Accreditation - Lab</t>
  </si>
  <si>
    <t>M. Fernandez, S. Manzano / Citgo</t>
  </si>
  <si>
    <t>Compliance audit for regulatory methods</t>
  </si>
  <si>
    <t>RB / MT</t>
  </si>
  <si>
    <t>T Como</t>
  </si>
  <si>
    <t>T Campbrll</t>
  </si>
  <si>
    <t>BP RIICs</t>
  </si>
  <si>
    <t>MT/HB</t>
  </si>
  <si>
    <t>A089-141-23</t>
  </si>
  <si>
    <t>KA / HB</t>
  </si>
  <si>
    <t>RB/MT</t>
  </si>
  <si>
    <t>H. Kulmala-Hanioja
T. Kesala</t>
  </si>
  <si>
    <t>J. Ledet</t>
  </si>
  <si>
    <t>Internal Safety Assessment (HSSE)</t>
  </si>
  <si>
    <t>B. Gray</t>
  </si>
  <si>
    <t>Octane Audit</t>
  </si>
  <si>
    <t>Juan 2/6/24</t>
  </si>
  <si>
    <t>David Gibson</t>
  </si>
  <si>
    <t>Marathon</t>
  </si>
  <si>
    <t>Kearney Foss</t>
  </si>
  <si>
    <t>Denise White</t>
  </si>
  <si>
    <t>ExxonMobil Tier II assessment</t>
  </si>
  <si>
    <t>CS, RB, EC, AH</t>
  </si>
  <si>
    <t>Allison Blair &amp; Trn team</t>
  </si>
  <si>
    <t>Priscilla Jones</t>
  </si>
  <si>
    <t>BP</t>
  </si>
  <si>
    <t>Inspection Company Field/ Office Audit</t>
  </si>
  <si>
    <t>Krishna Ranjan K</t>
  </si>
  <si>
    <t>Exxon Mobil</t>
  </si>
  <si>
    <t>Laboratory Quality Systems Assessment (remote)</t>
  </si>
  <si>
    <t>C. Clarke, D Kinzer, D Sossou, A Sarra, D. Gibson</t>
  </si>
  <si>
    <t>M. Tan</t>
  </si>
  <si>
    <t>RB / CS</t>
  </si>
  <si>
    <t>Ed Edelson</t>
  </si>
  <si>
    <t xml:space="preserve">ISO 17025 </t>
  </si>
  <si>
    <t>Joan Do, Zachary Ramos, Lawrence</t>
  </si>
  <si>
    <t>Valero</t>
  </si>
  <si>
    <t>EPA 1090 SQC Charts D5580, D5453, D5191; Instrument Cal/Ver for D5580, D5453, D5191; most recent ISO 9001 and ISO 17025 Certs</t>
  </si>
  <si>
    <t>Andrea McMullin</t>
  </si>
  <si>
    <t>Annual Compliance Laboratory assessment</t>
  </si>
  <si>
    <t>Andrew O'Toole</t>
  </si>
  <si>
    <t>Annual inspection audit</t>
  </si>
  <si>
    <t>Kerry Costain / Pramit Jethwa</t>
  </si>
  <si>
    <t>Annual Laboratory assessment</t>
  </si>
  <si>
    <t>Rob Lavigne / Andrew O-Toole</t>
  </si>
  <si>
    <t>A. Markins, N. Triche, J. DeLaRosa</t>
  </si>
  <si>
    <t>Laboratory audit</t>
  </si>
  <si>
    <t>Rena Pomaville</t>
  </si>
  <si>
    <t>17025 renewal</t>
  </si>
  <si>
    <t>citgo</t>
  </si>
  <si>
    <t>Nicci Triche, RAD Supervisor
Alex Markins, RAD Coordinator
David Spence, GBR Lab Supervisor
Amanda Avery, GBR Chemist
Richard Bergeron, Sr. Loss Control Specialist
David Magouirk, Advanced Loss Control Specialist
Chase Magouirk, Advanced. Loss Control Specialist</t>
  </si>
  <si>
    <t>marathon</t>
  </si>
  <si>
    <t>Tim Mathisen &amp; Mark Breland</t>
  </si>
  <si>
    <t>Motiva</t>
  </si>
  <si>
    <t>motiva</t>
  </si>
  <si>
    <t>Chad Fondren &amp; group</t>
  </si>
  <si>
    <t>P66 Sweeney</t>
  </si>
  <si>
    <t>Client visit</t>
  </si>
  <si>
    <t>K Costain &amp; P Jethwa</t>
  </si>
  <si>
    <t xml:space="preserve">Irving </t>
  </si>
  <si>
    <t>Rob Lavigne / Andrew O-Toole / Rich Joyce</t>
  </si>
  <si>
    <t>KA / CS</t>
  </si>
  <si>
    <t>11.22.2023</t>
  </si>
  <si>
    <t xml:space="preserve">Alex Markins, Nicci Triche, and Phillip Carpenter </t>
  </si>
  <si>
    <t xml:space="preserve">marathon </t>
  </si>
  <si>
    <t>Veto Bishop</t>
  </si>
  <si>
    <t>Inspector Training / Field Equipment Audit</t>
  </si>
  <si>
    <t>Maria Fernandez/Steven Manzano</t>
  </si>
  <si>
    <t>Peter Eversley</t>
  </si>
  <si>
    <t>Shell Aviation Certification Audit</t>
  </si>
  <si>
    <t>RB, MT AH, HB</t>
  </si>
  <si>
    <t>Annual internal quality systems assessment 
(BQ 9000)</t>
  </si>
  <si>
    <t>ATMI</t>
  </si>
  <si>
    <t>Christa Hopkins and Ranji Kuruvilla</t>
  </si>
  <si>
    <t>Buckeye</t>
  </si>
  <si>
    <t>S. Lerman</t>
  </si>
  <si>
    <t>ISO 17025 Renewal Assessment</t>
  </si>
  <si>
    <t>NA</t>
  </si>
  <si>
    <t xml:space="preserve">Lab visit to review engine performance </t>
  </si>
  <si>
    <t>G. Delong</t>
  </si>
  <si>
    <t>BQ9000</t>
  </si>
  <si>
    <t>ISO 17025 Initial Assessment</t>
  </si>
  <si>
    <t>Paul Pigg</t>
  </si>
  <si>
    <t>Total Energies</t>
  </si>
  <si>
    <t>Nay Yee</t>
  </si>
  <si>
    <t>WIP Audit</t>
  </si>
  <si>
    <t>P66</t>
  </si>
  <si>
    <t>Annual customer audit</t>
  </si>
  <si>
    <t>Mike Miller</t>
  </si>
  <si>
    <t>Vitol</t>
  </si>
  <si>
    <t>Customer audit of Petro lab and inspection activities</t>
  </si>
  <si>
    <t>CBP</t>
  </si>
  <si>
    <t>PTO #</t>
  </si>
  <si>
    <r>
      <t xml:space="preserve">BRIEF DESCRIPTION OF NC
</t>
    </r>
    <r>
      <rPr>
        <i/>
        <sz val="11"/>
        <color theme="1"/>
        <rFont val="Calibri"/>
        <family val="2"/>
        <scheme val="minor"/>
      </rPr>
      <t>if VOID:  "VOID, Location,  
details (initials, date)"</t>
    </r>
  </si>
  <si>
    <t>PT Program</t>
  </si>
  <si>
    <t>Parameter (s)</t>
  </si>
  <si>
    <t>Z-score (s)</t>
  </si>
  <si>
    <t>PTO initialized date</t>
  </si>
  <si>
    <t>PT: CE506; D4052 - API, Z-Score = -4.24</t>
  </si>
  <si>
    <t>GLRE</t>
  </si>
  <si>
    <t>D4052 - API</t>
  </si>
  <si>
    <t>-4.24</t>
  </si>
  <si>
    <t>LJ</t>
  </si>
  <si>
    <t>PT: CE507; D86 - Distillation - 20% - EP, Recovery, Residue, &amp; Loss, Z-Scores = Multiple Outliers</t>
  </si>
  <si>
    <t>D86 - Distillation, 20% - EP, &amp; Recovery</t>
  </si>
  <si>
    <t>Multiple Outliers</t>
  </si>
  <si>
    <t>Transcription Error</t>
  </si>
  <si>
    <t>PT: TM06C-23; D2699 - Research Octane Number, Z-Score = -4.36</t>
  </si>
  <si>
    <t>TRG</t>
  </si>
  <si>
    <t>D2699 - Research Octane Number</t>
  </si>
  <si>
    <t>-4.36</t>
  </si>
  <si>
    <t>PT: TM06C-23; D2699 - Research Octane Number, Z-Score = -3.29</t>
  </si>
  <si>
    <t>-3.29</t>
  </si>
  <si>
    <t>PT: TM06-23; RVP, Z-Score = -10.27</t>
  </si>
  <si>
    <t>RVP</t>
  </si>
  <si>
    <t>-10.27</t>
  </si>
  <si>
    <t>PT: TM06-23; Sulfur</t>
  </si>
  <si>
    <t>Sulfur</t>
  </si>
  <si>
    <t>Meets Precision Performance and R criteria</t>
  </si>
  <si>
    <t>PT: TM06-23; RVP</t>
  </si>
  <si>
    <t>PT: D-1195; D613 - Cetane Number</t>
  </si>
  <si>
    <t>NEG-D</t>
  </si>
  <si>
    <t>D613 - Cetane Number</t>
  </si>
  <si>
    <t>PT: D-1195; D4052 - Gravity, API at 60 °F, Z-Score = -16.83</t>
  </si>
  <si>
    <t>API Gravity</t>
  </si>
  <si>
    <t>PT: D-1195; D86 - Distillation - Recovery %</t>
  </si>
  <si>
    <t>D86 - Distillation</t>
  </si>
  <si>
    <t>PT: D-1195; Multiple Parameters and Outliers</t>
  </si>
  <si>
    <t>Multiple Parameters</t>
  </si>
  <si>
    <t>Mulitple Outliers</t>
  </si>
  <si>
    <t>Wrong sample reported</t>
  </si>
  <si>
    <t>PT: OC2304; RVP</t>
  </si>
  <si>
    <t>OC</t>
  </si>
  <si>
    <t>PT: OC2304; API Gravity</t>
  </si>
  <si>
    <t>PT: OC2304; D2699 - Research Octane Number</t>
  </si>
  <si>
    <t>PT: OC2304; D86 - Distillation, IBP &amp; 10%</t>
  </si>
  <si>
    <t>2.01 &amp; 2.60</t>
  </si>
  <si>
    <t>PT: OC2304; D2700 - Motor Octane Number</t>
  </si>
  <si>
    <t>D2700 - Motor Octane Number</t>
  </si>
  <si>
    <t>PT: LPG2303; D2163 - Hydrocarbons, n-butane</t>
  </si>
  <si>
    <t>LPG</t>
  </si>
  <si>
    <t>D2163 - Hydrocarbons</t>
  </si>
  <si>
    <t>PT: BIOD2304; D2500 - Cloud Point, biodiesel</t>
  </si>
  <si>
    <t>BIOD</t>
  </si>
  <si>
    <t>D2500 - Cloud Point</t>
  </si>
  <si>
    <t>PT: BIOD2304; D6371 - Cold Filter Plugging Point, CFPP</t>
  </si>
  <si>
    <t>D6371 - Cold Filter Plugging Point</t>
  </si>
  <si>
    <t>PT: BIOD2304; D93 - Flash Point, PMCC, Proc C, corrected, Z-Score = -4.38</t>
  </si>
  <si>
    <t>D93 - Flash Point</t>
  </si>
  <si>
    <t>PT: BIOD2304; D6079 - Lubricity, HFRR, Major Axis</t>
  </si>
  <si>
    <t>D6079 - Lubricity</t>
  </si>
  <si>
    <t>PT: BIOD2304; D6584 - Triglyceride, by GC</t>
  </si>
  <si>
    <t>D6584 - Triglyceride, by GC</t>
  </si>
  <si>
    <t>PT: BIOD2304; EN 14538 - Elements, Na + K, by ICP/OES, Z-Score = 7.26</t>
  </si>
  <si>
    <t>EN 14538 - Elements</t>
  </si>
  <si>
    <t>PT: CO2303; D4807 - Sediment, Membrane Filtration</t>
  </si>
  <si>
    <t>CO</t>
  </si>
  <si>
    <t>D4807 - Sediment, Membrane Filtration</t>
  </si>
  <si>
    <t>Filter paper not washed completely by solvent</t>
  </si>
  <si>
    <t>PT: CO2303; D5002 - Density, digital, 15 °C</t>
  </si>
  <si>
    <t>D5002 - Density, digital, 15 °C</t>
  </si>
  <si>
    <t>PT: CO2303; D473 - Sediment</t>
  </si>
  <si>
    <t>D473 - Sediment</t>
  </si>
  <si>
    <t>PT: CO2303; D445 - Viscosity, Kinematic, 40 °C, Z-Score = -30.93</t>
  </si>
  <si>
    <t>D445 - Viscosity</t>
  </si>
  <si>
    <t>PT: CO2303; D4928 - Water, Coulometric KF, Z-Score = -5.41</t>
  </si>
  <si>
    <t>D4928 - Water, Coulometric KF</t>
  </si>
  <si>
    <t>PT: CO2303; D5002 - Density, digital, 15 °C, Z-Score = -14.58</t>
  </si>
  <si>
    <t>PT: CO2303; D4006 - Water, by Distillation</t>
  </si>
  <si>
    <t>D4006 - Water, by Distillation</t>
  </si>
  <si>
    <t>PT: CO2303; D473 - Sediment, Z-Score = 13.21</t>
  </si>
  <si>
    <t>Calculation Error</t>
  </si>
  <si>
    <t>PT: CO2303; D445 - Viscosity, Kinematic, 25 °C</t>
  </si>
  <si>
    <t>PT: CO2303; D445 - Viscosity, Kinematic, 40 °C, Z-Score = 15.73</t>
  </si>
  <si>
    <t>PT: CO2303; D4928 - Water, Coulometric KF, Z-Score = 6.69</t>
  </si>
  <si>
    <t>PT: CO2303; D5708 - Element, Vanadium, ICPAES, Method B</t>
  </si>
  <si>
    <t>D5708 - Element, Vanadium, ICPAES, Procedure B</t>
  </si>
  <si>
    <t>PT: CO2303; D445 - Viscosity, Kinematic, 40 °C, Z-Score = -4.80</t>
  </si>
  <si>
    <t>PT: CO2303; D664 - Acid Number, A, 125 mL Inflection EP, Z-Score = 3.42</t>
  </si>
  <si>
    <t>D664 - Acid Number</t>
  </si>
  <si>
    <t>titrant degraded</t>
  </si>
  <si>
    <t>PT: CO2303; D5002 - Density, digital, 15 °C, Z-Score = -14.99</t>
  </si>
  <si>
    <t>-14.99</t>
  </si>
  <si>
    <t xml:space="preserve">PT: CO2303; D6377 - Vapor Pressure, Crude Oil, Expansion Method </t>
  </si>
  <si>
    <t>D6377 - Vapor Pressure, Crude Oil</t>
  </si>
  <si>
    <t>PT: CO2303; D4007 - Water and Sediment, Centrifuge, Z-Score = 3.37</t>
  </si>
  <si>
    <t>D4007 - Water and Sediment, Centrifuge</t>
  </si>
  <si>
    <t>PT: CO2303; D5708 - Element, Iron, ICPAES, Method A</t>
  </si>
  <si>
    <t>D5708 - Element, Iron, ICPAES</t>
  </si>
  <si>
    <t>PT: CO2303; D473 - Sediment, Z-Score = 19.76</t>
  </si>
  <si>
    <t>PT: CO2303; D4294 - Sulfur, by EDXRF</t>
  </si>
  <si>
    <t>D4294 - Sulfur</t>
  </si>
  <si>
    <t>PT: CO2303; D473 - Sediment, Z-Score = 37.78</t>
  </si>
  <si>
    <t>PT: RFG2306; D5769 - Benzene &amp; Toluene, by GC/MS (EPA), Z-Scores = 2.34 &amp; 3.06</t>
  </si>
  <si>
    <t>RFG</t>
  </si>
  <si>
    <t>D5769 - GC/MS</t>
  </si>
  <si>
    <t>2.34 &amp; 3.06</t>
  </si>
  <si>
    <t>PT: RFG2306; D4052 - Density, Digital, 15 °C, Z-Score = 6.89</t>
  </si>
  <si>
    <t>D4052 - Density</t>
  </si>
  <si>
    <t>PT: RFG2306; D5769 - Aromatics, Total, by GC/MS(-22) &amp; EPA(-20)</t>
  </si>
  <si>
    <t>-2.39 &amp; -2.09</t>
  </si>
  <si>
    <t>PT: RFG2306; D4815 - Oxygenates, Ethanol, by GC, Z-Score = -3.20</t>
  </si>
  <si>
    <t>D4815 - Oxygenates</t>
  </si>
  <si>
    <t>PT: RFG2306; D5580 - Toluene, by GC</t>
  </si>
  <si>
    <t>D5580 - Aromatics, by GC</t>
  </si>
  <si>
    <t xml:space="preserve">PT: RFG2306; D5580 - C9 + Aromatics &amp; Total Aromatics, by GC, Z-Score = -6.89 &amp; -2.89 </t>
  </si>
  <si>
    <t>-6.89 &amp; -2.89</t>
  </si>
  <si>
    <t>PT: RFG2306; D4052 - Density, Digital, 15 °C</t>
  </si>
  <si>
    <t>PT: RFG2306; D86 - Distillation, Auto, IBP - FBP, Z-Scores = Multiple Outliers</t>
  </si>
  <si>
    <t>PT: RFG2306; D6550 - HC Type, Olefins, by SFC, Z-Score = -13.16</t>
  </si>
  <si>
    <t>D6550 - Olefins</t>
  </si>
  <si>
    <t>PT: RFG2306; D4815 - Oxygenates,Total, by GC, Z-Score = 11.38</t>
  </si>
  <si>
    <t>PT: RFG2306; D5188 - V/L Ratio Temp, Evac Chamber, Z-Score = 3.23</t>
  </si>
  <si>
    <t>D5188 - V/L Ratio Temp</t>
  </si>
  <si>
    <t>PT: RFG2306; D86 - Distillation, Auto, 90% &amp; % Resid</t>
  </si>
  <si>
    <t>2.14 &amp; 2.89</t>
  </si>
  <si>
    <t>PT: RFG2306; D6550 - HC Type, Olefins, by SFC, Z-Score = -4.58</t>
  </si>
  <si>
    <t>PT: RFG2306; D86 - Distillation, Auto, 80%, °F &amp;(EPA), Z-Score = -2.59 &amp; -3.10</t>
  </si>
  <si>
    <t>-2.59 &amp; -3.10</t>
  </si>
  <si>
    <t>PT: RFG2306; D86 - Distillation, Auto, E200 °F, % (EPA)</t>
  </si>
  <si>
    <t>PT: RFG2306; D86 - Distillation, Auto, % Loss (EPA)</t>
  </si>
  <si>
    <t>PT: RFG2306; D5599 - Oxygenates, Ethanol, by GC OFID</t>
  </si>
  <si>
    <t>D5599 - Oxygenates</t>
  </si>
  <si>
    <t>PT: RFG2306; D3606 - Toluene, by GC, Proc B (EPA)</t>
  </si>
  <si>
    <t>D3606 - Toluene, by GC</t>
  </si>
  <si>
    <t>PT: RFG2306; D86 - Distillation, Auto, 90%, 95%, &amp; FBP °F (EPA), Z-Scores = 2.06, 2.61, &amp; -4.13</t>
  </si>
  <si>
    <t>2.06, 2.61, &amp; -4.13</t>
  </si>
  <si>
    <t>PT: DF22306; D664 - Acid Number, A, 60 mL, Buffer EP</t>
  </si>
  <si>
    <t>DF2</t>
  </si>
  <si>
    <t>PT: DF22306; D2887 - BP Distribution, GC, Proc A, FBP, Z-Score = 4.17</t>
  </si>
  <si>
    <t>D2887 - BP Distribution</t>
  </si>
  <si>
    <t>ECu</t>
  </si>
  <si>
    <t>PT: DF22306; D524 - Carbon Residue, Ramsbottom</t>
  </si>
  <si>
    <t>D524 - Carbon Residue</t>
  </si>
  <si>
    <t>PT: RFG2307; D4052 - Density, Digital, 15 °C, Z-Score = 10.89</t>
  </si>
  <si>
    <t>D4052 - Density, Digital, 15oC</t>
  </si>
  <si>
    <t>PT: RFG2307; D1319 - HC Type, Aromatics &amp; Olefins, Oxy-Free &amp; EPA, Z-Scores = -5.66, 6.90, -5.68, &amp; 5.82</t>
  </si>
  <si>
    <t>D1319 - PT: RFG2307; D1319 - HC Type, Aromatics &amp; Olefins, Oxy-Free &amp; EPA</t>
  </si>
  <si>
    <t>-5.66, 6.90, -5.68, &amp; 5.82</t>
  </si>
  <si>
    <t>PT: MG2304; D4052 - Density, Digital, 15 °C</t>
  </si>
  <si>
    <t>MG</t>
  </si>
  <si>
    <t>Meets Precision Performance and R Criteria</t>
  </si>
  <si>
    <t>PT: MG2304; D86 - Distillation, Auto, 70% - 95%, &amp; E300 °F (EPA), Z-Scores = 3.15, 3.32, 4.44, 4.55, &amp; -4.83</t>
  </si>
  <si>
    <t>D86 - Distillation, Auto</t>
  </si>
  <si>
    <t>3.15, 3.32, 4.44, 4.55, &amp; -4.83</t>
  </si>
  <si>
    <t>PT: DF22306; D4737 - Cetane Index by Four Var Eq, Z-Score = -3.96</t>
  </si>
  <si>
    <t>D4737 - Cetane Index by Four Var Eq</t>
  </si>
  <si>
    <t>PT: DF22306; D976 - Cetane Index, Calculated, Z-Score = -5.36</t>
  </si>
  <si>
    <t>D976 - Cetane Index, Calculated</t>
  </si>
  <si>
    <t>PT: DF22306; D86 - Distillation, Auto, % Loss, % Recov, Z-Scores = 4.79 &amp; -3.99</t>
  </si>
  <si>
    <t>4.79 &amp; -3.99</t>
  </si>
  <si>
    <t>PT: DF22306; D5186 - HC Type, by SFC, Total Aromatics &amp; PAH</t>
  </si>
  <si>
    <t>D5186 - HC Type, by SFC</t>
  </si>
  <si>
    <t>PT: DF22306; D240 - Heat of Combustion, Gross, by Bomb Calorimeter, Z-Score = -7.04</t>
  </si>
  <si>
    <t>D240 - Heat of Combustion, Gross, by Bomb Calorimeter</t>
  </si>
  <si>
    <t>PT: DF22306; D97 - Pour Point</t>
  </si>
  <si>
    <t>D97 - Pour Point</t>
  </si>
  <si>
    <t>PT: JF2303; D2887 - BP Distribution, GC, Proc A, 5% - 20%, 40, &amp; 50%</t>
  </si>
  <si>
    <t>JF</t>
  </si>
  <si>
    <t>D2887 - BP Distribution, GC, Proc A</t>
  </si>
  <si>
    <t>-2.13, -2.61, -2.25, -2.40, &amp; -2.22</t>
  </si>
  <si>
    <t>PT: JF2303; D86 - Distillation, Auto, % Resid</t>
  </si>
  <si>
    <t>PT: JF2303; D4052 - API Gravity, Digital, 60°F &amp; Density, Digital, 15oC</t>
  </si>
  <si>
    <t>D4052 - Gravity &amp; Density</t>
  </si>
  <si>
    <t>2.47 &amp; -2.95</t>
  </si>
  <si>
    <t>PT: JF2303; D1840 - Napthalenes, by UVS, Proc B</t>
  </si>
  <si>
    <t>D1840 - Napthalenes, by UVS, Proc B</t>
  </si>
  <si>
    <t>PT: JF2303; D86 - Distillation, Auto, 10%, Z-Score = -3.09</t>
  </si>
  <si>
    <t>PT: JF2303; D3227 - Mercaptan Sulfur, Potentiometric</t>
  </si>
  <si>
    <t>D3227 - Mercaptan Sulfur, Potentiometric</t>
  </si>
  <si>
    <t>PT: JF2303; D3338 - Net Heat of Combustion, Z-Score = -10.56</t>
  </si>
  <si>
    <t>D3338 - Net Heat of Combustion</t>
  </si>
  <si>
    <t>PT: JF2303; D4294 - Sulfur, by EDXRF</t>
  </si>
  <si>
    <t>PT: JF2303; D93 - Flash Point, PMCC, Proc A, corrected</t>
  </si>
  <si>
    <t>PT: JF2303; D1322 - Smoke Point, Man, Z-Score = 3.43</t>
  </si>
  <si>
    <t>D1322 - Smoke Point, Man</t>
  </si>
  <si>
    <t>PT: JF2303; D4294 - Sulfur, by EDXRF, Z-Score = 4.90</t>
  </si>
  <si>
    <t>PT: JF2303; D4052 - Density, Digital, 15 °C, Z-Score = -28.39</t>
  </si>
  <si>
    <t>PT: JF2303; D4052 - API Gravity, Digital, 60°F</t>
  </si>
  <si>
    <t>D4052 - API Gravity</t>
  </si>
  <si>
    <t>PT: JF2303; D3948 - Water Separation, by Portable Sep</t>
  </si>
  <si>
    <t>D3948 - Water Separation, by Portable Sep</t>
  </si>
  <si>
    <t>PT: JF2303; D56 - Flash Point, TAG, Corrected, Z-Score = 4.24</t>
  </si>
  <si>
    <t>D56 - Flash Point, TAG, Corrected</t>
  </si>
  <si>
    <t>PT: JF2303; D1840 - Napthalenes, by UVS, Proc B, Z-Score = -10.01</t>
  </si>
  <si>
    <t>PT: JF2303; D5972 - Freeze Point, Auto Phase Trans, Z-Score = 8.57</t>
  </si>
  <si>
    <t>D5972 - Freeze Point, Auto Phase Trans</t>
  </si>
  <si>
    <t>PT: JF2303; D86 - Distillation, Auto, % Resid, Z-Score = -5.37</t>
  </si>
  <si>
    <t>PT: JF2303; D93 - Flash Point, PMCC, Proc A, corrected, Z-Score = 3.24</t>
  </si>
  <si>
    <t>PT: JF2303; D86 - Distillation, Auto, % Loss</t>
  </si>
  <si>
    <t>PT: JF2303; D2624 - Electrical Conductivity, Portable Meter</t>
  </si>
  <si>
    <t>D2624 - Electrical Conductivity</t>
  </si>
  <si>
    <t>PT: JF2303; D3242 - Acidity</t>
  </si>
  <si>
    <t>D3242 - Acidity</t>
  </si>
  <si>
    <t>PT: JF2303; D2887 - BP Distribution, GC, Proc A, 5%, 10%, &amp; 40%</t>
  </si>
  <si>
    <t>D2887 - BP Distribution, GC</t>
  </si>
  <si>
    <t>-2.06, -2.10, &amp; -2.16</t>
  </si>
  <si>
    <t>PT: JF2303; D1319 - HC Type, Aromatics &amp; Saturates, Oxy-Free, Z-Scores = 3.51 &amp; -3.42</t>
  </si>
  <si>
    <t>D1319 - HC Type</t>
  </si>
  <si>
    <t>3.51 &amp; -3.42</t>
  </si>
  <si>
    <t>PT: JF2303; D3338 - Net Heat of Combustion</t>
  </si>
  <si>
    <t>PT: JF2303; D7224 - Water Separation, Portable Sep, Z-Score = -3.50</t>
  </si>
  <si>
    <t>D7224 - Water Separation, Portable Sep</t>
  </si>
  <si>
    <t>PT: JF2303; D6304 - Water, by Coul KF, Meth A Direct Injection, mg/kg</t>
  </si>
  <si>
    <t>D6304 - Water, by Coul KF</t>
  </si>
  <si>
    <t>PT: JF2303; D86 - Distillation, Auto, % Resid, Z-Score = -4.58</t>
  </si>
  <si>
    <t>PT: JF2303; D86 - Distillation, Auto, 10%</t>
  </si>
  <si>
    <t>PT: JF2303; D86 - Distillation, Auto, 20% - 70%, Z-Scores = -3.19, -5.57, -6.95, -7.45, -8.49, &amp; -10.30</t>
  </si>
  <si>
    <t>-3.19, -5.57, -6.95, -7.45, -8.49, &amp; -10.30</t>
  </si>
  <si>
    <t>Confirmed transcription error</t>
  </si>
  <si>
    <t>PT: JF2303; D1840 - Napthalenes, by UVS, Proc B, Z-Score = 24.91</t>
  </si>
  <si>
    <t>Confirmed transcription error.</t>
  </si>
  <si>
    <t>PT: JF2303; D1322 - Smoke Point, Man</t>
  </si>
  <si>
    <t>PT: JF2303; D5453 - Sulfur, by UVF, Z-Score = -5.90</t>
  </si>
  <si>
    <t>D5453 - Sulfur, by UVF</t>
  </si>
  <si>
    <t>PT: JF2303; D3241 - Thermal Stability, Ellipsometric, @260, Thickness &amp; Volume, Z-Scores = 8.80 &amp; 9.45</t>
  </si>
  <si>
    <t>D3241 - Thermal Stability, Ellipsometric, @260</t>
  </si>
  <si>
    <t>8.80 &amp; 9.45</t>
  </si>
  <si>
    <t>PT: JF2303; D445 - Viscosity, Kinematic, -20 °C, Z-Score = -19.64</t>
  </si>
  <si>
    <t>D445 - Viscosity, Kinematic</t>
  </si>
  <si>
    <t>PT: DF22306; D976 - Cetane Index, Calculated, Z-Score = -3.10</t>
  </si>
  <si>
    <t>PT: JF2303; D86 - Distillation, Auto, IBP, 5% - 70%, &amp; FBP, Z-Scores = -5.17, -5.14, -5.09, -5.02, -3.90, -4.46, -3.99, -3.84, -3.36, &amp; -3.74</t>
  </si>
  <si>
    <t>-5.17, -5.14, -5.09, -5.02, -3.90, -4.46, -3.99, -3.84, -3.36, &amp; -3.74</t>
  </si>
  <si>
    <t>PT: JF2303; D1319 - HC Type, Aromatics &amp; Olefins, Oxy-Free, Z-Scores = -3.00 &amp; 3.53</t>
  </si>
  <si>
    <t>PT: JF2303; D5001 - Lubricity, BOCLE, Proc B, auto</t>
  </si>
  <si>
    <t>D5001 - Lubricity, BOCLE</t>
  </si>
  <si>
    <t>PT: JF2303; D1840 - Napthalenes, by UVS, Proc B, Z-Score = 25.10</t>
  </si>
  <si>
    <t>D1840 - Napthalenes, by UVS</t>
  </si>
  <si>
    <t>PT: JF2303; D2386 - Freeze Point</t>
  </si>
  <si>
    <t>D2386 - Freeze Point</t>
  </si>
  <si>
    <t>PT: JF2303; D7039 - Sulfur, by MWDXRF</t>
  </si>
  <si>
    <t>D7039 - Sulfur</t>
  </si>
  <si>
    <t>PT: JF2303; D5453 - Sulfur, by UVF</t>
  </si>
  <si>
    <t>D5453 - Sulfur</t>
  </si>
  <si>
    <t>PT: RFG2307; D5769 - Aromatics, Total, by GC/MS, Z-Score = 4.84</t>
  </si>
  <si>
    <t>PT: RFG2307; D5769 - Benzene &amp; Toluene, by GC/MS</t>
  </si>
  <si>
    <t>2.74 &amp; 2.48</t>
  </si>
  <si>
    <t>PT: RFG2307; D86 - Distillation, Auto, 90%, FBP, FBP (EPA), &amp; % Resid (EPA), Z-Scores = 3.08, 3.25, 3.48, &amp; 4.74</t>
  </si>
  <si>
    <t>3.08, 3.25, 3.48, &amp; 4.74</t>
  </si>
  <si>
    <t>PT: RFG2307; D86 - Distillation, Auto, 60%, °F (EPA) &amp; % Resid (EPA)</t>
  </si>
  <si>
    <t>2.22 &amp; 2.40</t>
  </si>
  <si>
    <t>PT: RFG2307; D86 - Distillation, Auto, 50%, °F &amp; % Resid (EPA)</t>
  </si>
  <si>
    <t>2.21 &amp; 2.40</t>
  </si>
  <si>
    <t>PT: RFG2307; D86 - Distillation, Auto, 70%, °F, 70%, °F (EPA), 80%, 95%  &amp; 95% °F (EPA)</t>
  </si>
  <si>
    <t>2.15, 2.55, 2.07, 2.18, 2.53, &amp; 2.05</t>
  </si>
  <si>
    <t>PT: RFG2307; D86 - Distillation, Auto, E300 °F, % (EPA), Z-Score = 5.77</t>
  </si>
  <si>
    <t>PT: RFG2307; D7039 - Sulfur, by MWDXRF, Z-Score = -8.61</t>
  </si>
  <si>
    <t>lack of instrument verification before use (clealiness of primary film)</t>
  </si>
  <si>
    <t>PT: RFG2307; D5188 - V/L Ratio Temp, Evac Chamber</t>
  </si>
  <si>
    <t>PT: RFG2307; D86 - Distillation, Auto, % Resid (EPA)</t>
  </si>
  <si>
    <t>PT: RFG2307; D5769 - Toluene, by GC/MS(-22) &amp; EPA(-20)</t>
  </si>
  <si>
    <t>-2.5 &amp; -2.36</t>
  </si>
  <si>
    <t>PT: RFG2307; D2622 - Sulfur, by WDXRF &amp; EPA, Z-Scores = 29.46 &amp; 28.98</t>
  </si>
  <si>
    <t>D2622 - Sulfur</t>
  </si>
  <si>
    <t>29.46 &amp; 28.98</t>
  </si>
  <si>
    <t>Confirmed Transcription Error</t>
  </si>
  <si>
    <t>PT: RFG2307; D2622 - Sulfur, by WDXRF &amp; EPA</t>
  </si>
  <si>
    <t>-2.2 &amp; -2.14</t>
  </si>
  <si>
    <t>PT: RFG2307; D4052 - Density, Digital, 15 °C</t>
  </si>
  <si>
    <t>PT: RFG2307; D3606 - Toluene, by GC, Proc B</t>
  </si>
  <si>
    <t>D3606 - Toluene</t>
  </si>
  <si>
    <t>PT: RFG2307; D86 - Distillation, Auto, % Resid (EPA), Z-Score = 5.90</t>
  </si>
  <si>
    <t>PT: RFG2307; D4052 - Density, Digital, 15 °C, Z-Score = 5.50</t>
  </si>
  <si>
    <t>PT: RFG2307; D86 - Distillation, Auto, 60%</t>
  </si>
  <si>
    <t>PT: RFG2307; D6839 - HC Type/Oxy, Olefins, by M-D GC</t>
  </si>
  <si>
    <t>D6839 - HC Type by M-D GC</t>
  </si>
  <si>
    <t>PT: RFG2307; D86 - Distillation, Auto, 95%, °F (EPA)</t>
  </si>
  <si>
    <t>PT: RFG2307; D86 - Distillation, Auto, 95%, °F (EPA) &amp; % Resid (EPA)</t>
  </si>
  <si>
    <t>2.05 &amp; 2.40</t>
  </si>
  <si>
    <t>PT: RFG2307; D1319 - HC Type, Saturates, Corrected &amp; Saturates, Oxy-Free &amp; EPA</t>
  </si>
  <si>
    <t>2.16, 2.48, &amp; 2.28</t>
  </si>
  <si>
    <t>PT: RFG2307; D86 - Distillation, Auto, % Loss (EPA)</t>
  </si>
  <si>
    <t>PT: RFG2307; D5453 - Sulfur, by UVF</t>
  </si>
  <si>
    <t>PT: RFG2307; D3606 - Benzene, by GC, Proc B, Z-Score = -3.26</t>
  </si>
  <si>
    <t>D3606 - Benzene</t>
  </si>
  <si>
    <t>D4052- Density</t>
  </si>
  <si>
    <t>PT: RFG2307; D86 - Distillation, Auto, 20% - 40%, 60% - 80%, 95% &amp; FBP , °F (EPA), Z-Scores = Multiple Outliers</t>
  </si>
  <si>
    <t>PT: RFG2307; D4815 - Oxygenates, Oxygen, Total, by GC</t>
  </si>
  <si>
    <t>PT: RFG2307; D5191 - Vapor Pressure, DVPE, 1L</t>
  </si>
  <si>
    <t>D5191 - Vapor Pressure</t>
  </si>
  <si>
    <t>PT: RFG2307; D287 - API Gravity, Hydrometer</t>
  </si>
  <si>
    <t>D287 - API Gravity</t>
  </si>
  <si>
    <t>PT: RFG2307; D4052 - Density, Digital, 15 °C, Z-Score = -4.81</t>
  </si>
  <si>
    <t>PT: RFG2307; D86 - Distillation, Auto, E300 °F, % (EPA), Z-Score = -5.37</t>
  </si>
  <si>
    <t>PT: RFG2307; D5191 - Vapor Pressure, DVPE &amp; TVP, 1L (-22) &amp; (EPA)(-20), Z-Scores = -27.51, -30.85, -31.79, &amp; -31.64</t>
  </si>
  <si>
    <t>-27.51, -30.85, -31.79, &amp; -31.64</t>
  </si>
  <si>
    <t>PT: MG2304; D6730 - HC Type, Toluene, by pCHR-G</t>
  </si>
  <si>
    <t>D6730 - HC Type</t>
  </si>
  <si>
    <t>PT: MG2304; D5188 - V/L Ratio Temp, Evac Chamber, Z-Score = -5.40</t>
  </si>
  <si>
    <t>Transfer tube replaced</t>
  </si>
  <si>
    <t>PT: MG2304; D5580 - Aromatics, C9 plus &amp; Total, by GC, Z-Score = 26.11 &amp; -37.65</t>
  </si>
  <si>
    <t>D5580 - Aromatics</t>
  </si>
  <si>
    <t>26.11 &amp; -37.65</t>
  </si>
  <si>
    <t>PT: MG2304; D86 - Distillation, Auto, IBP - FBP, Z-Scores = Multiple Outliers</t>
  </si>
  <si>
    <t>PT: MG2304; D3227 - Mercaptan Sulfur, Potentiometric, Z-Score = 3.44</t>
  </si>
  <si>
    <t>D3227 - Mercaptan Sulfur</t>
  </si>
  <si>
    <t>PT: MG2304; D5188 - V/L Ratio Temp, Evac Chamber</t>
  </si>
  <si>
    <t>PT: MG2304; D86 - Distillation, Auto, IBP - FBP, % Evap, % Loss, &amp; % Resid, Z-Scores = Multiple Outliers</t>
  </si>
  <si>
    <t>PT: MG2304; D5191 - Vapor Pressure, DVPE &amp; TVP, 1L (EPA), Z-Scores = 6.48 &amp;-7.15</t>
  </si>
  <si>
    <t>6.48 &amp; -7.15</t>
  </si>
  <si>
    <t>PT: MG2304; D86 - Distillation, Auto, % Resid (EPA)</t>
  </si>
  <si>
    <t>PT: MG2304; D5191 - Vapor Pressure, DVPE &amp; TVP, 1L &amp; TVP, 1L(EPA)</t>
  </si>
  <si>
    <t>2.69, 2.74, &amp; 2.49</t>
  </si>
  <si>
    <t>PT: MG2304; D86 - Distillation, Auto, % Evap</t>
  </si>
  <si>
    <t>PT: MG2304; D1319 - Aromatics &amp; Saturates, Oxy-Free &amp; EPA, Z-Scores = 3.50, -4.30, 6.16, &amp; -5.29</t>
  </si>
  <si>
    <t>3.50, -4.30, 6.16, &amp; -5.29</t>
  </si>
  <si>
    <t>PT: MG2304; D86 - Distillation, Auto, 95%</t>
  </si>
  <si>
    <t>PT: MG2304; D6730 - HC Type, Aromatics, Total, C9+ Aromatics, by pCHR-GC, Z-Scores = -6.15 &amp; -6.52</t>
  </si>
  <si>
    <t>PT: MG2304; D86 - Distillation, Auto, % Evap (EPA), Z-Score = -151.83</t>
  </si>
  <si>
    <t>PT: MG2304; D381 - Gum, Unwashed</t>
  </si>
  <si>
    <t>D381 - Gum</t>
  </si>
  <si>
    <t>Confirmed Calculation Error</t>
  </si>
  <si>
    <t>PT: MG2304; D1319 - HC Type, Olefins, Corrected &amp; Saturates, Oxy-Free, Z-Scores = 99.99 &amp; -52.70</t>
  </si>
  <si>
    <t>99.99 &amp; -52.70</t>
  </si>
  <si>
    <t>PT: MG2304; D4052 - Density, Digital, 15 °C, Z-Score = 8.32</t>
  </si>
  <si>
    <t>PT: MG2304; D1319 - HC Type, Aromatics &amp; Olefins, Oxy-Free (EPA), Z-Score = 4.43, -5.44, -6.06, -5.07, &amp; -5.74</t>
  </si>
  <si>
    <t>4.43, -5.44, -6.06, -5.07, &amp; -5.74</t>
  </si>
  <si>
    <t>PT: MG2304; D6730 - HC Type, C7 Isoparaffins, C8 Isoparaffins, &amp; Toluene, by pCHR-GC, Z-Scores = 21.85, -13.93, &amp; 6.85</t>
  </si>
  <si>
    <t>21.85, -13.93, &amp; 6.85</t>
  </si>
  <si>
    <t>PT: MG2304; D3227 - Mercaptan Sulfur, Potentiometric, Z-Score = 11.44</t>
  </si>
  <si>
    <t>PT: MG2304; D4052 - Density, Digital, 15 °C, Z-Score = 7.69</t>
  </si>
  <si>
    <t>PT: MG2304; D3227 - Mercaptan Sulfur, Potentiometric</t>
  </si>
  <si>
    <t>PT: MG2304; D86 - Distillation, Auto, 95 %, Z-Score = 4.54</t>
  </si>
  <si>
    <t>PT: MG2304; D86 - Distillation, Auto, FBP, °F (EPA) Z-Score = -4.41</t>
  </si>
  <si>
    <t>PT: D-1193; D86 - Distillation (Automatic), 90% Recovered</t>
  </si>
  <si>
    <t>PT: R-1338; D1319 - Saturates (Uncorrected), Z-Score = -4.48</t>
  </si>
  <si>
    <t>NEG-MG</t>
  </si>
  <si>
    <t>PT: CE508; D5769 - GCMS, Benzene</t>
  </si>
  <si>
    <t>D5769 - GCMS</t>
  </si>
  <si>
    <t>PT: CE508; D86 - Distillation, Residue</t>
  </si>
  <si>
    <t>PT: CE508; D5188 - V/L Temp.</t>
  </si>
  <si>
    <t>D5188 - V/L Temp.</t>
  </si>
  <si>
    <t>PT: CE508; D86 - Distillation, 40%-60%, 80% - EP, E200, &amp; E300, Z-Scores = Multiple Outliers</t>
  </si>
  <si>
    <t>PT: CE508; D3606 - Benzene, Z-Score = -4.22</t>
  </si>
  <si>
    <t>PT: CE508; D86 - Distillation, 90% &amp; 95%</t>
  </si>
  <si>
    <t>-2.05 &amp; -2.03</t>
  </si>
  <si>
    <t>PT: CE508; D5453 - Sulfur</t>
  </si>
  <si>
    <t>PT: CE508; D2622 - Sulfur</t>
  </si>
  <si>
    <t>PT: AT-355; GC/MS - Aromatics</t>
  </si>
  <si>
    <t>ARG</t>
  </si>
  <si>
    <t>GCMS - Aromatics</t>
  </si>
  <si>
    <t>PT: AT-355; D2700 - Motor Octane Number</t>
  </si>
  <si>
    <t>PT: AT-355; API - Gravity</t>
  </si>
  <si>
    <t>API - Gravity</t>
  </si>
  <si>
    <t>PT: AT-355; D86 - Distillation, Residue &amp; Recovery, Z-Score = -3.7 &amp; 2.1</t>
  </si>
  <si>
    <t>-3.7 &amp; 2.1</t>
  </si>
  <si>
    <t xml:space="preserve">PT: AT-355; D86 - Distillation, 10% </t>
  </si>
  <si>
    <t>PT: CET2306; D86 - Distillation, Auto, 95%</t>
  </si>
  <si>
    <t>CET</t>
  </si>
  <si>
    <t>PT: CET2306; D5453 - Sulfur, by UVF</t>
  </si>
  <si>
    <t>PT: CET2306; D445 - Viscosity, Kinematic, 40 °C</t>
  </si>
  <si>
    <t>PT: CET2306; D86 - Distillation, Auto, % Resid</t>
  </si>
  <si>
    <t>PT: CET2306; D613 - Cetane Number</t>
  </si>
  <si>
    <t>PT: CET2306; D1319 - HC Type, Aromatics &amp; Saturates, Oxy-Free, Z-Scores = 6.59 &amp; -6.46</t>
  </si>
  <si>
    <t>6.59 &amp; -6.46</t>
  </si>
  <si>
    <t>Ran and reported wrong sample for this parameter</t>
  </si>
  <si>
    <t>PT: CET2306; D86 - Distillation, Auto, FBP</t>
  </si>
  <si>
    <t>PT: TM07-23; D86 - Distillation, 10%</t>
  </si>
  <si>
    <t>PT: TM07-23; RVP, Z-Score = 4.91</t>
  </si>
  <si>
    <t>PT: TM07C-23; RVP, Z-Score = 8.17</t>
  </si>
  <si>
    <t>PT: OC2306; API Gravity</t>
  </si>
  <si>
    <t>API</t>
  </si>
  <si>
    <t>PT: D-1197; D613 - Cetane Number</t>
  </si>
  <si>
    <t>PT: D-1197; Sulfur - All Methods</t>
  </si>
  <si>
    <t>Sulfur - All Methods</t>
  </si>
  <si>
    <t>PT: CE509; D86 - Distillation, Auto - 40%, 50%, 60%, E200, E300, &amp; Residue</t>
  </si>
  <si>
    <t>2.30, 2.32, 2.35, -2.24, -2.07, &amp; -2.40</t>
  </si>
  <si>
    <t>PT: CE509; D5188 - V/L Temp</t>
  </si>
  <si>
    <t>D5188 - V/L Temp</t>
  </si>
  <si>
    <t>PT: CE509; D2699 - Research Octane Number</t>
  </si>
  <si>
    <t>PT: CE509; D4052 - API</t>
  </si>
  <si>
    <t>PT: CE509; D86 - Distillation, Auto - Residue</t>
  </si>
  <si>
    <t>PT: CE509; D1319 - Aromatics (Oxy-free)</t>
  </si>
  <si>
    <t>PT: CE509; D3606 - Benzene</t>
  </si>
  <si>
    <t>PT: NP2306; D2887 - BP Distribution, GC, Proc A, 50%</t>
  </si>
  <si>
    <t>NP</t>
  </si>
  <si>
    <t>PT: NP2306; D1159 - Bromine Number, Titration</t>
  </si>
  <si>
    <t>D1159 - Bromine Number</t>
  </si>
  <si>
    <t>PT: NP2306; D4052 - Density, Digital, 15 °C</t>
  </si>
  <si>
    <t>PT: NP2306; D6730 - HC Type, Toluene, by pCHR-G</t>
  </si>
  <si>
    <t>PT: DF22306; D5773 - Cloud Point, Constant Cool</t>
  </si>
  <si>
    <t>D5773 - Cloud Point</t>
  </si>
  <si>
    <t>PT: DF22306; D86 - Distillation, Auto, % Loss</t>
  </si>
  <si>
    <t>PT: DF22306; D4052 - Density, Digital, 15 °C</t>
  </si>
  <si>
    <t>PT: DF22306; D445 - Viscosity, Kinematic, 40 °C</t>
  </si>
  <si>
    <t>PT: DF22306; D4052 - API Gravity, Digital, 60 °F &amp; Density, Digital, 15 °C, Z-Score = -3.45</t>
  </si>
  <si>
    <t>D4052 - API &amp; Density</t>
  </si>
  <si>
    <t>2.27 &amp; -3.45</t>
  </si>
  <si>
    <t>PT: DF22306; D6304 - Water, by Coul KF, Meth A Direct Injection, mg/kg, Z-Score = -4.30</t>
  </si>
  <si>
    <t>PT: DF22306; D482 - Ash, Z-Score = 6.24</t>
  </si>
  <si>
    <t>D482 - Ash</t>
  </si>
  <si>
    <t>VV/HM</t>
  </si>
  <si>
    <t>PT: DF22306; D2500 - Cloud Point, Z-Score = 3.00</t>
  </si>
  <si>
    <t>PT: DF22306; D5186 - HC Type, by SFC, Mono Aromatics &amp; PAH, Z-Scores = -6.86 &amp; 4.61</t>
  </si>
  <si>
    <t>-6.86 &amp; 4.61</t>
  </si>
  <si>
    <t>PT: DF22306; D6079 - Lubricity, HFRR, Scar Diameter</t>
  </si>
  <si>
    <t>PT: DF22306; D86 - Distillation, Auto, % Loss &amp; % Recov, Z-Scores = 6.55 &amp; -5.55</t>
  </si>
  <si>
    <t>6.55 &amp; -5.55</t>
  </si>
  <si>
    <t>PT: DF22306; D664 - Acid Number, A, 60 mL, inflection EP, Z-Score = 11.09</t>
  </si>
  <si>
    <t>PT: DF22306; D2500 - Cloud Point, Z-Score = -2.10</t>
  </si>
  <si>
    <t>PT: DF22306; D482 - Ash</t>
  </si>
  <si>
    <t>PT: DF22306; D6304 - Water, by Coul KF, Meth A Direct Injection, mg/kg, Z-Score = 3.70</t>
  </si>
  <si>
    <t>D6304 - Water, by Coul KF, Meth A Direct Injection</t>
  </si>
  <si>
    <t>PT: DF22306; D664 - Acid Number, A, 60 mL, inflection EP</t>
  </si>
  <si>
    <t>PT: DF22306; D86 - Distillation, Auto, 30% &amp; 40%</t>
  </si>
  <si>
    <t>2.12 &amp; 2.13</t>
  </si>
  <si>
    <t>PT: DF22306; D524 - Carbon Residue, Ramsbottom, Z-Score = -2.06</t>
  </si>
  <si>
    <t>PT: DF22306; D86 - Distillation, Auto, IBP, Z-Score = -2.58</t>
  </si>
  <si>
    <t>PT: DF22306; D445 - Viscosity, Kinematic, 40 °C, Z-Score = 2.12</t>
  </si>
  <si>
    <t>PT: DF22306; D189 - Carbon Residue, Conradson</t>
  </si>
  <si>
    <t>D189 - Carbon Residue</t>
  </si>
  <si>
    <t>PT: DF22306; D2500 - Cloud Point, Z-Score = 2.50</t>
  </si>
  <si>
    <t>PT: DF22306; D86 - Distillation, Auto, FBP, Z-Score = -2.82</t>
  </si>
  <si>
    <t>-2.82</t>
  </si>
  <si>
    <t>PT: DF22306; D93 - Flash Point, PMCC, Proc A, corrected, Z-Score = 2.15</t>
  </si>
  <si>
    <t>PT: DF22306; D86 - Distillation, Auto, 50%, Z-Score = 114.28</t>
  </si>
  <si>
    <t>PT: DF22306; D86 - Distillation, Auto, 20%, Z-Score = -3.23</t>
  </si>
  <si>
    <t>PT: DF22306; D86 - Distillation, Auto, IBP, Z-Score = -3.22</t>
  </si>
  <si>
    <t>PT: DF22306; D2624 - Electrical Conductivity, Proc A, Z-Score = 2.90</t>
  </si>
  <si>
    <t>PT: DF22306; D86 - Distillation, Auto, %Loss</t>
  </si>
  <si>
    <t>PT: DF22306; D7039 - Sulfur, by MWDXRF, Z-Score = -5.75</t>
  </si>
  <si>
    <t>PT: DF22306; D482 - Ash, Z-Score = 4.53</t>
  </si>
  <si>
    <t>PT: DF22306; D2500 - Cloud Point, Z-Score = 3.50</t>
  </si>
  <si>
    <t>PT: DF22306; D86 - Distillation, Auto, 40%</t>
  </si>
  <si>
    <t>PT: DF22306; D6217 - Particulates, Lab Filtration, Z-Score = 4.58</t>
  </si>
  <si>
    <t>D6217 - Particulates, Lab Filtration</t>
  </si>
  <si>
    <t>PT: DF22306; D5453 - Sulfur, by UVF, Z-Score = 4.66</t>
  </si>
  <si>
    <t>PT: RFG2308; D4052 - Density, Digital, 15 °C</t>
  </si>
  <si>
    <t>PT: RFG2308; D5188 - V/L Ratio Temp, Evac Chamber</t>
  </si>
  <si>
    <t>PT: RFG2308; D381 - Gum, Unwashed, Z-Score = 6.51</t>
  </si>
  <si>
    <t>PT: RFG2308; D5769 - Toluene, by GC/MS (EPA), Z-Score = 3.17</t>
  </si>
  <si>
    <t>D5769 - Toluene</t>
  </si>
  <si>
    <t>PT: RFG2308; D86 - Distillation, Auto, 90%, °F (EPA), Z-Score = -10.91</t>
  </si>
  <si>
    <t>PT: RFG2308; D7039 - Sulfur, by MWDXRF, Z-Score = -6.50</t>
  </si>
  <si>
    <t>PT: RFG2308; D5188 - V/L Ratio Temp, Evac Chamber, Z-Score = 3.06</t>
  </si>
  <si>
    <t>PT: RFG2308; D86 - Distillation, Auto, % Resid (EPA)</t>
  </si>
  <si>
    <t>PT: RFG2308; D5191 - Vapor Pressure, DVPE, 1L (EPA), Z-Score = -2.38</t>
  </si>
  <si>
    <t>PT: RFG2308; D86 - Distillation, Auto, % Evap, % Loss (EPA), E200 °F, % (EPA), &amp; E300 °F, % (EPA)</t>
  </si>
  <si>
    <t>-2.01, 2.40, 2.69, &amp; 2.13</t>
  </si>
  <si>
    <t>PT: RFG2308; D1319 - HC Type, Aromatics, Oxy-Free, Aromatics, Oxy-Free (EPA), Olefins, Oxy-Free, &amp; Olefins, Oxy-Free (EPA), Z-Scores = -6.76, -5.82, 12.44, &amp; 11.99</t>
  </si>
  <si>
    <t>-6.76, -5.82, 12.44, &amp; 11.99</t>
  </si>
  <si>
    <t>PT: RFG2308; D2622 - Sulfur by WDXRF &amp; Sulfur by WDXRF (EPA), Z-Scores = 2.76 &amp; 2.74</t>
  </si>
  <si>
    <t>2.76 &amp; 2.74</t>
  </si>
  <si>
    <t>PT: RFG2308; D1319 - HC Type, Aromatics, Oxy-Free &amp; Saturates, Corrected, Z-Scores = -2.05 &amp; 2.51</t>
  </si>
  <si>
    <t>D1319 - HC TYpe</t>
  </si>
  <si>
    <t>2.05 &amp; 2.51</t>
  </si>
  <si>
    <t>PT: RFG2308; D3606 - Toluene, by GC, Proc B, Z-Score = -2.10</t>
  </si>
  <si>
    <t>PT: RFG2308; D5769 - Aromatics, Total, by GC/MS (EPA), Z-Score = -2.06</t>
  </si>
  <si>
    <t>D5769 - Aromatics</t>
  </si>
  <si>
    <t>PT: RFG2308; D2622 - Sulfur by WDXRF, Z-Score = -4.74</t>
  </si>
  <si>
    <t>PT: RFG2308; D86 - Distillation, Auto, 80% &amp; Distillation, Auto, 80%, °F (EPA)</t>
  </si>
  <si>
    <t>PT: RFG2308; D6839 - HC Type/Oxy, Olefins, by M-D GC, Z-Score = 2.07</t>
  </si>
  <si>
    <t>D6839 - HC Type</t>
  </si>
  <si>
    <t>PT: RFG2308; D5191 - Vapor Pressure, DVPE, 1L &amp; DVPE, 1L (EPA), Z-Scores = -2.15 &amp; -2.59</t>
  </si>
  <si>
    <t>-2.15 &amp; -2.59</t>
  </si>
  <si>
    <t>See PTO377-165-24</t>
  </si>
  <si>
    <t>PT: RFG2308; D5580 - Aromatics, C9 plus, Total, &amp; Toluene, by GC , Z-Scores = -3.17, -6.69, &amp; -2.47</t>
  </si>
  <si>
    <t>-3.17, -6.69, &amp; -2.47</t>
  </si>
  <si>
    <t>PT: RFG2308; D5769 - Benzene, by GC/MS (EPA)</t>
  </si>
  <si>
    <t>D5769 - Benzene</t>
  </si>
  <si>
    <t>PT: RFG2308; D1319 - HC Type, Olefins, Corrected, Olefins, Corrected (EPA), Olefins, Oxy-Free, &amp; Olefins, Oxy-Free (EPA)</t>
  </si>
  <si>
    <t>2.99, 2.65, 2.94, &amp; 2.65</t>
  </si>
  <si>
    <t>PT: RFG2308; D5599 - Oxygenates, Ethanol, &amp; Total Oxygen, by GC OFID, Z-Scores = 2.13 &amp; 2.03</t>
  </si>
  <si>
    <t>2.13 &amp; 2.03</t>
  </si>
  <si>
    <t>PT: RFG2308; D5769 - Benzene, by GC/MS &amp; Benzene, by GC/MS (EPA), Z-Scores = 4.97 &amp; 5.41</t>
  </si>
  <si>
    <t>4.97 &amp; 5.41</t>
  </si>
  <si>
    <t>PT: RFG2308; D3606 - Benzene, by GC, Proc B (EPA)</t>
  </si>
  <si>
    <t>PT: RFG2308; D86 - Distillation, Auto, 95%, °F (EPA), Z-Score = 15.19</t>
  </si>
  <si>
    <t xml:space="preserve"> JN</t>
  </si>
  <si>
    <t>PT: RFG2308; D4815 - Oxygenates, Ethanol, by GC OFID, Z-Score = -2.10</t>
  </si>
  <si>
    <t>PT: RFG2308; D5191 - Vapor Pressure, DVPE, 1L (EPA), Z-Score = 8.32</t>
  </si>
  <si>
    <t>D5191 - Vapore Pressure</t>
  </si>
  <si>
    <t>PT: RFG2308; D5769 - Aromatics, Total, Benzene, &amp; Toluene by GC/MS, Z-Scores = -5.28, 7.99, &amp; -2.43</t>
  </si>
  <si>
    <t>-5.28, 7.99, &amp; -2.43</t>
  </si>
  <si>
    <t>PT: RFG2308; D86 - Distillation, Auto, 70%, °F (EPA), Z-Score = -3.01</t>
  </si>
  <si>
    <t xml:space="preserve">PT: R-1340; D86 - Distillation, Auto, 10% &amp; 50% Evaporated, Z-Scores = 2.88 &amp; -4.66 </t>
  </si>
  <si>
    <t>2.88 &amp; -4.66</t>
  </si>
  <si>
    <t>PT: R-1341; D2699 - Research Octane Number</t>
  </si>
  <si>
    <t>PT: R-1341; D2699 - Research Octane Number, Z-Score = 4.29</t>
  </si>
  <si>
    <t>PT: R-1341; Ethanol - All Methods</t>
  </si>
  <si>
    <t>Ethanol</t>
  </si>
  <si>
    <t>PT: D-1198; D86 - Distillation, Auto, Recovery &amp; Loss, %, Z-Scores = -7.86 &amp; 5.16</t>
  </si>
  <si>
    <t>-7.86 &amp; 5.16</t>
  </si>
  <si>
    <t>PT: D-1198; D86 - Distillation, Auto, Loss, %</t>
  </si>
  <si>
    <t>PT: D-1196; D445 - Viscosity at 40°C  , Z-Score = 10.58</t>
  </si>
  <si>
    <t>PT: D-1196; D613 - Cetane Number</t>
  </si>
  <si>
    <t>PT: TM09-23; Sulfur, Z-Score = 4.33</t>
  </si>
  <si>
    <t>PT: TM09-23; D2699 - Research Octane Number</t>
  </si>
  <si>
    <t>PT: TM09-23; D2700 - Research Octane Number</t>
  </si>
  <si>
    <t>PT: TM09-23; Sulfur, Z-Score = 11.00</t>
  </si>
  <si>
    <t>PT: TM09-23; API, Z-Score = 20.74</t>
  </si>
  <si>
    <t>PT: TM09-23; D86 - Distillation, Auto, 10%, Z-Score = 2.95</t>
  </si>
  <si>
    <t>D86 - Distillation, Auto, 10%</t>
  </si>
  <si>
    <t>PT: TM11C-23; D2700 - Motor Octane Number</t>
  </si>
  <si>
    <t>PT: TM11C-23; D2700 - Motor Octane Number, Z-Score = -3.72</t>
  </si>
  <si>
    <t>PT: TM11C-23; D86 - Distillation, 50%, Z-Score = 15.26</t>
  </si>
  <si>
    <t>PT: CE510; D4052 - API, Z-Score = -3.07</t>
  </si>
  <si>
    <t>PT: CE510; D86 - Distillation, Recovery &amp; Loss</t>
  </si>
  <si>
    <t>2.18 &amp; -2.23</t>
  </si>
  <si>
    <t>PT: CE510; D5191 - RVP PTOT</t>
  </si>
  <si>
    <t>PT: CE510; D5769 - Aromatics, Z-Score = 5.16</t>
  </si>
  <si>
    <t>PT: CE510; D1319 - Olefins (Oxy-free)</t>
  </si>
  <si>
    <t>PT: CE510; D5453 - Sulfur</t>
  </si>
  <si>
    <t>PT: CE510; D2622 - Sulfur, Z-Score = -6.15</t>
  </si>
  <si>
    <t>PT: CE510; D1319 - Aromatics (Oxy-free), Z-Score = 2.02</t>
  </si>
  <si>
    <t>PT: CE510; D5580 - Toluene</t>
  </si>
  <si>
    <t>D5580 - Toluene</t>
  </si>
  <si>
    <t>PT: M970; D86 - Distillation, Residue, Z-Score = -9.59</t>
  </si>
  <si>
    <t>MXXX</t>
  </si>
  <si>
    <t>PT: M970; D86 - Distillation, Residue, Z-Score = 4.48</t>
  </si>
  <si>
    <t xml:space="preserve">PT: M970; Regulation SOR/97-493 - Benzene Emissions Number, Summer, Z-Score = 18.62 </t>
  </si>
  <si>
    <t>Regulation SOR/97-493 - Benzene Emissions Number</t>
  </si>
  <si>
    <t>PT: GGO2307; D445 - Viscosity, Kinematic, 100 °C</t>
  </si>
  <si>
    <t>GGO</t>
  </si>
  <si>
    <t>PT: P66 Gasoline Z2553, API</t>
  </si>
  <si>
    <t>P66 ZXXXX</t>
  </si>
  <si>
    <t>D4052 API</t>
  </si>
  <si>
    <t>CAF#</t>
  </si>
  <si>
    <t>Date initiated</t>
  </si>
  <si>
    <t>Date shared w/ customer</t>
  </si>
  <si>
    <t>Date closed after effectiveness review</t>
  </si>
  <si>
    <t>Brief description of complaint</t>
  </si>
  <si>
    <r>
      <t xml:space="preserve">Area (Lab, Ops, Lab &amp; Ops, Admin, Other, Void)
</t>
    </r>
    <r>
      <rPr>
        <i/>
        <sz val="11"/>
        <rFont val="Calibri"/>
        <family val="2"/>
        <scheme val="minor"/>
      </rPr>
      <t>(drop-down)</t>
    </r>
  </si>
  <si>
    <t>CAR / PAR # (if applicable)</t>
  </si>
  <si>
    <t xml:space="preserve">Vitol - Silicon result off spec </t>
  </si>
  <si>
    <t>C027-120-23</t>
  </si>
  <si>
    <t>Ops</t>
  </si>
  <si>
    <t>C041-155-23</t>
  </si>
  <si>
    <t>C069-141-23</t>
  </si>
  <si>
    <t xml:space="preserve">Valero - The inspectors sampling the Seaways Skopelos which loaded two segregations and failed to sample the Reformate cargo.  </t>
  </si>
  <si>
    <t>C071-155-23</t>
  </si>
  <si>
    <t>AmSpec - Failure to follow existing protocols.</t>
  </si>
  <si>
    <t>C078-144-23</t>
  </si>
  <si>
    <t xml:space="preserve">MV, EW, JA </t>
  </si>
  <si>
    <t>C079-132-23</t>
  </si>
  <si>
    <t>C091-180-23</t>
  </si>
  <si>
    <t>C103-132-23</t>
  </si>
  <si>
    <t>Inspector terminated</t>
  </si>
  <si>
    <t>C105-191-23</t>
  </si>
  <si>
    <t>C040-190-23</t>
  </si>
  <si>
    <t>Improper procedure</t>
  </si>
  <si>
    <t>C168-150-23                                       C171-150-23</t>
  </si>
  <si>
    <t>pending investigation 2 CARs issued 6/29</t>
  </si>
  <si>
    <t>PMI - Freeze point result concern</t>
  </si>
  <si>
    <t>C289-120-23</t>
  </si>
  <si>
    <t xml:space="preserve">USGC CAR / Regional car compiled at HTC for L Charles. </t>
  </si>
  <si>
    <t>Irving Oil - Inspector recorded incorrect gauges on ST 199.</t>
  </si>
  <si>
    <t>C170-199-23</t>
  </si>
  <si>
    <t>Inspector treminated</t>
  </si>
  <si>
    <t>GCC LLC - Nomination revised for Barge &amp; Tug. The revision was missed. Barge loaded without inspection.</t>
  </si>
  <si>
    <t>C198-120-23</t>
  </si>
  <si>
    <t>Aramco - Dispatcher failed to relay an update to the inspector. Vessel departure delayed until the next tide.</t>
  </si>
  <si>
    <t>No CAR assigned</t>
  </si>
  <si>
    <t>C. Guenther has opened discussions with Aramco to resolve 4/17/23</t>
  </si>
  <si>
    <t>Irving - Incorrect API used on final report</t>
  </si>
  <si>
    <t>C293-199-23</t>
  </si>
  <si>
    <t>Irving - AmSpec inspectors not following proper protocals for respiratory protection with H2S</t>
  </si>
  <si>
    <t>C297-199-23</t>
  </si>
  <si>
    <t>Void - Internal CAR (NOLA)</t>
  </si>
  <si>
    <t>C318-170-23</t>
  </si>
  <si>
    <t>No Customer Alert issued. Local internal CAR</t>
  </si>
  <si>
    <t>C319-210-23</t>
  </si>
  <si>
    <t>C258-170-23</t>
  </si>
  <si>
    <t>Simon closed with PBF</t>
  </si>
  <si>
    <t>C430-155-23</t>
  </si>
  <si>
    <t>C443-121-23</t>
  </si>
  <si>
    <t>Valero - Off spec D1688 Copper result</t>
  </si>
  <si>
    <t>C455-197-23</t>
  </si>
  <si>
    <t>Azar</t>
  </si>
  <si>
    <t xml:space="preserve">PBF -  Failed to follow proper recheck procedure when rechecking D664 TAN 
</t>
  </si>
  <si>
    <t>C503-215-23</t>
  </si>
  <si>
    <t>pending 8/3</t>
  </si>
  <si>
    <t>C529-120-23</t>
  </si>
  <si>
    <t xml:space="preserve">Citgo - D4006 Off spec. </t>
  </si>
  <si>
    <t>8/8/2023 - MV</t>
  </si>
  <si>
    <t>Chevron - Failure to follow proper chain of custody procedure.</t>
  </si>
  <si>
    <t>C538-120-23</t>
  </si>
  <si>
    <t>pending 9/5</t>
  </si>
  <si>
    <t>C547-155-23</t>
  </si>
  <si>
    <t>Pending approval 8/10</t>
  </si>
  <si>
    <t>C638-132-23</t>
  </si>
  <si>
    <t xml:space="preserve">Unipec - Operations failed to properly calculate final vessel figures after a reverse lightering. Vessel tank bottom lines were said to be void and this volume was not accounted for.
</t>
  </si>
  <si>
    <t>C675-128-23</t>
  </si>
  <si>
    <t>Lyondell - Dispatch made an error on a inhibitor form and told the inspector the wrong amount of inhibitor to be added.</t>
  </si>
  <si>
    <t>C700-121-23</t>
  </si>
  <si>
    <t>C726-132-23</t>
  </si>
  <si>
    <t>C749-170-23</t>
  </si>
  <si>
    <t>Jeremy</t>
  </si>
  <si>
    <t>C759-170-23</t>
  </si>
  <si>
    <t>Improper Procedure / No CAF was distributed.</t>
  </si>
  <si>
    <t>Types of Deficiency</t>
  </si>
  <si>
    <t>Types of Root Cause</t>
  </si>
  <si>
    <t>CAR Area</t>
  </si>
  <si>
    <t>Location</t>
  </si>
  <si>
    <t>USGC</t>
  </si>
  <si>
    <t>Albany, NY</t>
  </si>
  <si>
    <t>USNE, USMW &amp; Canada</t>
  </si>
  <si>
    <t>SE &amp; Caribbean</t>
  </si>
  <si>
    <t>PAR Area</t>
  </si>
  <si>
    <t>USWC</t>
  </si>
  <si>
    <t>CAF Area</t>
  </si>
  <si>
    <t>CORPORATE, NJ</t>
  </si>
  <si>
    <t>Corporate</t>
  </si>
  <si>
    <t>Lab &amp; Ops</t>
  </si>
  <si>
    <t>Admin</t>
  </si>
  <si>
    <t>Decatur, AL</t>
  </si>
  <si>
    <t>Other</t>
  </si>
  <si>
    <t>Type of Assessment (Assessment tracking)</t>
  </si>
  <si>
    <t>Scope (assessment tracking)</t>
  </si>
  <si>
    <t>Agency type (Assessment Tracking)</t>
  </si>
  <si>
    <t>Extras</t>
  </si>
  <si>
    <t>Warehouse</t>
  </si>
  <si>
    <t>Additives East Coast</t>
  </si>
  <si>
    <t>Additives Gulf Coast</t>
  </si>
  <si>
    <t>Utah</t>
  </si>
  <si>
    <t>Citgo Corpus Christi</t>
  </si>
  <si>
    <t>Cameron LNG</t>
  </si>
  <si>
    <t>Specialty</t>
  </si>
  <si>
    <t>Kenner, LA</t>
  </si>
  <si>
    <t>Santurce, Puerto Rico</t>
  </si>
  <si>
    <t>Boucherville,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</si>
</sst>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mm/dd/yy;@"/>
    <numFmt numFmtId="166" formatCode="m/d/yy;@"/>
  </numFmts>
  <fonts count="27" x14ac:knownFonts="1">
    <font>
      <sz val="11"/>
      <color theme="1"/>
      <name val="Calibri"/>
      <family val="2"/>
      <scheme val="minor"/>
    </font>
    <font>
      <sz val="11"/>
      <color theme="1"/>
      <name val="Calibri"/>
      <family val="2"/>
      <scheme val="minor"/>
    </font>
    <font>
      <b/>
      <i/>
      <sz val="11"/>
      <color theme="1"/>
      <name val="Calibri"/>
      <family val="2"/>
      <scheme val="minor"/>
    </font>
    <font>
      <i/>
      <sz val="11"/>
      <color theme="1"/>
      <name val="Calibri"/>
      <family val="2"/>
      <scheme val="minor"/>
    </font>
    <font>
      <sz val="8"/>
      <name val="Calibri"/>
      <family val="2"/>
      <scheme val="minor"/>
    </font>
    <font>
      <sz val="11"/>
      <name val="Calibri"/>
      <family val="2"/>
      <scheme val="minor"/>
    </font>
    <font>
      <sz val="14"/>
      <color theme="1"/>
      <name val="Calibri"/>
      <family val="2"/>
      <scheme val="minor"/>
    </font>
    <font>
      <b/>
      <i/>
      <sz val="11"/>
      <name val="Calibri"/>
      <family val="2"/>
      <scheme val="minor"/>
    </font>
    <font>
      <sz val="8"/>
      <color theme="1"/>
      <name val="Calibri"/>
      <family val="2"/>
      <scheme val="minor"/>
    </font>
    <font>
      <sz val="11"/>
      <color rgb="FF000000"/>
      <name val="Calibri"/>
      <family val="2"/>
    </font>
    <font>
      <sz val="11"/>
      <color theme="1"/>
      <name val="Calibri"/>
      <family val="2"/>
      <charset val="1"/>
    </font>
    <font>
      <sz val="10.5"/>
      <color theme="1"/>
      <name val="Segoe UI"/>
      <family val="2"/>
      <charset val="1"/>
    </font>
    <font>
      <i/>
      <sz val="11"/>
      <name val="Calibri"/>
      <family val="2"/>
      <scheme val="minor"/>
    </font>
    <font>
      <sz val="11"/>
      <color rgb="FF000000"/>
      <name val="Calibri"/>
      <family val="2"/>
      <scheme val="minor"/>
    </font>
    <font>
      <sz val="11"/>
      <name val="Calibri"/>
      <family val="2"/>
    </font>
    <font>
      <b/>
      <sz val="11"/>
      <color theme="1"/>
      <name val="Calibri"/>
      <family val="2"/>
      <scheme val="minor"/>
    </font>
    <font>
      <sz val="11"/>
      <color rgb="FF444444"/>
      <name val="Calibri"/>
      <family val="2"/>
    </font>
    <font>
      <sz val="11"/>
      <color theme="1"/>
      <name val="Calibri"/>
      <family val="2"/>
    </font>
    <font>
      <sz val="10"/>
      <color theme="1"/>
      <name val="Arial"/>
      <family val="2"/>
    </font>
    <font>
      <sz val="11"/>
      <name val="Calibri"/>
      <family val="2"/>
      <charset val="1"/>
    </font>
    <font>
      <sz val="11"/>
      <color rgb="FF000000"/>
      <name val="Calibri"/>
      <family val="2"/>
      <charset val="1"/>
    </font>
    <font>
      <sz val="12"/>
      <color theme="1"/>
      <name val="Calibri"/>
      <family val="2"/>
      <scheme val="minor"/>
    </font>
    <font>
      <sz val="11"/>
      <color theme="0"/>
      <name val="Calibri"/>
      <family val="2"/>
      <scheme val="minor"/>
    </font>
    <font>
      <sz val="10"/>
      <color rgb="FF000000"/>
      <name val="Calibri"/>
      <family val="2"/>
    </font>
    <font>
      <sz val="14"/>
      <name val="Calibri"/>
      <family val="2"/>
      <scheme val="minor"/>
    </font>
    <font>
      <sz val="10"/>
      <name val="Calibri"/>
      <family val="2"/>
    </font>
    <font>
      <sz val="14"/>
      <color rgb="FF000000"/>
      <name val="Calibri"/>
      <family val="2"/>
      <scheme val="minor"/>
    </font>
  </fonts>
  <fills count="20">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E699"/>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theme="4" tint="0.79998168889431442"/>
      </patternFill>
    </fill>
    <fill>
      <patternFill patternType="solid">
        <fgColor rgb="FFC00000"/>
        <bgColor indexed="64"/>
      </patternFill>
    </fill>
    <fill>
      <patternFill patternType="solid">
        <fgColor rgb="FFFFFF00"/>
        <bgColor theme="4" tint="0.79998168889431442"/>
      </patternFill>
    </fill>
    <fill>
      <patternFill patternType="solid">
        <fgColor theme="0"/>
        <bgColor indexed="64"/>
      </patternFill>
    </fill>
    <fill>
      <patternFill patternType="solid">
        <fgColor theme="4" tint="0.79998168889431442"/>
        <bgColor indexed="64"/>
      </patternFill>
    </fill>
    <fill>
      <patternFill patternType="solid">
        <fgColor theme="3"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ck">
        <color indexed="64"/>
      </left>
      <right style="thick">
        <color indexed="64"/>
      </right>
      <top/>
      <bottom style="medium">
        <color indexed="64"/>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73">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protection locked="0"/>
    </xf>
    <xf numFmtId="0" fontId="0" fillId="0" borderId="0" xfId="0" applyAlignment="1" applyProtection="1">
      <alignment horizontal="center"/>
      <protection locked="0"/>
    </xf>
    <xf numFmtId="0" fontId="0" fillId="0" borderId="0" xfId="0" applyProtection="1">
      <protection locked="0"/>
    </xf>
    <xf numFmtId="0" fontId="0" fillId="0" borderId="0" xfId="0"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0" fillId="0" borderId="1" xfId="0" quotePrefix="1" applyBorder="1" applyAlignment="1">
      <alignment horizontal="center" vertical="center" wrapText="1"/>
    </xf>
    <xf numFmtId="164" fontId="0" fillId="0" borderId="1" xfId="0" applyNumberFormat="1" applyBorder="1" applyAlignment="1" applyProtection="1">
      <alignment horizontal="center" vertical="center" wrapText="1"/>
      <protection locked="0"/>
    </xf>
    <xf numFmtId="0" fontId="0" fillId="0" borderId="1" xfId="0" applyBorder="1" applyAlignment="1">
      <alignment horizontal="center" vertical="center" wrapText="1"/>
    </xf>
    <xf numFmtId="14" fontId="0" fillId="0" borderId="1" xfId="0" quotePrefix="1" applyNumberFormat="1" applyBorder="1" applyAlignment="1">
      <alignment horizontal="center" vertical="center" wrapText="1"/>
    </xf>
    <xf numFmtId="164" fontId="0" fillId="0" borderId="1" xfId="0" applyNumberFormat="1" applyBorder="1" applyAlignment="1">
      <alignment horizontal="center" vertical="center" wrapText="1"/>
    </xf>
    <xf numFmtId="0" fontId="0" fillId="2" borderId="1" xfId="0" quotePrefix="1" applyFill="1" applyBorder="1" applyAlignment="1">
      <alignment horizontal="center" vertical="center" wrapText="1"/>
    </xf>
    <xf numFmtId="0" fontId="0" fillId="2" borderId="1" xfId="0"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14" fontId="0" fillId="2" borderId="1" xfId="0" quotePrefix="1"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3" xfId="0" applyBorder="1" applyAlignment="1" applyProtection="1">
      <alignment horizontal="left" vertical="center" wrapText="1"/>
      <protection locked="0"/>
    </xf>
    <xf numFmtId="0" fontId="0" fillId="0" borderId="3" xfId="0" quotePrefix="1" applyBorder="1" applyAlignment="1">
      <alignment horizontal="center" vertical="center" wrapText="1"/>
    </xf>
    <xf numFmtId="164"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3" xfId="0" applyBorder="1" applyAlignment="1">
      <alignment horizontal="center" vertical="center" wrapText="1"/>
    </xf>
    <xf numFmtId="0" fontId="0" fillId="0" borderId="3" xfId="0" quotePrefix="1" applyBorder="1" applyAlignment="1" applyProtection="1">
      <alignment horizontal="left" vertical="top" wrapText="1"/>
      <protection locked="0"/>
    </xf>
    <xf numFmtId="0" fontId="0" fillId="0" borderId="1" xfId="0" quotePrefix="1" applyBorder="1" applyAlignment="1">
      <alignment horizontal="left" vertical="center" wrapText="1"/>
    </xf>
    <xf numFmtId="0" fontId="0" fillId="0" borderId="1" xfId="0" applyBorder="1" applyAlignment="1" applyProtection="1">
      <alignment horizontal="center" vertical="center"/>
      <protection locked="0"/>
    </xf>
    <xf numFmtId="0" fontId="6" fillId="0" borderId="3" xfId="0" quotePrefix="1" applyFont="1" applyBorder="1" applyAlignment="1">
      <alignment horizontal="center" vertical="center" wrapText="1"/>
    </xf>
    <xf numFmtId="0" fontId="5" fillId="3" borderId="1" xfId="0" applyFont="1" applyFill="1" applyBorder="1" applyAlignment="1">
      <alignment vertical="center"/>
    </xf>
    <xf numFmtId="0" fontId="0" fillId="4" borderId="1" xfId="0" applyFill="1" applyBorder="1" applyAlignment="1">
      <alignment vertical="center"/>
    </xf>
    <xf numFmtId="0" fontId="0" fillId="4" borderId="1" xfId="0" applyFill="1" applyBorder="1"/>
    <xf numFmtId="0" fontId="0" fillId="4" borderId="2" xfId="0" applyFill="1" applyBorder="1" applyAlignment="1">
      <alignment vertical="center"/>
    </xf>
    <xf numFmtId="0" fontId="2" fillId="5" borderId="2" xfId="0" applyFont="1" applyFill="1" applyBorder="1" applyAlignment="1">
      <alignment vertical="center"/>
    </xf>
    <xf numFmtId="0" fontId="0" fillId="5" borderId="2" xfId="0" applyFill="1" applyBorder="1" applyAlignment="1">
      <alignment vertical="center"/>
    </xf>
    <xf numFmtId="0" fontId="0" fillId="6" borderId="1" xfId="0" applyFill="1" applyBorder="1"/>
    <xf numFmtId="0" fontId="0" fillId="6" borderId="1" xfId="0" applyFill="1" applyBorder="1" applyAlignment="1">
      <alignment horizontal="center"/>
    </xf>
    <xf numFmtId="0" fontId="0" fillId="6" borderId="1" xfId="0" applyFill="1" applyBorder="1" applyAlignment="1">
      <alignment vertical="center"/>
    </xf>
    <xf numFmtId="0" fontId="0" fillId="6" borderId="1" xfId="0" applyFill="1" applyBorder="1" applyAlignment="1">
      <alignment vertical="center" wrapText="1"/>
    </xf>
    <xf numFmtId="0" fontId="3" fillId="6" borderId="1" xfId="0" applyFont="1" applyFill="1" applyBorder="1" applyAlignment="1">
      <alignment vertical="center" wrapText="1"/>
    </xf>
    <xf numFmtId="0" fontId="3" fillId="6" borderId="1" xfId="0" applyFont="1" applyFill="1" applyBorder="1" applyAlignment="1">
      <alignment horizontal="center"/>
    </xf>
    <xf numFmtId="165" fontId="0" fillId="0" borderId="3" xfId="0" quotePrefix="1" applyNumberFormat="1" applyBorder="1" applyAlignment="1">
      <alignment horizontal="center" vertical="center" wrapText="1"/>
    </xf>
    <xf numFmtId="165" fontId="0" fillId="0" borderId="1" xfId="0" quotePrefix="1" applyNumberFormat="1" applyBorder="1" applyAlignment="1">
      <alignment horizontal="center" vertical="center" wrapText="1"/>
    </xf>
    <xf numFmtId="0" fontId="0" fillId="0" borderId="1" xfId="0" quotePrefix="1" applyBorder="1" applyAlignment="1" applyProtection="1">
      <alignment horizontal="center" vertical="center" wrapText="1"/>
      <protection locked="0"/>
    </xf>
    <xf numFmtId="0" fontId="5" fillId="0" borderId="1" xfId="0" applyFont="1" applyBorder="1" applyAlignment="1" applyProtection="1">
      <alignment horizontal="center" vertical="center"/>
      <protection locked="0"/>
    </xf>
    <xf numFmtId="0" fontId="5" fillId="3" borderId="3" xfId="0" applyFont="1" applyFill="1" applyBorder="1" applyAlignment="1">
      <alignment vertical="center"/>
    </xf>
    <xf numFmtId="0" fontId="0" fillId="4" borderId="3" xfId="0" applyFill="1" applyBorder="1" applyAlignment="1">
      <alignment vertical="center"/>
    </xf>
    <xf numFmtId="0" fontId="0" fillId="5" borderId="6" xfId="0" applyFill="1" applyBorder="1" applyAlignment="1">
      <alignment vertical="center"/>
    </xf>
    <xf numFmtId="0" fontId="0" fillId="6" borderId="3" xfId="0" applyFill="1" applyBorder="1"/>
    <xf numFmtId="0" fontId="0" fillId="6" borderId="3" xfId="0" applyFill="1" applyBorder="1" applyAlignment="1">
      <alignment horizontal="center"/>
    </xf>
    <xf numFmtId="0" fontId="7" fillId="3" borderId="5" xfId="0" applyFont="1" applyFill="1" applyBorder="1" applyAlignment="1">
      <alignment vertical="center"/>
    </xf>
    <xf numFmtId="0" fontId="2" fillId="4" borderId="5" xfId="0" applyFont="1" applyFill="1" applyBorder="1" applyAlignment="1">
      <alignment vertical="center"/>
    </xf>
    <xf numFmtId="0" fontId="2" fillId="5" borderId="5" xfId="0" applyFont="1" applyFill="1" applyBorder="1" applyAlignment="1">
      <alignment vertical="center"/>
    </xf>
    <xf numFmtId="0" fontId="5" fillId="0" borderId="1" xfId="0" applyFont="1" applyBorder="1" applyAlignment="1">
      <alignment horizontal="center" vertical="center" wrapText="1"/>
    </xf>
    <xf numFmtId="0" fontId="7" fillId="6" borderId="5" xfId="0" applyFont="1" applyFill="1" applyBorder="1" applyAlignment="1">
      <alignment vertical="center"/>
    </xf>
    <xf numFmtId="0" fontId="7" fillId="6" borderId="5" xfId="0" applyFont="1" applyFill="1" applyBorder="1" applyAlignment="1">
      <alignment horizontal="center" vertical="center"/>
    </xf>
    <xf numFmtId="0" fontId="8" fillId="0" borderId="1" xfId="0" applyFont="1" applyBorder="1" applyAlignment="1" applyProtection="1">
      <alignment horizontal="center" vertical="center" wrapText="1"/>
      <protection locked="0"/>
    </xf>
    <xf numFmtId="0" fontId="0" fillId="0" borderId="4" xfId="0" quotePrefix="1" applyBorder="1" applyAlignment="1" applyProtection="1">
      <alignment horizontal="center" vertical="center" wrapText="1"/>
      <protection locked="0"/>
    </xf>
    <xf numFmtId="0" fontId="9" fillId="0" borderId="4" xfId="0" applyFont="1" applyBorder="1" applyAlignment="1">
      <alignment wrapText="1"/>
    </xf>
    <xf numFmtId="0" fontId="0" fillId="0" borderId="2" xfId="0" applyBorder="1" applyAlignment="1" applyProtection="1">
      <alignment horizontal="center" vertical="center" wrapText="1"/>
      <protection locked="0"/>
    </xf>
    <xf numFmtId="165" fontId="0" fillId="0" borderId="1" xfId="0" applyNumberFormat="1" applyBorder="1" applyAlignment="1">
      <alignment horizontal="center" vertical="center" wrapText="1"/>
    </xf>
    <xf numFmtId="0" fontId="2" fillId="7" borderId="4" xfId="0" applyFont="1" applyFill="1" applyBorder="1"/>
    <xf numFmtId="0" fontId="10" fillId="7" borderId="4" xfId="0" applyFont="1" applyFill="1" applyBorder="1" applyAlignment="1">
      <alignment wrapText="1"/>
    </xf>
    <xf numFmtId="0" fontId="11" fillId="7" borderId="4" xfId="0" applyFont="1" applyFill="1" applyBorder="1" applyAlignment="1">
      <alignment wrapText="1"/>
    </xf>
    <xf numFmtId="0" fontId="6" fillId="0" borderId="3" xfId="0" applyFont="1" applyBorder="1" applyAlignment="1">
      <alignment horizontal="center" vertical="center" wrapText="1"/>
    </xf>
    <xf numFmtId="0" fontId="0" fillId="6" borderId="8" xfId="0" applyFill="1" applyBorder="1"/>
    <xf numFmtId="0" fontId="3" fillId="6" borderId="8" xfId="0" applyFont="1" applyFill="1" applyBorder="1"/>
    <xf numFmtId="0" fontId="0" fillId="8" borderId="7" xfId="0" applyFill="1" applyBorder="1" applyAlignment="1" applyProtection="1">
      <alignment horizontal="center" vertical="center" wrapText="1"/>
      <protection locked="0"/>
    </xf>
    <xf numFmtId="0" fontId="0" fillId="8" borderId="4" xfId="0" applyFill="1" applyBorder="1" applyAlignment="1" applyProtection="1">
      <alignment horizontal="left" vertical="center" wrapText="1"/>
      <protection locked="0"/>
    </xf>
    <xf numFmtId="0" fontId="0" fillId="8" borderId="4" xfId="0" applyFill="1" applyBorder="1" applyAlignment="1">
      <alignment horizontal="center" vertical="center" wrapText="1"/>
    </xf>
    <xf numFmtId="0" fontId="0" fillId="8" borderId="4" xfId="0" applyFill="1" applyBorder="1" applyAlignment="1" applyProtection="1">
      <alignment horizontal="center" vertical="center" wrapText="1"/>
      <protection locked="0"/>
    </xf>
    <xf numFmtId="0" fontId="5" fillId="9" borderId="4" xfId="0" applyFont="1" applyFill="1" applyBorder="1" applyAlignment="1" applyProtection="1">
      <alignment horizontal="left" vertical="center" wrapText="1"/>
      <protection locked="0"/>
    </xf>
    <xf numFmtId="0" fontId="5" fillId="9" borderId="4" xfId="0" applyFont="1" applyFill="1" applyBorder="1" applyAlignment="1">
      <alignment horizontal="center" vertical="center" wrapText="1"/>
    </xf>
    <xf numFmtId="0" fontId="5" fillId="9" borderId="4" xfId="0" applyFont="1" applyFill="1" applyBorder="1" applyAlignment="1" applyProtection="1">
      <alignment horizontal="center" vertical="center" wrapText="1"/>
      <protection locked="0"/>
    </xf>
    <xf numFmtId="0" fontId="5" fillId="9" borderId="7" xfId="0" applyFont="1" applyFill="1" applyBorder="1" applyAlignment="1" applyProtection="1">
      <alignment horizontal="center" vertical="center" wrapText="1"/>
      <protection locked="0"/>
    </xf>
    <xf numFmtId="0" fontId="0" fillId="10" borderId="4" xfId="0" applyFill="1" applyBorder="1" applyAlignment="1" applyProtection="1">
      <alignment horizontal="left" vertical="center" wrapText="1"/>
      <protection locked="0"/>
    </xf>
    <xf numFmtId="0" fontId="0" fillId="10" borderId="4" xfId="0" applyFill="1" applyBorder="1" applyAlignment="1">
      <alignment horizontal="center" vertical="center" wrapText="1"/>
    </xf>
    <xf numFmtId="0" fontId="0" fillId="10" borderId="4" xfId="0" applyFill="1" applyBorder="1" applyAlignment="1" applyProtection="1">
      <alignment horizontal="center" vertical="center" wrapText="1"/>
      <protection locked="0"/>
    </xf>
    <xf numFmtId="0" fontId="2" fillId="11" borderId="2" xfId="0" applyFont="1" applyFill="1" applyBorder="1" applyAlignment="1">
      <alignment vertical="center"/>
    </xf>
    <xf numFmtId="0" fontId="0" fillId="11" borderId="2" xfId="0" applyFill="1" applyBorder="1" applyAlignment="1">
      <alignment vertical="center"/>
    </xf>
    <xf numFmtId="0" fontId="2" fillId="12" borderId="1" xfId="0" applyFont="1" applyFill="1" applyBorder="1" applyAlignment="1">
      <alignment vertical="center"/>
    </xf>
    <xf numFmtId="0" fontId="0" fillId="12" borderId="1" xfId="0" applyFill="1" applyBorder="1"/>
    <xf numFmtId="0" fontId="0" fillId="13" borderId="1" xfId="0" applyFill="1" applyBorder="1"/>
    <xf numFmtId="0" fontId="0" fillId="11" borderId="1" xfId="0" applyFill="1" applyBorder="1"/>
    <xf numFmtId="0" fontId="2" fillId="11" borderId="1" xfId="0" applyFont="1" applyFill="1" applyBorder="1"/>
    <xf numFmtId="166" fontId="0" fillId="0" borderId="3" xfId="0" applyNumberFormat="1" applyBorder="1" applyAlignment="1" applyProtection="1">
      <alignment horizontal="center" vertical="center" wrapText="1"/>
      <protection locked="0"/>
    </xf>
    <xf numFmtId="166" fontId="0" fillId="0" borderId="1" xfId="0" applyNumberFormat="1" applyBorder="1" applyAlignment="1" applyProtection="1">
      <alignment horizontal="center" vertical="center" wrapText="1"/>
      <protection locked="0"/>
    </xf>
    <xf numFmtId="166" fontId="0" fillId="0" borderId="1" xfId="0" quotePrefix="1" applyNumberFormat="1" applyBorder="1" applyAlignment="1">
      <alignment horizontal="center" vertical="center" wrapText="1"/>
    </xf>
    <xf numFmtId="166" fontId="0" fillId="0" borderId="1" xfId="0" applyNumberFormat="1" applyBorder="1" applyAlignment="1">
      <alignment horizontal="center" vertical="center" wrapText="1"/>
    </xf>
    <xf numFmtId="166" fontId="0" fillId="2" borderId="1" xfId="0" applyNumberFormat="1" applyFill="1" applyBorder="1" applyAlignment="1">
      <alignment horizontal="center" vertical="center" wrapText="1"/>
    </xf>
    <xf numFmtId="0" fontId="13" fillId="0" borderId="1" xfId="0" applyFont="1" applyBorder="1" applyAlignment="1" applyProtection="1">
      <alignment horizontal="left" vertical="center" wrapText="1"/>
      <protection locked="0"/>
    </xf>
    <xf numFmtId="165" fontId="0" fillId="0" borderId="3" xfId="0" applyNumberForma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xf numFmtId="0" fontId="9" fillId="0" borderId="1" xfId="0" applyFont="1" applyBorder="1" applyAlignment="1">
      <alignment wrapText="1"/>
    </xf>
    <xf numFmtId="14" fontId="0" fillId="0" borderId="1" xfId="0" applyNumberFormat="1" applyBorder="1" applyAlignment="1" applyProtection="1">
      <alignment horizontal="center" vertical="center" wrapText="1"/>
      <protection locked="0"/>
    </xf>
    <xf numFmtId="0" fontId="9" fillId="0" borderId="4" xfId="0" applyFont="1" applyBorder="1" applyAlignment="1">
      <alignment horizontal="center" wrapText="1"/>
    </xf>
    <xf numFmtId="0" fontId="0" fillId="0" borderId="9" xfId="0" applyBorder="1" applyAlignment="1" applyProtection="1">
      <alignment horizontal="center" vertical="center" wrapText="1"/>
      <protection locked="0"/>
    </xf>
    <xf numFmtId="0" fontId="9" fillId="0" borderId="7" xfId="0" applyFont="1" applyBorder="1" applyAlignment="1">
      <alignment horizontal="center" vertical="center" wrapText="1"/>
    </xf>
    <xf numFmtId="0" fontId="9" fillId="0" borderId="1" xfId="0" applyFont="1" applyBorder="1" applyAlignment="1">
      <alignment horizontal="center" vertical="center" wrapText="1"/>
    </xf>
    <xf numFmtId="16" fontId="0" fillId="0" borderId="1" xfId="0" applyNumberForma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165" fontId="0" fillId="0" borderId="1" xfId="0" quotePrefix="1" applyNumberFormat="1" applyBorder="1" applyAlignment="1">
      <alignment horizontal="left" vertical="center" wrapText="1"/>
    </xf>
    <xf numFmtId="0" fontId="5" fillId="0" borderId="1" xfId="0" applyFont="1" applyBorder="1" applyAlignment="1" applyProtection="1">
      <alignment horizontal="left" vertical="center" wrapText="1"/>
      <protection locked="0"/>
    </xf>
    <xf numFmtId="14" fontId="9" fillId="0" borderId="4" xfId="0" applyNumberFormat="1" applyFont="1" applyBorder="1" applyAlignment="1">
      <alignment horizontal="center" vertical="center" wrapText="1"/>
    </xf>
    <xf numFmtId="0" fontId="13" fillId="0" borderId="1" xfId="0" applyFont="1" applyBorder="1" applyAlignment="1" applyProtection="1">
      <alignment horizontal="center"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lignment horizontal="center" vertical="center" wrapText="1"/>
    </xf>
    <xf numFmtId="164" fontId="0" fillId="0" borderId="11" xfId="0" applyNumberFormat="1" applyBorder="1" applyAlignment="1" applyProtection="1">
      <alignment horizontal="center" vertical="center" wrapText="1"/>
      <protection locked="0"/>
    </xf>
    <xf numFmtId="166" fontId="0" fillId="0" borderId="11" xfId="0" applyNumberFormat="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9"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left" vertical="center" wrapText="1"/>
    </xf>
    <xf numFmtId="0" fontId="13" fillId="0" borderId="1" xfId="0" applyFont="1" applyBorder="1" applyAlignment="1">
      <alignment horizontal="left" vertical="center" wrapText="1"/>
    </xf>
    <xf numFmtId="0" fontId="0" fillId="0" borderId="1" xfId="0" quotePrefix="1" applyBorder="1" applyAlignment="1" applyProtection="1">
      <alignment horizontal="left" vertical="center" wrapText="1"/>
      <protection locked="0"/>
    </xf>
    <xf numFmtId="0" fontId="0" fillId="2" borderId="1" xfId="0" applyFill="1" applyBorder="1" applyAlignment="1">
      <alignment horizontal="left" vertical="center" wrapText="1"/>
    </xf>
    <xf numFmtId="0" fontId="14" fillId="0" borderId="1" xfId="0" applyFont="1" applyBorder="1" applyAlignment="1">
      <alignment horizontal="left" vertical="center" wrapText="1"/>
    </xf>
    <xf numFmtId="0" fontId="9" fillId="0" borderId="3" xfId="0" applyFont="1" applyBorder="1" applyAlignment="1">
      <alignment horizontal="left" vertical="center" wrapText="1"/>
    </xf>
    <xf numFmtId="0" fontId="13" fillId="0" borderId="1" xfId="0" applyFont="1" applyBorder="1" applyAlignment="1">
      <alignment horizontal="center" vertical="center" wrapText="1"/>
    </xf>
    <xf numFmtId="164" fontId="0" fillId="0" borderId="1" xfId="0" applyNumberFormat="1" applyBorder="1" applyAlignment="1">
      <alignment horizontal="left" vertical="center" wrapText="1"/>
    </xf>
    <xf numFmtId="0" fontId="6" fillId="0" borderId="1" xfId="0" quotePrefix="1" applyFont="1" applyBorder="1" applyAlignment="1">
      <alignment horizontal="center" vertical="center" wrapText="1"/>
    </xf>
    <xf numFmtId="1" fontId="0" fillId="0" borderId="3" xfId="0" quotePrefix="1" applyNumberFormat="1" applyBorder="1" applyAlignment="1">
      <alignment horizontal="center" vertical="center" wrapText="1"/>
    </xf>
    <xf numFmtId="0" fontId="0" fillId="0" borderId="11" xfId="0" quotePrefix="1" applyBorder="1" applyAlignment="1">
      <alignment horizontal="center" vertical="center" wrapText="1"/>
    </xf>
    <xf numFmtId="14" fontId="0" fillId="14" borderId="1" xfId="0" applyNumberFormat="1" applyFill="1" applyBorder="1" applyAlignment="1">
      <alignment horizontal="center" vertical="center" wrapText="1"/>
    </xf>
    <xf numFmtId="0" fontId="0" fillId="14" borderId="1" xfId="0" applyFill="1" applyBorder="1" applyAlignment="1">
      <alignment horizontal="center" vertical="center" wrapText="1"/>
    </xf>
    <xf numFmtId="164" fontId="0" fillId="14" borderId="1" xfId="0" applyNumberFormat="1" applyFill="1" applyBorder="1" applyAlignment="1">
      <alignment horizontal="center" vertical="center" wrapText="1"/>
    </xf>
    <xf numFmtId="0" fontId="0" fillId="14" borderId="1" xfId="0" applyFill="1" applyBorder="1" applyAlignment="1" applyProtection="1">
      <alignment horizontal="center" vertical="center" wrapText="1"/>
      <protection locked="0"/>
    </xf>
    <xf numFmtId="164" fontId="0" fillId="14" borderId="1" xfId="0" applyNumberFormat="1" applyFill="1" applyBorder="1" applyAlignment="1">
      <alignment horizontal="left" vertical="center" wrapText="1"/>
    </xf>
    <xf numFmtId="0" fontId="0" fillId="14" borderId="1" xfId="0" quotePrefix="1" applyFill="1" applyBorder="1" applyAlignment="1">
      <alignment horizontal="center" vertical="center" wrapText="1"/>
    </xf>
    <xf numFmtId="16" fontId="0" fillId="14" borderId="1" xfId="0" applyNumberFormat="1" applyFill="1" applyBorder="1" applyAlignment="1">
      <alignment horizontal="center" vertical="center" wrapText="1"/>
    </xf>
    <xf numFmtId="0" fontId="5" fillId="0" borderId="0" xfId="0" applyFont="1" applyAlignment="1">
      <alignment horizontal="left" vertical="center" wrapText="1"/>
    </xf>
    <xf numFmtId="0" fontId="9" fillId="0" borderId="1" xfId="0" applyFont="1" applyBorder="1" applyAlignment="1">
      <alignment horizontal="center" vertical="center"/>
    </xf>
    <xf numFmtId="0" fontId="18" fillId="0" borderId="1" xfId="0" applyFont="1" applyBorder="1" applyAlignment="1">
      <alignment horizontal="center" vertical="center"/>
    </xf>
    <xf numFmtId="165" fontId="0" fillId="0" borderId="1" xfId="0" quotePrefix="1" applyNumberFormat="1" applyBorder="1" applyAlignment="1">
      <alignment horizontal="left" wrapText="1"/>
    </xf>
    <xf numFmtId="165" fontId="0" fillId="0" borderId="3" xfId="0" quotePrefix="1" applyNumberFormat="1" applyBorder="1" applyAlignment="1">
      <alignment horizontal="left" vertical="center" wrapText="1"/>
    </xf>
    <xf numFmtId="165" fontId="0" fillId="0" borderId="1" xfId="0" quotePrefix="1" applyNumberFormat="1" applyBorder="1" applyAlignment="1">
      <alignment horizontal="left" vertical="top" wrapText="1"/>
    </xf>
    <xf numFmtId="0" fontId="0" fillId="0" borderId="0" xfId="0" applyAlignment="1">
      <alignment horizontal="left" vertical="center" wrapText="1"/>
    </xf>
    <xf numFmtId="0" fontId="14" fillId="0" borderId="1" xfId="0" applyFont="1" applyBorder="1" applyAlignment="1" applyProtection="1">
      <alignment horizontal="left" vertical="center" wrapText="1"/>
      <protection locked="0"/>
    </xf>
    <xf numFmtId="0" fontId="16" fillId="0" borderId="0" xfId="0" applyFont="1" applyAlignment="1">
      <alignment horizontal="left" vertical="center" wrapText="1"/>
    </xf>
    <xf numFmtId="0" fontId="0" fillId="0" borderId="0" xfId="0" applyAlignment="1" applyProtection="1">
      <alignment horizontal="left" vertical="center" wrapText="1"/>
      <protection locked="0"/>
    </xf>
    <xf numFmtId="0" fontId="0" fillId="0" borderId="1" xfId="0" quotePrefix="1" applyBorder="1" applyAlignment="1" applyProtection="1">
      <alignment vertical="center" wrapText="1"/>
      <protection locked="0"/>
    </xf>
    <xf numFmtId="0" fontId="0" fillId="0" borderId="1" xfId="0" applyBorder="1" applyAlignment="1" applyProtection="1">
      <alignment vertical="center" wrapText="1"/>
      <protection locked="0"/>
    </xf>
    <xf numFmtId="0" fontId="0" fillId="0" borderId="3" xfId="0" quotePrefix="1" applyBorder="1" applyAlignment="1" applyProtection="1">
      <alignment vertical="center" wrapText="1"/>
      <protection locked="0"/>
    </xf>
    <xf numFmtId="0" fontId="9" fillId="0" borderId="1" xfId="0" applyFont="1" applyBorder="1" applyAlignment="1">
      <alignment vertical="center"/>
    </xf>
    <xf numFmtId="0" fontId="5" fillId="0" borderId="1" xfId="0" applyFont="1" applyBorder="1" applyAlignment="1" applyProtection="1">
      <alignment vertical="center"/>
      <protection locked="0"/>
    </xf>
    <xf numFmtId="0" fontId="0" fillId="0" borderId="1" xfId="0" applyBorder="1" applyAlignment="1">
      <alignment vertical="center" wrapText="1"/>
    </xf>
    <xf numFmtId="0" fontId="0" fillId="14" borderId="1" xfId="0" applyFill="1" applyBorder="1" applyAlignment="1">
      <alignment vertical="center" wrapText="1"/>
    </xf>
    <xf numFmtId="0" fontId="0" fillId="0" borderId="0" xfId="0" applyAlignment="1" applyProtection="1">
      <alignment vertical="center"/>
      <protection locked="0"/>
    </xf>
    <xf numFmtId="0" fontId="0" fillId="0" borderId="4" xfId="0" applyBorder="1" applyAlignment="1" applyProtection="1">
      <alignment horizontal="center" vertical="center"/>
      <protection locked="0"/>
    </xf>
    <xf numFmtId="0" fontId="21" fillId="0" borderId="3" xfId="0" quotePrefix="1" applyFont="1" applyBorder="1" applyAlignment="1">
      <alignment horizontal="center" vertical="center" wrapText="1"/>
    </xf>
    <xf numFmtId="0" fontId="21" fillId="0" borderId="4" xfId="0" applyFont="1" applyBorder="1" applyAlignment="1" applyProtection="1">
      <alignment horizontal="center" vertical="center" wrapText="1"/>
      <protection locked="0"/>
    </xf>
    <xf numFmtId="0" fontId="17" fillId="0" borderId="0" xfId="0" applyFont="1" applyAlignment="1">
      <alignment horizontal="left" wrapText="1"/>
    </xf>
    <xf numFmtId="0" fontId="22" fillId="10" borderId="4" xfId="0" applyFont="1" applyFill="1" applyBorder="1" applyAlignment="1" applyProtection="1">
      <alignment horizontal="center" vertical="center" wrapText="1"/>
      <protection locked="0"/>
    </xf>
    <xf numFmtId="0" fontId="9" fillId="0" borderId="1" xfId="0" applyFont="1" applyBorder="1" applyAlignment="1">
      <alignment horizontal="left" vertical="center"/>
    </xf>
    <xf numFmtId="166" fontId="0" fillId="0" borderId="0" xfId="0" applyNumberFormat="1" applyAlignment="1" applyProtection="1">
      <alignment horizontal="center" vertical="center" wrapText="1"/>
      <protection locked="0"/>
    </xf>
    <xf numFmtId="0" fontId="0" fillId="15" borderId="4" xfId="0" applyFill="1" applyBorder="1" applyAlignment="1" applyProtection="1">
      <alignment horizontal="left" vertical="center" wrapText="1"/>
      <protection locked="0"/>
    </xf>
    <xf numFmtId="0" fontId="0" fillId="15" borderId="4" xfId="0" applyFill="1" applyBorder="1" applyAlignment="1">
      <alignment horizontal="center" vertical="center" wrapText="1"/>
    </xf>
    <xf numFmtId="0" fontId="0" fillId="15" borderId="4" xfId="0" applyFill="1" applyBorder="1" applyAlignment="1" applyProtection="1">
      <alignment horizontal="center" vertical="center" wrapText="1"/>
      <protection locked="0"/>
    </xf>
    <xf numFmtId="0" fontId="0" fillId="0" borderId="7" xfId="0" applyBorder="1" applyAlignment="1" applyProtection="1">
      <alignment horizontal="left" vertical="center" wrapText="1"/>
      <protection locked="0"/>
    </xf>
    <xf numFmtId="0" fontId="0" fillId="0" borderId="7" xfId="0" applyBorder="1" applyAlignment="1">
      <alignment horizontal="center" vertical="center" wrapText="1"/>
    </xf>
    <xf numFmtId="0" fontId="0" fillId="0" borderId="7" xfId="0" applyBorder="1" applyAlignment="1" applyProtection="1">
      <alignment horizontal="center" vertical="center" wrapText="1"/>
      <protection locked="0"/>
    </xf>
    <xf numFmtId="0" fontId="5" fillId="0" borderId="1" xfId="0" applyFont="1" applyBorder="1" applyAlignment="1">
      <alignment horizontal="left" vertical="center" wrapText="1"/>
    </xf>
    <xf numFmtId="0" fontId="16" fillId="0" borderId="1" xfId="0" applyFont="1" applyBorder="1" applyAlignment="1">
      <alignment horizontal="center"/>
    </xf>
    <xf numFmtId="0" fontId="20" fillId="0" borderId="1" xfId="0" applyFont="1" applyBorder="1" applyAlignment="1">
      <alignment horizontal="left" vertical="center"/>
    </xf>
    <xf numFmtId="165" fontId="0" fillId="0" borderId="1" xfId="0" applyNumberFormat="1" applyBorder="1" applyAlignment="1">
      <alignment vertical="top" wrapText="1"/>
    </xf>
    <xf numFmtId="165" fontId="0" fillId="0" borderId="1" xfId="0" quotePrefix="1" applyNumberFormat="1" applyBorder="1" applyAlignment="1">
      <alignment vertical="top" wrapText="1"/>
    </xf>
    <xf numFmtId="16" fontId="9" fillId="0" borderId="4" xfId="0" applyNumberFormat="1" applyFont="1" applyBorder="1" applyAlignment="1">
      <alignment horizontal="left" vertical="top" wrapText="1"/>
    </xf>
    <xf numFmtId="0" fontId="9" fillId="0" borderId="4" xfId="0" applyFont="1" applyBorder="1" applyAlignment="1">
      <alignment vertical="top" wrapText="1"/>
    </xf>
    <xf numFmtId="165" fontId="0" fillId="0" borderId="1" xfId="0" applyNumberFormat="1" applyBorder="1" applyAlignment="1">
      <alignment horizontal="left" vertical="top" wrapText="1"/>
    </xf>
    <xf numFmtId="0" fontId="9" fillId="0" borderId="4" xfId="0" applyFont="1" applyBorder="1" applyAlignment="1">
      <alignment horizontal="left" vertical="top" wrapText="1"/>
    </xf>
    <xf numFmtId="0" fontId="6" fillId="0" borderId="11" xfId="0" applyFont="1" applyBorder="1" applyAlignment="1" applyProtection="1">
      <alignment horizontal="left" vertical="center" wrapText="1"/>
      <protection locked="0"/>
    </xf>
    <xf numFmtId="0" fontId="6" fillId="0" borderId="12" xfId="0" applyFont="1" applyBorder="1" applyAlignment="1">
      <alignment horizontal="center" vertical="center" wrapText="1"/>
    </xf>
    <xf numFmtId="0" fontId="14" fillId="0" borderId="1"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4" fillId="0" borderId="1" xfId="0" applyFont="1" applyBorder="1" applyAlignment="1">
      <alignment horizontal="center" vertical="center" wrapText="1"/>
    </xf>
    <xf numFmtId="0" fontId="9"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pplyProtection="1">
      <alignment horizontal="center" vertical="center" wrapText="1"/>
      <protection locked="0"/>
    </xf>
    <xf numFmtId="0" fontId="23" fillId="0" borderId="1" xfId="0" applyFont="1" applyBorder="1" applyAlignment="1">
      <alignment horizontal="left" vertical="center" wrapText="1"/>
    </xf>
    <xf numFmtId="0" fontId="17" fillId="0" borderId="1" xfId="0" applyFont="1" applyBorder="1" applyAlignment="1">
      <alignment horizontal="left" vertical="center" wrapText="1"/>
    </xf>
    <xf numFmtId="0" fontId="0" fillId="0" borderId="13" xfId="0" applyBorder="1" applyAlignment="1">
      <alignment horizontal="left" vertical="center" wrapText="1"/>
    </xf>
    <xf numFmtId="164" fontId="0" fillId="0" borderId="1" xfId="0" applyNumberFormat="1" applyBorder="1" applyAlignment="1" applyProtection="1">
      <alignment horizontal="left" vertical="center" wrapText="1"/>
      <protection locked="0"/>
    </xf>
    <xf numFmtId="0" fontId="0" fillId="0" borderId="0" xfId="0" applyAlignment="1" applyProtection="1">
      <alignment horizontal="left" vertical="center"/>
      <protection locked="0"/>
    </xf>
    <xf numFmtId="0" fontId="5" fillId="0" borderId="0" xfId="0" applyFont="1" applyAlignment="1">
      <alignment horizontal="center" vertical="center" wrapText="1"/>
    </xf>
    <xf numFmtId="0" fontId="9" fillId="0" borderId="3" xfId="0" applyFont="1" applyBorder="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wrapText="1"/>
    </xf>
    <xf numFmtId="0" fontId="2" fillId="13" borderId="1" xfId="0" applyFont="1" applyFill="1" applyBorder="1" applyAlignment="1">
      <alignment vertical="center"/>
    </xf>
    <xf numFmtId="14" fontId="9"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6" borderId="8" xfId="0" applyFont="1" applyFill="1" applyBorder="1"/>
    <xf numFmtId="0" fontId="19" fillId="0" borderId="0" xfId="0" applyFont="1" applyAlignment="1">
      <alignment vertical="center"/>
    </xf>
    <xf numFmtId="0" fontId="6" fillId="0" borderId="1" xfId="0" applyFont="1" applyBorder="1" applyAlignment="1">
      <alignment horizontal="left" vertical="top" wrapText="1"/>
    </xf>
    <xf numFmtId="0" fontId="1" fillId="0" borderId="1" xfId="0" applyFont="1" applyBorder="1" applyAlignment="1">
      <alignment horizontal="center" vertical="top" wrapText="1"/>
    </xf>
    <xf numFmtId="0" fontId="0" fillId="0" borderId="1" xfId="0" applyBorder="1" applyAlignment="1" applyProtection="1">
      <alignment horizontal="center" vertical="top" wrapText="1"/>
      <protection locked="0"/>
    </xf>
    <xf numFmtId="164" fontId="0" fillId="0" borderId="1" xfId="0" applyNumberFormat="1" applyBorder="1" applyAlignment="1" applyProtection="1">
      <alignment horizontal="center" vertical="top" wrapText="1"/>
      <protection locked="0"/>
    </xf>
    <xf numFmtId="166" fontId="0" fillId="0" borderId="1" xfId="0" applyNumberFormat="1" applyBorder="1" applyAlignment="1" applyProtection="1">
      <alignment horizontal="center" vertical="top" wrapText="1"/>
      <protection locked="0"/>
    </xf>
    <xf numFmtId="16" fontId="0" fillId="0" borderId="1" xfId="0" applyNumberFormat="1" applyBorder="1" applyAlignment="1" applyProtection="1">
      <alignment horizontal="center" vertical="top" wrapText="1"/>
      <protection locked="0"/>
    </xf>
    <xf numFmtId="0" fontId="5" fillId="0" borderId="16" xfId="0" applyFont="1" applyBorder="1" applyAlignment="1">
      <alignment horizontal="center" vertical="center" wrapText="1"/>
    </xf>
    <xf numFmtId="0" fontId="5" fillId="0" borderId="16" xfId="0" applyFont="1" applyBorder="1" applyAlignment="1">
      <alignment horizontal="left" vertical="center" wrapText="1"/>
    </xf>
    <xf numFmtId="0" fontId="5" fillId="0" borderId="4" xfId="0" applyFont="1" applyBorder="1" applyAlignment="1">
      <alignment horizontal="left" vertical="center" wrapText="1"/>
    </xf>
    <xf numFmtId="165" fontId="0" fillId="0" borderId="11" xfId="0" applyNumberFormat="1" applyBorder="1" applyAlignment="1">
      <alignment horizontal="center" vertical="center" wrapText="1"/>
    </xf>
    <xf numFmtId="0" fontId="6" fillId="0" borderId="11" xfId="0" applyFont="1" applyBorder="1" applyAlignment="1">
      <alignment horizontal="center" vertical="center" wrapText="1"/>
    </xf>
    <xf numFmtId="0" fontId="1" fillId="0" borderId="1" xfId="0" applyFont="1" applyBorder="1" applyAlignment="1">
      <alignment horizontal="left" vertical="center"/>
    </xf>
    <xf numFmtId="165" fontId="0" fillId="0" borderId="1" xfId="0" applyNumberFormat="1" applyBorder="1" applyAlignment="1">
      <alignment horizontal="left" vertical="center" wrapText="1"/>
    </xf>
    <xf numFmtId="0" fontId="14" fillId="0" borderId="1" xfId="0" quotePrefix="1" applyFont="1" applyBorder="1" applyAlignment="1">
      <alignment horizontal="center" vertical="center" wrapText="1"/>
    </xf>
    <xf numFmtId="16" fontId="9" fillId="0" borderId="4" xfId="0" applyNumberFormat="1" applyFont="1" applyBorder="1" applyAlignment="1">
      <alignment horizontal="left" wrapText="1"/>
    </xf>
    <xf numFmtId="0" fontId="1" fillId="0" borderId="3" xfId="0" quotePrefix="1" applyFont="1" applyBorder="1" applyAlignment="1">
      <alignment horizontal="center" vertical="center" wrapText="1"/>
    </xf>
    <xf numFmtId="0" fontId="6" fillId="9" borderId="1" xfId="0" applyFont="1" applyFill="1" applyBorder="1" applyAlignment="1">
      <alignment horizontal="center" vertical="center" wrapText="1"/>
    </xf>
    <xf numFmtId="164" fontId="0" fillId="9" borderId="1" xfId="0" applyNumberFormat="1" applyFill="1" applyBorder="1" applyAlignment="1" applyProtection="1">
      <alignment horizontal="center" vertical="center" wrapText="1"/>
      <protection locked="0"/>
    </xf>
    <xf numFmtId="166" fontId="0" fillId="9" borderId="1" xfId="0" applyNumberFormat="1" applyFill="1" applyBorder="1" applyAlignment="1" applyProtection="1">
      <alignment horizontal="center" vertical="center" wrapText="1"/>
      <protection locked="0"/>
    </xf>
    <xf numFmtId="14" fontId="0" fillId="0" borderId="1" xfId="0" applyNumberFormat="1" applyBorder="1" applyAlignment="1">
      <alignment horizontal="left" vertical="center" wrapText="1"/>
    </xf>
    <xf numFmtId="0" fontId="6" fillId="9" borderId="3" xfId="0" quotePrefix="1"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9" borderId="1" xfId="0" quotePrefix="1" applyFont="1" applyFill="1" applyBorder="1" applyAlignment="1">
      <alignment horizontal="center" vertical="center" wrapText="1"/>
    </xf>
    <xf numFmtId="0" fontId="5" fillId="2" borderId="1" xfId="0" applyFont="1" applyFill="1" applyBorder="1" applyAlignment="1" applyProtection="1">
      <alignment horizontal="center" vertical="center" wrapText="1"/>
      <protection locked="0"/>
    </xf>
    <xf numFmtId="0" fontId="0" fillId="15" borderId="7" xfId="0" applyFill="1" applyBorder="1" applyAlignment="1" applyProtection="1">
      <alignment horizontal="center" vertical="center" wrapText="1"/>
      <protection locked="0"/>
    </xf>
    <xf numFmtId="0" fontId="0" fillId="15" borderId="7" xfId="0" applyFill="1" applyBorder="1" applyAlignment="1">
      <alignment horizontal="center" vertical="center" wrapText="1"/>
    </xf>
    <xf numFmtId="0" fontId="14" fillId="0" borderId="1" xfId="0" applyFont="1" applyBorder="1" applyAlignment="1">
      <alignment horizontal="center" wrapText="1"/>
    </xf>
    <xf numFmtId="14" fontId="5" fillId="0" borderId="1" xfId="0" applyNumberFormat="1" applyFont="1" applyBorder="1" applyAlignment="1" applyProtection="1">
      <alignment horizontal="center" vertical="center" wrapText="1"/>
      <protection locked="0"/>
    </xf>
    <xf numFmtId="16" fontId="5" fillId="0" borderId="1" xfId="0" applyNumberFormat="1" applyFont="1" applyBorder="1" applyAlignment="1" applyProtection="1">
      <alignment horizontal="center" vertical="center" wrapText="1"/>
      <protection locked="0"/>
    </xf>
    <xf numFmtId="164" fontId="5" fillId="0" borderId="1" xfId="0" applyNumberFormat="1" applyFont="1" applyBorder="1" applyAlignment="1" applyProtection="1">
      <alignment horizontal="center" vertical="center" wrapText="1"/>
      <protection locked="0"/>
    </xf>
    <xf numFmtId="14" fontId="5" fillId="0" borderId="1" xfId="0" quotePrefix="1" applyNumberFormat="1" applyFont="1" applyBorder="1" applyAlignment="1">
      <alignment horizontal="center" vertical="center" wrapText="1"/>
    </xf>
    <xf numFmtId="0" fontId="14" fillId="0" borderId="1" xfId="0" applyFont="1" applyBorder="1" applyAlignment="1">
      <alignment wrapText="1"/>
    </xf>
    <xf numFmtId="164" fontId="5" fillId="0" borderId="1" xfId="0" applyNumberFormat="1" applyFont="1" applyBorder="1" applyAlignment="1">
      <alignment horizontal="center" vertical="center" wrapText="1"/>
    </xf>
    <xf numFmtId="164" fontId="5" fillId="2" borderId="1" xfId="0" applyNumberFormat="1" applyFont="1" applyFill="1" applyBorder="1" applyAlignment="1">
      <alignment horizontal="center" vertical="center" wrapText="1"/>
    </xf>
    <xf numFmtId="0" fontId="5" fillId="0" borderId="1" xfId="0" quotePrefix="1" applyFont="1" applyBorder="1" applyAlignment="1">
      <alignment horizontal="center" vertical="center" wrapText="1"/>
    </xf>
    <xf numFmtId="0" fontId="5" fillId="0" borderId="3" xfId="0" applyFont="1" applyBorder="1" applyAlignment="1" applyProtection="1">
      <alignment horizontal="left" vertical="center" wrapText="1"/>
      <protection locked="0"/>
    </xf>
    <xf numFmtId="0" fontId="5" fillId="0" borderId="3" xfId="0" applyFont="1" applyBorder="1" applyAlignment="1">
      <alignment horizontal="center" vertical="center" wrapText="1"/>
    </xf>
    <xf numFmtId="0" fontId="5" fillId="0" borderId="3" xfId="0" quotePrefix="1" applyFont="1" applyBorder="1" applyAlignment="1">
      <alignment horizontal="center" vertical="center" wrapText="1"/>
    </xf>
    <xf numFmtId="0" fontId="24" fillId="9" borderId="3" xfId="0" quotePrefix="1" applyFont="1" applyFill="1" applyBorder="1" applyAlignment="1">
      <alignment horizontal="center" vertical="center" wrapText="1"/>
    </xf>
    <xf numFmtId="0" fontId="5" fillId="0" borderId="3" xfId="0" quotePrefix="1" applyFont="1" applyBorder="1" applyAlignment="1" applyProtection="1">
      <alignment horizontal="left" vertical="center" wrapText="1"/>
      <protection locked="0"/>
    </xf>
    <xf numFmtId="0" fontId="5" fillId="0" borderId="3" xfId="0" quotePrefix="1" applyFont="1" applyBorder="1" applyAlignment="1" applyProtection="1">
      <alignment horizontal="center" vertical="center" wrapText="1"/>
      <protection locked="0"/>
    </xf>
    <xf numFmtId="164" fontId="5" fillId="0" borderId="3" xfId="0" applyNumberFormat="1" applyFont="1" applyBorder="1" applyAlignment="1" applyProtection="1">
      <alignment horizontal="center" vertical="center" wrapText="1"/>
      <protection locked="0"/>
    </xf>
    <xf numFmtId="166" fontId="5" fillId="0" borderId="3" xfId="0" applyNumberFormat="1" applyFont="1" applyBorder="1" applyAlignment="1" applyProtection="1">
      <alignment horizontal="center" vertical="center" wrapText="1"/>
      <protection locked="0"/>
    </xf>
    <xf numFmtId="0" fontId="5" fillId="0" borderId="0" xfId="0" applyFont="1" applyAlignment="1">
      <alignment vertical="center" wrapText="1"/>
    </xf>
    <xf numFmtId="0" fontId="24" fillId="0" borderId="3" xfId="0" quotePrefix="1" applyFont="1" applyBorder="1" applyAlignment="1">
      <alignment horizontal="center" vertical="center" wrapText="1"/>
    </xf>
    <xf numFmtId="0" fontId="5" fillId="0" borderId="1" xfId="0" quotePrefix="1" applyFont="1" applyBorder="1" applyAlignment="1" applyProtection="1">
      <alignment horizontal="left" vertical="center" wrapText="1"/>
      <protection locked="0"/>
    </xf>
    <xf numFmtId="166" fontId="5" fillId="0" borderId="1" xfId="0" applyNumberFormat="1" applyFont="1" applyBorder="1" applyAlignment="1" applyProtection="1">
      <alignment horizontal="center" vertical="center" wrapText="1"/>
      <protection locked="0"/>
    </xf>
    <xf numFmtId="0" fontId="5" fillId="0" borderId="3" xfId="0" applyFont="1" applyBorder="1" applyAlignment="1" applyProtection="1">
      <alignment horizontal="center" vertical="center" wrapText="1"/>
      <protection locked="0"/>
    </xf>
    <xf numFmtId="0" fontId="14" fillId="0" borderId="15" xfId="0" applyFont="1" applyBorder="1" applyAlignment="1">
      <alignment horizontal="center" vertical="top" wrapText="1"/>
    </xf>
    <xf numFmtId="0" fontId="14" fillId="0" borderId="14" xfId="0" applyFont="1" applyBorder="1" applyAlignment="1">
      <alignment horizontal="center" vertical="top" wrapText="1"/>
    </xf>
    <xf numFmtId="165" fontId="5" fillId="0" borderId="1" xfId="0" quotePrefix="1" applyNumberFormat="1" applyFont="1" applyBorder="1" applyAlignment="1">
      <alignment horizontal="left" vertical="center" wrapText="1"/>
    </xf>
    <xf numFmtId="165" fontId="5" fillId="0" borderId="1" xfId="0" quotePrefix="1" applyNumberFormat="1" applyFont="1" applyBorder="1" applyAlignment="1">
      <alignment horizontal="center" vertical="center" wrapText="1"/>
    </xf>
    <xf numFmtId="0" fontId="14" fillId="0" borderId="1" xfId="0" applyFont="1" applyBorder="1" applyAlignment="1">
      <alignment horizontal="left" vertical="center"/>
    </xf>
    <xf numFmtId="0" fontId="14" fillId="0" borderId="1" xfId="0" applyFont="1" applyBorder="1" applyAlignment="1">
      <alignment horizontal="center" vertical="center"/>
    </xf>
    <xf numFmtId="49" fontId="14" fillId="0" borderId="1" xfId="0" applyNumberFormat="1" applyFont="1" applyBorder="1" applyAlignment="1">
      <alignment horizontal="center" vertical="center" wrapText="1"/>
    </xf>
    <xf numFmtId="49" fontId="5" fillId="0" borderId="1" xfId="0" applyNumberFormat="1" applyFont="1" applyBorder="1" applyAlignment="1" applyProtection="1">
      <alignment horizontal="center" vertical="center" wrapText="1"/>
      <protection locked="0"/>
    </xf>
    <xf numFmtId="0" fontId="5" fillId="0" borderId="11" xfId="0" applyFont="1" applyBorder="1" applyAlignment="1">
      <alignment horizontal="left" vertical="center" wrapText="1"/>
    </xf>
    <xf numFmtId="165" fontId="5" fillId="0" borderId="2" xfId="0" quotePrefix="1" applyNumberFormat="1" applyFont="1" applyBorder="1" applyAlignment="1">
      <alignment horizontal="center" vertical="center" wrapText="1"/>
    </xf>
    <xf numFmtId="0" fontId="14" fillId="0" borderId="4" xfId="0" applyFont="1" applyBorder="1"/>
    <xf numFmtId="165" fontId="5" fillId="0" borderId="10" xfId="0" quotePrefix="1" applyNumberFormat="1" applyFont="1" applyBorder="1" applyAlignment="1">
      <alignment horizontal="center" vertical="center" wrapText="1"/>
    </xf>
    <xf numFmtId="166" fontId="5" fillId="0" borderId="1" xfId="0" quotePrefix="1" applyNumberFormat="1" applyFont="1" applyBorder="1" applyAlignment="1">
      <alignment horizontal="center" vertical="center" wrapText="1"/>
    </xf>
    <xf numFmtId="0" fontId="5" fillId="0" borderId="11" xfId="0" applyFont="1" applyBorder="1" applyAlignment="1" applyProtection="1">
      <alignment horizontal="left" vertical="center" wrapText="1"/>
      <protection locked="0"/>
    </xf>
    <xf numFmtId="0" fontId="5" fillId="0" borderId="2"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5" xfId="0" applyFont="1" applyBorder="1" applyAlignment="1">
      <alignment horizontal="center" vertical="center" wrapText="1"/>
    </xf>
    <xf numFmtId="166" fontId="5" fillId="0" borderId="11" xfId="0" applyNumberFormat="1" applyFont="1" applyBorder="1" applyAlignment="1" applyProtection="1">
      <alignment horizontal="center" vertical="center" wrapText="1"/>
      <protection locked="0"/>
    </xf>
    <xf numFmtId="165" fontId="5" fillId="0" borderId="1" xfId="0" quotePrefix="1" applyNumberFormat="1" applyFont="1" applyBorder="1" applyAlignment="1">
      <alignment horizontal="left" vertical="top" wrapText="1"/>
    </xf>
    <xf numFmtId="165" fontId="5" fillId="0" borderId="1" xfId="0" quotePrefix="1" applyNumberFormat="1" applyFont="1" applyBorder="1" applyAlignment="1">
      <alignment horizontal="center" vertical="top" wrapText="1"/>
    </xf>
    <xf numFmtId="2" fontId="5" fillId="0" borderId="1" xfId="0" quotePrefix="1" applyNumberFormat="1" applyFont="1" applyBorder="1" applyAlignment="1">
      <alignment horizontal="center" vertical="top" wrapText="1"/>
    </xf>
    <xf numFmtId="164" fontId="5" fillId="0" borderId="2" xfId="0" applyNumberFormat="1" applyFont="1" applyBorder="1" applyAlignment="1" applyProtection="1">
      <alignment horizontal="center" vertical="center" wrapText="1"/>
      <protection locked="0"/>
    </xf>
    <xf numFmtId="166" fontId="5" fillId="0" borderId="4" xfId="0" applyNumberFormat="1" applyFont="1" applyBorder="1" applyAlignment="1" applyProtection="1">
      <alignment horizontal="center" vertical="center" wrapText="1"/>
      <protection locked="0"/>
    </xf>
    <xf numFmtId="0" fontId="5" fillId="0" borderId="11" xfId="0" applyFont="1" applyBorder="1" applyAlignment="1" applyProtection="1">
      <alignment horizontal="center" vertical="center" wrapText="1"/>
      <protection locked="0"/>
    </xf>
    <xf numFmtId="0" fontId="5" fillId="0" borderId="4" xfId="0" applyFont="1" applyBorder="1" applyAlignment="1">
      <alignment horizontal="center" vertical="center" wrapText="1"/>
    </xf>
    <xf numFmtId="164" fontId="5" fillId="0" borderId="10" xfId="0" applyNumberFormat="1" applyFont="1" applyBorder="1" applyAlignment="1" applyProtection="1">
      <alignment horizontal="center" vertical="center" wrapText="1"/>
      <protection locked="0"/>
    </xf>
    <xf numFmtId="0" fontId="5" fillId="0" borderId="12" xfId="0" applyFont="1" applyBorder="1" applyAlignment="1" applyProtection="1">
      <alignment horizontal="left" vertical="center" wrapText="1"/>
      <protection locked="0"/>
    </xf>
    <xf numFmtId="0" fontId="5" fillId="0" borderId="10" xfId="0" applyFont="1" applyBorder="1" applyAlignment="1">
      <alignment horizontal="center" vertical="center" wrapText="1"/>
    </xf>
    <xf numFmtId="14" fontId="5"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5" fillId="0" borderId="3" xfId="0" applyFont="1" applyBorder="1" applyAlignment="1">
      <alignment horizontal="left" vertical="center" wrapText="1"/>
    </xf>
    <xf numFmtId="14" fontId="5" fillId="0" borderId="3"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0" fontId="5" fillId="0" borderId="11" xfId="0"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left" vertical="center"/>
    </xf>
    <xf numFmtId="14" fontId="5" fillId="2" borderId="10" xfId="0" applyNumberFormat="1" applyFont="1" applyFill="1" applyBorder="1" applyAlignment="1">
      <alignment horizontal="center" vertical="center" wrapText="1"/>
    </xf>
    <xf numFmtId="14" fontId="5" fillId="2" borderId="1" xfId="0" quotePrefix="1" applyNumberFormat="1" applyFont="1" applyFill="1" applyBorder="1" applyAlignment="1">
      <alignment horizontal="center" vertical="center" wrapText="1"/>
    </xf>
    <xf numFmtId="166" fontId="5"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0" borderId="1" xfId="0" quotePrefix="1" applyFont="1" applyBorder="1" applyAlignment="1">
      <alignment horizontal="left" vertical="center" wrapText="1"/>
    </xf>
    <xf numFmtId="14" fontId="5" fillId="0" borderId="11" xfId="0" applyNumberFormat="1" applyFont="1" applyBorder="1" applyAlignment="1">
      <alignment horizontal="center" vertical="center" wrapText="1"/>
    </xf>
    <xf numFmtId="2" fontId="5" fillId="0" borderId="1" xfId="0" quotePrefix="1" applyNumberFormat="1" applyFont="1" applyBorder="1" applyAlignment="1">
      <alignment horizontal="center" vertical="center" wrapText="1"/>
    </xf>
    <xf numFmtId="14" fontId="5" fillId="0" borderId="3" xfId="0" quotePrefix="1" applyNumberFormat="1" applyFont="1" applyBorder="1" applyAlignment="1">
      <alignment horizontal="center" vertical="center" wrapText="1"/>
    </xf>
    <xf numFmtId="166" fontId="5" fillId="0" borderId="3" xfId="0" applyNumberFormat="1" applyFont="1" applyBorder="1" applyAlignment="1">
      <alignment horizontal="center" vertical="center" wrapText="1"/>
    </xf>
    <xf numFmtId="0" fontId="5" fillId="0" borderId="1" xfId="0" quotePrefix="1" applyFont="1" applyBorder="1" applyAlignment="1" applyProtection="1">
      <alignment horizontal="center" vertical="center" wrapText="1"/>
      <protection locked="0"/>
    </xf>
    <xf numFmtId="0" fontId="5" fillId="0" borderId="1" xfId="0" applyFont="1" applyBorder="1" applyAlignment="1" applyProtection="1">
      <alignment vertical="center" wrapText="1"/>
      <protection locked="0"/>
    </xf>
    <xf numFmtId="0" fontId="25" fillId="0" borderId="15" xfId="0" applyFont="1" applyBorder="1" applyAlignment="1">
      <alignment horizontal="center" vertical="top" wrapText="1"/>
    </xf>
    <xf numFmtId="0" fontId="5" fillId="0" borderId="15" xfId="0" applyFont="1" applyBorder="1" applyAlignment="1">
      <alignment horizontal="left" vertical="center" wrapText="1"/>
    </xf>
    <xf numFmtId="0" fontId="5" fillId="0" borderId="14" xfId="0" applyFont="1" applyBorder="1" applyAlignment="1">
      <alignment horizontal="center" vertical="center" wrapText="1"/>
    </xf>
    <xf numFmtId="0" fontId="5" fillId="0" borderId="0" xfId="0" applyFont="1"/>
    <xf numFmtId="0" fontId="14" fillId="0" borderId="3" xfId="0" applyFont="1" applyBorder="1" applyAlignment="1">
      <alignment horizontal="left" vertical="center" wrapText="1"/>
    </xf>
    <xf numFmtId="0" fontId="14" fillId="0" borderId="3" xfId="0" applyFont="1" applyBorder="1" applyAlignment="1">
      <alignment horizontal="center" vertical="center" wrapText="1"/>
    </xf>
    <xf numFmtId="0" fontId="6" fillId="17" borderId="3" xfId="0" quotePrefix="1" applyFont="1" applyFill="1" applyBorder="1" applyAlignment="1">
      <alignment horizontal="center" vertical="center" wrapText="1"/>
    </xf>
    <xf numFmtId="0" fontId="6" fillId="17" borderId="1" xfId="0" applyFont="1" applyFill="1" applyBorder="1" applyAlignment="1">
      <alignment horizontal="center" vertical="center" wrapText="1"/>
    </xf>
    <xf numFmtId="166" fontId="0" fillId="17" borderId="1" xfId="0" applyNumberFormat="1" applyFill="1" applyBorder="1" applyAlignment="1" applyProtection="1">
      <alignment horizontal="center" vertical="center" wrapText="1"/>
      <protection locked="0"/>
    </xf>
    <xf numFmtId="0" fontId="26" fillId="0" borderId="1" xfId="0"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164" fontId="5" fillId="9" borderId="1" xfId="0" applyNumberFormat="1" applyFont="1" applyFill="1" applyBorder="1" applyAlignment="1" applyProtection="1">
      <alignment horizontal="center" vertical="center" wrapText="1"/>
      <protection locked="0"/>
    </xf>
    <xf numFmtId="166" fontId="5" fillId="9" borderId="1" xfId="0" applyNumberFormat="1" applyFont="1" applyFill="1" applyBorder="1" applyAlignment="1" applyProtection="1">
      <alignment horizontal="center" vertical="center" wrapText="1"/>
      <protection locked="0"/>
    </xf>
    <xf numFmtId="166" fontId="5" fillId="9" borderId="1" xfId="0" applyNumberFormat="1" applyFont="1" applyFill="1" applyBorder="1" applyAlignment="1">
      <alignment horizontal="center" vertical="center" wrapText="1"/>
    </xf>
    <xf numFmtId="0" fontId="14" fillId="0" borderId="16" xfId="0" applyFont="1" applyBorder="1"/>
    <xf numFmtId="0" fontId="6" fillId="17" borderId="1" xfId="0" quotePrefix="1" applyFont="1" applyFill="1" applyBorder="1" applyAlignment="1">
      <alignment horizontal="center" vertical="center" wrapText="1"/>
    </xf>
    <xf numFmtId="166" fontId="5" fillId="0" borderId="12" xfId="0" applyNumberFormat="1" applyFont="1" applyBorder="1" applyAlignment="1" applyProtection="1">
      <alignment horizontal="center" vertical="center" wrapText="1"/>
      <protection locked="0"/>
    </xf>
    <xf numFmtId="164" fontId="5" fillId="0" borderId="6" xfId="0" applyNumberFormat="1" applyFont="1" applyBorder="1" applyAlignment="1" applyProtection="1">
      <alignment horizontal="center" vertical="center" wrapText="1"/>
      <protection locked="0"/>
    </xf>
    <xf numFmtId="166" fontId="5" fillId="0" borderId="1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xf numFmtId="166" fontId="5" fillId="0" borderId="7" xfId="0" applyNumberFormat="1" applyFont="1" applyBorder="1" applyAlignment="1" applyProtection="1">
      <alignment horizontal="center" vertical="center" wrapText="1"/>
      <protection locked="0"/>
    </xf>
    <xf numFmtId="166" fontId="0" fillId="18" borderId="1" xfId="0" applyNumberFormat="1" applyFill="1" applyBorder="1" applyAlignment="1" applyProtection="1">
      <alignment horizontal="center" vertical="center" wrapText="1"/>
      <protection locked="0"/>
    </xf>
    <xf numFmtId="0" fontId="6" fillId="18" borderId="1" xfId="0" applyFont="1" applyFill="1" applyBorder="1" applyAlignment="1">
      <alignment horizontal="center" vertical="center" wrapText="1"/>
    </xf>
    <xf numFmtId="0" fontId="26" fillId="0" borderId="3" xfId="0" quotePrefix="1" applyFont="1" applyBorder="1" applyAlignment="1">
      <alignment horizontal="center" vertical="center" wrapText="1"/>
    </xf>
    <xf numFmtId="0" fontId="14" fillId="0" borderId="0" xfId="0" applyFont="1" applyAlignment="1">
      <alignment horizontal="center" vertical="center"/>
    </xf>
    <xf numFmtId="166" fontId="5" fillId="0" borderId="0" xfId="0" applyNumberFormat="1" applyFont="1" applyAlignment="1" applyProtection="1">
      <alignment horizontal="center" vertical="center" wrapText="1"/>
      <protection locked="0"/>
    </xf>
    <xf numFmtId="0" fontId="14" fillId="0" borderId="0" xfId="0" applyFont="1" applyAlignment="1">
      <alignment wrapText="1"/>
    </xf>
    <xf numFmtId="0" fontId="14" fillId="0" borderId="0" xfId="0" applyFont="1"/>
    <xf numFmtId="0" fontId="14" fillId="0" borderId="0" xfId="0" applyFont="1" applyAlignment="1">
      <alignment horizontal="left" vertical="center"/>
    </xf>
    <xf numFmtId="0" fontId="14" fillId="0" borderId="0" xfId="0" applyFont="1" applyAlignment="1">
      <alignment horizontal="left" vertical="top" wrapText="1"/>
    </xf>
    <xf numFmtId="0" fontId="24" fillId="18" borderId="3" xfId="0" quotePrefix="1" applyFont="1" applyFill="1" applyBorder="1" applyAlignment="1">
      <alignment horizontal="center" vertical="center" wrapText="1"/>
    </xf>
    <xf numFmtId="0" fontId="5" fillId="18" borderId="1" xfId="0" applyFont="1" applyFill="1" applyBorder="1" applyAlignment="1" applyProtection="1">
      <alignment horizontal="left" vertical="center" wrapText="1"/>
      <protection locked="0"/>
    </xf>
    <xf numFmtId="0" fontId="5" fillId="18" borderId="1" xfId="0" applyFont="1" applyFill="1" applyBorder="1" applyAlignment="1" applyProtection="1">
      <alignment horizontal="center" vertical="center" wrapText="1"/>
      <protection locked="0"/>
    </xf>
    <xf numFmtId="0" fontId="5" fillId="18" borderId="1" xfId="0" quotePrefix="1" applyFont="1" applyFill="1" applyBorder="1" applyAlignment="1" applyProtection="1">
      <alignment horizontal="center" vertical="center" wrapText="1"/>
      <protection locked="0"/>
    </xf>
    <xf numFmtId="14" fontId="5" fillId="18" borderId="1" xfId="0" applyNumberFormat="1" applyFont="1" applyFill="1" applyBorder="1" applyAlignment="1">
      <alignment horizontal="center" vertical="center" wrapText="1"/>
    </xf>
    <xf numFmtId="164" fontId="5" fillId="18" borderId="1" xfId="0" applyNumberFormat="1" applyFont="1" applyFill="1" applyBorder="1" applyAlignment="1" applyProtection="1">
      <alignment horizontal="center" vertical="center" wrapText="1"/>
      <protection locked="0"/>
    </xf>
    <xf numFmtId="166" fontId="5" fillId="18" borderId="1" xfId="0" applyNumberFormat="1" applyFont="1" applyFill="1" applyBorder="1" applyAlignment="1" applyProtection="1">
      <alignment horizontal="center" vertical="center" wrapText="1"/>
      <protection locked="0"/>
    </xf>
    <xf numFmtId="0" fontId="5" fillId="17" borderId="3" xfId="0" quotePrefix="1" applyFont="1" applyFill="1" applyBorder="1" applyAlignment="1">
      <alignment horizontal="center" vertical="center" wrapText="1"/>
    </xf>
    <xf numFmtId="0" fontId="24" fillId="17" borderId="3" xfId="0" applyFont="1" applyFill="1" applyBorder="1" applyAlignment="1">
      <alignment horizontal="center" vertical="center" wrapText="1"/>
    </xf>
    <xf numFmtId="0" fontId="5" fillId="17" borderId="1" xfId="0" applyFont="1" applyFill="1" applyBorder="1" applyAlignment="1" applyProtection="1">
      <alignment horizontal="left" vertical="center" wrapText="1"/>
      <protection locked="0"/>
    </xf>
    <xf numFmtId="0" fontId="5" fillId="17" borderId="1" xfId="0" applyFont="1" applyFill="1" applyBorder="1" applyAlignment="1" applyProtection="1">
      <alignment horizontal="center" vertical="center" wrapText="1"/>
      <protection locked="0"/>
    </xf>
    <xf numFmtId="164" fontId="5" fillId="17" borderId="1" xfId="0" applyNumberFormat="1" applyFont="1" applyFill="1" applyBorder="1" applyAlignment="1" applyProtection="1">
      <alignment horizontal="center" vertical="center" wrapText="1"/>
      <protection locked="0"/>
    </xf>
    <xf numFmtId="166" fontId="5" fillId="17" borderId="1" xfId="0" applyNumberFormat="1" applyFont="1" applyFill="1" applyBorder="1" applyAlignment="1" applyProtection="1">
      <alignment horizontal="center" vertical="center" wrapText="1"/>
      <protection locked="0"/>
    </xf>
    <xf numFmtId="0" fontId="24" fillId="17" borderId="3" xfId="0" quotePrefix="1" applyFont="1" applyFill="1" applyBorder="1" applyAlignment="1">
      <alignment horizontal="center" vertical="center" wrapText="1"/>
    </xf>
    <xf numFmtId="164" fontId="0" fillId="17" borderId="1" xfId="0" applyNumberFormat="1" applyFill="1" applyBorder="1" applyAlignment="1" applyProtection="1">
      <alignment horizontal="center" vertical="center" wrapText="1"/>
      <protection locked="0"/>
    </xf>
    <xf numFmtId="0" fontId="14" fillId="17" borderId="0" xfId="0" applyFont="1" applyFill="1" applyAlignment="1">
      <alignment horizontal="center" vertical="center"/>
    </xf>
    <xf numFmtId="0" fontId="6" fillId="19"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0" fillId="19" borderId="1" xfId="0" applyFill="1" applyBorder="1" applyAlignment="1" applyProtection="1">
      <alignment horizontal="left" vertical="center" wrapText="1"/>
      <protection locked="0"/>
    </xf>
    <xf numFmtId="164" fontId="0" fillId="19" borderId="1" xfId="0" applyNumberFormat="1" applyFill="1" applyBorder="1" applyAlignment="1" applyProtection="1">
      <alignment horizontal="center" vertical="center" wrapText="1"/>
      <protection locked="0"/>
    </xf>
    <xf numFmtId="166" fontId="0" fillId="19" borderId="1" xfId="0" applyNumberFormat="1" applyFill="1" applyBorder="1" applyAlignment="1" applyProtection="1">
      <alignment horizontal="center" vertical="center" wrapText="1"/>
      <protection locked="0"/>
    </xf>
    <xf numFmtId="0" fontId="5" fillId="0" borderId="6" xfId="0" quotePrefix="1" applyFont="1" applyBorder="1" applyAlignment="1">
      <alignment horizontal="center" vertical="center" wrapText="1"/>
    </xf>
    <xf numFmtId="0" fontId="0" fillId="18" borderId="1" xfId="0" applyFill="1" applyBorder="1" applyAlignment="1" applyProtection="1">
      <alignment horizontal="left" vertical="center" wrapText="1"/>
      <protection locked="0"/>
    </xf>
    <xf numFmtId="0" fontId="0" fillId="18" borderId="1" xfId="0" applyFill="1" applyBorder="1" applyAlignment="1">
      <alignment horizontal="center" vertical="center" wrapText="1"/>
    </xf>
    <xf numFmtId="0" fontId="0" fillId="18" borderId="1" xfId="0" quotePrefix="1" applyFill="1" applyBorder="1" applyAlignment="1">
      <alignment horizontal="center" vertical="center" wrapText="1"/>
    </xf>
    <xf numFmtId="164" fontId="0" fillId="18" borderId="1" xfId="0" applyNumberFormat="1" applyFill="1" applyBorder="1" applyAlignment="1" applyProtection="1">
      <alignment horizontal="center" vertical="center" wrapText="1"/>
      <protection locked="0"/>
    </xf>
    <xf numFmtId="0" fontId="0" fillId="17" borderId="1" xfId="0" applyFill="1" applyBorder="1" applyAlignment="1" applyProtection="1">
      <alignment horizontal="center" vertical="center" wrapText="1"/>
      <protection locked="0"/>
    </xf>
    <xf numFmtId="0" fontId="5" fillId="18"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14" fontId="5" fillId="18" borderId="1" xfId="0" quotePrefix="1" applyNumberFormat="1" applyFont="1" applyFill="1" applyBorder="1" applyAlignment="1">
      <alignment horizontal="center" vertical="center" wrapText="1"/>
    </xf>
    <xf numFmtId="0" fontId="6" fillId="18" borderId="1" xfId="0" quotePrefix="1" applyFont="1" applyFill="1" applyBorder="1" applyAlignment="1">
      <alignment horizontal="center" vertical="center" wrapText="1"/>
    </xf>
    <xf numFmtId="165" fontId="0" fillId="18" borderId="1" xfId="0" quotePrefix="1" applyNumberFormat="1" applyFill="1" applyBorder="1" applyAlignment="1">
      <alignment horizontal="left" vertical="center" wrapText="1"/>
    </xf>
    <xf numFmtId="0" fontId="0" fillId="18" borderId="1" xfId="0" applyFill="1" applyBorder="1" applyAlignment="1" applyProtection="1">
      <alignment horizontal="center" vertical="center" wrapText="1"/>
      <protection locked="0"/>
    </xf>
    <xf numFmtId="14" fontId="0" fillId="16"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pplyProtection="1">
      <alignment horizontal="left" vertical="center" wrapText="1"/>
      <protection locked="0"/>
    </xf>
    <xf numFmtId="0" fontId="0" fillId="9" borderId="1" xfId="0" applyFill="1" applyBorder="1" applyAlignment="1">
      <alignment horizontal="center" vertical="center" wrapText="1"/>
    </xf>
    <xf numFmtId="0" fontId="0" fillId="9" borderId="3" xfId="0" quotePrefix="1" applyFill="1" applyBorder="1" applyAlignment="1">
      <alignment horizontal="center" vertical="center" wrapText="1"/>
    </xf>
    <xf numFmtId="165" fontId="0" fillId="9" borderId="1" xfId="0" applyNumberFormat="1" applyFill="1" applyBorder="1" applyAlignment="1">
      <alignment horizontal="center" vertical="center" wrapText="1"/>
    </xf>
    <xf numFmtId="0" fontId="5" fillId="17" borderId="1" xfId="0" applyFont="1" applyFill="1" applyBorder="1" applyAlignment="1">
      <alignment horizontal="center" vertical="center" wrapText="1"/>
    </xf>
    <xf numFmtId="0" fontId="5" fillId="17" borderId="1" xfId="0" quotePrefix="1" applyFont="1" applyFill="1" applyBorder="1" applyAlignment="1" applyProtection="1">
      <alignment horizontal="center" vertical="center" wrapText="1"/>
      <protection locked="0"/>
    </xf>
    <xf numFmtId="0" fontId="6" fillId="0" borderId="11" xfId="0" applyFont="1" applyBorder="1" applyAlignment="1">
      <alignment horizontal="center" vertical="top" wrapText="1"/>
    </xf>
    <xf numFmtId="0" fontId="1" fillId="18" borderId="3" xfId="0" applyFont="1" applyFill="1" applyBorder="1" applyAlignment="1">
      <alignment horizontal="center" vertical="center" wrapText="1"/>
    </xf>
    <xf numFmtId="0" fontId="0" fillId="0" borderId="1" xfId="0" applyBorder="1" applyAlignment="1">
      <alignment wrapText="1"/>
    </xf>
    <xf numFmtId="0" fontId="0" fillId="2" borderId="0" xfId="0" applyFill="1" applyAlignment="1" applyProtection="1">
      <alignment horizontal="center" vertical="center" wrapText="1"/>
      <protection locked="0"/>
    </xf>
    <xf numFmtId="164" fontId="0" fillId="0" borderId="0" xfId="0" applyNumberFormat="1" applyAlignment="1" applyProtection="1">
      <alignment horizontal="center" vertical="center" wrapText="1"/>
      <protection locked="0"/>
    </xf>
  </cellXfs>
  <cellStyles count="1">
    <cellStyle name="Normal" xfId="0" builtinId="0"/>
  </cellStyles>
  <dxfs count="153">
    <dxf>
      <font>
        <b val="0"/>
        <i val="0"/>
        <strike val="0"/>
        <condense val="0"/>
        <extend val="0"/>
        <outline val="0"/>
        <shadow val="0"/>
        <u val="none"/>
        <vertAlign val="baseline"/>
        <sz val="11"/>
        <color theme="1"/>
        <name val="Calibri"/>
        <scheme val="minor"/>
      </font>
      <fill>
        <patternFill patternType="solid">
          <fgColor indexed="64"/>
          <bgColor theme="4" tint="0.59999389629810485"/>
        </patternFill>
      </fill>
      <border diagonalUp="0" diagonalDown="0">
        <left style="thin">
          <color indexed="64"/>
        </left>
        <right style="thin">
          <color indexed="64"/>
        </right>
        <top style="thin">
          <color theme="4" tint="0.39997558519241921"/>
        </top>
        <bottom style="thin">
          <color indexed="64"/>
        </bottom>
        <vertical/>
        <horizontal/>
      </border>
    </dxf>
    <dxf>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ont>
        <strike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ill>
        <patternFill patternType="solid">
          <fgColor indexed="64"/>
          <bgColor rgb="FFC00000"/>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ill>
        <patternFill patternType="solid">
          <fgColor indexed="64"/>
          <bgColor theme="9" tint="-0.249977111117893"/>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ill>
        <patternFill patternType="solid">
          <fgColor indexed="64"/>
          <bgColor rgb="FF7030A0"/>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alignment horizontal="center" vertical="bottom"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1" defaultTableStyle="TableStyleMedium2" defaultPivotStyle="PivotStyleLight16">
    <tableStyle name="Invisible" pivot="0" table="0" count="0" xr9:uid="{A13E832A-35C6-42EB-85FF-9B566E52B4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therine Archambault" id="{62212AF4-5370-4C9D-81BC-87C264598F40}" userId="Katherine Archambault" providerId="None"/>
  <person displayName="Katie Archambault" id="{8AEF99A8-986E-4B9F-9112-3B4E691D90D3}" userId="S::Katie.Archambault@amspecgroup.com::a1cd6b78-9219-4ab0-9f8d-0aa61043840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M501" totalsRowShown="0" headerRowDxfId="119" dataDxfId="117" headerRowBorderDxfId="118">
  <autoFilter ref="A1:M501" xr:uid="{00000000-0009-0000-0100-000003000000}">
    <filterColumn colId="8">
      <filters blank="1"/>
    </filterColumn>
  </autoFilter>
  <tableColumns count="13">
    <tableColumn id="1" xr3:uid="{00000000-0010-0000-0100-000001000000}" name="Location _x000a_(drop-down)" dataDxfId="116" totalsRowDxfId="115"/>
    <tableColumn id="2" xr3:uid="{00000000-0010-0000-0100-000002000000}" name="Location ID" dataDxfId="114" totalsRowDxfId="113">
      <calculatedColumnFormula>VLOOKUP(Table24[[#This Row],[Location 
(drop-down)]],'List source'!D$2:E$59,2,FALSE)</calculatedColumnFormula>
    </tableColumn>
    <tableColumn id="13" xr3:uid="{00000000-0010-0000-0100-00000D000000}" name="#" dataDxfId="112" totalsRowDxfId="111"/>
    <tableColumn id="3" xr3:uid="{00000000-0010-0000-0100-000003000000}" name="PAR #" dataDxfId="110" totalsRowDxfId="109">
      <calculatedColumnFormula>"P" &amp; C2 &amp; "-" &amp; B2 &amp; "-" &amp; "23"</calculatedColumnFormula>
    </tableColumn>
    <tableColumn id="12" xr3:uid="{00000000-0010-0000-0100-00000C000000}" name="PAR type" dataDxfId="108" totalsRowDxfId="107"/>
    <tableColumn id="4" xr3:uid="{00000000-0010-0000-0100-000004000000}" name="BRIEF DESCRIPTION OF PAR_x000a_if VOID:  Location, type, details (initials, date)" dataDxfId="106" totalsRowDxfId="105"/>
    <tableColumn id="5" xr3:uid="{00000000-0010-0000-0100-000005000000}" name="PAR initialized date" dataDxfId="104" totalsRowDxfId="103"/>
    <tableColumn id="11" xr3:uid="{00000000-0010-0000-0100-00000B000000}" name="QA team member initials" dataDxfId="102" totalsRowDxfId="101"/>
    <tableColumn id="6" xr3:uid="{00000000-0010-0000-0100-000006000000}" name="Date closed" dataDxfId="100" totalsRowDxfId="99"/>
    <tableColumn id="7" xr3:uid="{00000000-0010-0000-0100-000007000000}" name="Area (Ops, Lab, Misc., PT)_x000a_(drop-down)" dataDxfId="98" totalsRowDxfId="97"/>
    <tableColumn id="8" xr3:uid="{00000000-0010-0000-0100-000008000000}" name="Projected Improvement" dataDxfId="96" totalsRowDxfId="95"/>
    <tableColumn id="9" xr3:uid="{00000000-0010-0000-0100-000009000000}" name="Action taken" dataDxfId="94" totalsRowDxfId="93"/>
    <tableColumn id="10" xr3:uid="{00000000-0010-0000-0100-00000A000000}" name="Notes" dataDxfId="92" totalsRowDxfId="9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A1:O1002" totalsRowCount="1" headerRowDxfId="152" dataDxfId="150" headerRowBorderDxfId="151">
  <autoFilter ref="A1:O1001" xr:uid="{00000000-000C-0000-FFFF-FFFF02000000}"/>
  <sortState xmlns:xlrd2="http://schemas.microsoft.com/office/spreadsheetml/2017/richdata2" ref="A2:O1001">
    <sortCondition ref="D1:D1001"/>
  </sortState>
  <tableColumns count="15">
    <tableColumn id="1" xr3:uid="{00000000-0010-0000-0200-000001000000}" name="Location _x000a_(drop-down)" dataDxfId="149" totalsRowDxfId="148"/>
    <tableColumn id="2" xr3:uid="{00000000-0010-0000-0200-000002000000}" name="Location ID" dataDxfId="147" totalsRowDxfId="146">
      <calculatedColumnFormula>VLOOKUP(Table2[[#This Row],[Location 
(drop-down)]],'List source'!D$2:E$59,2,FALSE)</calculatedColumnFormula>
    </tableColumn>
    <tableColumn id="13" xr3:uid="{00000000-0010-0000-0200-00000D000000}" name="#" totalsRowFunction="custom" dataDxfId="145" totalsRowDxfId="144">
      <totalsRowFormula>SUBTOTAL(109,$C$707:C719)</totalsRowFormula>
    </tableColumn>
    <tableColumn id="3" xr3:uid="{00000000-0010-0000-0200-000003000000}" name="CAR #" dataDxfId="143" totalsRowDxfId="142">
      <calculatedColumnFormula>"C" &amp; C2 &amp; "-" &amp; B2 &amp; "-" &amp; "23"</calculatedColumnFormula>
    </tableColumn>
    <tableColumn id="12" xr3:uid="{00000000-0010-0000-0200-00000C000000}" name="Area" dataDxfId="141" totalsRowDxfId="140">
      <calculatedColumnFormula>VLOOKUP(Table2[[#This Row],[Location 
(drop-down)]],Table1[#All],3,FALSE)</calculatedColumnFormula>
    </tableColumn>
    <tableColumn id="14" xr3:uid="{00000000-0010-0000-0200-00000E000000}" name="CAR Type" dataDxfId="139" totalsRowDxfId="138"/>
    <tableColumn id="4" xr3:uid="{00000000-0010-0000-0200-000004000000}" name="BRIEF DESCRIPTION OF NC_x000a_if VOID:  &quot;VOID, Location, type, _x000a_details (initials, date)&quot;" dataDxfId="137" totalsRowDxfId="136"/>
    <tableColumn id="5" xr3:uid="{00000000-0010-0000-0200-000005000000}" name="CAR initialized date" dataDxfId="135" totalsRowDxfId="134"/>
    <tableColumn id="11" xr3:uid="{00000000-0010-0000-0200-00000B000000}" name="QA team member initials" dataDxfId="133" totalsRowDxfId="132"/>
    <tableColumn id="15" xr3:uid="{1ABA7B95-82FE-44F7-852C-0C169FCA112A}" name="Date Corrective Action completed" dataDxfId="131" totalsRowDxfId="130"/>
    <tableColumn id="16" xr3:uid="{CBF028C3-ECC8-4856-8CCB-343EAE5779A5}" name="Effectiveness Review &amp; date deemed effective" dataDxfId="129" totalsRowDxfId="128"/>
    <tableColumn id="7" xr3:uid="{00000000-0010-0000-0200-000007000000}" name="Area (Lab, Ops, PT, Misc.)_x000a_(drop-down)" dataDxfId="127" totalsRowDxfId="126"/>
    <tableColumn id="8" xr3:uid="{00000000-0010-0000-0200-000008000000}" name="Types of Deficiency_x000a_(drop-down)" dataDxfId="125" totalsRowDxfId="124"/>
    <tableColumn id="9" xr3:uid="{00000000-0010-0000-0200-000009000000}" name="Types of Root Cause_x000a_(drop-down)" dataDxfId="123" totalsRowDxfId="122"/>
    <tableColumn id="10" xr3:uid="{00000000-0010-0000-0200-00000A000000}" name="Notes" dataDxfId="121" totalsRowDxfId="1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245" displayName="Table245" ref="A1:N201" totalsRowShown="0" headerRowDxfId="90" dataDxfId="88" headerRowBorderDxfId="89">
  <autoFilter ref="A1:N201" xr:uid="{00000000-0009-0000-0100-000004000000}">
    <filterColumn colId="7">
      <filters>
        <filter val="Internal"/>
      </filters>
    </filterColumn>
    <filterColumn colId="13">
      <filters blank="1">
        <filter val="Annual internal quality systems assessment (ISO 9001)"/>
      </filters>
    </filterColumn>
  </autoFilter>
  <tableColumns count="14">
    <tableColumn id="1" xr3:uid="{00000000-0010-0000-0000-000001000000}" name="Location _x000a_(drop-down)" dataDxfId="87" totalsRowDxfId="86"/>
    <tableColumn id="2" xr3:uid="{00000000-0010-0000-0000-000002000000}" name="Location ID" dataDxfId="85" totalsRowDxfId="84">
      <calculatedColumnFormula>VLOOKUP(Table245[[#This Row],[Location 
(drop-down)]],'List source'!D$2:E$59,2,FALSE)</calculatedColumnFormula>
    </tableColumn>
    <tableColumn id="13" xr3:uid="{00000000-0010-0000-0000-00000D000000}" name="#" dataDxfId="83" totalsRowDxfId="82"/>
    <tableColumn id="3" xr3:uid="{00000000-0010-0000-0000-000003000000}" name="Assessment #" dataDxfId="81" totalsRowDxfId="80">
      <calculatedColumnFormula>"A" &amp; C2 &amp; "-" &amp; B2 &amp; "-" &amp; "23"</calculatedColumnFormula>
    </tableColumn>
    <tableColumn id="12" xr3:uid="{00000000-0010-0000-0000-00000C000000}" name="Start Date" dataDxfId="79" totalsRowDxfId="78"/>
    <tableColumn id="14" xr3:uid="{00000000-0010-0000-0000-00000E000000}" name="End Date" dataDxfId="77" totalsRowDxfId="76"/>
    <tableColumn id="7" xr3:uid="{00000000-0010-0000-0000-000007000000}" name="Report Issued" dataDxfId="75" totalsRowDxfId="74"/>
    <tableColumn id="4" xr3:uid="{00000000-0010-0000-0000-000004000000}" name="Type of Assessment _x000a_(drop-down)" dataDxfId="73" totalsRowDxfId="72"/>
    <tableColumn id="9" xr3:uid="{604A8BF9-578E-4C69-A835-05B94AE4BEF7}" name="Scope of Assessment_x000a_(drop-down)" dataDxfId="71" totalsRowDxfId="70"/>
    <tableColumn id="10" xr3:uid="{E82262F7-B569-41BD-8545-E4E4C920BFFC}" name="QA In Charge _x000a_(Get a copy of assessment report or summary)" dataDxfId="69" totalsRowDxfId="68"/>
    <tableColumn id="5" xr3:uid="{00000000-0010-0000-0000-000005000000}" name="Assessor(s) / Auditor(s) name(s)" dataDxfId="67" totalsRowDxfId="66"/>
    <tableColumn id="11" xr3:uid="{00000000-0010-0000-0000-00000B000000}" name="Assessor's company" dataDxfId="65" totalsRowDxfId="64"/>
    <tableColumn id="6" xr3:uid="{00000000-0010-0000-0000-000006000000}" name="Agency Type _x000a_(Regulatory / certification / accreditation agency)_x000a_(drop-down)" dataDxfId="63" totalsRowDxfId="62"/>
    <tableColumn id="8" xr3:uid="{00000000-0010-0000-0000-000008000000}" name="Brief description of assessment scope" dataDxfId="61" totalsRowDxfId="6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F77345-4591-4EA5-94E5-C4BC8F6395A0}" name="Table27" displayName="Table27" ref="A1:M1000" totalsRowShown="0" headerRowDxfId="59" dataDxfId="57" headerRowBorderDxfId="58">
  <autoFilter ref="A1:M1000" xr:uid="{00000000-0009-0000-0100-000002000000}"/>
  <tableColumns count="13">
    <tableColumn id="1" xr3:uid="{33EB8FC5-FB79-4F5D-902C-FF4BC9AEA51A}" name="Location _x000a_(drop-down)" dataDxfId="56" totalsRowDxfId="55"/>
    <tableColumn id="2" xr3:uid="{731AD1E5-4BCB-45D9-B8FF-2CEAFC5FE443}" name="Location ID" dataDxfId="54" totalsRowDxfId="53">
      <calculatedColumnFormula>VLOOKUP(Table27[[#This Row],[Location 
(drop-down)]],'List source'!D$2:E$59,2,FALSE)</calculatedColumnFormula>
    </tableColumn>
    <tableColumn id="13" xr3:uid="{AC96B985-434A-4F54-8675-F9D7B6132910}" name="#" totalsRowFunction="custom" dataDxfId="52" totalsRowDxfId="51">
      <totalsRowFormula>SUBTOTAL(109,$C$706:C718)</totalsRowFormula>
    </tableColumn>
    <tableColumn id="3" xr3:uid="{D47C6F92-B390-4D00-8464-A90FBC6AE1B7}" name="PTO #" dataDxfId="50" totalsRowDxfId="49">
      <calculatedColumnFormula>"C" &amp; C2 &amp; "-" &amp; B2 &amp; "-" &amp; "23"</calculatedColumnFormula>
    </tableColumn>
    <tableColumn id="4" xr3:uid="{A701775B-9A3D-4930-83E6-CB39BC200D15}" name="BRIEF DESCRIPTION OF NC_x000a_if VOID:  &quot;VOID, Location,  _x000a_details (initials, date)&quot;" dataDxfId="48" totalsRowDxfId="47"/>
    <tableColumn id="6" xr3:uid="{E2761463-2F2F-434F-AD2C-A14F4DEE3486}" name="PT Program" dataDxfId="46" totalsRowDxfId="45"/>
    <tableColumn id="14" xr3:uid="{80A735D8-06A0-4BBD-A68A-4A991A0D8D94}" name="Parameter (s)" dataDxfId="44" totalsRowDxfId="43"/>
    <tableColumn id="7" xr3:uid="{47EE1613-2BBB-4AF5-AA33-B8720498BB7C}" name="Z-score (s)" dataDxfId="42" totalsRowDxfId="41"/>
    <tableColumn id="5" xr3:uid="{71E4DA16-D984-4AF9-8659-05256F1035DE}" name="PTO initialized date" dataDxfId="40" totalsRowDxfId="39"/>
    <tableColumn id="11" xr3:uid="{B2006C29-EE63-4A88-9CC7-6D660AFC118E}" name="QA team member initials" dataDxfId="38" totalsRowDxfId="37"/>
    <tableColumn id="15" xr3:uid="{C18F8C09-6E9C-4317-9AF8-A5E4E3FC423B}" name="Date Corrective Action completed" dataDxfId="36" totalsRowDxfId="35"/>
    <tableColumn id="9" xr3:uid="{C82851A0-1BCD-4A54-BF2D-336A5C0D36B1}" name="Types of Root Cause_x000a_(drop-down)" dataDxfId="34" totalsRowDxfId="33"/>
    <tableColumn id="10" xr3:uid="{D4C773A8-53F1-4208-B556-AF0D90868305}" name="Notes" dataDxfId="32" totalsRowDxfId="3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B80C78-B72C-413B-8B02-C6654100BD27}" name="Table2456" displayName="Table2456" ref="A1:L151" totalsRowShown="0" headerRowDxfId="30" dataDxfId="28" headerRowBorderDxfId="29">
  <autoFilter ref="A1:L151" xr:uid="{00000000-0009-0000-0100-000004000000}"/>
  <tableColumns count="12">
    <tableColumn id="1" xr3:uid="{7D0839FD-B760-4B4F-8257-27F5146B55DE}" name="Location _x000a_(drop-down)" dataDxfId="27" totalsRowDxfId="26"/>
    <tableColumn id="2" xr3:uid="{DA21D0BD-4956-46A3-8CC7-8D7595B4397B}" name="Location ID" dataDxfId="25" totalsRowDxfId="24">
      <calculatedColumnFormula>VLOOKUP(Table2456[[#This Row],[Location 
(drop-down)]],'List source'!D$2:E$59,2,FALSE)</calculatedColumnFormula>
    </tableColumn>
    <tableColumn id="13" xr3:uid="{8B7A3DD2-4696-411F-A1AB-6D0D498119A7}" name="#" dataDxfId="23" totalsRowDxfId="22"/>
    <tableColumn id="3" xr3:uid="{4AF9EAAC-283B-4418-A552-9A635DA8CE30}" name="CAF#" dataDxfId="21" totalsRowDxfId="20">
      <calculatedColumnFormula>"CAF" &amp; C2 &amp; "-" &amp; B2 &amp; "-" &amp; "23"</calculatedColumnFormula>
    </tableColumn>
    <tableColumn id="6" xr3:uid="{7C314D3F-F224-4BEB-B245-1D0E05A4152E}" name="Area" dataDxfId="19" totalsRowDxfId="18">
      <calculatedColumnFormula>VLOOKUP(Table2456[[#This Row],[Location 
(drop-down)]],Table1[#All],3,FALSE)</calculatedColumnFormula>
    </tableColumn>
    <tableColumn id="12" xr3:uid="{7B77B849-300A-440A-B573-2553B1041D12}" name="Date initiated" dataDxfId="17" totalsRowDxfId="16"/>
    <tableColumn id="14" xr3:uid="{CAF18FA4-83EF-4FE0-A66B-DAE97F25AD0C}" name="Date shared w/ customer" dataDxfId="15" totalsRowDxfId="14"/>
    <tableColumn id="9" xr3:uid="{0EAF4C93-90E7-4C8A-90F4-99A03A250100}" name="Date closed after effectiveness review" dataDxfId="13" totalsRowDxfId="12"/>
    <tableColumn id="7" xr3:uid="{B2376F35-D2CA-45C6-83DA-70FD142698ED}" name="Brief description of complaint" dataDxfId="11" totalsRowDxfId="10"/>
    <tableColumn id="4" xr3:uid="{CB1EB506-1206-443F-9C5F-C30AF932CF6E}" name="Area (Lab, Ops, Lab &amp; Ops, Admin, Other, Void)_x000a_(drop-down)" dataDxfId="9" totalsRowDxfId="8"/>
    <tableColumn id="5" xr3:uid="{612434E1-C574-4D14-932C-B5DF6F41EC22}" name="CAR / PAR # (if applicable)" dataDxfId="7" totalsRowDxfId="6"/>
    <tableColumn id="8" xr3:uid="{9E931E6F-073E-4059-9614-A6B19BF2F96E}" name="Notes" dataDxfId="5" totalsRowDxfId="4"/>
  </tableColumns>
  <tableStyleInfo name="TableStyleLight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D1:F59" totalsRowShown="0" headerRowDxfId="3">
  <autoFilter ref="D1:F59" xr:uid="{00000000-0009-0000-0100-000001000000}"/>
  <sortState xmlns:xlrd2="http://schemas.microsoft.com/office/spreadsheetml/2017/richdata2" ref="D2:F59">
    <sortCondition ref="D1:D59"/>
  </sortState>
  <tableColumns count="3">
    <tableColumn id="1" xr3:uid="{00000000-0010-0000-0300-000001000000}" name="Location" dataDxfId="2"/>
    <tableColumn id="2" xr3:uid="{00000000-0010-0000-0300-000002000000}" name="Location ID" dataDxfId="1"/>
    <tableColumn id="3" xr3:uid="{00000000-0010-0000-0300-000003000000}" name="Area"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4-01-16T20:55:57.52" personId="{8AEF99A8-986E-4B9F-9112-3B4E691D90D3}" id="{C67A75FD-0E68-437C-A1CF-11CC56EB77C0}">
    <text>Yellow highlight indicates PAR missing from OneDrive (updated 01.27.2025)</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4-01-16T21:08:47.26" personId="{8AEF99A8-986E-4B9F-9112-3B4E691D90D3}" id="{B38A7651-580B-4A1C-9060-88AB9B706AF4}">
    <text>Yellow highlight indicates CAR missing from OneDrive (updated 01.27.2025)</text>
  </threadedComment>
  <threadedComment ref="J748" dT="2024-01-11T17:40:20.66" personId="{8AEF99A8-986E-4B9F-9112-3B4E691D90D3}" id="{6E079E65-DBCD-483E-905C-71D1EAB5194A}">
    <text xml:space="preserve">Closed for BQ-9000 auditor. QA waiting for updated Appen 15B for us to close
</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4-01-16T20:37:29.77" personId="{8AEF99A8-986E-4B9F-9112-3B4E691D90D3}" id="{A0EB16C4-715E-447A-AF3B-ED108A65A6DD}">
    <text>Yellow highlight indicates report missing from OneDrive (updated 01.27.2025)</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4-01-16T21:39:36.50" personId="{8AEF99A8-986E-4B9F-9112-3B4E691D90D3}" id="{F880EB0C-25FB-42FE-B3A5-339D4F9CEFCB}">
    <text>Yellow highlight indicates PTO missing from OneDrive (updated 01.27.2025)</text>
  </threadedComment>
</ThreadedComments>
</file>

<file path=xl/threadedComments/threadedComment5.xml><?xml version="1.0" encoding="utf-8"?>
<ThreadedComments xmlns="http://schemas.microsoft.com/office/spreadsheetml/2018/threadedcomments" xmlns:x="http://schemas.openxmlformats.org/spreadsheetml/2006/main">
  <threadedComment ref="D1" dT="2024-11-20T18:30:42.06" personId="{8AEF99A8-986E-4B9F-9112-3B4E691D90D3}" id="{1AD75E28-AB6F-451A-B91C-83016666B329}">
    <text>Yellow highlight indicates CAF missing from OneDrive (updated 01.27.2025)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C1" dT="2023-07-03T16:10:21.63" personId="{8AEF99A8-986E-4B9F-9112-3B4E691D90D3}" id="{3D7DA280-C290-4BCE-9E67-467DDB0D6FD0}">
    <text>Add Lab &amp; Ops for 2024</text>
  </threadedComment>
  <threadedComment ref="E2" dT="2021-07-09T18:36:41.09" personId="{62212AF4-5370-4C9D-81BC-87C264598F40}" id="{B59257E5-D171-436C-9AEB-ACB11C0FAFEF}">
    <text>'old - 120A until 12/18/20</text>
  </threadedComment>
  <threadedComment ref="E30" dT="2021-07-09T18:37:13.72" personId="{62212AF4-5370-4C9D-81BC-87C264598F40}" id="{777DA137-969E-48BA-BE19-AC02A29A5831}">
    <text>'formerly 197L</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M501"/>
  <sheetViews>
    <sheetView showGridLines="0" zoomScale="90" zoomScaleNormal="90" workbookViewId="0">
      <pane ySplit="1" topLeftCell="A47" activePane="bottomLeft" state="frozen"/>
      <selection activeCell="D1" sqref="D1"/>
      <selection pane="bottomLeft" activeCell="E161" sqref="E161"/>
    </sheetView>
  </sheetViews>
  <sheetFormatPr defaultRowHeight="15" x14ac:dyDescent="0.25"/>
  <cols>
    <col min="1" max="1" width="26.5703125" style="5" customWidth="1"/>
    <col min="2" max="2" width="9.5703125" customWidth="1"/>
    <col min="3" max="3" width="7.28515625" bestFit="1" customWidth="1"/>
    <col min="4" max="4" width="28" customWidth="1"/>
    <col min="5" max="5" width="16.28515625" customWidth="1"/>
    <col min="6" max="6" width="43.5703125" style="154" customWidth="1"/>
    <col min="7" max="7" width="16.5703125" style="6" customWidth="1"/>
    <col min="8" max="8" width="17" style="6" customWidth="1"/>
    <col min="9" max="9" width="16" style="6" customWidth="1"/>
    <col min="10" max="10" width="17.5703125" style="6" customWidth="1"/>
    <col min="11" max="11" width="44.28515625" style="189" customWidth="1"/>
    <col min="12" max="12" width="25.5703125" style="189" customWidth="1"/>
    <col min="13" max="13" width="16.5703125" customWidth="1"/>
  </cols>
  <sheetData>
    <row r="1" spans="1:13" s="2" customFormat="1" ht="45" customHeight="1" x14ac:dyDescent="0.25">
      <c r="A1" s="80" t="s">
        <v>0</v>
      </c>
      <c r="B1" s="81" t="s">
        <v>1</v>
      </c>
      <c r="C1" s="81" t="s">
        <v>2</v>
      </c>
      <c r="D1" s="81" t="s">
        <v>3</v>
      </c>
      <c r="E1" s="81" t="s">
        <v>4</v>
      </c>
      <c r="F1" s="82" t="s">
        <v>5</v>
      </c>
      <c r="G1" s="82" t="s">
        <v>6</v>
      </c>
      <c r="H1" s="82" t="s">
        <v>7</v>
      </c>
      <c r="I1" s="159" t="s">
        <v>8</v>
      </c>
      <c r="J1" s="82" t="s">
        <v>9</v>
      </c>
      <c r="K1" s="82" t="s">
        <v>10</v>
      </c>
      <c r="L1" s="82" t="s">
        <v>11</v>
      </c>
      <c r="M1" s="81" t="s">
        <v>12</v>
      </c>
    </row>
    <row r="2" spans="1:13" s="4" customFormat="1" ht="30" hidden="1" customHeight="1" x14ac:dyDescent="0.25">
      <c r="A2" s="9" t="s">
        <v>13</v>
      </c>
      <c r="B2" s="13">
        <f>VLOOKUP(Table24[[#This Row],[Location 
(drop-down)]],'List source'!D$2:E$59,2,FALSE)</f>
        <v>126</v>
      </c>
      <c r="C2" s="25" t="s">
        <v>14</v>
      </c>
      <c r="D2" s="33" t="str">
        <f t="shared" ref="D2:D65" si="0">"P" &amp; C2 &amp; "-" &amp; B2 &amp; "-" &amp; "23"</f>
        <v>P001-126-23</v>
      </c>
      <c r="E2" s="11" t="s">
        <v>15</v>
      </c>
      <c r="F2" s="149" t="s">
        <v>16</v>
      </c>
      <c r="G2" s="12">
        <v>44937</v>
      </c>
      <c r="H2" s="26" t="s">
        <v>17</v>
      </c>
      <c r="I2" s="26">
        <v>45099</v>
      </c>
      <c r="J2" s="27" t="s">
        <v>15</v>
      </c>
      <c r="K2" s="30" t="s">
        <v>18</v>
      </c>
      <c r="L2" s="24" t="s">
        <v>19</v>
      </c>
      <c r="M2" s="27"/>
    </row>
    <row r="3" spans="1:13" s="4" customFormat="1" ht="30" hidden="1" customHeight="1" x14ac:dyDescent="0.25">
      <c r="A3" s="9" t="s">
        <v>13</v>
      </c>
      <c r="B3" s="13">
        <f>VLOOKUP(Table24[[#This Row],[Location 
(drop-down)]],'List source'!D$2:E$59,2,FALSE)</f>
        <v>126</v>
      </c>
      <c r="C3" s="25" t="s">
        <v>20</v>
      </c>
      <c r="D3" s="33" t="str">
        <f t="shared" si="0"/>
        <v>P002-126-23</v>
      </c>
      <c r="E3" s="11" t="s">
        <v>15</v>
      </c>
      <c r="F3" s="147" t="s">
        <v>21</v>
      </c>
      <c r="G3" s="12">
        <v>44937</v>
      </c>
      <c r="H3" s="12" t="s">
        <v>17</v>
      </c>
      <c r="I3" s="12">
        <v>45099</v>
      </c>
      <c r="J3" s="10" t="s">
        <v>15</v>
      </c>
      <c r="K3" s="30" t="s">
        <v>18</v>
      </c>
      <c r="L3" s="24" t="s">
        <v>19</v>
      </c>
      <c r="M3" s="10"/>
    </row>
    <row r="4" spans="1:13" s="4" customFormat="1" ht="30" hidden="1" customHeight="1" x14ac:dyDescent="0.25">
      <c r="A4" s="9" t="s">
        <v>22</v>
      </c>
      <c r="B4" s="13">
        <v>130</v>
      </c>
      <c r="C4" s="25" t="s">
        <v>23</v>
      </c>
      <c r="D4" s="33" t="str">
        <f t="shared" si="0"/>
        <v>P003-130-23</v>
      </c>
      <c r="E4" s="11" t="s">
        <v>15</v>
      </c>
      <c r="F4" s="148" t="s">
        <v>24</v>
      </c>
      <c r="G4" s="12">
        <v>44937</v>
      </c>
      <c r="H4" s="12" t="s">
        <v>17</v>
      </c>
      <c r="I4" s="12">
        <v>45295</v>
      </c>
      <c r="J4" s="10" t="s">
        <v>15</v>
      </c>
      <c r="K4" s="9"/>
      <c r="L4" s="9"/>
      <c r="M4" s="10"/>
    </row>
    <row r="5" spans="1:13" s="4" customFormat="1" ht="30" hidden="1" customHeight="1" x14ac:dyDescent="0.25">
      <c r="A5" s="9" t="s">
        <v>22</v>
      </c>
      <c r="B5" s="13">
        <v>130</v>
      </c>
      <c r="C5" s="25" t="s">
        <v>25</v>
      </c>
      <c r="D5" s="33" t="str">
        <f t="shared" si="0"/>
        <v>P004-130-23</v>
      </c>
      <c r="E5" s="11" t="s">
        <v>15</v>
      </c>
      <c r="F5" s="148" t="s">
        <v>26</v>
      </c>
      <c r="G5" s="12">
        <v>44937</v>
      </c>
      <c r="H5" s="12" t="s">
        <v>17</v>
      </c>
      <c r="I5" s="12">
        <v>45295</v>
      </c>
      <c r="J5" s="10" t="s">
        <v>15</v>
      </c>
      <c r="K5" s="9"/>
      <c r="L5" s="9"/>
      <c r="M5" s="10"/>
    </row>
    <row r="6" spans="1:13" s="4" customFormat="1" ht="30" hidden="1" customHeight="1" x14ac:dyDescent="0.25">
      <c r="A6" s="9" t="s">
        <v>27</v>
      </c>
      <c r="B6" s="13">
        <f>VLOOKUP(Table24[[#This Row],[Location 
(drop-down)]],'List source'!D$2:E$59,2,FALSE)</f>
        <v>132</v>
      </c>
      <c r="C6" s="25" t="s">
        <v>28</v>
      </c>
      <c r="D6" s="33" t="str">
        <f t="shared" si="0"/>
        <v>P005-132-23</v>
      </c>
      <c r="E6" s="11" t="s">
        <v>15</v>
      </c>
      <c r="F6" s="199" t="s">
        <v>29</v>
      </c>
      <c r="G6" s="12">
        <v>44937</v>
      </c>
      <c r="H6" s="12" t="s">
        <v>17</v>
      </c>
      <c r="I6" s="12">
        <v>45295</v>
      </c>
      <c r="J6" s="10" t="s">
        <v>15</v>
      </c>
      <c r="K6" s="9"/>
      <c r="L6" s="9"/>
      <c r="M6" s="10"/>
    </row>
    <row r="7" spans="1:13" s="4" customFormat="1" ht="47.65" hidden="1" customHeight="1" x14ac:dyDescent="0.25">
      <c r="A7" s="9" t="s">
        <v>27</v>
      </c>
      <c r="B7" s="13">
        <f>VLOOKUP(Table24[[#This Row],[Location 
(drop-down)]],'List source'!D$2:E$59,2,FALSE)</f>
        <v>132</v>
      </c>
      <c r="C7" s="25" t="s">
        <v>30</v>
      </c>
      <c r="D7" s="220" t="str">
        <f t="shared" si="0"/>
        <v>P006-132-23</v>
      </c>
      <c r="E7" s="11" t="s">
        <v>15</v>
      </c>
      <c r="F7" s="150" t="s">
        <v>31</v>
      </c>
      <c r="G7" s="12">
        <v>44937</v>
      </c>
      <c r="H7" s="12" t="s">
        <v>17</v>
      </c>
      <c r="I7" s="217">
        <v>45307</v>
      </c>
      <c r="J7" s="10" t="s">
        <v>15</v>
      </c>
      <c r="K7" s="9" t="s">
        <v>18</v>
      </c>
      <c r="L7" s="9" t="s">
        <v>32</v>
      </c>
      <c r="M7" s="10"/>
    </row>
    <row r="8" spans="1:13" s="4" customFormat="1" ht="30" hidden="1" customHeight="1" x14ac:dyDescent="0.25">
      <c r="A8" s="9" t="s">
        <v>27</v>
      </c>
      <c r="B8" s="13">
        <f>VLOOKUP(Table24[[#This Row],[Location 
(drop-down)]],'List source'!D$2:E$59,2,FALSE)</f>
        <v>132</v>
      </c>
      <c r="C8" s="25" t="s">
        <v>33</v>
      </c>
      <c r="D8" s="303" t="str">
        <f t="shared" si="0"/>
        <v>P007-132-23</v>
      </c>
      <c r="E8" s="11" t="s">
        <v>15</v>
      </c>
      <c r="F8" s="148" t="s">
        <v>34</v>
      </c>
      <c r="G8" s="12">
        <v>44937</v>
      </c>
      <c r="H8" s="12" t="s">
        <v>17</v>
      </c>
      <c r="I8" s="341">
        <v>45372</v>
      </c>
      <c r="J8" s="10" t="s">
        <v>15</v>
      </c>
      <c r="K8" s="9" t="s">
        <v>35</v>
      </c>
      <c r="L8" s="9" t="s">
        <v>36</v>
      </c>
      <c r="M8" s="10"/>
    </row>
    <row r="9" spans="1:13" s="4" customFormat="1" ht="30" hidden="1" customHeight="1" x14ac:dyDescent="0.25">
      <c r="A9" s="9" t="s">
        <v>37</v>
      </c>
      <c r="B9" s="13">
        <f>VLOOKUP(Table24[[#This Row],[Location 
(drop-down)]],'List source'!D$2:E$59,2,FALSE)</f>
        <v>158</v>
      </c>
      <c r="C9" s="25" t="s">
        <v>38</v>
      </c>
      <c r="D9" s="33" t="str">
        <f t="shared" si="0"/>
        <v>P008-158-23</v>
      </c>
      <c r="E9" s="11" t="s">
        <v>15</v>
      </c>
      <c r="F9" s="148" t="s">
        <v>39</v>
      </c>
      <c r="G9" s="12">
        <v>44937</v>
      </c>
      <c r="H9" s="12" t="s">
        <v>17</v>
      </c>
      <c r="I9" s="12">
        <v>45217</v>
      </c>
      <c r="J9" s="10" t="s">
        <v>15</v>
      </c>
      <c r="K9" s="9"/>
      <c r="L9" s="9"/>
      <c r="M9" s="10"/>
    </row>
    <row r="10" spans="1:13" s="4" customFormat="1" ht="30" hidden="1" customHeight="1" x14ac:dyDescent="0.25">
      <c r="A10" s="9" t="s">
        <v>37</v>
      </c>
      <c r="B10" s="13">
        <f>VLOOKUP(Table24[[#This Row],[Location 
(drop-down)]],'List source'!D$2:E$59,2,FALSE)</f>
        <v>158</v>
      </c>
      <c r="C10" s="25" t="s">
        <v>40</v>
      </c>
      <c r="D10" s="33" t="str">
        <f t="shared" si="0"/>
        <v>P009-158-23</v>
      </c>
      <c r="E10" s="11" t="s">
        <v>15</v>
      </c>
      <c r="F10" s="148" t="s">
        <v>41</v>
      </c>
      <c r="G10" s="12">
        <v>44937</v>
      </c>
      <c r="H10" s="12" t="s">
        <v>17</v>
      </c>
      <c r="I10" s="12">
        <v>45022</v>
      </c>
      <c r="J10" s="10" t="s">
        <v>15</v>
      </c>
      <c r="K10" s="9"/>
      <c r="L10" s="9"/>
      <c r="M10" s="10"/>
    </row>
    <row r="11" spans="1:13" s="4" customFormat="1" ht="30" hidden="1" customHeight="1" x14ac:dyDescent="0.25">
      <c r="A11" s="9" t="s">
        <v>42</v>
      </c>
      <c r="B11" s="13">
        <f>VLOOKUP(Table24[[#This Row],[Location 
(drop-down)]],'List source'!D$2:E$59,2,FALSE)</f>
        <v>198</v>
      </c>
      <c r="C11" s="25" t="s">
        <v>43</v>
      </c>
      <c r="D11" s="33" t="str">
        <f t="shared" si="0"/>
        <v>P010-198-23</v>
      </c>
      <c r="E11" s="11" t="s">
        <v>15</v>
      </c>
      <c r="F11" s="148" t="s">
        <v>44</v>
      </c>
      <c r="G11" s="12">
        <v>44937</v>
      </c>
      <c r="H11" s="12" t="s">
        <v>17</v>
      </c>
      <c r="I11" s="12">
        <v>45581</v>
      </c>
      <c r="J11" s="10" t="s">
        <v>15</v>
      </c>
      <c r="K11" s="9"/>
      <c r="L11" s="9"/>
      <c r="M11" s="10"/>
    </row>
    <row r="12" spans="1:13" s="4" customFormat="1" ht="30" hidden="1" customHeight="1" x14ac:dyDescent="0.25">
      <c r="A12" s="9" t="s">
        <v>42</v>
      </c>
      <c r="B12" s="13">
        <f>VLOOKUP(Table24[[#This Row],[Location 
(drop-down)]],'List source'!D$2:E$59,2,FALSE)</f>
        <v>198</v>
      </c>
      <c r="C12" s="25" t="s">
        <v>45</v>
      </c>
      <c r="D12" s="33" t="str">
        <f t="shared" si="0"/>
        <v>P011-198-23</v>
      </c>
      <c r="E12" s="11" t="s">
        <v>15</v>
      </c>
      <c r="F12" s="148" t="s">
        <v>46</v>
      </c>
      <c r="G12" s="12">
        <v>44937</v>
      </c>
      <c r="H12" s="12" t="s">
        <v>17</v>
      </c>
      <c r="I12" s="12">
        <v>45581</v>
      </c>
      <c r="J12" s="10" t="s">
        <v>15</v>
      </c>
      <c r="K12" s="9"/>
      <c r="L12" s="9"/>
      <c r="M12" s="10"/>
    </row>
    <row r="13" spans="1:13" s="4" customFormat="1" ht="30" hidden="1" customHeight="1" x14ac:dyDescent="0.25">
      <c r="A13" s="9" t="s">
        <v>47</v>
      </c>
      <c r="B13" s="13">
        <f>VLOOKUP(Table24[[#This Row],[Location 
(drop-down)]],'List source'!D$2:E$59,2,FALSE)</f>
        <v>215</v>
      </c>
      <c r="C13" s="25" t="s">
        <v>48</v>
      </c>
      <c r="D13" s="220" t="str">
        <f t="shared" si="0"/>
        <v>P012-215-23</v>
      </c>
      <c r="E13" s="11" t="s">
        <v>15</v>
      </c>
      <c r="F13" s="148" t="s">
        <v>49</v>
      </c>
      <c r="G13" s="12">
        <v>44937</v>
      </c>
      <c r="H13" s="12" t="s">
        <v>17</v>
      </c>
      <c r="I13" s="217" t="s">
        <v>50</v>
      </c>
      <c r="J13" s="10" t="s">
        <v>15</v>
      </c>
      <c r="K13" s="9"/>
      <c r="L13" s="9"/>
      <c r="M13" s="10" t="s">
        <v>51</v>
      </c>
    </row>
    <row r="14" spans="1:13" s="4" customFormat="1" ht="42" hidden="1" customHeight="1" x14ac:dyDescent="0.25">
      <c r="A14" s="9" t="s">
        <v>52</v>
      </c>
      <c r="B14" s="13">
        <f>VLOOKUP(Table24[[#This Row],[Location 
(drop-down)]],'List source'!D$2:E$59,2,FALSE)</f>
        <v>127</v>
      </c>
      <c r="C14" s="25" t="s">
        <v>53</v>
      </c>
      <c r="D14" s="33" t="str">
        <f t="shared" si="0"/>
        <v>P013-127-23</v>
      </c>
      <c r="E14" s="11" t="s">
        <v>15</v>
      </c>
      <c r="F14" s="151" t="s">
        <v>54</v>
      </c>
      <c r="G14" s="12">
        <v>44937</v>
      </c>
      <c r="H14" s="12" t="s">
        <v>17</v>
      </c>
      <c r="I14" s="12">
        <v>44942</v>
      </c>
      <c r="J14" s="10" t="s">
        <v>15</v>
      </c>
      <c r="K14" s="20" t="s">
        <v>55</v>
      </c>
      <c r="L14" s="20" t="s">
        <v>56</v>
      </c>
      <c r="M14" s="10"/>
    </row>
    <row r="15" spans="1:13" s="4" customFormat="1" ht="30" hidden="1" customHeight="1" x14ac:dyDescent="0.25">
      <c r="A15" s="9" t="s">
        <v>57</v>
      </c>
      <c r="B15" s="13">
        <f>VLOOKUP(Table24[[#This Row],[Location 
(drop-down)]],'List source'!D$2:E$59,2,FALSE)</f>
        <v>155</v>
      </c>
      <c r="C15" s="25" t="s">
        <v>58</v>
      </c>
      <c r="D15" s="33" t="str">
        <f t="shared" si="0"/>
        <v>P014-155-23</v>
      </c>
      <c r="E15" s="11" t="s">
        <v>15</v>
      </c>
      <c r="F15" s="148" t="s">
        <v>59</v>
      </c>
      <c r="G15" s="12">
        <v>44938</v>
      </c>
      <c r="H15" s="12" t="s">
        <v>17</v>
      </c>
      <c r="I15" s="12">
        <v>44978</v>
      </c>
      <c r="J15" s="10" t="s">
        <v>15</v>
      </c>
      <c r="K15" s="9" t="s">
        <v>60</v>
      </c>
      <c r="L15" s="9"/>
      <c r="M15" s="10"/>
    </row>
    <row r="16" spans="1:13" s="4" customFormat="1" ht="30" hidden="1" customHeight="1" x14ac:dyDescent="0.25">
      <c r="A16" s="9" t="s">
        <v>61</v>
      </c>
      <c r="B16" s="13">
        <f>VLOOKUP(Table24[[#This Row],[Location 
(drop-down)]],'List source'!D$2:E$59,2,FALSE)</f>
        <v>120</v>
      </c>
      <c r="C16" s="25" t="s">
        <v>62</v>
      </c>
      <c r="D16" s="33" t="str">
        <f t="shared" si="0"/>
        <v>P015-120-23</v>
      </c>
      <c r="E16" s="11" t="s">
        <v>15</v>
      </c>
      <c r="F16" s="148" t="s">
        <v>63</v>
      </c>
      <c r="G16" s="12">
        <v>44956</v>
      </c>
      <c r="H16" s="12" t="s">
        <v>17</v>
      </c>
      <c r="I16" s="12">
        <v>45083</v>
      </c>
      <c r="J16" s="10" t="s">
        <v>15</v>
      </c>
      <c r="K16" s="9" t="s">
        <v>64</v>
      </c>
      <c r="L16" s="9" t="s">
        <v>65</v>
      </c>
      <c r="M16" s="10"/>
    </row>
    <row r="17" spans="1:13" s="4" customFormat="1" ht="30" hidden="1" customHeight="1" x14ac:dyDescent="0.25">
      <c r="A17" s="9" t="s">
        <v>66</v>
      </c>
      <c r="B17" s="13">
        <f>VLOOKUP(Table24[[#This Row],[Location 
(drop-down)]],'List source'!D$2:E$59,2,FALSE)</f>
        <v>165</v>
      </c>
      <c r="C17" s="25" t="s">
        <v>67</v>
      </c>
      <c r="D17" s="33" t="str">
        <f t="shared" si="0"/>
        <v>P016-165-23</v>
      </c>
      <c r="E17" s="11" t="s">
        <v>15</v>
      </c>
      <c r="F17" s="148" t="s">
        <v>68</v>
      </c>
      <c r="G17" s="12">
        <v>44956</v>
      </c>
      <c r="H17" s="12" t="s">
        <v>17</v>
      </c>
      <c r="I17" s="12">
        <v>44957</v>
      </c>
      <c r="J17" s="10" t="s">
        <v>15</v>
      </c>
      <c r="K17" s="9" t="s">
        <v>55</v>
      </c>
      <c r="L17" s="20" t="s">
        <v>56</v>
      </c>
      <c r="M17" s="10"/>
    </row>
    <row r="18" spans="1:13" s="4" customFormat="1" ht="30" hidden="1" customHeight="1" x14ac:dyDescent="0.25">
      <c r="A18" s="9" t="s">
        <v>66</v>
      </c>
      <c r="B18" s="13">
        <f>VLOOKUP(Table24[[#This Row],[Location 
(drop-down)]],'List source'!D$2:E$59,2,FALSE)</f>
        <v>165</v>
      </c>
      <c r="C18" s="25" t="s">
        <v>69</v>
      </c>
      <c r="D18" s="33" t="str">
        <f t="shared" si="0"/>
        <v>P017-165-23</v>
      </c>
      <c r="E18" s="11" t="s">
        <v>15</v>
      </c>
      <c r="F18" s="148" t="s">
        <v>70</v>
      </c>
      <c r="G18" s="12">
        <v>44956</v>
      </c>
      <c r="H18" s="12" t="s">
        <v>17</v>
      </c>
      <c r="I18" s="12">
        <v>44964</v>
      </c>
      <c r="J18" s="10" t="s">
        <v>15</v>
      </c>
      <c r="K18" s="9" t="s">
        <v>55</v>
      </c>
      <c r="L18" s="9" t="s">
        <v>71</v>
      </c>
      <c r="M18" s="10"/>
    </row>
    <row r="19" spans="1:13" s="4" customFormat="1" ht="30" hidden="1" customHeight="1" x14ac:dyDescent="0.25">
      <c r="A19" s="9" t="s">
        <v>72</v>
      </c>
      <c r="B19" s="13">
        <f>VLOOKUP(Table24[[#This Row],[Location 
(drop-down)]],'List source'!D$2:E$59,2,FALSE)</f>
        <v>197</v>
      </c>
      <c r="C19" s="25" t="s">
        <v>73</v>
      </c>
      <c r="D19" s="33" t="str">
        <f t="shared" si="0"/>
        <v>P018-197-23</v>
      </c>
      <c r="E19" s="11" t="s">
        <v>15</v>
      </c>
      <c r="F19" s="148" t="s">
        <v>74</v>
      </c>
      <c r="G19" s="12">
        <v>44957</v>
      </c>
      <c r="H19" s="12" t="s">
        <v>17</v>
      </c>
      <c r="I19" s="12">
        <v>45539</v>
      </c>
      <c r="J19" s="10" t="s">
        <v>15</v>
      </c>
      <c r="K19" s="9"/>
      <c r="L19" s="9"/>
      <c r="M19" s="10"/>
    </row>
    <row r="20" spans="1:13" s="4" customFormat="1" ht="30" hidden="1" customHeight="1" x14ac:dyDescent="0.25">
      <c r="A20" s="9" t="s">
        <v>75</v>
      </c>
      <c r="B20" s="13">
        <f>VLOOKUP(Table24[[#This Row],[Location 
(drop-down)]],'List source'!D$2:E$59,2,FALSE)</f>
        <v>180</v>
      </c>
      <c r="C20" s="25" t="s">
        <v>76</v>
      </c>
      <c r="D20" s="33" t="str">
        <f t="shared" si="0"/>
        <v>P019-180-23</v>
      </c>
      <c r="E20" s="11" t="s">
        <v>15</v>
      </c>
      <c r="F20" s="148" t="s">
        <v>77</v>
      </c>
      <c r="G20" s="12">
        <v>44957</v>
      </c>
      <c r="H20" s="12" t="s">
        <v>17</v>
      </c>
      <c r="I20" s="12">
        <v>44973</v>
      </c>
      <c r="J20" s="10" t="s">
        <v>15</v>
      </c>
      <c r="K20" s="9" t="s">
        <v>60</v>
      </c>
      <c r="L20" s="9" t="s">
        <v>78</v>
      </c>
      <c r="M20" s="10"/>
    </row>
    <row r="21" spans="1:13" s="4" customFormat="1" ht="30" hidden="1" customHeight="1" x14ac:dyDescent="0.25">
      <c r="A21" s="9" t="s">
        <v>79</v>
      </c>
      <c r="B21" s="13">
        <f>VLOOKUP(Table24[[#This Row],[Location 
(drop-down)]],'List source'!D$2:E$59,2,FALSE)</f>
        <v>141</v>
      </c>
      <c r="C21" s="25" t="s">
        <v>80</v>
      </c>
      <c r="D21" s="33" t="str">
        <f t="shared" si="0"/>
        <v>P020-141-23</v>
      </c>
      <c r="E21" s="11" t="s">
        <v>15</v>
      </c>
      <c r="F21" s="148" t="s">
        <v>81</v>
      </c>
      <c r="G21" s="12">
        <v>44960</v>
      </c>
      <c r="H21" s="12" t="s">
        <v>17</v>
      </c>
      <c r="I21" s="12">
        <v>44967</v>
      </c>
      <c r="J21" s="10" t="s">
        <v>15</v>
      </c>
      <c r="K21" s="9" t="s">
        <v>82</v>
      </c>
      <c r="L21" s="9" t="s">
        <v>83</v>
      </c>
      <c r="M21" s="10"/>
    </row>
    <row r="22" spans="1:13" s="4" customFormat="1" ht="30" hidden="1" customHeight="1" x14ac:dyDescent="0.25">
      <c r="A22" s="9" t="s">
        <v>66</v>
      </c>
      <c r="B22" s="13">
        <f>VLOOKUP(Table24[[#This Row],[Location 
(drop-down)]],'List source'!D$2:E$59,2,FALSE)</f>
        <v>165</v>
      </c>
      <c r="C22" s="25" t="s">
        <v>84</v>
      </c>
      <c r="D22" s="33" t="str">
        <f t="shared" si="0"/>
        <v>P021-165-23</v>
      </c>
      <c r="E22" s="11" t="s">
        <v>15</v>
      </c>
      <c r="F22" s="148" t="s">
        <v>85</v>
      </c>
      <c r="G22" s="12">
        <v>44960</v>
      </c>
      <c r="H22" s="12" t="s">
        <v>17</v>
      </c>
      <c r="I22" s="12">
        <v>44998</v>
      </c>
      <c r="J22" s="10" t="s">
        <v>15</v>
      </c>
      <c r="K22" s="9" t="s">
        <v>60</v>
      </c>
      <c r="L22" s="9" t="s">
        <v>86</v>
      </c>
      <c r="M22" s="10"/>
    </row>
    <row r="23" spans="1:13" s="4" customFormat="1" ht="30" hidden="1" customHeight="1" x14ac:dyDescent="0.25">
      <c r="A23" s="9" t="s">
        <v>87</v>
      </c>
      <c r="B23" s="13">
        <f>VLOOKUP(Table24[[#This Row],[Location 
(drop-down)]],'List source'!D$2:E$59,2,FALSE)</f>
        <v>210</v>
      </c>
      <c r="C23" s="25" t="s">
        <v>88</v>
      </c>
      <c r="D23" s="33" t="str">
        <f t="shared" si="0"/>
        <v>P022-210-23</v>
      </c>
      <c r="E23" s="11" t="s">
        <v>15</v>
      </c>
      <c r="F23" s="148" t="s">
        <v>89</v>
      </c>
      <c r="G23" s="12">
        <v>44965</v>
      </c>
      <c r="H23" s="12" t="s">
        <v>17</v>
      </c>
      <c r="I23" s="12">
        <v>45152</v>
      </c>
      <c r="J23" s="10" t="s">
        <v>15</v>
      </c>
      <c r="K23" s="9" t="s">
        <v>55</v>
      </c>
      <c r="L23" s="9" t="s">
        <v>90</v>
      </c>
      <c r="M23" s="10"/>
    </row>
    <row r="24" spans="1:13" s="4" customFormat="1" ht="30" hidden="1" customHeight="1" x14ac:dyDescent="0.25">
      <c r="A24" s="9" t="s">
        <v>66</v>
      </c>
      <c r="B24" s="13">
        <f>VLOOKUP(Table24[[#This Row],[Location 
(drop-down)]],'List source'!D$2:E$59,2,FALSE)</f>
        <v>165</v>
      </c>
      <c r="C24" s="25" t="s">
        <v>91</v>
      </c>
      <c r="D24" s="33" t="str">
        <f t="shared" si="0"/>
        <v>P023-165-23</v>
      </c>
      <c r="E24" s="11" t="s">
        <v>15</v>
      </c>
      <c r="F24" s="148" t="s">
        <v>92</v>
      </c>
      <c r="G24" s="12">
        <v>44965</v>
      </c>
      <c r="H24" s="12" t="s">
        <v>17</v>
      </c>
      <c r="I24" s="12">
        <v>44998</v>
      </c>
      <c r="J24" s="10" t="s">
        <v>15</v>
      </c>
      <c r="K24" s="9" t="s">
        <v>60</v>
      </c>
      <c r="L24" s="9" t="s">
        <v>86</v>
      </c>
      <c r="M24" s="10"/>
    </row>
    <row r="25" spans="1:13" s="4" customFormat="1" ht="30" hidden="1" customHeight="1" x14ac:dyDescent="0.25">
      <c r="A25" s="9" t="s">
        <v>79</v>
      </c>
      <c r="B25" s="13">
        <f>VLOOKUP(Table24[[#This Row],[Location 
(drop-down)]],'List source'!D$2:E$59,2,FALSE)</f>
        <v>141</v>
      </c>
      <c r="C25" s="25" t="s">
        <v>93</v>
      </c>
      <c r="D25" s="33" t="str">
        <f t="shared" si="0"/>
        <v>P024-141-23</v>
      </c>
      <c r="E25" s="11" t="s">
        <v>94</v>
      </c>
      <c r="F25" s="148" t="s">
        <v>95</v>
      </c>
      <c r="G25" s="12">
        <v>44986</v>
      </c>
      <c r="H25" s="12" t="s">
        <v>96</v>
      </c>
      <c r="I25" s="12">
        <v>45021</v>
      </c>
      <c r="J25" s="10" t="s">
        <v>97</v>
      </c>
      <c r="K25" s="9" t="s">
        <v>98</v>
      </c>
      <c r="L25" s="9" t="s">
        <v>99</v>
      </c>
      <c r="M25" s="10"/>
    </row>
    <row r="26" spans="1:13" s="4" customFormat="1" ht="30" hidden="1" customHeight="1" x14ac:dyDescent="0.25">
      <c r="A26" s="9" t="s">
        <v>79</v>
      </c>
      <c r="B26" s="13">
        <f>VLOOKUP(Table24[[#This Row],[Location 
(drop-down)]],'List source'!D$2:E$59,2,FALSE)</f>
        <v>141</v>
      </c>
      <c r="C26" s="25" t="s">
        <v>100</v>
      </c>
      <c r="D26" s="33" t="str">
        <f t="shared" si="0"/>
        <v>P025-141-23</v>
      </c>
      <c r="E26" s="11" t="s">
        <v>94</v>
      </c>
      <c r="F26" s="152" t="s">
        <v>101</v>
      </c>
      <c r="G26" s="12">
        <v>44986</v>
      </c>
      <c r="H26" s="12" t="s">
        <v>96</v>
      </c>
      <c r="I26" s="12">
        <v>45009</v>
      </c>
      <c r="J26" s="10" t="s">
        <v>97</v>
      </c>
      <c r="K26" s="9" t="s">
        <v>102</v>
      </c>
      <c r="L26" s="9" t="s">
        <v>103</v>
      </c>
      <c r="M26" s="10"/>
    </row>
    <row r="27" spans="1:13" s="4" customFormat="1" ht="30" hidden="1" customHeight="1" x14ac:dyDescent="0.25">
      <c r="A27" s="9" t="s">
        <v>79</v>
      </c>
      <c r="B27" s="13">
        <f>VLOOKUP(Table24[[#This Row],[Location 
(drop-down)]],'List source'!D$2:E$59,2,FALSE)</f>
        <v>141</v>
      </c>
      <c r="C27" s="25" t="s">
        <v>104</v>
      </c>
      <c r="D27" s="33" t="str">
        <f t="shared" si="0"/>
        <v>P026-141-23</v>
      </c>
      <c r="E27" s="11" t="s">
        <v>94</v>
      </c>
      <c r="F27" s="148" t="s">
        <v>105</v>
      </c>
      <c r="G27" s="12">
        <v>44986</v>
      </c>
      <c r="H27" s="12" t="s">
        <v>96</v>
      </c>
      <c r="I27" s="12">
        <v>45021</v>
      </c>
      <c r="J27" s="10" t="s">
        <v>97</v>
      </c>
      <c r="K27" s="9" t="s">
        <v>106</v>
      </c>
      <c r="L27" s="9" t="s">
        <v>107</v>
      </c>
      <c r="M27" s="10"/>
    </row>
    <row r="28" spans="1:13" s="4" customFormat="1" ht="30" hidden="1" customHeight="1" thickBot="1" x14ac:dyDescent="0.3">
      <c r="A28" s="9" t="s">
        <v>108</v>
      </c>
      <c r="B28" s="13">
        <f>VLOOKUP(Table24[[#This Row],[Location 
(drop-down)]],'List source'!D$2:E$59,2,FALSE)</f>
        <v>191</v>
      </c>
      <c r="C28" s="25" t="s">
        <v>109</v>
      </c>
      <c r="D28" s="33" t="str">
        <f t="shared" si="0"/>
        <v>P027-191-23</v>
      </c>
      <c r="E28" s="11" t="s">
        <v>15</v>
      </c>
      <c r="F28" s="148" t="s">
        <v>110</v>
      </c>
      <c r="G28" s="12">
        <v>45016</v>
      </c>
      <c r="H28" s="12" t="s">
        <v>17</v>
      </c>
      <c r="I28" s="12">
        <v>45035</v>
      </c>
      <c r="J28" s="10" t="s">
        <v>15</v>
      </c>
      <c r="K28" s="187" t="s">
        <v>18</v>
      </c>
      <c r="L28" s="9" t="s">
        <v>111</v>
      </c>
      <c r="M28" s="10"/>
    </row>
    <row r="29" spans="1:13" s="4" customFormat="1" ht="30" hidden="1" customHeight="1" x14ac:dyDescent="0.25">
      <c r="A29" s="9" t="s">
        <v>112</v>
      </c>
      <c r="B29" s="13">
        <f>VLOOKUP(Table24[[#This Row],[Location 
(drop-down)]],'List source'!D$2:E$59,2,FALSE)</f>
        <v>115</v>
      </c>
      <c r="C29" s="25" t="s">
        <v>113</v>
      </c>
      <c r="D29" s="33" t="str">
        <f t="shared" si="0"/>
        <v>P028-115-23</v>
      </c>
      <c r="E29" s="11" t="s">
        <v>15</v>
      </c>
      <c r="F29" s="148" t="s">
        <v>114</v>
      </c>
      <c r="G29" s="12">
        <v>45016</v>
      </c>
      <c r="H29" s="12" t="s">
        <v>17</v>
      </c>
      <c r="I29" s="12">
        <v>45204</v>
      </c>
      <c r="J29" s="10" t="s">
        <v>15</v>
      </c>
      <c r="K29" s="9"/>
      <c r="L29" s="9"/>
      <c r="M29" s="10"/>
    </row>
    <row r="30" spans="1:13" s="4" customFormat="1" ht="30" hidden="1" customHeight="1" x14ac:dyDescent="0.25">
      <c r="A30" s="9" t="s">
        <v>108</v>
      </c>
      <c r="B30" s="13">
        <f>VLOOKUP(Table24[[#This Row],[Location 
(drop-down)]],'List source'!D$2:E$59,2,FALSE)</f>
        <v>191</v>
      </c>
      <c r="C30" s="25" t="s">
        <v>115</v>
      </c>
      <c r="D30" s="33" t="str">
        <f t="shared" si="0"/>
        <v>P029-191-23</v>
      </c>
      <c r="E30" s="11" t="s">
        <v>15</v>
      </c>
      <c r="F30" s="148" t="s">
        <v>116</v>
      </c>
      <c r="G30" s="12">
        <v>45016</v>
      </c>
      <c r="H30" s="12" t="s">
        <v>17</v>
      </c>
      <c r="I30" s="12">
        <v>45096</v>
      </c>
      <c r="J30" s="10" t="s">
        <v>15</v>
      </c>
      <c r="K30" s="9"/>
      <c r="L30" s="9"/>
      <c r="M30" s="10"/>
    </row>
    <row r="31" spans="1:13" s="4" customFormat="1" ht="30" hidden="1" customHeight="1" x14ac:dyDescent="0.25">
      <c r="A31" s="9" t="s">
        <v>108</v>
      </c>
      <c r="B31" s="13">
        <f>VLOOKUP(Table24[[#This Row],[Location 
(drop-down)]],'List source'!D$2:E$59,2,FALSE)</f>
        <v>191</v>
      </c>
      <c r="C31" s="25" t="s">
        <v>117</v>
      </c>
      <c r="D31" s="33" t="str">
        <f t="shared" si="0"/>
        <v>P030-191-23</v>
      </c>
      <c r="E31" s="11" t="s">
        <v>15</v>
      </c>
      <c r="F31" s="148" t="s">
        <v>114</v>
      </c>
      <c r="G31" s="12">
        <v>45016</v>
      </c>
      <c r="H31" s="12" t="s">
        <v>17</v>
      </c>
      <c r="I31" s="12">
        <v>45051</v>
      </c>
      <c r="J31" s="10" t="s">
        <v>15</v>
      </c>
      <c r="K31" s="188" t="s">
        <v>18</v>
      </c>
      <c r="L31" s="188" t="s">
        <v>118</v>
      </c>
      <c r="M31" s="10"/>
    </row>
    <row r="32" spans="1:13" s="4" customFormat="1" ht="30" hidden="1" customHeight="1" x14ac:dyDescent="0.25">
      <c r="A32" s="9" t="s">
        <v>72</v>
      </c>
      <c r="B32" s="13">
        <f>VLOOKUP(Table24[[#This Row],[Location 
(drop-down)]],'List source'!D$2:E$59,2,FALSE)</f>
        <v>197</v>
      </c>
      <c r="C32" s="25" t="s">
        <v>119</v>
      </c>
      <c r="D32" s="33" t="str">
        <f t="shared" si="0"/>
        <v>P031-197-23</v>
      </c>
      <c r="E32" s="11" t="s">
        <v>15</v>
      </c>
      <c r="F32" s="148" t="s">
        <v>120</v>
      </c>
      <c r="G32" s="12">
        <v>45016</v>
      </c>
      <c r="H32" s="12" t="s">
        <v>17</v>
      </c>
      <c r="I32" s="12">
        <v>45539</v>
      </c>
      <c r="J32" s="10" t="s">
        <v>15</v>
      </c>
      <c r="K32" s="9"/>
      <c r="L32" s="9"/>
      <c r="M32" s="10"/>
    </row>
    <row r="33" spans="1:13" s="4" customFormat="1" ht="30" hidden="1" customHeight="1" x14ac:dyDescent="0.25">
      <c r="A33" s="9" t="s">
        <v>87</v>
      </c>
      <c r="B33" s="13">
        <f>VLOOKUP(Table24[[#This Row],[Location 
(drop-down)]],'List source'!D$2:E$59,2,FALSE)</f>
        <v>210</v>
      </c>
      <c r="C33" s="25" t="s">
        <v>121</v>
      </c>
      <c r="D33" s="33" t="str">
        <f t="shared" si="0"/>
        <v>P032-210-23</v>
      </c>
      <c r="E33" s="11" t="s">
        <v>15</v>
      </c>
      <c r="F33" s="148" t="s">
        <v>122</v>
      </c>
      <c r="G33" s="12">
        <v>45016</v>
      </c>
      <c r="H33" s="12" t="s">
        <v>17</v>
      </c>
      <c r="I33" s="12">
        <v>45160</v>
      </c>
      <c r="J33" s="10" t="s">
        <v>15</v>
      </c>
      <c r="K33" s="9" t="s">
        <v>18</v>
      </c>
      <c r="L33" s="9" t="s">
        <v>123</v>
      </c>
      <c r="M33" s="10"/>
    </row>
    <row r="34" spans="1:13" s="4" customFormat="1" ht="30" hidden="1" customHeight="1" x14ac:dyDescent="0.25">
      <c r="A34" s="9" t="s">
        <v>27</v>
      </c>
      <c r="B34" s="13">
        <f>VLOOKUP(Table24[[#This Row],[Location 
(drop-down)]],'List source'!D$2:E$59,2,FALSE)</f>
        <v>132</v>
      </c>
      <c r="C34" s="25" t="s">
        <v>124</v>
      </c>
      <c r="D34" s="33" t="str">
        <f t="shared" si="0"/>
        <v>P033-132-23</v>
      </c>
      <c r="E34" s="11" t="s">
        <v>15</v>
      </c>
      <c r="F34" s="148" t="s">
        <v>125</v>
      </c>
      <c r="G34" s="12">
        <v>45016</v>
      </c>
      <c r="H34" s="12" t="s">
        <v>17</v>
      </c>
      <c r="I34" s="12">
        <v>45546</v>
      </c>
      <c r="J34" s="10" t="s">
        <v>15</v>
      </c>
      <c r="K34" s="9"/>
      <c r="L34" s="9"/>
      <c r="M34" s="10"/>
    </row>
    <row r="35" spans="1:13" s="4" customFormat="1" ht="36" hidden="1" customHeight="1" x14ac:dyDescent="0.25">
      <c r="A35" s="9" t="s">
        <v>126</v>
      </c>
      <c r="B35" s="13">
        <f>VLOOKUP(Table24[[#This Row],[Location 
(drop-down)]],'List source'!D$2:E$59,2,FALSE)</f>
        <v>125</v>
      </c>
      <c r="C35" s="25" t="s">
        <v>127</v>
      </c>
      <c r="D35" s="69" t="str">
        <f t="shared" si="0"/>
        <v>P034-125-23</v>
      </c>
      <c r="E35" s="11" t="s">
        <v>94</v>
      </c>
      <c r="F35" s="148" t="s">
        <v>128</v>
      </c>
      <c r="G35" s="12">
        <v>45026</v>
      </c>
      <c r="H35" s="12" t="s">
        <v>129</v>
      </c>
      <c r="I35" s="12">
        <v>45128</v>
      </c>
      <c r="J35" s="10" t="s">
        <v>97</v>
      </c>
      <c r="K35" s="9" t="s">
        <v>106</v>
      </c>
      <c r="L35" s="9" t="s">
        <v>130</v>
      </c>
      <c r="M35" s="10"/>
    </row>
    <row r="36" spans="1:13" s="4" customFormat="1" ht="36" hidden="1" customHeight="1" x14ac:dyDescent="0.25">
      <c r="A36" s="9" t="s">
        <v>131</v>
      </c>
      <c r="B36" s="13" t="str">
        <f>VLOOKUP(Table24[[#This Row],[Location 
(drop-down)]],'List source'!D$2:E$59,2,FALSE)</f>
        <v>VOID</v>
      </c>
      <c r="C36" s="25" t="s">
        <v>132</v>
      </c>
      <c r="D36" s="33" t="str">
        <f t="shared" si="0"/>
        <v>P035-VOID-23</v>
      </c>
      <c r="E36" s="11" t="s">
        <v>50</v>
      </c>
      <c r="F36" s="148" t="s">
        <v>133</v>
      </c>
      <c r="G36" s="12" t="s">
        <v>50</v>
      </c>
      <c r="H36" s="12" t="s">
        <v>50</v>
      </c>
      <c r="I36" s="12" t="s">
        <v>50</v>
      </c>
      <c r="J36" s="10" t="s">
        <v>50</v>
      </c>
      <c r="K36" s="9" t="s">
        <v>50</v>
      </c>
      <c r="L36" s="9" t="s">
        <v>50</v>
      </c>
      <c r="M36" s="10"/>
    </row>
    <row r="37" spans="1:13" s="4" customFormat="1" ht="30" hidden="1" customHeight="1" x14ac:dyDescent="0.25">
      <c r="A37" s="9" t="s">
        <v>126</v>
      </c>
      <c r="B37" s="13">
        <f>VLOOKUP(Table24[[#This Row],[Location 
(drop-down)]],'List source'!D$2:E$59,2,FALSE)</f>
        <v>125</v>
      </c>
      <c r="C37" s="25" t="s">
        <v>134</v>
      </c>
      <c r="D37" s="33" t="str">
        <f t="shared" si="0"/>
        <v>P036-125-23</v>
      </c>
      <c r="E37" s="11" t="s">
        <v>94</v>
      </c>
      <c r="F37" s="148" t="s">
        <v>135</v>
      </c>
      <c r="G37" s="12">
        <v>45026</v>
      </c>
      <c r="H37" s="12" t="s">
        <v>129</v>
      </c>
      <c r="I37" s="12">
        <v>45070</v>
      </c>
      <c r="J37" s="10" t="s">
        <v>97</v>
      </c>
      <c r="K37" s="9" t="s">
        <v>82</v>
      </c>
      <c r="L37" s="9" t="s">
        <v>136</v>
      </c>
      <c r="M37" s="10"/>
    </row>
    <row r="38" spans="1:13" s="4" customFormat="1" ht="30" hidden="1" customHeight="1" x14ac:dyDescent="0.25">
      <c r="A38" s="9" t="s">
        <v>126</v>
      </c>
      <c r="B38" s="13">
        <f>VLOOKUP(Table24[[#This Row],[Location 
(drop-down)]],'List source'!D$2:E$59,2,FALSE)</f>
        <v>125</v>
      </c>
      <c r="C38" s="25" t="s">
        <v>137</v>
      </c>
      <c r="D38" s="33" t="str">
        <f t="shared" si="0"/>
        <v>P037-125-23</v>
      </c>
      <c r="E38" s="11" t="s">
        <v>94</v>
      </c>
      <c r="F38" s="148" t="s">
        <v>138</v>
      </c>
      <c r="G38" s="12">
        <v>45026</v>
      </c>
      <c r="H38" s="12" t="s">
        <v>129</v>
      </c>
      <c r="I38" s="12">
        <v>45070</v>
      </c>
      <c r="J38" s="10" t="s">
        <v>97</v>
      </c>
      <c r="K38" s="9" t="s">
        <v>139</v>
      </c>
      <c r="L38" s="9" t="s">
        <v>140</v>
      </c>
      <c r="M38" s="10"/>
    </row>
    <row r="39" spans="1:13" s="4" customFormat="1" ht="30" hidden="1" customHeight="1" x14ac:dyDescent="0.25">
      <c r="A39" s="9" t="s">
        <v>126</v>
      </c>
      <c r="B39" s="13">
        <f>VLOOKUP(Table24[[#This Row],[Location 
(drop-down)]],'List source'!D$2:E$59,2,FALSE)</f>
        <v>125</v>
      </c>
      <c r="C39" s="25" t="s">
        <v>141</v>
      </c>
      <c r="D39" s="33" t="str">
        <f t="shared" si="0"/>
        <v>P038-125-23</v>
      </c>
      <c r="E39" s="11" t="s">
        <v>94</v>
      </c>
      <c r="F39" s="148" t="s">
        <v>142</v>
      </c>
      <c r="G39" s="12">
        <v>45026</v>
      </c>
      <c r="H39" s="12" t="s">
        <v>129</v>
      </c>
      <c r="I39" s="12">
        <v>45070</v>
      </c>
      <c r="J39" s="10" t="s">
        <v>97</v>
      </c>
      <c r="K39" s="9" t="s">
        <v>143</v>
      </c>
      <c r="L39" s="9" t="s">
        <v>144</v>
      </c>
      <c r="M39" s="10"/>
    </row>
    <row r="40" spans="1:13" s="4" customFormat="1" ht="30" hidden="1" customHeight="1" x14ac:dyDescent="0.25">
      <c r="A40" s="9" t="s">
        <v>126</v>
      </c>
      <c r="B40" s="13">
        <f>VLOOKUP(Table24[[#This Row],[Location 
(drop-down)]],'List source'!D$2:E$59,2,FALSE)</f>
        <v>125</v>
      </c>
      <c r="C40" s="25" t="s">
        <v>145</v>
      </c>
      <c r="D40" s="33" t="str">
        <f t="shared" si="0"/>
        <v>P039-125-23</v>
      </c>
      <c r="E40" s="11" t="s">
        <v>94</v>
      </c>
      <c r="F40" s="148" t="s">
        <v>146</v>
      </c>
      <c r="G40" s="12">
        <v>45026</v>
      </c>
      <c r="H40" s="12" t="s">
        <v>129</v>
      </c>
      <c r="I40" s="12">
        <v>45070</v>
      </c>
      <c r="J40" s="10" t="s">
        <v>147</v>
      </c>
      <c r="K40" s="9" t="s">
        <v>148</v>
      </c>
      <c r="L40" s="9" t="s">
        <v>149</v>
      </c>
      <c r="M40" s="10"/>
    </row>
    <row r="41" spans="1:13" s="4" customFormat="1" ht="30" hidden="1" customHeight="1" x14ac:dyDescent="0.25">
      <c r="A41" s="9" t="s">
        <v>126</v>
      </c>
      <c r="B41" s="13">
        <f>VLOOKUP(Table24[[#This Row],[Location 
(drop-down)]],'List source'!D$2:E$59,2,FALSE)</f>
        <v>125</v>
      </c>
      <c r="C41" s="25" t="s">
        <v>150</v>
      </c>
      <c r="D41" s="33" t="str">
        <f t="shared" si="0"/>
        <v>P040-125-23</v>
      </c>
      <c r="E41" s="11" t="s">
        <v>94</v>
      </c>
      <c r="F41" s="148" t="s">
        <v>151</v>
      </c>
      <c r="G41" s="12">
        <v>45026</v>
      </c>
      <c r="H41" s="12" t="s">
        <v>129</v>
      </c>
      <c r="I41" s="12">
        <v>45070</v>
      </c>
      <c r="J41" s="10" t="s">
        <v>147</v>
      </c>
      <c r="K41" s="9" t="s">
        <v>152</v>
      </c>
      <c r="L41" s="9" t="s">
        <v>153</v>
      </c>
      <c r="M41" s="10"/>
    </row>
    <row r="42" spans="1:13" s="4" customFormat="1" ht="30" hidden="1" customHeight="1" x14ac:dyDescent="0.25">
      <c r="A42" s="9" t="s">
        <v>126</v>
      </c>
      <c r="B42" s="13">
        <f>VLOOKUP(Table24[[#This Row],[Location 
(drop-down)]],'List source'!D$2:E$59,2,FALSE)</f>
        <v>125</v>
      </c>
      <c r="C42" s="25" t="s">
        <v>154</v>
      </c>
      <c r="D42" s="33" t="str">
        <f t="shared" si="0"/>
        <v>P041-125-23</v>
      </c>
      <c r="E42" s="11" t="s">
        <v>94</v>
      </c>
      <c r="F42" s="148" t="s">
        <v>155</v>
      </c>
      <c r="G42" s="12">
        <v>45026</v>
      </c>
      <c r="H42" s="12" t="s">
        <v>129</v>
      </c>
      <c r="I42" s="12">
        <v>45070</v>
      </c>
      <c r="J42" s="10" t="s">
        <v>97</v>
      </c>
      <c r="K42" s="9" t="s">
        <v>156</v>
      </c>
      <c r="L42" s="9" t="s">
        <v>157</v>
      </c>
      <c r="M42" s="10"/>
    </row>
    <row r="43" spans="1:13" s="4" customFormat="1" ht="30" hidden="1" customHeight="1" x14ac:dyDescent="0.25">
      <c r="A43" s="9" t="s">
        <v>61</v>
      </c>
      <c r="B43" s="13">
        <v>120</v>
      </c>
      <c r="C43" s="25" t="s">
        <v>158</v>
      </c>
      <c r="D43" s="33" t="str">
        <f t="shared" si="0"/>
        <v>P042-120-23</v>
      </c>
      <c r="E43" s="11" t="s">
        <v>159</v>
      </c>
      <c r="F43" s="148" t="s">
        <v>160</v>
      </c>
      <c r="G43" s="12">
        <v>45033</v>
      </c>
      <c r="H43" s="12" t="s">
        <v>161</v>
      </c>
      <c r="I43" s="12">
        <v>45033</v>
      </c>
      <c r="J43" s="10" t="s">
        <v>97</v>
      </c>
      <c r="K43" s="9"/>
      <c r="L43" s="9"/>
      <c r="M43" s="10"/>
    </row>
    <row r="44" spans="1:13" s="4" customFormat="1" ht="40.15" hidden="1" customHeight="1" x14ac:dyDescent="0.25">
      <c r="A44" s="9" t="s">
        <v>61</v>
      </c>
      <c r="B44" s="13">
        <f>VLOOKUP(Table24[[#This Row],[Location 
(drop-down)]],'List source'!D$2:E$59,2,FALSE)</f>
        <v>120</v>
      </c>
      <c r="C44" s="25" t="s">
        <v>162</v>
      </c>
      <c r="D44" s="33" t="str">
        <f t="shared" si="0"/>
        <v>P043-120-23</v>
      </c>
      <c r="E44" s="11" t="s">
        <v>159</v>
      </c>
      <c r="F44" s="148" t="s">
        <v>163</v>
      </c>
      <c r="G44" s="12">
        <v>45033</v>
      </c>
      <c r="H44" s="12" t="s">
        <v>161</v>
      </c>
      <c r="I44" s="12">
        <v>45033</v>
      </c>
      <c r="J44" s="10" t="s">
        <v>97</v>
      </c>
      <c r="K44" s="9"/>
      <c r="L44" s="9"/>
      <c r="M44" s="10"/>
    </row>
    <row r="45" spans="1:13" s="4" customFormat="1" ht="30" hidden="1" customHeight="1" x14ac:dyDescent="0.25">
      <c r="A45" s="9" t="s">
        <v>61</v>
      </c>
      <c r="B45" s="13">
        <f>VLOOKUP(Table24[[#This Row],[Location 
(drop-down)]],'List source'!D$2:E$59,2,FALSE)</f>
        <v>120</v>
      </c>
      <c r="C45" s="25" t="s">
        <v>164</v>
      </c>
      <c r="D45" s="33" t="str">
        <f t="shared" si="0"/>
        <v>P044-120-23</v>
      </c>
      <c r="E45" s="11" t="s">
        <v>159</v>
      </c>
      <c r="F45" s="148" t="s">
        <v>165</v>
      </c>
      <c r="G45" s="12">
        <v>45033</v>
      </c>
      <c r="H45" s="12" t="s">
        <v>161</v>
      </c>
      <c r="I45" s="12">
        <v>45033</v>
      </c>
      <c r="J45" s="10" t="s">
        <v>97</v>
      </c>
      <c r="K45" s="9"/>
      <c r="L45" s="9"/>
      <c r="M45" s="10"/>
    </row>
    <row r="46" spans="1:13" s="4" customFormat="1" ht="30" hidden="1" customHeight="1" x14ac:dyDescent="0.25">
      <c r="A46" s="9" t="s">
        <v>61</v>
      </c>
      <c r="B46" s="13">
        <f>VLOOKUP(Table24[[#This Row],[Location 
(drop-down)]],'List source'!D$2:E$59,2,FALSE)</f>
        <v>120</v>
      </c>
      <c r="C46" s="25" t="s">
        <v>166</v>
      </c>
      <c r="D46" s="33" t="str">
        <f t="shared" si="0"/>
        <v>P045-120-23</v>
      </c>
      <c r="E46" s="11" t="s">
        <v>159</v>
      </c>
      <c r="F46" s="148" t="s">
        <v>167</v>
      </c>
      <c r="G46" s="12">
        <v>45033</v>
      </c>
      <c r="H46" s="12" t="s">
        <v>161</v>
      </c>
      <c r="I46" s="12">
        <v>45033</v>
      </c>
      <c r="J46" s="10" t="s">
        <v>97</v>
      </c>
      <c r="K46" s="9"/>
      <c r="L46" s="9"/>
      <c r="M46" s="10"/>
    </row>
    <row r="47" spans="1:13" s="4" customFormat="1" ht="30" customHeight="1" x14ac:dyDescent="0.25">
      <c r="A47" s="9" t="s">
        <v>168</v>
      </c>
      <c r="B47" s="13">
        <f>VLOOKUP(Table24[[#This Row],[Location 
(drop-down)]],'List source'!D$2:E$59,2,FALSE)</f>
        <v>136</v>
      </c>
      <c r="C47" s="25" t="s">
        <v>169</v>
      </c>
      <c r="D47" s="220" t="str">
        <f t="shared" si="0"/>
        <v>P046-136-23</v>
      </c>
      <c r="E47" s="11" t="s">
        <v>15</v>
      </c>
      <c r="F47" s="148" t="s">
        <v>170</v>
      </c>
      <c r="G47" s="12">
        <v>45034</v>
      </c>
      <c r="H47" s="12" t="s">
        <v>17</v>
      </c>
      <c r="I47" s="217"/>
      <c r="J47" s="10" t="s">
        <v>15</v>
      </c>
      <c r="K47" s="9"/>
      <c r="L47" s="9"/>
      <c r="M47" s="10"/>
    </row>
    <row r="48" spans="1:13" s="4" customFormat="1" ht="30" hidden="1" customHeight="1" x14ac:dyDescent="0.25">
      <c r="A48" s="9" t="s">
        <v>171</v>
      </c>
      <c r="B48" s="13">
        <f>VLOOKUP(Table24[[#This Row],[Location 
(drop-down)]],'List source'!D$2:E$59,2,FALSE)</f>
        <v>160</v>
      </c>
      <c r="C48" s="25" t="s">
        <v>172</v>
      </c>
      <c r="D48" s="33" t="str">
        <f t="shared" si="0"/>
        <v>P047-160-23</v>
      </c>
      <c r="E48" s="11" t="s">
        <v>15</v>
      </c>
      <c r="F48" s="148" t="s">
        <v>173</v>
      </c>
      <c r="G48" s="12">
        <v>45034</v>
      </c>
      <c r="H48" s="12" t="s">
        <v>17</v>
      </c>
      <c r="I48" s="12">
        <v>45345</v>
      </c>
      <c r="J48" s="10" t="s">
        <v>15</v>
      </c>
      <c r="K48" s="9"/>
      <c r="L48" s="9"/>
      <c r="M48" s="10"/>
    </row>
    <row r="49" spans="1:13" s="4" customFormat="1" ht="30" hidden="1" customHeight="1" x14ac:dyDescent="0.25">
      <c r="A49" s="9" t="s">
        <v>174</v>
      </c>
      <c r="B49" s="13">
        <f>VLOOKUP(Table24[[#This Row],[Location 
(drop-down)]],'List source'!D$2:E$59,2,FALSE)</f>
        <v>131</v>
      </c>
      <c r="C49" s="25" t="s">
        <v>175</v>
      </c>
      <c r="D49" s="33" t="str">
        <f t="shared" si="0"/>
        <v>P048-131-23</v>
      </c>
      <c r="E49" s="11" t="s">
        <v>15</v>
      </c>
      <c r="F49" s="148" t="s">
        <v>176</v>
      </c>
      <c r="G49" s="12">
        <v>45034</v>
      </c>
      <c r="H49" s="12" t="s">
        <v>17</v>
      </c>
      <c r="I49" s="12">
        <v>45061</v>
      </c>
      <c r="J49" s="10" t="s">
        <v>15</v>
      </c>
      <c r="K49" s="9" t="s">
        <v>18</v>
      </c>
      <c r="L49" s="9" t="s">
        <v>177</v>
      </c>
      <c r="M49" s="10"/>
    </row>
    <row r="50" spans="1:13" s="4" customFormat="1" ht="30" hidden="1" customHeight="1" x14ac:dyDescent="0.25">
      <c r="A50" s="9" t="s">
        <v>178</v>
      </c>
      <c r="B50" s="13">
        <f>VLOOKUP(Table24[[#This Row],[Location 
(drop-down)]],'List source'!D$2:E$59,2,FALSE)</f>
        <v>150</v>
      </c>
      <c r="C50" s="25" t="s">
        <v>179</v>
      </c>
      <c r="D50" s="33" t="str">
        <f t="shared" si="0"/>
        <v>P049-150-23</v>
      </c>
      <c r="E50" s="11" t="s">
        <v>15</v>
      </c>
      <c r="F50" s="148" t="s">
        <v>180</v>
      </c>
      <c r="G50" s="12">
        <v>45034</v>
      </c>
      <c r="H50" s="12" t="s">
        <v>17</v>
      </c>
      <c r="I50" s="12">
        <v>45272</v>
      </c>
      <c r="J50" s="10" t="s">
        <v>15</v>
      </c>
      <c r="K50" s="9"/>
      <c r="L50" s="9"/>
      <c r="M50" s="10"/>
    </row>
    <row r="51" spans="1:13" s="4" customFormat="1" ht="30" hidden="1" customHeight="1" x14ac:dyDescent="0.25">
      <c r="A51" s="9" t="s">
        <v>87</v>
      </c>
      <c r="B51" s="13">
        <f>VLOOKUP(Table24[[#This Row],[Location 
(drop-down)]],'List source'!D$2:E$59,2,FALSE)</f>
        <v>210</v>
      </c>
      <c r="C51" s="25" t="s">
        <v>181</v>
      </c>
      <c r="D51" s="33" t="str">
        <f t="shared" si="0"/>
        <v>P050-210-23</v>
      </c>
      <c r="E51" s="11" t="s">
        <v>15</v>
      </c>
      <c r="F51" s="148" t="s">
        <v>182</v>
      </c>
      <c r="G51" s="12">
        <v>45034</v>
      </c>
      <c r="H51" s="12" t="s">
        <v>17</v>
      </c>
      <c r="I51" s="12">
        <v>45100</v>
      </c>
      <c r="J51" s="10" t="s">
        <v>15</v>
      </c>
      <c r="K51" s="9" t="s">
        <v>18</v>
      </c>
      <c r="L51" s="9" t="s">
        <v>140</v>
      </c>
      <c r="M51" s="10"/>
    </row>
    <row r="52" spans="1:13" s="4" customFormat="1" ht="30" hidden="1" customHeight="1" x14ac:dyDescent="0.25">
      <c r="A52" s="9" t="s">
        <v>66</v>
      </c>
      <c r="B52" s="13">
        <f>VLOOKUP(Table24[[#This Row],[Location 
(drop-down)]],'List source'!D$2:E$59,2,FALSE)</f>
        <v>165</v>
      </c>
      <c r="C52" s="25" t="s">
        <v>183</v>
      </c>
      <c r="D52" s="33" t="str">
        <f t="shared" si="0"/>
        <v>P051-165-23</v>
      </c>
      <c r="E52" s="11" t="s">
        <v>15</v>
      </c>
      <c r="F52" s="148" t="s">
        <v>184</v>
      </c>
      <c r="G52" s="12">
        <v>45034</v>
      </c>
      <c r="H52" s="12" t="s">
        <v>17</v>
      </c>
      <c r="I52" s="12">
        <v>45062</v>
      </c>
      <c r="J52" s="10" t="s">
        <v>15</v>
      </c>
      <c r="K52" s="9" t="s">
        <v>185</v>
      </c>
      <c r="L52" s="9" t="s">
        <v>186</v>
      </c>
      <c r="M52" s="10"/>
    </row>
    <row r="53" spans="1:13" s="4" customFormat="1" ht="30" hidden="1" customHeight="1" x14ac:dyDescent="0.25">
      <c r="A53" s="9" t="s">
        <v>87</v>
      </c>
      <c r="B53" s="13">
        <f>VLOOKUP(Table24[[#This Row],[Location 
(drop-down)]],'List source'!D$2:E$59,2,FALSE)</f>
        <v>210</v>
      </c>
      <c r="C53" s="25" t="s">
        <v>187</v>
      </c>
      <c r="D53" s="33" t="str">
        <f t="shared" si="0"/>
        <v>P052-210-23</v>
      </c>
      <c r="E53" s="11" t="s">
        <v>94</v>
      </c>
      <c r="F53" s="148" t="s">
        <v>188</v>
      </c>
      <c r="G53" s="12">
        <v>45021</v>
      </c>
      <c r="H53" s="12" t="s">
        <v>189</v>
      </c>
      <c r="I53" s="12">
        <v>45041</v>
      </c>
      <c r="J53" s="10" t="s">
        <v>97</v>
      </c>
      <c r="K53" s="9" t="s">
        <v>190</v>
      </c>
      <c r="L53" s="9"/>
      <c r="M53" s="10"/>
    </row>
    <row r="54" spans="1:13" s="4" customFormat="1" ht="30" hidden="1" customHeight="1" x14ac:dyDescent="0.25">
      <c r="A54" s="9" t="s">
        <v>87</v>
      </c>
      <c r="B54" s="13">
        <f>VLOOKUP(Table24[[#This Row],[Location 
(drop-down)]],'List source'!D$2:E$59,2,FALSE)</f>
        <v>210</v>
      </c>
      <c r="C54" s="25" t="s">
        <v>191</v>
      </c>
      <c r="D54" s="33" t="str">
        <f t="shared" si="0"/>
        <v>P053-210-23</v>
      </c>
      <c r="E54" s="11" t="s">
        <v>94</v>
      </c>
      <c r="F54" s="148" t="s">
        <v>192</v>
      </c>
      <c r="G54" s="12">
        <v>45021</v>
      </c>
      <c r="H54" s="12" t="s">
        <v>189</v>
      </c>
      <c r="I54" s="12">
        <v>45041</v>
      </c>
      <c r="J54" s="10" t="s">
        <v>97</v>
      </c>
      <c r="K54" s="9" t="s">
        <v>193</v>
      </c>
      <c r="L54" s="9"/>
      <c r="M54" s="10"/>
    </row>
    <row r="55" spans="1:13" s="4" customFormat="1" ht="30" hidden="1" customHeight="1" x14ac:dyDescent="0.25">
      <c r="A55" s="9" t="s">
        <v>87</v>
      </c>
      <c r="B55" s="13">
        <f>VLOOKUP(Table24[[#This Row],[Location 
(drop-down)]],'List source'!D$2:E$59,2,FALSE)</f>
        <v>210</v>
      </c>
      <c r="C55" s="25" t="s">
        <v>194</v>
      </c>
      <c r="D55" s="33" t="str">
        <f t="shared" si="0"/>
        <v>P054-210-23</v>
      </c>
      <c r="E55" s="11" t="s">
        <v>94</v>
      </c>
      <c r="F55" s="148" t="s">
        <v>188</v>
      </c>
      <c r="G55" s="12">
        <v>45021</v>
      </c>
      <c r="H55" s="12" t="s">
        <v>189</v>
      </c>
      <c r="I55" s="12">
        <v>45041</v>
      </c>
      <c r="J55" s="10" t="s">
        <v>97</v>
      </c>
      <c r="K55" s="9" t="s">
        <v>190</v>
      </c>
      <c r="L55" s="9"/>
      <c r="M55" s="10"/>
    </row>
    <row r="56" spans="1:13" s="4" customFormat="1" ht="30" hidden="1" customHeight="1" x14ac:dyDescent="0.25">
      <c r="A56" s="9" t="s">
        <v>22</v>
      </c>
      <c r="B56" s="13">
        <f>VLOOKUP(Table24[[#This Row],[Location 
(drop-down)]],'List source'!D$2:E$59,2,FALSE)</f>
        <v>130</v>
      </c>
      <c r="C56" s="25" t="s">
        <v>195</v>
      </c>
      <c r="D56" s="33" t="str">
        <f t="shared" si="0"/>
        <v>P055-130-23</v>
      </c>
      <c r="E56" s="11" t="s">
        <v>159</v>
      </c>
      <c r="F56" s="148" t="s">
        <v>196</v>
      </c>
      <c r="G56" s="12">
        <v>44956</v>
      </c>
      <c r="H56" s="12" t="s">
        <v>129</v>
      </c>
      <c r="I56" s="12">
        <v>45218</v>
      </c>
      <c r="J56" s="10" t="s">
        <v>147</v>
      </c>
      <c r="K56" s="9" t="s">
        <v>197</v>
      </c>
      <c r="L56" s="9" t="s">
        <v>198</v>
      </c>
      <c r="M56" s="10" t="s">
        <v>199</v>
      </c>
    </row>
    <row r="57" spans="1:13" s="4" customFormat="1" ht="30" hidden="1" customHeight="1" x14ac:dyDescent="0.25">
      <c r="A57" s="9" t="s">
        <v>174</v>
      </c>
      <c r="B57" s="13">
        <f>VLOOKUP(Table24[[#This Row],[Location 
(drop-down)]],'List source'!D$2:E$59,2,FALSE)</f>
        <v>131</v>
      </c>
      <c r="C57" s="25" t="s">
        <v>200</v>
      </c>
      <c r="D57" s="33" t="str">
        <f t="shared" si="0"/>
        <v>P056-131-23</v>
      </c>
      <c r="E57" s="11" t="s">
        <v>15</v>
      </c>
      <c r="F57" s="148" t="s">
        <v>201</v>
      </c>
      <c r="G57" s="12">
        <v>45044</v>
      </c>
      <c r="H57" s="12" t="s">
        <v>17</v>
      </c>
      <c r="I57" s="12">
        <v>45156</v>
      </c>
      <c r="J57" s="10" t="s">
        <v>15</v>
      </c>
      <c r="K57" s="9" t="s">
        <v>18</v>
      </c>
      <c r="L57" s="9" t="s">
        <v>202</v>
      </c>
      <c r="M57" s="10"/>
    </row>
    <row r="58" spans="1:13" s="4" customFormat="1" ht="30" hidden="1" customHeight="1" x14ac:dyDescent="0.25">
      <c r="A58" s="9" t="s">
        <v>87</v>
      </c>
      <c r="B58" s="13">
        <f>VLOOKUP(Table24[[#This Row],[Location 
(drop-down)]],'List source'!D$2:E$59,2,FALSE)</f>
        <v>210</v>
      </c>
      <c r="C58" s="25" t="s">
        <v>203</v>
      </c>
      <c r="D58" s="33" t="str">
        <f t="shared" si="0"/>
        <v>P057-210-23</v>
      </c>
      <c r="E58" s="11" t="s">
        <v>15</v>
      </c>
      <c r="F58" s="148" t="s">
        <v>204</v>
      </c>
      <c r="G58" s="12">
        <v>45044</v>
      </c>
      <c r="H58" s="12" t="s">
        <v>17</v>
      </c>
      <c r="I58" s="12">
        <v>45097</v>
      </c>
      <c r="J58" s="10" t="s">
        <v>15</v>
      </c>
      <c r="K58" s="9" t="s">
        <v>82</v>
      </c>
      <c r="L58" s="9" t="s">
        <v>205</v>
      </c>
      <c r="M58" s="10"/>
    </row>
    <row r="59" spans="1:13" s="4" customFormat="1" ht="30" hidden="1" customHeight="1" x14ac:dyDescent="0.25">
      <c r="A59" s="9" t="s">
        <v>72</v>
      </c>
      <c r="B59" s="13">
        <f>VLOOKUP(Table24[[#This Row],[Location 
(drop-down)]],'List source'!D$2:E$59,2,FALSE)</f>
        <v>197</v>
      </c>
      <c r="C59" s="25" t="s">
        <v>206</v>
      </c>
      <c r="D59" s="33" t="str">
        <f t="shared" si="0"/>
        <v>P058-197-23</v>
      </c>
      <c r="E59" s="11" t="s">
        <v>15</v>
      </c>
      <c r="F59" s="148" t="s">
        <v>207</v>
      </c>
      <c r="G59" s="12">
        <v>45044</v>
      </c>
      <c r="H59" s="12" t="s">
        <v>17</v>
      </c>
      <c r="I59" s="12">
        <v>45539</v>
      </c>
      <c r="J59" s="10" t="s">
        <v>15</v>
      </c>
      <c r="K59" s="9"/>
      <c r="L59" s="9"/>
      <c r="M59" s="10"/>
    </row>
    <row r="60" spans="1:13" s="4" customFormat="1" ht="30" hidden="1" customHeight="1" x14ac:dyDescent="0.25">
      <c r="A60" s="9" t="s">
        <v>208</v>
      </c>
      <c r="B60" s="13">
        <f>VLOOKUP(Table24[[#This Row],[Location 
(drop-down)]],'List source'!D$2:E$59,2,FALSE)</f>
        <v>142</v>
      </c>
      <c r="C60" s="25" t="s">
        <v>209</v>
      </c>
      <c r="D60" s="33" t="str">
        <f t="shared" si="0"/>
        <v>P059-142-23</v>
      </c>
      <c r="E60" s="11" t="s">
        <v>15</v>
      </c>
      <c r="F60" s="148" t="s">
        <v>210</v>
      </c>
      <c r="G60" s="12">
        <v>45047</v>
      </c>
      <c r="H60" s="12" t="s">
        <v>17</v>
      </c>
      <c r="I60" s="12">
        <v>45104</v>
      </c>
      <c r="J60" s="10" t="s">
        <v>15</v>
      </c>
      <c r="K60" s="9" t="s">
        <v>18</v>
      </c>
      <c r="L60" s="9" t="s">
        <v>211</v>
      </c>
      <c r="M60" s="10"/>
    </row>
    <row r="61" spans="1:13" s="4" customFormat="1" ht="30" hidden="1" customHeight="1" x14ac:dyDescent="0.25">
      <c r="A61" s="9" t="s">
        <v>208</v>
      </c>
      <c r="B61" s="13">
        <f>VLOOKUP(Table24[[#This Row],[Location 
(drop-down)]],'List source'!D$2:E$59,2,FALSE)</f>
        <v>142</v>
      </c>
      <c r="C61" s="25" t="s">
        <v>212</v>
      </c>
      <c r="D61" s="33" t="str">
        <f t="shared" si="0"/>
        <v>P060-142-23</v>
      </c>
      <c r="E61" s="11" t="s">
        <v>15</v>
      </c>
      <c r="F61" s="148" t="s">
        <v>213</v>
      </c>
      <c r="G61" s="12">
        <v>45047</v>
      </c>
      <c r="H61" s="12" t="s">
        <v>17</v>
      </c>
      <c r="I61" s="12">
        <v>45112</v>
      </c>
      <c r="J61" s="10" t="s">
        <v>15</v>
      </c>
      <c r="K61" s="9" t="s">
        <v>18</v>
      </c>
      <c r="L61" s="9" t="s">
        <v>202</v>
      </c>
      <c r="M61" s="10"/>
    </row>
    <row r="62" spans="1:13" s="4" customFormat="1" ht="30" hidden="1" customHeight="1" x14ac:dyDescent="0.25">
      <c r="A62" s="9" t="s">
        <v>174</v>
      </c>
      <c r="B62" s="13">
        <f>VLOOKUP(Table24[[#This Row],[Location 
(drop-down)]],'List source'!D$2:E$59,2,FALSE)</f>
        <v>131</v>
      </c>
      <c r="C62" s="25" t="s">
        <v>214</v>
      </c>
      <c r="D62" s="33" t="str">
        <f t="shared" si="0"/>
        <v>P061-131-23</v>
      </c>
      <c r="E62" s="11" t="s">
        <v>15</v>
      </c>
      <c r="F62" s="148" t="s">
        <v>215</v>
      </c>
      <c r="G62" s="12">
        <v>45049</v>
      </c>
      <c r="H62" s="12" t="s">
        <v>17</v>
      </c>
      <c r="I62" s="12">
        <v>45076</v>
      </c>
      <c r="J62" s="10" t="s">
        <v>15</v>
      </c>
      <c r="K62" s="9" t="s">
        <v>18</v>
      </c>
      <c r="L62" s="9" t="s">
        <v>216</v>
      </c>
      <c r="M62" s="10"/>
    </row>
    <row r="63" spans="1:13" s="4" customFormat="1" ht="30" hidden="1" customHeight="1" x14ac:dyDescent="0.25">
      <c r="A63" s="9" t="s">
        <v>87</v>
      </c>
      <c r="B63" s="13">
        <f>VLOOKUP(Table24[[#This Row],[Location 
(drop-down)]],'List source'!D$2:E$59,2,FALSE)</f>
        <v>210</v>
      </c>
      <c r="C63" s="25" t="s">
        <v>217</v>
      </c>
      <c r="D63" s="33" t="str">
        <f t="shared" si="0"/>
        <v>P062-210-23</v>
      </c>
      <c r="E63" s="11" t="s">
        <v>15</v>
      </c>
      <c r="F63" s="148" t="s">
        <v>218</v>
      </c>
      <c r="G63" s="12">
        <v>45049</v>
      </c>
      <c r="H63" s="12" t="s">
        <v>17</v>
      </c>
      <c r="I63" s="12">
        <v>45097</v>
      </c>
      <c r="J63" s="10" t="s">
        <v>15</v>
      </c>
      <c r="K63" s="9" t="s">
        <v>219</v>
      </c>
      <c r="L63" s="9" t="s">
        <v>140</v>
      </c>
      <c r="M63" s="10"/>
    </row>
    <row r="64" spans="1:13" s="4" customFormat="1" ht="30" hidden="1" customHeight="1" x14ac:dyDescent="0.25">
      <c r="A64" s="9" t="s">
        <v>87</v>
      </c>
      <c r="B64" s="13">
        <f>VLOOKUP(Table24[[#This Row],[Location 
(drop-down)]],'List source'!D$2:E$59,2,FALSE)</f>
        <v>210</v>
      </c>
      <c r="C64" s="25" t="s">
        <v>220</v>
      </c>
      <c r="D64" s="33" t="str">
        <f t="shared" si="0"/>
        <v>P063-210-23</v>
      </c>
      <c r="E64" s="11" t="s">
        <v>15</v>
      </c>
      <c r="F64" s="148" t="s">
        <v>221</v>
      </c>
      <c r="G64" s="12">
        <v>45049</v>
      </c>
      <c r="H64" s="12" t="s">
        <v>17</v>
      </c>
      <c r="I64" s="12">
        <v>45099</v>
      </c>
      <c r="J64" s="10" t="s">
        <v>15</v>
      </c>
      <c r="K64" s="9" t="s">
        <v>18</v>
      </c>
      <c r="L64" s="9" t="s">
        <v>140</v>
      </c>
      <c r="M64" s="10"/>
    </row>
    <row r="65" spans="1:13" s="4" customFormat="1" ht="30" hidden="1" customHeight="1" x14ac:dyDescent="0.25">
      <c r="A65" s="9" t="s">
        <v>66</v>
      </c>
      <c r="B65" s="13">
        <f>VLOOKUP(Table24[[#This Row],[Location 
(drop-down)]],'List source'!D$2:E$59,2,FALSE)</f>
        <v>165</v>
      </c>
      <c r="C65" s="25" t="s">
        <v>222</v>
      </c>
      <c r="D65" s="33" t="str">
        <f t="shared" si="0"/>
        <v>P064-165-23</v>
      </c>
      <c r="E65" s="11" t="s">
        <v>15</v>
      </c>
      <c r="F65" s="148" t="s">
        <v>223</v>
      </c>
      <c r="G65" s="12">
        <v>45050</v>
      </c>
      <c r="H65" s="12" t="s">
        <v>17</v>
      </c>
      <c r="I65" s="12">
        <v>45223</v>
      </c>
      <c r="J65" s="10" t="s">
        <v>15</v>
      </c>
      <c r="K65" s="9"/>
      <c r="L65" s="9"/>
      <c r="M65" s="10"/>
    </row>
    <row r="66" spans="1:13" s="4" customFormat="1" ht="30" hidden="1" customHeight="1" x14ac:dyDescent="0.25">
      <c r="A66" s="9" t="s">
        <v>66</v>
      </c>
      <c r="B66" s="13">
        <f>VLOOKUP(Table24[[#This Row],[Location 
(drop-down)]],'List source'!D$2:E$59,2,FALSE)</f>
        <v>165</v>
      </c>
      <c r="C66" s="25" t="s">
        <v>224</v>
      </c>
      <c r="D66" s="33" t="str">
        <f t="shared" ref="D66:D129" si="1">"P" &amp; C66 &amp; "-" &amp; B66 &amp; "-" &amp; "23"</f>
        <v>P065-165-23</v>
      </c>
      <c r="E66" s="11" t="s">
        <v>15</v>
      </c>
      <c r="F66" s="148" t="s">
        <v>225</v>
      </c>
      <c r="G66" s="12">
        <v>45050</v>
      </c>
      <c r="H66" s="12" t="s">
        <v>17</v>
      </c>
      <c r="I66" s="12">
        <v>45223</v>
      </c>
      <c r="J66" s="10" t="s">
        <v>15</v>
      </c>
      <c r="K66" s="9"/>
      <c r="L66" s="9"/>
      <c r="M66" s="10"/>
    </row>
    <row r="67" spans="1:13" s="4" customFormat="1" ht="30" hidden="1" customHeight="1" x14ac:dyDescent="0.25">
      <c r="A67" s="9" t="s">
        <v>226</v>
      </c>
      <c r="B67" s="13">
        <f>VLOOKUP(Table24[[#This Row],[Location 
(drop-down)]],'List source'!D$2:E$59,2,FALSE)</f>
        <v>110</v>
      </c>
      <c r="C67" s="25" t="s">
        <v>227</v>
      </c>
      <c r="D67" s="33" t="str">
        <f t="shared" si="1"/>
        <v>P066-110-23</v>
      </c>
      <c r="E67" s="11" t="s">
        <v>15</v>
      </c>
      <c r="F67" s="148" t="s">
        <v>228</v>
      </c>
      <c r="G67" s="12">
        <v>45050</v>
      </c>
      <c r="H67" s="12" t="s">
        <v>17</v>
      </c>
      <c r="I67" s="12">
        <v>45610</v>
      </c>
      <c r="J67" s="10" t="s">
        <v>15</v>
      </c>
      <c r="K67" s="9" t="s">
        <v>18</v>
      </c>
      <c r="L67" s="9" t="s">
        <v>140</v>
      </c>
      <c r="M67" s="10"/>
    </row>
    <row r="68" spans="1:13" s="4" customFormat="1" ht="30" hidden="1" customHeight="1" x14ac:dyDescent="0.25">
      <c r="A68" s="9" t="s">
        <v>174</v>
      </c>
      <c r="B68" s="13">
        <f>VLOOKUP(Table24[[#This Row],[Location 
(drop-down)]],'List source'!D$2:E$59,2,FALSE)</f>
        <v>131</v>
      </c>
      <c r="C68" s="25" t="s">
        <v>229</v>
      </c>
      <c r="D68" s="33" t="str">
        <f t="shared" si="1"/>
        <v>P067-131-23</v>
      </c>
      <c r="E68" s="11" t="s">
        <v>15</v>
      </c>
      <c r="F68" s="148" t="s">
        <v>230</v>
      </c>
      <c r="G68" s="12">
        <v>45050</v>
      </c>
      <c r="H68" s="12" t="s">
        <v>17</v>
      </c>
      <c r="I68" s="12">
        <v>45076</v>
      </c>
      <c r="J68" s="10" t="s">
        <v>15</v>
      </c>
      <c r="K68" s="9" t="s">
        <v>18</v>
      </c>
      <c r="L68" s="9" t="s">
        <v>231</v>
      </c>
      <c r="M68" s="10"/>
    </row>
    <row r="69" spans="1:13" s="4" customFormat="1" ht="30" hidden="1" customHeight="1" x14ac:dyDescent="0.25">
      <c r="A69" s="9" t="s">
        <v>108</v>
      </c>
      <c r="B69" s="13">
        <f>VLOOKUP(Table24[[#This Row],[Location 
(drop-down)]],'List source'!D$2:E$59,2,FALSE)</f>
        <v>191</v>
      </c>
      <c r="C69" s="25" t="s">
        <v>232</v>
      </c>
      <c r="D69" s="33" t="str">
        <f t="shared" si="1"/>
        <v>P068-191-23</v>
      </c>
      <c r="E69" s="11" t="s">
        <v>15</v>
      </c>
      <c r="F69" s="148" t="s">
        <v>230</v>
      </c>
      <c r="G69" s="12">
        <v>45050</v>
      </c>
      <c r="H69" s="12" t="s">
        <v>17</v>
      </c>
      <c r="I69" s="12">
        <v>45100</v>
      </c>
      <c r="J69" s="10" t="s">
        <v>15</v>
      </c>
      <c r="K69" s="9"/>
      <c r="L69" s="9"/>
      <c r="M69" s="10"/>
    </row>
    <row r="70" spans="1:13" s="4" customFormat="1" ht="30" hidden="1" customHeight="1" x14ac:dyDescent="0.25">
      <c r="A70" s="9" t="s">
        <v>233</v>
      </c>
      <c r="B70" s="13">
        <f>VLOOKUP(Table24[[#This Row],[Location 
(drop-down)]],'List source'!D$2:E$59,2,FALSE)</f>
        <v>156</v>
      </c>
      <c r="C70" s="25" t="s">
        <v>234</v>
      </c>
      <c r="D70" s="33" t="str">
        <f t="shared" si="1"/>
        <v>P069-156-23</v>
      </c>
      <c r="E70" s="11" t="s">
        <v>15</v>
      </c>
      <c r="F70" s="148" t="s">
        <v>235</v>
      </c>
      <c r="G70" s="12">
        <v>45050</v>
      </c>
      <c r="H70" s="12" t="s">
        <v>17</v>
      </c>
      <c r="I70" s="12">
        <v>45153</v>
      </c>
      <c r="J70" s="10" t="s">
        <v>15</v>
      </c>
      <c r="K70" s="9" t="s">
        <v>18</v>
      </c>
      <c r="L70" s="9" t="s">
        <v>236</v>
      </c>
      <c r="M70" s="10"/>
    </row>
    <row r="71" spans="1:13" s="4" customFormat="1" ht="30" hidden="1" customHeight="1" x14ac:dyDescent="0.25">
      <c r="A71" s="9" t="s">
        <v>237</v>
      </c>
      <c r="B71" s="13">
        <f>VLOOKUP(Table24[[#This Row],[Location 
(drop-down)]],'List source'!D$2:E$59,2,FALSE)</f>
        <v>192</v>
      </c>
      <c r="C71" s="25" t="s">
        <v>238</v>
      </c>
      <c r="D71" s="33" t="str">
        <f t="shared" si="1"/>
        <v>P070-192-23</v>
      </c>
      <c r="E71" s="11" t="s">
        <v>15</v>
      </c>
      <c r="F71" s="148" t="s">
        <v>225</v>
      </c>
      <c r="G71" s="12">
        <v>45055</v>
      </c>
      <c r="H71" s="12" t="s">
        <v>17</v>
      </c>
      <c r="I71" s="12">
        <v>45110</v>
      </c>
      <c r="J71" s="10" t="s">
        <v>15</v>
      </c>
      <c r="K71" s="9" t="s">
        <v>18</v>
      </c>
      <c r="L71" s="9" t="s">
        <v>239</v>
      </c>
      <c r="M71" s="10"/>
    </row>
    <row r="72" spans="1:13" s="4" customFormat="1" ht="30" hidden="1" customHeight="1" x14ac:dyDescent="0.25">
      <c r="A72" s="9" t="s">
        <v>75</v>
      </c>
      <c r="B72" s="13">
        <f>VLOOKUP(Table24[[#This Row],[Location 
(drop-down)]],'List source'!D$2:E$59,2,FALSE)</f>
        <v>180</v>
      </c>
      <c r="C72" s="25" t="s">
        <v>240</v>
      </c>
      <c r="D72" s="33" t="str">
        <f t="shared" si="1"/>
        <v>P071-180-23</v>
      </c>
      <c r="E72" s="11" t="s">
        <v>15</v>
      </c>
      <c r="F72" s="148" t="s">
        <v>241</v>
      </c>
      <c r="G72" s="12">
        <v>45055</v>
      </c>
      <c r="H72" s="12" t="s">
        <v>17</v>
      </c>
      <c r="I72" s="12">
        <v>45061</v>
      </c>
      <c r="J72" s="10" t="s">
        <v>15</v>
      </c>
      <c r="K72" s="9" t="s">
        <v>242</v>
      </c>
      <c r="L72" s="9" t="s">
        <v>243</v>
      </c>
      <c r="M72" s="10"/>
    </row>
    <row r="73" spans="1:13" s="4" customFormat="1" ht="30" hidden="1" customHeight="1" x14ac:dyDescent="0.25">
      <c r="A73" s="9" t="s">
        <v>72</v>
      </c>
      <c r="B73" s="13">
        <f>VLOOKUP(Table24[[#This Row],[Location 
(drop-down)]],'List source'!D$2:E$59,2,FALSE)</f>
        <v>197</v>
      </c>
      <c r="C73" s="25" t="s">
        <v>244</v>
      </c>
      <c r="D73" s="33" t="str">
        <f t="shared" si="1"/>
        <v>P072-197-23</v>
      </c>
      <c r="E73" s="11" t="s">
        <v>15</v>
      </c>
      <c r="F73" s="148" t="s">
        <v>245</v>
      </c>
      <c r="G73" s="12">
        <v>45055</v>
      </c>
      <c r="H73" s="12" t="s">
        <v>17</v>
      </c>
      <c r="I73" s="12">
        <v>45539</v>
      </c>
      <c r="J73" s="10" t="s">
        <v>15</v>
      </c>
      <c r="K73" s="9"/>
      <c r="L73" s="9"/>
      <c r="M73" s="10"/>
    </row>
    <row r="74" spans="1:13" s="4" customFormat="1" ht="30" hidden="1" customHeight="1" x14ac:dyDescent="0.25">
      <c r="A74" s="9" t="s">
        <v>72</v>
      </c>
      <c r="B74" s="13">
        <f>VLOOKUP(Table24[[#This Row],[Location 
(drop-down)]],'List source'!D$2:E$59,2,FALSE)</f>
        <v>197</v>
      </c>
      <c r="C74" s="25" t="s">
        <v>246</v>
      </c>
      <c r="D74" s="33" t="str">
        <f t="shared" si="1"/>
        <v>P073-197-23</v>
      </c>
      <c r="E74" s="11" t="s">
        <v>15</v>
      </c>
      <c r="F74" s="148" t="s">
        <v>247</v>
      </c>
      <c r="G74" s="12">
        <v>45055</v>
      </c>
      <c r="H74" s="12" t="s">
        <v>17</v>
      </c>
      <c r="I74" s="12">
        <v>45539</v>
      </c>
      <c r="J74" s="10" t="s">
        <v>15</v>
      </c>
      <c r="K74" s="9"/>
      <c r="L74" s="9"/>
      <c r="M74" s="10"/>
    </row>
    <row r="75" spans="1:13" s="4" customFormat="1" ht="30" hidden="1" customHeight="1" x14ac:dyDescent="0.25">
      <c r="A75" s="9" t="s">
        <v>226</v>
      </c>
      <c r="B75" s="13">
        <f>VLOOKUP(Table24[[#This Row],[Location 
(drop-down)]],'List source'!D$2:E$59,2,FALSE)</f>
        <v>110</v>
      </c>
      <c r="C75" s="25" t="s">
        <v>248</v>
      </c>
      <c r="D75" s="33" t="str">
        <f t="shared" si="1"/>
        <v>P074-110-23</v>
      </c>
      <c r="E75" s="11" t="s">
        <v>15</v>
      </c>
      <c r="F75" s="148" t="s">
        <v>249</v>
      </c>
      <c r="G75" s="12">
        <v>45055</v>
      </c>
      <c r="H75" s="12" t="s">
        <v>17</v>
      </c>
      <c r="I75" s="12">
        <v>45223</v>
      </c>
      <c r="J75" s="10" t="s">
        <v>15</v>
      </c>
      <c r="K75" s="9"/>
      <c r="L75" s="9"/>
      <c r="M75" s="10"/>
    </row>
    <row r="76" spans="1:13" s="4" customFormat="1" ht="30" hidden="1" customHeight="1" x14ac:dyDescent="0.25">
      <c r="A76" s="9" t="s">
        <v>87</v>
      </c>
      <c r="B76" s="13">
        <f>VLOOKUP(Table24[[#This Row],[Location 
(drop-down)]],'List source'!D$2:E$59,2,FALSE)</f>
        <v>210</v>
      </c>
      <c r="C76" s="25" t="s">
        <v>250</v>
      </c>
      <c r="D76" s="33" t="str">
        <f t="shared" si="1"/>
        <v>P075-210-23</v>
      </c>
      <c r="E76" s="11" t="s">
        <v>15</v>
      </c>
      <c r="F76" s="148" t="s">
        <v>251</v>
      </c>
      <c r="G76" s="12">
        <v>45057</v>
      </c>
      <c r="H76" s="12" t="s">
        <v>17</v>
      </c>
      <c r="I76" s="12">
        <v>45109</v>
      </c>
      <c r="J76" s="10" t="s">
        <v>15</v>
      </c>
      <c r="K76" s="9" t="s">
        <v>18</v>
      </c>
      <c r="L76" s="9" t="s">
        <v>243</v>
      </c>
      <c r="M76" s="10"/>
    </row>
    <row r="77" spans="1:13" s="4" customFormat="1" ht="30" hidden="1" customHeight="1" x14ac:dyDescent="0.25">
      <c r="A77" s="9" t="s">
        <v>57</v>
      </c>
      <c r="B77" s="13">
        <f>VLOOKUP(Table24[[#This Row],[Location 
(drop-down)]],'List source'!D$2:E$59,2,FALSE)</f>
        <v>155</v>
      </c>
      <c r="C77" s="25" t="s">
        <v>252</v>
      </c>
      <c r="D77" s="33" t="str">
        <f t="shared" si="1"/>
        <v>P076-155-23</v>
      </c>
      <c r="E77" s="11" t="s">
        <v>15</v>
      </c>
      <c r="F77" s="148" t="s">
        <v>253</v>
      </c>
      <c r="G77" s="12">
        <v>45057</v>
      </c>
      <c r="H77" s="12" t="s">
        <v>17</v>
      </c>
      <c r="I77" s="12">
        <v>45077</v>
      </c>
      <c r="J77" s="10" t="s">
        <v>15</v>
      </c>
      <c r="K77" s="9" t="s">
        <v>254</v>
      </c>
      <c r="L77" s="9" t="s">
        <v>255</v>
      </c>
      <c r="M77" s="10"/>
    </row>
    <row r="78" spans="1:13" s="4" customFormat="1" ht="30" hidden="1" customHeight="1" x14ac:dyDescent="0.25">
      <c r="A78" s="9" t="s">
        <v>168</v>
      </c>
      <c r="B78" s="13">
        <f>VLOOKUP(Table24[[#This Row],[Location 
(drop-down)]],'List source'!D$2:E$59,2,FALSE)</f>
        <v>136</v>
      </c>
      <c r="C78" s="25" t="s">
        <v>256</v>
      </c>
      <c r="D78" s="33" t="str">
        <f t="shared" si="1"/>
        <v>P077-136-23</v>
      </c>
      <c r="E78" s="11" t="s">
        <v>15</v>
      </c>
      <c r="F78" s="148" t="s">
        <v>257</v>
      </c>
      <c r="G78" s="12">
        <v>45058</v>
      </c>
      <c r="H78" s="12" t="s">
        <v>17</v>
      </c>
      <c r="I78" s="12">
        <v>45100</v>
      </c>
      <c r="J78" s="10" t="s">
        <v>15</v>
      </c>
      <c r="K78" s="9" t="s">
        <v>258</v>
      </c>
      <c r="L78" s="9"/>
      <c r="M78" s="10"/>
    </row>
    <row r="79" spans="1:13" s="4" customFormat="1" ht="30" hidden="1" customHeight="1" x14ac:dyDescent="0.25">
      <c r="A79" s="9" t="s">
        <v>22</v>
      </c>
      <c r="B79" s="13">
        <f>VLOOKUP(Table24[[#This Row],[Location 
(drop-down)]],'List source'!D$2:E$59,2,FALSE)</f>
        <v>130</v>
      </c>
      <c r="C79" s="25" t="s">
        <v>259</v>
      </c>
      <c r="D79" s="33" t="str">
        <f t="shared" si="1"/>
        <v>P078-130-23</v>
      </c>
      <c r="E79" s="11" t="s">
        <v>15</v>
      </c>
      <c r="F79" s="148" t="s">
        <v>260</v>
      </c>
      <c r="G79" s="12">
        <v>45062</v>
      </c>
      <c r="H79" s="12" t="s">
        <v>17</v>
      </c>
      <c r="I79" s="12">
        <v>45278</v>
      </c>
      <c r="J79" s="10" t="s">
        <v>15</v>
      </c>
      <c r="K79" s="9" t="s">
        <v>261</v>
      </c>
      <c r="L79" s="9" t="s">
        <v>262</v>
      </c>
      <c r="M79" s="10"/>
    </row>
    <row r="80" spans="1:13" s="4" customFormat="1" ht="30" hidden="1" customHeight="1" x14ac:dyDescent="0.25">
      <c r="A80" s="9" t="s">
        <v>174</v>
      </c>
      <c r="B80" s="13">
        <f>VLOOKUP(Table24[[#This Row],[Location 
(drop-down)]],'List source'!D$2:E$59,2,FALSE)</f>
        <v>131</v>
      </c>
      <c r="C80" s="25" t="s">
        <v>263</v>
      </c>
      <c r="D80" s="33" t="str">
        <f t="shared" si="1"/>
        <v>P079-131-23</v>
      </c>
      <c r="E80" s="11" t="s">
        <v>15</v>
      </c>
      <c r="F80" s="148" t="s">
        <v>264</v>
      </c>
      <c r="G80" s="12">
        <v>45062</v>
      </c>
      <c r="H80" s="12" t="s">
        <v>17</v>
      </c>
      <c r="I80" s="12">
        <v>45156</v>
      </c>
      <c r="J80" s="10" t="s">
        <v>15</v>
      </c>
      <c r="K80" s="9" t="s">
        <v>261</v>
      </c>
      <c r="L80" s="9" t="s">
        <v>265</v>
      </c>
      <c r="M80" s="10"/>
    </row>
    <row r="81" spans="1:13" s="4" customFormat="1" ht="30" hidden="1" customHeight="1" x14ac:dyDescent="0.25">
      <c r="A81" s="9" t="s">
        <v>108</v>
      </c>
      <c r="B81" s="13">
        <f>VLOOKUP(Table24[[#This Row],[Location 
(drop-down)]],'List source'!D$2:E$59,2,FALSE)</f>
        <v>191</v>
      </c>
      <c r="C81" s="25" t="s">
        <v>266</v>
      </c>
      <c r="D81" s="221" t="str">
        <f t="shared" si="1"/>
        <v>P080-191-23</v>
      </c>
      <c r="E81" s="11" t="s">
        <v>15</v>
      </c>
      <c r="F81" s="148" t="s">
        <v>249</v>
      </c>
      <c r="G81" s="12">
        <v>45063</v>
      </c>
      <c r="H81" s="12" t="s">
        <v>17</v>
      </c>
      <c r="I81" s="217">
        <v>45096</v>
      </c>
      <c r="J81" s="10" t="s">
        <v>15</v>
      </c>
      <c r="K81" s="9"/>
      <c r="L81" s="9"/>
      <c r="M81" s="10"/>
    </row>
    <row r="82" spans="1:13" s="4" customFormat="1" ht="30" hidden="1" customHeight="1" x14ac:dyDescent="0.25">
      <c r="A82" s="9" t="s">
        <v>108</v>
      </c>
      <c r="B82" s="13">
        <f>VLOOKUP(Table24[[#This Row],[Location 
(drop-down)]],'List source'!D$2:E$59,2,FALSE)</f>
        <v>191</v>
      </c>
      <c r="C82" s="25" t="s">
        <v>267</v>
      </c>
      <c r="D82" s="33" t="str">
        <f t="shared" si="1"/>
        <v>P081-191-23</v>
      </c>
      <c r="E82" s="11" t="s">
        <v>15</v>
      </c>
      <c r="F82" s="148" t="s">
        <v>241</v>
      </c>
      <c r="G82" s="12">
        <v>45063</v>
      </c>
      <c r="H82" s="12" t="s">
        <v>17</v>
      </c>
      <c r="I82" s="12">
        <v>45083</v>
      </c>
      <c r="J82" s="10" t="s">
        <v>15</v>
      </c>
      <c r="K82" s="9" t="s">
        <v>254</v>
      </c>
      <c r="L82" s="9" t="s">
        <v>123</v>
      </c>
      <c r="M82" s="10"/>
    </row>
    <row r="83" spans="1:13" s="4" customFormat="1" ht="30" hidden="1" customHeight="1" x14ac:dyDescent="0.25">
      <c r="A83" s="9" t="s">
        <v>75</v>
      </c>
      <c r="B83" s="13">
        <f>VLOOKUP(Table24[[#This Row],[Location 
(drop-down)]],'List source'!D$2:E$59,2,FALSE)</f>
        <v>180</v>
      </c>
      <c r="C83" s="25" t="s">
        <v>268</v>
      </c>
      <c r="D83" s="33" t="str">
        <f t="shared" si="1"/>
        <v>P082-180-23</v>
      </c>
      <c r="E83" s="11" t="s">
        <v>269</v>
      </c>
      <c r="F83" s="150" t="s">
        <v>270</v>
      </c>
      <c r="G83" s="12">
        <v>45069</v>
      </c>
      <c r="H83" s="12" t="s">
        <v>129</v>
      </c>
      <c r="I83" s="12">
        <v>45083</v>
      </c>
      <c r="J83" s="10" t="s">
        <v>97</v>
      </c>
      <c r="K83" s="9" t="s">
        <v>219</v>
      </c>
      <c r="L83" s="9" t="s">
        <v>271</v>
      </c>
      <c r="M83" s="10"/>
    </row>
    <row r="84" spans="1:13" s="4" customFormat="1" ht="30" hidden="1" customHeight="1" x14ac:dyDescent="0.25">
      <c r="A84" s="9" t="s">
        <v>13</v>
      </c>
      <c r="B84" s="13">
        <f>VLOOKUP(Table24[[#This Row],[Location 
(drop-down)]],'List source'!D$2:E$59,2,FALSE)</f>
        <v>126</v>
      </c>
      <c r="C84" s="25" t="s">
        <v>272</v>
      </c>
      <c r="D84" s="33" t="str">
        <f t="shared" si="1"/>
        <v>P083-126-23</v>
      </c>
      <c r="E84" s="11" t="s">
        <v>94</v>
      </c>
      <c r="F84" s="148" t="s">
        <v>273</v>
      </c>
      <c r="G84" s="12">
        <v>45071</v>
      </c>
      <c r="H84" s="12" t="s">
        <v>129</v>
      </c>
      <c r="I84" s="12">
        <v>45149</v>
      </c>
      <c r="J84" s="10" t="s">
        <v>97</v>
      </c>
      <c r="K84" s="9" t="s">
        <v>274</v>
      </c>
      <c r="L84" s="9" t="s">
        <v>275</v>
      </c>
      <c r="M84" s="10"/>
    </row>
    <row r="85" spans="1:13" s="4" customFormat="1" ht="30" hidden="1" customHeight="1" x14ac:dyDescent="0.25">
      <c r="A85" s="9" t="s">
        <v>13</v>
      </c>
      <c r="B85" s="13">
        <f>VLOOKUP(Table24[[#This Row],[Location 
(drop-down)]],'List source'!D$2:E$59,2,FALSE)</f>
        <v>126</v>
      </c>
      <c r="C85" s="25" t="s">
        <v>276</v>
      </c>
      <c r="D85" s="33" t="str">
        <f t="shared" si="1"/>
        <v>P084-126-23</v>
      </c>
      <c r="E85" s="11" t="s">
        <v>94</v>
      </c>
      <c r="F85" s="148" t="s">
        <v>277</v>
      </c>
      <c r="G85" s="12">
        <v>45071</v>
      </c>
      <c r="H85" s="12" t="s">
        <v>129</v>
      </c>
      <c r="I85" s="12">
        <v>45204</v>
      </c>
      <c r="J85" s="10" t="s">
        <v>97</v>
      </c>
      <c r="K85" s="9" t="s">
        <v>278</v>
      </c>
      <c r="L85" s="9" t="s">
        <v>279</v>
      </c>
      <c r="M85" s="10"/>
    </row>
    <row r="86" spans="1:13" s="4" customFormat="1" ht="30" hidden="1" customHeight="1" x14ac:dyDescent="0.25">
      <c r="A86" s="9" t="s">
        <v>13</v>
      </c>
      <c r="B86" s="13">
        <f>VLOOKUP(Table24[[#This Row],[Location 
(drop-down)]],'List source'!D$2:E$59,2,FALSE)</f>
        <v>126</v>
      </c>
      <c r="C86" s="25" t="s">
        <v>280</v>
      </c>
      <c r="D86" s="33" t="str">
        <f t="shared" si="1"/>
        <v>P085-126-23</v>
      </c>
      <c r="E86" s="11" t="s">
        <v>94</v>
      </c>
      <c r="F86" s="148" t="s">
        <v>281</v>
      </c>
      <c r="G86" s="12">
        <v>45071</v>
      </c>
      <c r="H86" s="12" t="s">
        <v>129</v>
      </c>
      <c r="I86" s="12">
        <v>45120</v>
      </c>
      <c r="J86" s="10" t="s">
        <v>97</v>
      </c>
      <c r="K86" s="9" t="s">
        <v>254</v>
      </c>
      <c r="L86" s="9"/>
      <c r="M86" s="10"/>
    </row>
    <row r="87" spans="1:13" s="4" customFormat="1" ht="30" hidden="1" customHeight="1" x14ac:dyDescent="0.25">
      <c r="A87" s="9" t="s">
        <v>13</v>
      </c>
      <c r="B87" s="13">
        <f>VLOOKUP(Table24[[#This Row],[Location 
(drop-down)]],'List source'!D$2:E$59,2,FALSE)</f>
        <v>126</v>
      </c>
      <c r="C87" s="25" t="s">
        <v>282</v>
      </c>
      <c r="D87" s="33" t="str">
        <f t="shared" si="1"/>
        <v>P086-126-23</v>
      </c>
      <c r="E87" s="11" t="s">
        <v>94</v>
      </c>
      <c r="F87" s="148" t="s">
        <v>283</v>
      </c>
      <c r="G87" s="12">
        <v>45071</v>
      </c>
      <c r="H87" s="12" t="s">
        <v>129</v>
      </c>
      <c r="I87" s="12">
        <v>45170</v>
      </c>
      <c r="J87" s="10" t="s">
        <v>97</v>
      </c>
      <c r="K87" s="9" t="s">
        <v>190</v>
      </c>
      <c r="L87" s="9" t="s">
        <v>284</v>
      </c>
      <c r="M87" s="10"/>
    </row>
    <row r="88" spans="1:13" s="4" customFormat="1" ht="30" hidden="1" customHeight="1" x14ac:dyDescent="0.25">
      <c r="A88" s="9" t="s">
        <v>13</v>
      </c>
      <c r="B88" s="13">
        <f>VLOOKUP(Table24[[#This Row],[Location 
(drop-down)]],'List source'!D$2:E$59,2,FALSE)</f>
        <v>126</v>
      </c>
      <c r="C88" s="25" t="s">
        <v>285</v>
      </c>
      <c r="D88" s="33" t="str">
        <f t="shared" si="1"/>
        <v>P087-126-23</v>
      </c>
      <c r="E88" s="11" t="s">
        <v>94</v>
      </c>
      <c r="F88" s="148" t="s">
        <v>286</v>
      </c>
      <c r="G88" s="12">
        <v>45071</v>
      </c>
      <c r="H88" s="12" t="s">
        <v>129</v>
      </c>
      <c r="I88" s="12">
        <v>45121</v>
      </c>
      <c r="J88" s="10" t="s">
        <v>97</v>
      </c>
      <c r="K88" s="9" t="s">
        <v>261</v>
      </c>
      <c r="L88" s="9" t="s">
        <v>287</v>
      </c>
      <c r="M88" s="10"/>
    </row>
    <row r="89" spans="1:13" s="4" customFormat="1" ht="30" hidden="1" customHeight="1" x14ac:dyDescent="0.25">
      <c r="A89" s="9" t="s">
        <v>13</v>
      </c>
      <c r="B89" s="13">
        <f>VLOOKUP(Table24[[#This Row],[Location 
(drop-down)]],'List source'!D$2:E$59,2,FALSE)</f>
        <v>126</v>
      </c>
      <c r="C89" s="25" t="s">
        <v>288</v>
      </c>
      <c r="D89" s="33" t="str">
        <f t="shared" si="1"/>
        <v>P088-126-23</v>
      </c>
      <c r="E89" s="11" t="s">
        <v>94</v>
      </c>
      <c r="F89" s="148" t="s">
        <v>289</v>
      </c>
      <c r="G89" s="12">
        <v>45071</v>
      </c>
      <c r="H89" s="12" t="s">
        <v>129</v>
      </c>
      <c r="I89" s="12">
        <v>45154</v>
      </c>
      <c r="J89" s="10" t="s">
        <v>97</v>
      </c>
      <c r="K89" s="9" t="s">
        <v>290</v>
      </c>
      <c r="L89" s="9" t="s">
        <v>291</v>
      </c>
      <c r="M89" s="10"/>
    </row>
    <row r="90" spans="1:13" s="4" customFormat="1" ht="30" hidden="1" customHeight="1" x14ac:dyDescent="0.25">
      <c r="A90" s="9" t="s">
        <v>13</v>
      </c>
      <c r="B90" s="13">
        <f>VLOOKUP(Table24[[#This Row],[Location 
(drop-down)]],'List source'!D$2:E$59,2,FALSE)</f>
        <v>126</v>
      </c>
      <c r="C90" s="25" t="s">
        <v>292</v>
      </c>
      <c r="D90" s="69" t="str">
        <f t="shared" si="1"/>
        <v>P089-126-23</v>
      </c>
      <c r="E90" s="11" t="s">
        <v>94</v>
      </c>
      <c r="F90" s="148" t="s">
        <v>293</v>
      </c>
      <c r="G90" s="12">
        <v>45071</v>
      </c>
      <c r="H90" s="12" t="s">
        <v>129</v>
      </c>
      <c r="I90" s="12">
        <v>45109</v>
      </c>
      <c r="J90" s="10" t="s">
        <v>97</v>
      </c>
      <c r="K90" s="9" t="s">
        <v>294</v>
      </c>
      <c r="L90" s="9" t="s">
        <v>295</v>
      </c>
      <c r="M90" s="10"/>
    </row>
    <row r="91" spans="1:13" s="4" customFormat="1" ht="30" hidden="1" customHeight="1" x14ac:dyDescent="0.25">
      <c r="A91" s="9" t="s">
        <v>27</v>
      </c>
      <c r="B91" s="13">
        <f>VLOOKUP(Table24[[#This Row],[Location 
(drop-down)]],'List source'!D$2:E$59,2,FALSE)</f>
        <v>132</v>
      </c>
      <c r="C91" s="25" t="s">
        <v>296</v>
      </c>
      <c r="D91" s="33" t="str">
        <f t="shared" si="1"/>
        <v>P090-132-23</v>
      </c>
      <c r="E91" s="11" t="s">
        <v>15</v>
      </c>
      <c r="F91" s="148" t="s">
        <v>230</v>
      </c>
      <c r="G91" s="12">
        <v>45072</v>
      </c>
      <c r="H91" s="12" t="s">
        <v>17</v>
      </c>
      <c r="I91" s="12">
        <v>45323</v>
      </c>
      <c r="J91" s="10" t="s">
        <v>15</v>
      </c>
      <c r="K91" s="9"/>
      <c r="L91" s="9"/>
      <c r="M91" s="10"/>
    </row>
    <row r="92" spans="1:13" s="4" customFormat="1" ht="30" hidden="1" customHeight="1" x14ac:dyDescent="0.25">
      <c r="A92" s="9" t="s">
        <v>27</v>
      </c>
      <c r="B92" s="13">
        <f>VLOOKUP(Table24[[#This Row],[Location 
(drop-down)]],'List source'!D$2:E$59,2,FALSE)</f>
        <v>132</v>
      </c>
      <c r="C92" s="25" t="s">
        <v>297</v>
      </c>
      <c r="D92" s="33" t="str">
        <f t="shared" si="1"/>
        <v>P091-132-23</v>
      </c>
      <c r="E92" s="11" t="s">
        <v>15</v>
      </c>
      <c r="F92" s="148" t="s">
        <v>298</v>
      </c>
      <c r="G92" s="12">
        <v>45072</v>
      </c>
      <c r="H92" s="12" t="s">
        <v>17</v>
      </c>
      <c r="I92" s="12">
        <v>45317</v>
      </c>
      <c r="J92" s="10" t="s">
        <v>15</v>
      </c>
      <c r="K92" s="9" t="s">
        <v>18</v>
      </c>
      <c r="L92" s="20"/>
      <c r="M92" s="10"/>
    </row>
    <row r="93" spans="1:13" s="4" customFormat="1" ht="30" hidden="1" customHeight="1" x14ac:dyDescent="0.25">
      <c r="A93" s="9" t="s">
        <v>37</v>
      </c>
      <c r="B93" s="13">
        <f>VLOOKUP(Table24[[#This Row],[Location 
(drop-down)]],'List source'!D$2:E$59,2,FALSE)</f>
        <v>158</v>
      </c>
      <c r="C93" s="25" t="s">
        <v>299</v>
      </c>
      <c r="D93" s="33" t="str">
        <f t="shared" si="1"/>
        <v>P092-158-23</v>
      </c>
      <c r="E93" s="11" t="s">
        <v>15</v>
      </c>
      <c r="F93" s="148" t="s">
        <v>225</v>
      </c>
      <c r="G93" s="12">
        <v>45072</v>
      </c>
      <c r="H93" s="12" t="s">
        <v>17</v>
      </c>
      <c r="I93" s="12">
        <v>45331</v>
      </c>
      <c r="J93" s="10" t="s">
        <v>15</v>
      </c>
      <c r="K93" s="9"/>
      <c r="L93" s="9"/>
      <c r="M93" s="10"/>
    </row>
    <row r="94" spans="1:13" s="4" customFormat="1" ht="30" hidden="1" customHeight="1" x14ac:dyDescent="0.25">
      <c r="A94" s="9" t="s">
        <v>171</v>
      </c>
      <c r="B94" s="13">
        <f>VLOOKUP(Table24[[#This Row],[Location 
(drop-down)]],'List source'!D$2:E$59,2,FALSE)</f>
        <v>160</v>
      </c>
      <c r="C94" s="25" t="s">
        <v>300</v>
      </c>
      <c r="D94" s="33" t="str">
        <f t="shared" si="1"/>
        <v>P093-160-23</v>
      </c>
      <c r="E94" s="11" t="s">
        <v>15</v>
      </c>
      <c r="F94" s="148" t="s">
        <v>301</v>
      </c>
      <c r="G94" s="12">
        <v>45072</v>
      </c>
      <c r="H94" s="12" t="s">
        <v>17</v>
      </c>
      <c r="I94" s="12">
        <v>45384</v>
      </c>
      <c r="J94" s="10" t="s">
        <v>15</v>
      </c>
      <c r="K94" s="9"/>
      <c r="L94" s="9"/>
      <c r="M94" s="10"/>
    </row>
    <row r="95" spans="1:13" s="4" customFormat="1" ht="30" hidden="1" customHeight="1" x14ac:dyDescent="0.25">
      <c r="A95" s="9" t="s">
        <v>27</v>
      </c>
      <c r="B95" s="13">
        <f>VLOOKUP(Table24[[#This Row],[Location 
(drop-down)]],'List source'!D$2:E$59,2,FALSE)</f>
        <v>132</v>
      </c>
      <c r="C95" s="25" t="s">
        <v>302</v>
      </c>
      <c r="D95" s="33" t="str">
        <f t="shared" si="1"/>
        <v>P094-132-23</v>
      </c>
      <c r="E95" s="11" t="s">
        <v>15</v>
      </c>
      <c r="F95" s="148" t="s">
        <v>303</v>
      </c>
      <c r="G95" s="12">
        <v>45072</v>
      </c>
      <c r="H95" s="12" t="s">
        <v>17</v>
      </c>
      <c r="I95" s="12">
        <v>45328</v>
      </c>
      <c r="J95" s="10" t="s">
        <v>15</v>
      </c>
      <c r="K95" s="9" t="s">
        <v>18</v>
      </c>
      <c r="L95" s="9" t="s">
        <v>304</v>
      </c>
      <c r="M95" s="10"/>
    </row>
    <row r="96" spans="1:13" s="4" customFormat="1" ht="30" hidden="1" customHeight="1" x14ac:dyDescent="0.25">
      <c r="A96" s="9" t="s">
        <v>13</v>
      </c>
      <c r="B96" s="13">
        <f>VLOOKUP(Table24[[#This Row],[Location 
(drop-down)]],'List source'!D$2:E$59,2,FALSE)</f>
        <v>126</v>
      </c>
      <c r="C96" s="25" t="s">
        <v>305</v>
      </c>
      <c r="D96" s="33" t="str">
        <f t="shared" si="1"/>
        <v>P095-126-23</v>
      </c>
      <c r="E96" s="11" t="s">
        <v>15</v>
      </c>
      <c r="F96" s="148" t="s">
        <v>210</v>
      </c>
      <c r="G96" s="12">
        <v>45082</v>
      </c>
      <c r="H96" s="12" t="s">
        <v>17</v>
      </c>
      <c r="I96" s="12">
        <v>45120</v>
      </c>
      <c r="J96" s="10" t="s">
        <v>15</v>
      </c>
      <c r="K96" s="9" t="s">
        <v>258</v>
      </c>
      <c r="L96" s="9" t="s">
        <v>306</v>
      </c>
      <c r="M96" s="10"/>
    </row>
    <row r="97" spans="1:13" s="4" customFormat="1" ht="30" hidden="1" customHeight="1" x14ac:dyDescent="0.25">
      <c r="A97" s="9" t="s">
        <v>13</v>
      </c>
      <c r="B97" s="13">
        <f>VLOOKUP(Table24[[#This Row],[Location 
(drop-down)]],'List source'!D$2:E$59,2,FALSE)</f>
        <v>126</v>
      </c>
      <c r="C97" s="25" t="s">
        <v>307</v>
      </c>
      <c r="D97" s="33" t="str">
        <f t="shared" si="1"/>
        <v>P096-126-23</v>
      </c>
      <c r="E97" s="11" t="s">
        <v>15</v>
      </c>
      <c r="F97" s="148" t="s">
        <v>308</v>
      </c>
      <c r="G97" s="12">
        <v>45082</v>
      </c>
      <c r="H97" s="12" t="s">
        <v>17</v>
      </c>
      <c r="I97" s="12">
        <v>45121</v>
      </c>
      <c r="J97" s="10" t="s">
        <v>15</v>
      </c>
      <c r="K97" s="9" t="s">
        <v>309</v>
      </c>
      <c r="L97" s="9" t="s">
        <v>310</v>
      </c>
      <c r="M97" s="10"/>
    </row>
    <row r="98" spans="1:13" s="4" customFormat="1" ht="30" hidden="1" customHeight="1" x14ac:dyDescent="0.25">
      <c r="A98" s="9" t="s">
        <v>108</v>
      </c>
      <c r="B98" s="13">
        <f>VLOOKUP(Table24[[#This Row],[Location 
(drop-down)]],'List source'!D$2:E$59,2,FALSE)</f>
        <v>191</v>
      </c>
      <c r="C98" s="25" t="s">
        <v>311</v>
      </c>
      <c r="D98" s="33" t="str">
        <f t="shared" si="1"/>
        <v>P097-191-23</v>
      </c>
      <c r="E98" s="11" t="s">
        <v>15</v>
      </c>
      <c r="F98" s="148" t="s">
        <v>210</v>
      </c>
      <c r="G98" s="12">
        <v>45082</v>
      </c>
      <c r="H98" s="12" t="s">
        <v>17</v>
      </c>
      <c r="I98" s="12">
        <v>45243</v>
      </c>
      <c r="J98" s="10" t="s">
        <v>15</v>
      </c>
      <c r="K98" s="9" t="s">
        <v>18</v>
      </c>
      <c r="L98" s="9" t="s">
        <v>312</v>
      </c>
      <c r="M98" s="10"/>
    </row>
    <row r="99" spans="1:13" s="4" customFormat="1" ht="30" hidden="1" customHeight="1" x14ac:dyDescent="0.25">
      <c r="A99" s="9" t="s">
        <v>22</v>
      </c>
      <c r="B99" s="13">
        <f>VLOOKUP(Table24[[#This Row],[Location 
(drop-down)]],'List source'!D$2:E$59,2,FALSE)</f>
        <v>130</v>
      </c>
      <c r="C99" s="25" t="s">
        <v>313</v>
      </c>
      <c r="D99" s="33" t="str">
        <f t="shared" si="1"/>
        <v>P098-130-23</v>
      </c>
      <c r="E99" s="11" t="s">
        <v>15</v>
      </c>
      <c r="F99" s="148" t="s">
        <v>201</v>
      </c>
      <c r="G99" s="12">
        <v>45083</v>
      </c>
      <c r="H99" s="12" t="s">
        <v>17</v>
      </c>
      <c r="I99" s="12">
        <v>45282</v>
      </c>
      <c r="J99" s="10" t="s">
        <v>15</v>
      </c>
      <c r="K99" s="9" t="s">
        <v>18</v>
      </c>
      <c r="L99" s="9"/>
      <c r="M99" s="10"/>
    </row>
    <row r="100" spans="1:13" s="4" customFormat="1" ht="30" hidden="1" customHeight="1" x14ac:dyDescent="0.25">
      <c r="A100" s="9" t="s">
        <v>22</v>
      </c>
      <c r="B100" s="13">
        <f>VLOOKUP(Table24[[#This Row],[Location 
(drop-down)]],'List source'!D$2:E$59,2,FALSE)</f>
        <v>130</v>
      </c>
      <c r="C100" s="25" t="s">
        <v>314</v>
      </c>
      <c r="D100" s="33" t="str">
        <f t="shared" si="1"/>
        <v>P099-130-23</v>
      </c>
      <c r="E100" s="11" t="s">
        <v>15</v>
      </c>
      <c r="F100" s="148" t="s">
        <v>315</v>
      </c>
      <c r="G100" s="12">
        <v>45086</v>
      </c>
      <c r="H100" s="12" t="s">
        <v>17</v>
      </c>
      <c r="I100" s="12">
        <v>45294</v>
      </c>
      <c r="J100" s="10" t="s">
        <v>15</v>
      </c>
      <c r="K100" s="9" t="s">
        <v>18</v>
      </c>
      <c r="L100" s="9"/>
      <c r="M100" s="10"/>
    </row>
    <row r="101" spans="1:13" s="4" customFormat="1" ht="30" hidden="1" customHeight="1" x14ac:dyDescent="0.25">
      <c r="A101" s="9" t="s">
        <v>27</v>
      </c>
      <c r="B101" s="13">
        <f>VLOOKUP(Table24[[#This Row],[Location 
(drop-down)]],'List source'!D$2:E$59,2,FALSE)</f>
        <v>132</v>
      </c>
      <c r="C101" s="25" t="s">
        <v>316</v>
      </c>
      <c r="D101" s="33" t="str">
        <f t="shared" si="1"/>
        <v>P100-132-23</v>
      </c>
      <c r="E101" s="11" t="s">
        <v>15</v>
      </c>
      <c r="F101" s="148" t="s">
        <v>317</v>
      </c>
      <c r="G101" s="12">
        <v>45086</v>
      </c>
      <c r="H101" s="12" t="s">
        <v>17</v>
      </c>
      <c r="I101" s="12">
        <v>45318</v>
      </c>
      <c r="J101" s="10" t="s">
        <v>15</v>
      </c>
      <c r="K101" s="9" t="s">
        <v>18</v>
      </c>
      <c r="L101" s="9"/>
      <c r="M101" s="10"/>
    </row>
    <row r="102" spans="1:13" s="4" customFormat="1" ht="30" hidden="1" customHeight="1" x14ac:dyDescent="0.25">
      <c r="A102" s="9" t="s">
        <v>22</v>
      </c>
      <c r="B102" s="13">
        <f>VLOOKUP(Table24[[#This Row],[Location 
(drop-down)]],'List source'!D$2:E$59,2,FALSE)</f>
        <v>130</v>
      </c>
      <c r="C102" s="25" t="s">
        <v>318</v>
      </c>
      <c r="D102" s="33" t="str">
        <f t="shared" si="1"/>
        <v>P101-130-23</v>
      </c>
      <c r="E102" s="11" t="s">
        <v>15</v>
      </c>
      <c r="F102" s="148" t="s">
        <v>319</v>
      </c>
      <c r="G102" s="12">
        <v>45086</v>
      </c>
      <c r="H102" s="12" t="s">
        <v>17</v>
      </c>
      <c r="I102" s="12">
        <v>45294</v>
      </c>
      <c r="J102" s="10" t="s">
        <v>15</v>
      </c>
      <c r="K102" s="9" t="s">
        <v>258</v>
      </c>
      <c r="L102" s="9"/>
      <c r="M102" s="10"/>
    </row>
    <row r="103" spans="1:13" s="4" customFormat="1" ht="30" hidden="1" customHeight="1" x14ac:dyDescent="0.25">
      <c r="A103" s="9" t="s">
        <v>27</v>
      </c>
      <c r="B103" s="13">
        <f>VLOOKUP(Table24[[#This Row],[Location 
(drop-down)]],'List source'!D$2:E$59,2,FALSE)</f>
        <v>132</v>
      </c>
      <c r="C103" s="25" t="s">
        <v>320</v>
      </c>
      <c r="D103" s="33" t="str">
        <f t="shared" si="1"/>
        <v>P102-132-23</v>
      </c>
      <c r="E103" s="11" t="s">
        <v>15</v>
      </c>
      <c r="F103" s="148" t="s">
        <v>321</v>
      </c>
      <c r="G103" s="12">
        <v>45086</v>
      </c>
      <c r="H103" s="12" t="s">
        <v>17</v>
      </c>
      <c r="I103" s="12">
        <v>45295</v>
      </c>
      <c r="J103" s="10" t="s">
        <v>15</v>
      </c>
      <c r="K103" s="9"/>
      <c r="L103" s="9"/>
      <c r="M103" s="10"/>
    </row>
    <row r="104" spans="1:13" s="4" customFormat="1" ht="30" hidden="1" customHeight="1" x14ac:dyDescent="0.25">
      <c r="A104" s="9" t="s">
        <v>37</v>
      </c>
      <c r="B104" s="13">
        <f>VLOOKUP(Table24[[#This Row],[Location 
(drop-down)]],'List source'!D$2:E$59,2,FALSE)</f>
        <v>158</v>
      </c>
      <c r="C104" s="25" t="s">
        <v>322</v>
      </c>
      <c r="D104" s="33" t="str">
        <f t="shared" si="1"/>
        <v>P103-158-23</v>
      </c>
      <c r="E104" s="11" t="s">
        <v>15</v>
      </c>
      <c r="F104" s="148" t="s">
        <v>323</v>
      </c>
      <c r="G104" s="12">
        <v>45086</v>
      </c>
      <c r="H104" s="12" t="s">
        <v>17</v>
      </c>
      <c r="I104" s="12">
        <v>45330</v>
      </c>
      <c r="J104" s="10" t="s">
        <v>15</v>
      </c>
      <c r="K104" s="9"/>
      <c r="L104" s="9"/>
      <c r="M104" s="10"/>
    </row>
    <row r="105" spans="1:13" s="4" customFormat="1" ht="30" hidden="1" customHeight="1" x14ac:dyDescent="0.25">
      <c r="A105" s="9" t="s">
        <v>324</v>
      </c>
      <c r="B105" s="13">
        <f>VLOOKUP(Table24[[#This Row],[Location 
(drop-down)]],'List source'!D$2:E$59,2,FALSE)</f>
        <v>170</v>
      </c>
      <c r="C105" s="25" t="s">
        <v>325</v>
      </c>
      <c r="D105" s="33" t="str">
        <f t="shared" si="1"/>
        <v>P104-170-23</v>
      </c>
      <c r="E105" s="11" t="s">
        <v>15</v>
      </c>
      <c r="F105" s="148" t="s">
        <v>326</v>
      </c>
      <c r="G105" s="12">
        <v>45086</v>
      </c>
      <c r="H105" s="12" t="s">
        <v>17</v>
      </c>
      <c r="I105" s="12">
        <v>45167</v>
      </c>
      <c r="J105" s="10" t="s">
        <v>15</v>
      </c>
      <c r="K105" s="9"/>
      <c r="L105" s="9"/>
      <c r="M105" s="10"/>
    </row>
    <row r="106" spans="1:13" s="4" customFormat="1" ht="30" hidden="1" customHeight="1" x14ac:dyDescent="0.25">
      <c r="A106" s="9" t="s">
        <v>47</v>
      </c>
      <c r="B106" s="13">
        <f>VLOOKUP(Table24[[#This Row],[Location 
(drop-down)]],'List source'!D$2:E$59,2,FALSE)</f>
        <v>215</v>
      </c>
      <c r="C106" s="25" t="s">
        <v>327</v>
      </c>
      <c r="D106" s="220" t="str">
        <f t="shared" si="1"/>
        <v>P105-215-23</v>
      </c>
      <c r="E106" s="11" t="s">
        <v>15</v>
      </c>
      <c r="F106" s="148" t="s">
        <v>319</v>
      </c>
      <c r="G106" s="12">
        <v>45086</v>
      </c>
      <c r="H106" s="12" t="s">
        <v>17</v>
      </c>
      <c r="I106" s="217" t="s">
        <v>50</v>
      </c>
      <c r="J106" s="10" t="s">
        <v>15</v>
      </c>
      <c r="K106" s="9"/>
      <c r="L106" s="9"/>
      <c r="M106" s="10" t="s">
        <v>51</v>
      </c>
    </row>
    <row r="107" spans="1:13" s="4" customFormat="1" ht="30" hidden="1" customHeight="1" x14ac:dyDescent="0.25">
      <c r="A107" s="9" t="s">
        <v>13</v>
      </c>
      <c r="B107" s="13">
        <f>VLOOKUP(Table24[[#This Row],[Location 
(drop-down)]],'List source'!D$2:E$59,2,FALSE)</f>
        <v>126</v>
      </c>
      <c r="C107" s="25" t="s">
        <v>328</v>
      </c>
      <c r="D107" s="33" t="str">
        <f t="shared" si="1"/>
        <v>P106-126-23</v>
      </c>
      <c r="E107" s="11" t="s">
        <v>15</v>
      </c>
      <c r="F107" s="148" t="s">
        <v>329</v>
      </c>
      <c r="G107" s="12">
        <v>45086</v>
      </c>
      <c r="H107" s="12" t="s">
        <v>17</v>
      </c>
      <c r="I107" s="12">
        <v>45134</v>
      </c>
      <c r="J107" s="10" t="s">
        <v>15</v>
      </c>
      <c r="K107" s="9" t="s">
        <v>18</v>
      </c>
      <c r="L107" s="9" t="s">
        <v>330</v>
      </c>
      <c r="M107" s="10"/>
    </row>
    <row r="108" spans="1:13" s="4" customFormat="1" ht="30" hidden="1" customHeight="1" x14ac:dyDescent="0.25">
      <c r="A108" s="9" t="s">
        <v>331</v>
      </c>
      <c r="B108" s="13">
        <f>VLOOKUP(Table24[[#This Row],[Location 
(drop-down)]],'List source'!D$2:E$59,2,FALSE)</f>
        <v>146</v>
      </c>
      <c r="C108" s="25" t="s">
        <v>332</v>
      </c>
      <c r="D108" s="33" t="str">
        <f t="shared" si="1"/>
        <v>P107-146-23</v>
      </c>
      <c r="E108" s="11" t="s">
        <v>15</v>
      </c>
      <c r="F108" s="150" t="s">
        <v>333</v>
      </c>
      <c r="G108" s="12">
        <v>45086</v>
      </c>
      <c r="H108" s="12" t="s">
        <v>17</v>
      </c>
      <c r="I108" s="12">
        <v>45309</v>
      </c>
      <c r="J108" s="10" t="s">
        <v>15</v>
      </c>
      <c r="K108" s="9" t="s">
        <v>18</v>
      </c>
      <c r="L108" s="9" t="s">
        <v>334</v>
      </c>
      <c r="M108" s="10"/>
    </row>
    <row r="109" spans="1:13" s="4" customFormat="1" ht="30" hidden="1" customHeight="1" x14ac:dyDescent="0.25">
      <c r="A109" s="9" t="s">
        <v>178</v>
      </c>
      <c r="B109" s="13">
        <f>VLOOKUP(Table24[[#This Row],[Location 
(drop-down)]],'List source'!D$2:E$59,2,FALSE)</f>
        <v>150</v>
      </c>
      <c r="C109" s="25" t="s">
        <v>335</v>
      </c>
      <c r="D109" s="33" t="str">
        <f t="shared" si="1"/>
        <v>P108-150-23</v>
      </c>
      <c r="E109" s="11" t="s">
        <v>15</v>
      </c>
      <c r="F109" s="148" t="s">
        <v>336</v>
      </c>
      <c r="G109" s="12">
        <v>45086</v>
      </c>
      <c r="H109" s="12" t="s">
        <v>17</v>
      </c>
      <c r="I109" s="12">
        <v>45348</v>
      </c>
      <c r="J109" s="10" t="s">
        <v>15</v>
      </c>
      <c r="K109" s="9"/>
      <c r="L109" s="9"/>
      <c r="M109" s="10"/>
    </row>
    <row r="110" spans="1:13" s="4" customFormat="1" ht="30" hidden="1" customHeight="1" x14ac:dyDescent="0.25">
      <c r="A110" s="9" t="s">
        <v>131</v>
      </c>
      <c r="B110" s="13" t="str">
        <f>VLOOKUP(Table24[[#This Row],[Location 
(drop-down)]],'List source'!D$2:E$59,2,FALSE)</f>
        <v>VOID</v>
      </c>
      <c r="C110" s="25" t="s">
        <v>337</v>
      </c>
      <c r="D110" s="33" t="str">
        <f t="shared" si="1"/>
        <v>P109-VOID-23</v>
      </c>
      <c r="E110" s="11" t="s">
        <v>50</v>
      </c>
      <c r="F110" s="148" t="s">
        <v>338</v>
      </c>
      <c r="G110" s="12" t="s">
        <v>50</v>
      </c>
      <c r="H110" s="12" t="s">
        <v>50</v>
      </c>
      <c r="I110" s="12" t="s">
        <v>50</v>
      </c>
      <c r="J110" s="10" t="s">
        <v>50</v>
      </c>
      <c r="K110" s="9" t="s">
        <v>50</v>
      </c>
      <c r="L110" s="9" t="s">
        <v>50</v>
      </c>
      <c r="M110" s="10"/>
    </row>
    <row r="111" spans="1:13" s="4" customFormat="1" ht="30" hidden="1" customHeight="1" x14ac:dyDescent="0.25">
      <c r="A111" s="9" t="s">
        <v>126</v>
      </c>
      <c r="B111" s="13">
        <f>VLOOKUP(Table24[[#This Row],[Location 
(drop-down)]],'List source'!D$2:E$59,2,FALSE)</f>
        <v>125</v>
      </c>
      <c r="C111" s="25" t="s">
        <v>339</v>
      </c>
      <c r="D111" s="33" t="str">
        <f t="shared" si="1"/>
        <v>P110-125-23</v>
      </c>
      <c r="E111" s="11" t="s">
        <v>15</v>
      </c>
      <c r="F111" s="148" t="s">
        <v>340</v>
      </c>
      <c r="G111" s="12">
        <v>45090</v>
      </c>
      <c r="H111" s="12" t="s">
        <v>17</v>
      </c>
      <c r="I111" s="12">
        <v>45133</v>
      </c>
      <c r="J111" s="10" t="s">
        <v>15</v>
      </c>
      <c r="K111" s="9" t="s">
        <v>18</v>
      </c>
      <c r="L111" s="9" t="s">
        <v>243</v>
      </c>
      <c r="M111" s="10"/>
    </row>
    <row r="112" spans="1:13" s="4" customFormat="1" ht="30" hidden="1" customHeight="1" x14ac:dyDescent="0.25">
      <c r="A112" s="9" t="s">
        <v>37</v>
      </c>
      <c r="B112" s="13">
        <f>VLOOKUP(Table24[[#This Row],[Location 
(drop-down)]],'List source'!D$2:E$59,2,FALSE)</f>
        <v>158</v>
      </c>
      <c r="C112" s="25" t="s">
        <v>341</v>
      </c>
      <c r="D112" s="33" t="str">
        <f t="shared" si="1"/>
        <v>P111-158-23</v>
      </c>
      <c r="E112" s="11" t="s">
        <v>15</v>
      </c>
      <c r="F112" s="148" t="s">
        <v>342</v>
      </c>
      <c r="G112" s="12">
        <v>45090</v>
      </c>
      <c r="H112" s="12" t="s">
        <v>17</v>
      </c>
      <c r="I112" s="12">
        <v>45328</v>
      </c>
      <c r="J112" s="10" t="s">
        <v>15</v>
      </c>
      <c r="K112" s="9"/>
      <c r="L112" s="9"/>
      <c r="M112" s="10"/>
    </row>
    <row r="113" spans="1:13" s="4" customFormat="1" ht="30" hidden="1" customHeight="1" x14ac:dyDescent="0.25">
      <c r="A113" s="9" t="s">
        <v>87</v>
      </c>
      <c r="B113" s="13">
        <f>VLOOKUP(Table24[[#This Row],[Location 
(drop-down)]],'List source'!D$2:E$59,2,FALSE)</f>
        <v>210</v>
      </c>
      <c r="C113" s="25" t="s">
        <v>343</v>
      </c>
      <c r="D113" s="33" t="str">
        <f t="shared" si="1"/>
        <v>P112-210-23</v>
      </c>
      <c r="E113" s="11" t="s">
        <v>15</v>
      </c>
      <c r="F113" s="148" t="s">
        <v>344</v>
      </c>
      <c r="G113" s="12">
        <v>45091</v>
      </c>
      <c r="H113" s="12" t="s">
        <v>17</v>
      </c>
      <c r="I113" s="12">
        <v>45125</v>
      </c>
      <c r="J113" s="10" t="s">
        <v>15</v>
      </c>
      <c r="K113" s="9" t="s">
        <v>18</v>
      </c>
      <c r="L113" s="9" t="s">
        <v>243</v>
      </c>
      <c r="M113" s="10"/>
    </row>
    <row r="114" spans="1:13" s="4" customFormat="1" ht="30" hidden="1" customHeight="1" x14ac:dyDescent="0.25">
      <c r="A114" s="9" t="s">
        <v>66</v>
      </c>
      <c r="B114" s="13">
        <f>VLOOKUP(Table24[[#This Row],[Location 
(drop-down)]],'List source'!D$2:E$59,2,FALSE)</f>
        <v>165</v>
      </c>
      <c r="C114" s="25" t="s">
        <v>345</v>
      </c>
      <c r="D114" s="33" t="str">
        <f t="shared" si="1"/>
        <v>P113-165-23</v>
      </c>
      <c r="E114" s="11" t="s">
        <v>15</v>
      </c>
      <c r="F114" s="148" t="s">
        <v>346</v>
      </c>
      <c r="G114" s="12">
        <v>45092</v>
      </c>
      <c r="H114" s="12" t="s">
        <v>17</v>
      </c>
      <c r="I114" s="12">
        <v>45188</v>
      </c>
      <c r="J114" s="10" t="s">
        <v>15</v>
      </c>
      <c r="K114" s="9"/>
      <c r="L114" s="9"/>
      <c r="M114" s="10"/>
    </row>
    <row r="115" spans="1:13" s="4" customFormat="1" ht="30" hidden="1" customHeight="1" x14ac:dyDescent="0.25">
      <c r="A115" s="9" t="s">
        <v>174</v>
      </c>
      <c r="B115" s="13">
        <f>VLOOKUP(Table24[[#This Row],[Location 
(drop-down)]],'List source'!D$2:E$59,2,FALSE)</f>
        <v>131</v>
      </c>
      <c r="C115" s="25" t="s">
        <v>347</v>
      </c>
      <c r="D115" s="220" t="str">
        <f t="shared" si="1"/>
        <v>P114-131-23</v>
      </c>
      <c r="E115" s="11" t="s">
        <v>15</v>
      </c>
      <c r="F115" s="148" t="s">
        <v>346</v>
      </c>
      <c r="G115" s="12">
        <v>45092</v>
      </c>
      <c r="H115" s="12" t="s">
        <v>17</v>
      </c>
      <c r="I115" s="217">
        <v>45146</v>
      </c>
      <c r="J115" s="10" t="s">
        <v>15</v>
      </c>
      <c r="K115" s="9" t="s">
        <v>18</v>
      </c>
      <c r="L115" s="188" t="s">
        <v>243</v>
      </c>
      <c r="M115" s="10"/>
    </row>
    <row r="116" spans="1:13" s="4" customFormat="1" ht="30" hidden="1" customHeight="1" x14ac:dyDescent="0.25">
      <c r="A116" s="9" t="s">
        <v>87</v>
      </c>
      <c r="B116" s="13">
        <f>VLOOKUP(Table24[[#This Row],[Location 
(drop-down)]],'List source'!D$2:E$59,2,FALSE)</f>
        <v>210</v>
      </c>
      <c r="C116" s="25" t="s">
        <v>348</v>
      </c>
      <c r="D116" s="33" t="str">
        <f t="shared" si="1"/>
        <v>P115-210-23</v>
      </c>
      <c r="E116" s="11" t="s">
        <v>15</v>
      </c>
      <c r="F116" s="148" t="s">
        <v>349</v>
      </c>
      <c r="G116" s="12">
        <v>45100</v>
      </c>
      <c r="H116" s="12" t="s">
        <v>17</v>
      </c>
      <c r="I116" s="12">
        <v>45121</v>
      </c>
      <c r="J116" s="10" t="s">
        <v>15</v>
      </c>
      <c r="K116" s="9" t="s">
        <v>18</v>
      </c>
      <c r="L116" s="9" t="s">
        <v>243</v>
      </c>
      <c r="M116" s="10"/>
    </row>
    <row r="117" spans="1:13" s="4" customFormat="1" ht="30" hidden="1" customHeight="1" x14ac:dyDescent="0.25">
      <c r="A117" s="9" t="s">
        <v>79</v>
      </c>
      <c r="B117" s="13">
        <f>VLOOKUP(Table24[[#This Row],[Location 
(drop-down)]],'List source'!D$2:E$59,2,FALSE)</f>
        <v>141</v>
      </c>
      <c r="C117" s="25" t="s">
        <v>350</v>
      </c>
      <c r="D117" s="33" t="str">
        <f t="shared" si="1"/>
        <v>P116-141-23</v>
      </c>
      <c r="E117" s="11" t="s">
        <v>15</v>
      </c>
      <c r="F117" s="148" t="s">
        <v>351</v>
      </c>
      <c r="G117" s="12">
        <v>45104</v>
      </c>
      <c r="H117" s="12" t="s">
        <v>17</v>
      </c>
      <c r="I117" s="12">
        <v>45124</v>
      </c>
      <c r="J117" s="10" t="s">
        <v>15</v>
      </c>
      <c r="K117" s="9" t="s">
        <v>18</v>
      </c>
      <c r="L117" s="9" t="s">
        <v>255</v>
      </c>
      <c r="M117" s="10"/>
    </row>
    <row r="118" spans="1:13" s="4" customFormat="1" ht="30" hidden="1" customHeight="1" x14ac:dyDescent="0.25">
      <c r="A118" s="9" t="s">
        <v>66</v>
      </c>
      <c r="B118" s="13">
        <f>VLOOKUP(Table24[[#This Row],[Location 
(drop-down)]],'List source'!D$2:E$59,2,FALSE)</f>
        <v>165</v>
      </c>
      <c r="C118" s="25" t="s">
        <v>352</v>
      </c>
      <c r="D118" s="33" t="str">
        <f t="shared" si="1"/>
        <v>P117-165-23</v>
      </c>
      <c r="E118" s="11" t="s">
        <v>15</v>
      </c>
      <c r="F118" s="148" t="s">
        <v>353</v>
      </c>
      <c r="G118" s="12">
        <v>45104</v>
      </c>
      <c r="H118" s="12" t="s">
        <v>17</v>
      </c>
      <c r="I118" s="12">
        <v>45145</v>
      </c>
      <c r="J118" s="10" t="s">
        <v>15</v>
      </c>
      <c r="K118" s="9"/>
      <c r="L118" s="9"/>
      <c r="M118" s="10"/>
    </row>
    <row r="119" spans="1:13" s="4" customFormat="1" ht="30" hidden="1" customHeight="1" x14ac:dyDescent="0.25">
      <c r="A119" s="9" t="s">
        <v>66</v>
      </c>
      <c r="B119" s="13">
        <f>VLOOKUP(Table24[[#This Row],[Location 
(drop-down)]],'List source'!D$2:E$59,2,FALSE)</f>
        <v>165</v>
      </c>
      <c r="C119" s="25" t="s">
        <v>354</v>
      </c>
      <c r="D119" s="33" t="str">
        <f t="shared" si="1"/>
        <v>P118-165-23</v>
      </c>
      <c r="E119" s="11" t="s">
        <v>15</v>
      </c>
      <c r="F119" s="148" t="s">
        <v>355</v>
      </c>
      <c r="G119" s="12">
        <v>45104</v>
      </c>
      <c r="H119" s="12" t="s">
        <v>17</v>
      </c>
      <c r="I119" s="12">
        <v>45152</v>
      </c>
      <c r="J119" s="10" t="s">
        <v>15</v>
      </c>
      <c r="K119" s="9"/>
      <c r="L119" s="9"/>
      <c r="M119" s="10"/>
    </row>
    <row r="120" spans="1:13" s="4" customFormat="1" ht="30" hidden="1" customHeight="1" x14ac:dyDescent="0.25">
      <c r="A120" s="9" t="s">
        <v>208</v>
      </c>
      <c r="B120" s="13">
        <f>VLOOKUP(Table24[[#This Row],[Location 
(drop-down)]],'List source'!D$2:E$59,2,FALSE)</f>
        <v>142</v>
      </c>
      <c r="C120" s="25" t="s">
        <v>356</v>
      </c>
      <c r="D120" s="33" t="str">
        <f t="shared" si="1"/>
        <v>P119-142-23</v>
      </c>
      <c r="E120" s="11" t="s">
        <v>15</v>
      </c>
      <c r="F120" s="148" t="s">
        <v>357</v>
      </c>
      <c r="G120" s="12">
        <v>45127</v>
      </c>
      <c r="H120" s="12" t="s">
        <v>17</v>
      </c>
      <c r="I120" s="12">
        <v>45148</v>
      </c>
      <c r="J120" s="10" t="s">
        <v>15</v>
      </c>
      <c r="K120" s="9" t="s">
        <v>18</v>
      </c>
      <c r="L120" s="9" t="s">
        <v>255</v>
      </c>
      <c r="M120" s="10"/>
    </row>
    <row r="121" spans="1:13" s="4" customFormat="1" ht="30" hidden="1" customHeight="1" x14ac:dyDescent="0.25">
      <c r="A121" s="9" t="s">
        <v>108</v>
      </c>
      <c r="B121" s="13">
        <f>VLOOKUP(Table24[[#This Row],[Location 
(drop-down)]],'List source'!D$2:E$59,2,FALSE)</f>
        <v>191</v>
      </c>
      <c r="C121" s="25" t="s">
        <v>358</v>
      </c>
      <c r="D121" s="33" t="str">
        <f t="shared" si="1"/>
        <v>P120-191-23</v>
      </c>
      <c r="E121" s="11" t="s">
        <v>15</v>
      </c>
      <c r="F121" s="148" t="s">
        <v>359</v>
      </c>
      <c r="G121" s="12">
        <v>45127</v>
      </c>
      <c r="H121" s="12" t="s">
        <v>17</v>
      </c>
      <c r="I121" s="12">
        <v>45435</v>
      </c>
      <c r="J121" s="10" t="s">
        <v>15</v>
      </c>
      <c r="K121" s="9"/>
      <c r="L121" s="9"/>
      <c r="M121" s="10"/>
    </row>
    <row r="122" spans="1:13" s="4" customFormat="1" ht="30" hidden="1" customHeight="1" x14ac:dyDescent="0.25">
      <c r="A122" s="9" t="s">
        <v>87</v>
      </c>
      <c r="B122" s="13">
        <f>VLOOKUP(Table24[[#This Row],[Location 
(drop-down)]],'List source'!D$2:E$59,2,FALSE)</f>
        <v>210</v>
      </c>
      <c r="C122" s="25" t="s">
        <v>360</v>
      </c>
      <c r="D122" s="33" t="str">
        <f t="shared" si="1"/>
        <v>P121-210-23</v>
      </c>
      <c r="E122" s="11" t="s">
        <v>15</v>
      </c>
      <c r="F122" s="148" t="s">
        <v>361</v>
      </c>
      <c r="G122" s="12">
        <v>45127</v>
      </c>
      <c r="H122" s="12" t="s">
        <v>17</v>
      </c>
      <c r="I122" s="12">
        <v>45222</v>
      </c>
      <c r="J122" s="10" t="s">
        <v>15</v>
      </c>
      <c r="K122" s="9" t="s">
        <v>18</v>
      </c>
      <c r="L122" s="9" t="s">
        <v>362</v>
      </c>
      <c r="M122" s="10"/>
    </row>
    <row r="123" spans="1:13" s="4" customFormat="1" ht="30" hidden="1" customHeight="1" x14ac:dyDescent="0.25">
      <c r="A123" s="9" t="s">
        <v>87</v>
      </c>
      <c r="B123" s="13">
        <f>VLOOKUP(Table24[[#This Row],[Location 
(drop-down)]],'List source'!D$2:E$59,2,FALSE)</f>
        <v>210</v>
      </c>
      <c r="C123" s="25" t="s">
        <v>363</v>
      </c>
      <c r="D123" s="33" t="str">
        <f t="shared" si="1"/>
        <v>P122-210-23</v>
      </c>
      <c r="E123" s="11" t="s">
        <v>15</v>
      </c>
      <c r="F123" s="148" t="s">
        <v>364</v>
      </c>
      <c r="G123" s="12">
        <v>45127</v>
      </c>
      <c r="H123" s="12" t="s">
        <v>17</v>
      </c>
      <c r="I123" s="12">
        <v>45222</v>
      </c>
      <c r="J123" s="10" t="s">
        <v>15</v>
      </c>
      <c r="K123" s="9" t="s">
        <v>18</v>
      </c>
      <c r="L123" s="9" t="s">
        <v>362</v>
      </c>
      <c r="M123" s="10"/>
    </row>
    <row r="124" spans="1:13" s="4" customFormat="1" ht="30" hidden="1" customHeight="1" x14ac:dyDescent="0.25">
      <c r="A124" s="9" t="s">
        <v>79</v>
      </c>
      <c r="B124" s="13">
        <f>VLOOKUP(Table24[[#This Row],[Location 
(drop-down)]],'List source'!D$2:E$59,2,FALSE)</f>
        <v>141</v>
      </c>
      <c r="C124" s="25" t="s">
        <v>365</v>
      </c>
      <c r="D124" s="33" t="str">
        <f t="shared" si="1"/>
        <v>P123-141-23</v>
      </c>
      <c r="E124" s="11" t="s">
        <v>15</v>
      </c>
      <c r="F124" s="148" t="s">
        <v>366</v>
      </c>
      <c r="G124" s="12">
        <v>45127</v>
      </c>
      <c r="H124" s="12" t="s">
        <v>17</v>
      </c>
      <c r="I124" s="12">
        <v>45149</v>
      </c>
      <c r="J124" s="10" t="s">
        <v>15</v>
      </c>
      <c r="K124" s="9" t="s">
        <v>18</v>
      </c>
      <c r="L124" s="9" t="s">
        <v>367</v>
      </c>
      <c r="M124" s="10"/>
    </row>
    <row r="125" spans="1:13" s="4" customFormat="1" ht="30" hidden="1" customHeight="1" x14ac:dyDescent="0.25">
      <c r="A125" s="9" t="s">
        <v>178</v>
      </c>
      <c r="B125" s="13">
        <f>VLOOKUP(Table24[[#This Row],[Location 
(drop-down)]],'List source'!D$2:E$59,2,FALSE)</f>
        <v>150</v>
      </c>
      <c r="C125" s="25" t="s">
        <v>368</v>
      </c>
      <c r="D125" s="69" t="str">
        <f t="shared" si="1"/>
        <v>P124-150-23</v>
      </c>
      <c r="E125" s="11" t="s">
        <v>15</v>
      </c>
      <c r="F125" s="148" t="s">
        <v>369</v>
      </c>
      <c r="G125" s="12">
        <v>45131</v>
      </c>
      <c r="H125" s="12" t="s">
        <v>17</v>
      </c>
      <c r="I125" s="12">
        <v>45348</v>
      </c>
      <c r="J125" s="10" t="s">
        <v>15</v>
      </c>
      <c r="K125" s="9"/>
      <c r="L125" s="9"/>
      <c r="M125" s="10"/>
    </row>
    <row r="126" spans="1:13" s="4" customFormat="1" ht="30" hidden="1" customHeight="1" x14ac:dyDescent="0.25">
      <c r="A126" s="9" t="s">
        <v>42</v>
      </c>
      <c r="B126" s="13">
        <f>VLOOKUP(Table24[[#This Row],[Location 
(drop-down)]],'List source'!D$2:E$59,2,FALSE)</f>
        <v>198</v>
      </c>
      <c r="C126" s="25" t="s">
        <v>370</v>
      </c>
      <c r="D126" s="33" t="str">
        <f t="shared" si="1"/>
        <v>P125-198-23</v>
      </c>
      <c r="E126" s="11" t="s">
        <v>15</v>
      </c>
      <c r="F126" s="148" t="s">
        <v>371</v>
      </c>
      <c r="G126" s="12">
        <v>45131</v>
      </c>
      <c r="H126" s="12" t="s">
        <v>17</v>
      </c>
      <c r="I126" s="12">
        <v>45581</v>
      </c>
      <c r="J126" s="10" t="s">
        <v>15</v>
      </c>
      <c r="K126" s="9"/>
      <c r="L126" s="9"/>
      <c r="M126" s="10"/>
    </row>
    <row r="127" spans="1:13" s="4" customFormat="1" ht="30" hidden="1" customHeight="1" x14ac:dyDescent="0.25">
      <c r="A127" s="9" t="s">
        <v>126</v>
      </c>
      <c r="B127" s="13">
        <f>VLOOKUP(Table24[[#This Row],[Location 
(drop-down)]],'List source'!D$2:E$59,2,FALSE)</f>
        <v>125</v>
      </c>
      <c r="C127" s="25" t="s">
        <v>372</v>
      </c>
      <c r="D127" s="33" t="str">
        <f t="shared" si="1"/>
        <v>P126-125-23</v>
      </c>
      <c r="E127" s="11" t="s">
        <v>15</v>
      </c>
      <c r="F127" s="148" t="s">
        <v>373</v>
      </c>
      <c r="G127" s="12">
        <v>45131</v>
      </c>
      <c r="H127" s="12" t="s">
        <v>17</v>
      </c>
      <c r="I127" s="12">
        <v>45133</v>
      </c>
      <c r="J127" s="10" t="s">
        <v>15</v>
      </c>
      <c r="K127" s="9" t="s">
        <v>18</v>
      </c>
      <c r="L127" s="9" t="s">
        <v>243</v>
      </c>
      <c r="M127" s="10"/>
    </row>
    <row r="128" spans="1:13" s="4" customFormat="1" ht="30" hidden="1" customHeight="1" x14ac:dyDescent="0.25">
      <c r="A128" s="9" t="s">
        <v>72</v>
      </c>
      <c r="B128" s="13">
        <f>VLOOKUP(Table24[[#This Row],[Location 
(drop-down)]],'List source'!D$2:E$59,2,FALSE)</f>
        <v>197</v>
      </c>
      <c r="C128" s="25" t="s">
        <v>374</v>
      </c>
      <c r="D128" s="33" t="str">
        <f t="shared" si="1"/>
        <v>P127-197-23</v>
      </c>
      <c r="E128" s="11" t="s">
        <v>15</v>
      </c>
      <c r="F128" s="148" t="s">
        <v>375</v>
      </c>
      <c r="G128" s="12">
        <v>45131</v>
      </c>
      <c r="H128" s="12" t="s">
        <v>17</v>
      </c>
      <c r="I128" s="12">
        <v>45540</v>
      </c>
      <c r="J128" s="10" t="s">
        <v>15</v>
      </c>
      <c r="K128" s="9"/>
      <c r="L128" s="9"/>
      <c r="M128" s="10"/>
    </row>
    <row r="129" spans="1:13" s="4" customFormat="1" ht="30" hidden="1" customHeight="1" x14ac:dyDescent="0.25">
      <c r="A129" s="9" t="s">
        <v>72</v>
      </c>
      <c r="B129" s="13">
        <f>VLOOKUP(Table24[[#This Row],[Location 
(drop-down)]],'List source'!D$2:E$59,2,FALSE)</f>
        <v>197</v>
      </c>
      <c r="C129" s="25" t="s">
        <v>376</v>
      </c>
      <c r="D129" s="33" t="str">
        <f t="shared" si="1"/>
        <v>P128-197-23</v>
      </c>
      <c r="E129" s="11" t="s">
        <v>15</v>
      </c>
      <c r="F129" s="148" t="s">
        <v>377</v>
      </c>
      <c r="G129" s="12">
        <v>45131</v>
      </c>
      <c r="H129" s="12" t="s">
        <v>17</v>
      </c>
      <c r="I129" s="12">
        <v>45425</v>
      </c>
      <c r="J129" s="10" t="s">
        <v>15</v>
      </c>
      <c r="K129" s="9"/>
      <c r="L129" s="9" t="s">
        <v>86</v>
      </c>
      <c r="M129" s="10"/>
    </row>
    <row r="130" spans="1:13" s="4" customFormat="1" ht="30" hidden="1" customHeight="1" x14ac:dyDescent="0.25">
      <c r="A130" s="9" t="s">
        <v>378</v>
      </c>
      <c r="B130" s="13">
        <f>VLOOKUP(Table24[[#This Row],[Location 
(drop-down)]],'List source'!D$2:E$59,2,FALSE)</f>
        <v>116</v>
      </c>
      <c r="C130" s="25" t="s">
        <v>379</v>
      </c>
      <c r="D130" s="33" t="str">
        <f t="shared" ref="D130:D193" si="2">"P" &amp; C130 &amp; "-" &amp; B130 &amp; "-" &amp; "23"</f>
        <v>P129-116-23</v>
      </c>
      <c r="E130" s="11" t="s">
        <v>15</v>
      </c>
      <c r="F130" s="148" t="s">
        <v>380</v>
      </c>
      <c r="G130" s="12">
        <v>45132</v>
      </c>
      <c r="H130" s="12" t="s">
        <v>17</v>
      </c>
      <c r="I130" s="12">
        <v>45148</v>
      </c>
      <c r="J130" s="10" t="s">
        <v>15</v>
      </c>
      <c r="K130" s="9"/>
      <c r="L130" s="9"/>
      <c r="M130" s="10"/>
    </row>
    <row r="131" spans="1:13" s="4" customFormat="1" ht="43.35" hidden="1" customHeight="1" x14ac:dyDescent="0.25">
      <c r="A131" s="9" t="s">
        <v>331</v>
      </c>
      <c r="B131" s="13">
        <f>VLOOKUP(Table24[[#This Row],[Location 
(drop-down)]],'List source'!D$2:E$59,2,FALSE)</f>
        <v>146</v>
      </c>
      <c r="C131" s="25" t="s">
        <v>381</v>
      </c>
      <c r="D131" s="33" t="str">
        <f t="shared" si="2"/>
        <v>P130-146-23</v>
      </c>
      <c r="E131" s="11" t="s">
        <v>15</v>
      </c>
      <c r="F131" s="148" t="s">
        <v>353</v>
      </c>
      <c r="G131" s="12">
        <v>45132</v>
      </c>
      <c r="H131" s="12" t="s">
        <v>17</v>
      </c>
      <c r="I131" s="12">
        <v>45219</v>
      </c>
      <c r="J131" s="10" t="s">
        <v>15</v>
      </c>
      <c r="K131" s="9" t="s">
        <v>382</v>
      </c>
      <c r="L131" s="9" t="s">
        <v>383</v>
      </c>
      <c r="M131" s="10"/>
    </row>
    <row r="132" spans="1:13" s="4" customFormat="1" ht="30" hidden="1" customHeight="1" x14ac:dyDescent="0.25">
      <c r="A132" s="9" t="s">
        <v>37</v>
      </c>
      <c r="B132" s="13">
        <f>VLOOKUP(Table24[[#This Row],[Location 
(drop-down)]],'List source'!D$2:E$59,2,FALSE)</f>
        <v>158</v>
      </c>
      <c r="C132" s="25" t="s">
        <v>384</v>
      </c>
      <c r="D132" s="220" t="str">
        <f t="shared" si="2"/>
        <v>P131-158-23</v>
      </c>
      <c r="E132" s="11" t="s">
        <v>15</v>
      </c>
      <c r="F132" s="148" t="s">
        <v>385</v>
      </c>
      <c r="G132" s="12">
        <v>45132</v>
      </c>
      <c r="H132" s="12" t="s">
        <v>17</v>
      </c>
      <c r="I132" s="217">
        <v>45272</v>
      </c>
      <c r="J132" s="10" t="s">
        <v>15</v>
      </c>
      <c r="K132" s="9"/>
      <c r="L132" s="9"/>
      <c r="M132" s="10"/>
    </row>
    <row r="133" spans="1:13" s="4" customFormat="1" ht="30" hidden="1" customHeight="1" x14ac:dyDescent="0.25">
      <c r="A133" s="9" t="s">
        <v>171</v>
      </c>
      <c r="B133" s="13">
        <f>VLOOKUP(Table24[[#This Row],[Location 
(drop-down)]],'List source'!D$2:E$59,2,FALSE)</f>
        <v>160</v>
      </c>
      <c r="C133" s="25" t="s">
        <v>386</v>
      </c>
      <c r="D133" s="33" t="str">
        <f t="shared" si="2"/>
        <v>P132-160-23</v>
      </c>
      <c r="E133" s="11" t="s">
        <v>15</v>
      </c>
      <c r="F133" s="148" t="s">
        <v>387</v>
      </c>
      <c r="G133" s="12">
        <v>45132</v>
      </c>
      <c r="H133" s="12" t="s">
        <v>17</v>
      </c>
      <c r="I133" s="12">
        <v>45341</v>
      </c>
      <c r="J133" s="10" t="s">
        <v>15</v>
      </c>
      <c r="K133" s="9"/>
      <c r="L133" s="9"/>
      <c r="M133" s="10"/>
    </row>
    <row r="134" spans="1:13" s="4" customFormat="1" ht="30" hidden="1" customHeight="1" x14ac:dyDescent="0.25">
      <c r="A134" s="9" t="s">
        <v>324</v>
      </c>
      <c r="B134" s="13">
        <f>VLOOKUP(Table24[[#This Row],[Location 
(drop-down)]],'List source'!D$2:E$59,2,FALSE)</f>
        <v>170</v>
      </c>
      <c r="C134" s="25" t="s">
        <v>388</v>
      </c>
      <c r="D134" s="33" t="str">
        <f t="shared" si="2"/>
        <v>P133-170-23</v>
      </c>
      <c r="E134" s="11" t="s">
        <v>15</v>
      </c>
      <c r="F134" s="148" t="s">
        <v>389</v>
      </c>
      <c r="G134" s="12">
        <v>45132</v>
      </c>
      <c r="H134" s="12" t="s">
        <v>17</v>
      </c>
      <c r="I134" s="12">
        <v>45161</v>
      </c>
      <c r="J134" s="10" t="s">
        <v>15</v>
      </c>
      <c r="K134" s="9"/>
      <c r="L134" s="9"/>
      <c r="M134" s="10"/>
    </row>
    <row r="135" spans="1:13" s="4" customFormat="1" ht="30" hidden="1" customHeight="1" x14ac:dyDescent="0.25">
      <c r="A135" s="9" t="s">
        <v>79</v>
      </c>
      <c r="B135" s="13">
        <f>VLOOKUP(Table24[[#This Row],[Location 
(drop-down)]],'List source'!D$2:E$59,2,FALSE)</f>
        <v>141</v>
      </c>
      <c r="C135" s="25" t="s">
        <v>390</v>
      </c>
      <c r="D135" s="33" t="str">
        <f t="shared" si="2"/>
        <v>P134-141-23</v>
      </c>
      <c r="E135" s="11" t="s">
        <v>15</v>
      </c>
      <c r="F135" s="148" t="s">
        <v>391</v>
      </c>
      <c r="G135" s="12">
        <v>45135</v>
      </c>
      <c r="H135" s="12" t="s">
        <v>17</v>
      </c>
      <c r="I135" s="12">
        <v>45148</v>
      </c>
      <c r="J135" s="10" t="s">
        <v>15</v>
      </c>
      <c r="K135" s="9" t="s">
        <v>18</v>
      </c>
      <c r="L135" s="9" t="s">
        <v>392</v>
      </c>
      <c r="M135" s="10"/>
    </row>
    <row r="136" spans="1:13" s="4" customFormat="1" ht="30" hidden="1" customHeight="1" x14ac:dyDescent="0.25">
      <c r="A136" s="9" t="s">
        <v>52</v>
      </c>
      <c r="B136" s="13">
        <f>VLOOKUP(Table24[[#This Row],[Location 
(drop-down)]],'List source'!D$2:E$59,2,FALSE)</f>
        <v>127</v>
      </c>
      <c r="C136" s="25" t="s">
        <v>393</v>
      </c>
      <c r="D136" s="33" t="str">
        <f t="shared" si="2"/>
        <v>P135-127-23</v>
      </c>
      <c r="E136" s="11" t="s">
        <v>15</v>
      </c>
      <c r="F136" s="148" t="s">
        <v>394</v>
      </c>
      <c r="G136" s="12">
        <v>45135</v>
      </c>
      <c r="H136" s="12" t="s">
        <v>17</v>
      </c>
      <c r="I136" s="12">
        <v>45160</v>
      </c>
      <c r="J136" s="10" t="s">
        <v>15</v>
      </c>
      <c r="K136" s="9" t="s">
        <v>18</v>
      </c>
      <c r="L136" s="9" t="s">
        <v>395</v>
      </c>
      <c r="M136" s="10"/>
    </row>
    <row r="137" spans="1:13" s="4" customFormat="1" ht="30" hidden="1" customHeight="1" x14ac:dyDescent="0.25">
      <c r="A137" s="9" t="s">
        <v>13</v>
      </c>
      <c r="B137" s="13">
        <f>VLOOKUP(Table24[[#This Row],[Location 
(drop-down)]],'List source'!D$2:E$59,2,FALSE)</f>
        <v>126</v>
      </c>
      <c r="C137" s="25" t="s">
        <v>396</v>
      </c>
      <c r="D137" s="33" t="str">
        <f t="shared" si="2"/>
        <v>P136-126-23</v>
      </c>
      <c r="E137" s="11" t="s">
        <v>15</v>
      </c>
      <c r="F137" s="148" t="s">
        <v>391</v>
      </c>
      <c r="G137" s="12">
        <v>45135</v>
      </c>
      <c r="H137" s="12" t="s">
        <v>17</v>
      </c>
      <c r="I137" s="12">
        <v>45294</v>
      </c>
      <c r="J137" s="10" t="s">
        <v>15</v>
      </c>
      <c r="K137" s="9" t="s">
        <v>18</v>
      </c>
      <c r="L137" s="9" t="s">
        <v>397</v>
      </c>
      <c r="M137" s="10"/>
    </row>
    <row r="138" spans="1:13" s="4" customFormat="1" ht="30" hidden="1" customHeight="1" x14ac:dyDescent="0.25">
      <c r="A138" s="9" t="s">
        <v>131</v>
      </c>
      <c r="B138" s="13" t="str">
        <f>VLOOKUP(Table24[[#This Row],[Location 
(drop-down)]],'List source'!D$2:E$59,2,FALSE)</f>
        <v>VOID</v>
      </c>
      <c r="C138" s="25" t="s">
        <v>398</v>
      </c>
      <c r="D138" s="33" t="str">
        <f t="shared" si="2"/>
        <v>P137-VOID-23</v>
      </c>
      <c r="E138" s="11" t="s">
        <v>50</v>
      </c>
      <c r="F138" s="148" t="s">
        <v>399</v>
      </c>
      <c r="G138" s="12" t="s">
        <v>50</v>
      </c>
      <c r="H138" s="12" t="s">
        <v>50</v>
      </c>
      <c r="I138" s="12" t="s">
        <v>50</v>
      </c>
      <c r="J138" s="10" t="s">
        <v>50</v>
      </c>
      <c r="K138" s="9" t="s">
        <v>50</v>
      </c>
      <c r="L138" s="9" t="s">
        <v>50</v>
      </c>
      <c r="M138" s="10" t="s">
        <v>400</v>
      </c>
    </row>
    <row r="139" spans="1:13" s="4" customFormat="1" ht="30" hidden="1" customHeight="1" x14ac:dyDescent="0.25">
      <c r="A139" s="9" t="s">
        <v>226</v>
      </c>
      <c r="B139" s="13">
        <f>VLOOKUP(Table24[[#This Row],[Location 
(drop-down)]],'List source'!D$2:E$59,2,FALSE)</f>
        <v>110</v>
      </c>
      <c r="C139" s="25" t="s">
        <v>401</v>
      </c>
      <c r="D139" s="33" t="str">
        <f t="shared" si="2"/>
        <v>P138-110-23</v>
      </c>
      <c r="E139" s="11" t="s">
        <v>15</v>
      </c>
      <c r="F139" s="148" t="s">
        <v>402</v>
      </c>
      <c r="G139" s="12">
        <v>45139</v>
      </c>
      <c r="H139" s="12" t="s">
        <v>17</v>
      </c>
      <c r="I139" s="12">
        <v>45610</v>
      </c>
      <c r="J139" s="10" t="s">
        <v>15</v>
      </c>
      <c r="K139" s="9" t="s">
        <v>403</v>
      </c>
      <c r="L139" s="9" t="s">
        <v>404</v>
      </c>
      <c r="M139" s="10"/>
    </row>
    <row r="140" spans="1:13" s="4" customFormat="1" ht="30" hidden="1" customHeight="1" x14ac:dyDescent="0.25">
      <c r="A140" s="9" t="s">
        <v>72</v>
      </c>
      <c r="B140" s="13">
        <f>VLOOKUP(Table24[[#This Row],[Location 
(drop-down)]],'List source'!D$2:E$59,2,FALSE)</f>
        <v>197</v>
      </c>
      <c r="C140" s="25" t="s">
        <v>405</v>
      </c>
      <c r="D140" s="33" t="str">
        <f t="shared" si="2"/>
        <v>P139-197-23</v>
      </c>
      <c r="E140" s="11" t="s">
        <v>15</v>
      </c>
      <c r="F140" s="148" t="s">
        <v>391</v>
      </c>
      <c r="G140" s="12">
        <v>45139</v>
      </c>
      <c r="H140" s="12" t="s">
        <v>17</v>
      </c>
      <c r="I140" s="12">
        <v>45540</v>
      </c>
      <c r="J140" s="10" t="s">
        <v>15</v>
      </c>
      <c r="K140" s="9"/>
      <c r="L140" s="9"/>
      <c r="M140" s="10"/>
    </row>
    <row r="141" spans="1:13" s="4" customFormat="1" ht="30" hidden="1" customHeight="1" x14ac:dyDescent="0.25">
      <c r="A141" s="9" t="s">
        <v>72</v>
      </c>
      <c r="B141" s="13">
        <f>VLOOKUP(Table24[[#This Row],[Location 
(drop-down)]],'List source'!D$2:E$59,2,FALSE)</f>
        <v>197</v>
      </c>
      <c r="C141" s="25" t="s">
        <v>406</v>
      </c>
      <c r="D141" s="33" t="str">
        <f t="shared" si="2"/>
        <v>P140-197-23</v>
      </c>
      <c r="E141" s="11" t="s">
        <v>15</v>
      </c>
      <c r="F141" s="148" t="s">
        <v>407</v>
      </c>
      <c r="G141" s="12">
        <v>45139</v>
      </c>
      <c r="H141" s="12" t="s">
        <v>17</v>
      </c>
      <c r="I141" s="12">
        <v>45440</v>
      </c>
      <c r="J141" s="10" t="s">
        <v>15</v>
      </c>
      <c r="K141" s="9"/>
      <c r="L141" s="9"/>
      <c r="M141" s="10"/>
    </row>
    <row r="142" spans="1:13" s="4" customFormat="1" ht="30" hidden="1" customHeight="1" x14ac:dyDescent="0.25">
      <c r="A142" s="9" t="s">
        <v>27</v>
      </c>
      <c r="B142" s="13">
        <f>VLOOKUP(Table24[[#This Row],[Location 
(drop-down)]],'List source'!D$2:E$59,2,FALSE)</f>
        <v>132</v>
      </c>
      <c r="C142" s="25" t="s">
        <v>408</v>
      </c>
      <c r="D142" s="33" t="str">
        <f t="shared" si="2"/>
        <v>P141-132-23</v>
      </c>
      <c r="E142" s="11" t="s">
        <v>15</v>
      </c>
      <c r="F142" s="148" t="s">
        <v>409</v>
      </c>
      <c r="G142" s="12">
        <v>45139</v>
      </c>
      <c r="H142" s="12" t="s">
        <v>17</v>
      </c>
      <c r="I142" s="12">
        <v>45386</v>
      </c>
      <c r="J142" s="10" t="s">
        <v>15</v>
      </c>
      <c r="K142" s="9" t="s">
        <v>18</v>
      </c>
      <c r="L142" s="9" t="s">
        <v>410</v>
      </c>
      <c r="M142" s="10"/>
    </row>
    <row r="143" spans="1:13" s="4" customFormat="1" ht="30" hidden="1" customHeight="1" x14ac:dyDescent="0.25">
      <c r="A143" s="9" t="s">
        <v>411</v>
      </c>
      <c r="B143" s="13">
        <f>VLOOKUP(Table24[[#This Row],[Location 
(drop-down)]],'List source'!D$2:E$59,2,FALSE)</f>
        <v>185</v>
      </c>
      <c r="C143" s="25" t="s">
        <v>412</v>
      </c>
      <c r="D143" s="33" t="str">
        <f t="shared" si="2"/>
        <v>P142-185-23</v>
      </c>
      <c r="E143" s="11" t="s">
        <v>15</v>
      </c>
      <c r="F143" s="148" t="s">
        <v>413</v>
      </c>
      <c r="G143" s="12">
        <v>45139</v>
      </c>
      <c r="H143" s="12" t="s">
        <v>17</v>
      </c>
      <c r="I143" s="12">
        <v>45146</v>
      </c>
      <c r="J143" s="10" t="s">
        <v>15</v>
      </c>
      <c r="K143" s="9" t="s">
        <v>18</v>
      </c>
      <c r="L143" s="9" t="s">
        <v>395</v>
      </c>
      <c r="M143" s="10"/>
    </row>
    <row r="144" spans="1:13" s="4" customFormat="1" ht="30" hidden="1" customHeight="1" x14ac:dyDescent="0.25">
      <c r="A144" s="9" t="s">
        <v>237</v>
      </c>
      <c r="B144" s="13">
        <f>VLOOKUP(Table24[[#This Row],[Location 
(drop-down)]],'List source'!D$2:E$59,2,FALSE)</f>
        <v>192</v>
      </c>
      <c r="C144" s="25" t="s">
        <v>414</v>
      </c>
      <c r="D144" s="33" t="str">
        <f t="shared" si="2"/>
        <v>P143-192-23</v>
      </c>
      <c r="E144" s="11" t="s">
        <v>159</v>
      </c>
      <c r="F144" s="148" t="s">
        <v>415</v>
      </c>
      <c r="G144" s="12">
        <v>44992</v>
      </c>
      <c r="H144" s="12" t="s">
        <v>416</v>
      </c>
      <c r="I144" s="12">
        <v>45191</v>
      </c>
      <c r="J144" s="10" t="s">
        <v>97</v>
      </c>
      <c r="K144" s="9" t="s">
        <v>417</v>
      </c>
      <c r="L144" s="9" t="s">
        <v>418</v>
      </c>
      <c r="M144" s="10"/>
    </row>
    <row r="145" spans="1:13" s="4" customFormat="1" ht="30" hidden="1" customHeight="1" x14ac:dyDescent="0.25">
      <c r="A145" s="9" t="s">
        <v>237</v>
      </c>
      <c r="B145" s="13">
        <f>VLOOKUP(Table24[[#This Row],[Location 
(drop-down)]],'List source'!D$2:E$59,2,FALSE)</f>
        <v>192</v>
      </c>
      <c r="C145" s="25" t="s">
        <v>419</v>
      </c>
      <c r="D145" s="33" t="str">
        <f t="shared" si="2"/>
        <v>P144-192-23</v>
      </c>
      <c r="E145" s="11" t="s">
        <v>159</v>
      </c>
      <c r="F145" s="148" t="s">
        <v>420</v>
      </c>
      <c r="G145" s="12">
        <v>44992</v>
      </c>
      <c r="H145" s="12" t="s">
        <v>416</v>
      </c>
      <c r="I145" s="12">
        <v>45194</v>
      </c>
      <c r="J145" s="10" t="s">
        <v>97</v>
      </c>
      <c r="K145" s="9" t="s">
        <v>417</v>
      </c>
      <c r="L145" s="9" t="s">
        <v>421</v>
      </c>
      <c r="M145" s="10"/>
    </row>
    <row r="146" spans="1:13" s="4" customFormat="1" ht="30" hidden="1" customHeight="1" x14ac:dyDescent="0.25">
      <c r="A146" s="9" t="s">
        <v>237</v>
      </c>
      <c r="B146" s="13">
        <f>VLOOKUP(Table24[[#This Row],[Location 
(drop-down)]],'List source'!D$2:E$59,2,FALSE)</f>
        <v>192</v>
      </c>
      <c r="C146" s="25" t="s">
        <v>422</v>
      </c>
      <c r="D146" s="33" t="str">
        <f t="shared" si="2"/>
        <v>P145-192-23</v>
      </c>
      <c r="E146" s="11" t="s">
        <v>159</v>
      </c>
      <c r="F146" s="148" t="s">
        <v>423</v>
      </c>
      <c r="G146" s="12">
        <v>44992</v>
      </c>
      <c r="H146" s="12" t="s">
        <v>416</v>
      </c>
      <c r="I146" s="12">
        <v>45191</v>
      </c>
      <c r="J146" s="10" t="s">
        <v>97</v>
      </c>
      <c r="K146" s="9" t="s">
        <v>424</v>
      </c>
      <c r="L146" s="9" t="s">
        <v>425</v>
      </c>
      <c r="M146" s="10"/>
    </row>
    <row r="147" spans="1:13" s="4" customFormat="1" ht="30" hidden="1" customHeight="1" x14ac:dyDescent="0.25">
      <c r="A147" s="9" t="s">
        <v>237</v>
      </c>
      <c r="B147" s="13">
        <f>VLOOKUP(Table24[[#This Row],[Location 
(drop-down)]],'List source'!D$2:E$59,2,FALSE)</f>
        <v>192</v>
      </c>
      <c r="C147" s="25" t="s">
        <v>426</v>
      </c>
      <c r="D147" s="33" t="str">
        <f t="shared" si="2"/>
        <v>P146-192-23</v>
      </c>
      <c r="E147" s="11" t="s">
        <v>159</v>
      </c>
      <c r="F147" s="152" t="s">
        <v>427</v>
      </c>
      <c r="G147" s="12">
        <v>44992</v>
      </c>
      <c r="H147" s="12" t="s">
        <v>416</v>
      </c>
      <c r="I147" s="23">
        <v>45191</v>
      </c>
      <c r="J147" s="13" t="s">
        <v>97</v>
      </c>
      <c r="K147" s="126" t="s">
        <v>428</v>
      </c>
      <c r="L147" s="126" t="s">
        <v>429</v>
      </c>
      <c r="M147" s="10"/>
    </row>
    <row r="148" spans="1:13" s="4" customFormat="1" ht="30" hidden="1" customHeight="1" x14ac:dyDescent="0.25">
      <c r="A148" s="9" t="s">
        <v>208</v>
      </c>
      <c r="B148" s="13">
        <f>VLOOKUP(Table24[[#This Row],[Location 
(drop-down)]],'List source'!D$2:E$59,2,FALSE)</f>
        <v>142</v>
      </c>
      <c r="C148" s="25" t="s">
        <v>430</v>
      </c>
      <c r="D148" s="33" t="str">
        <f t="shared" si="2"/>
        <v>P147-142-23</v>
      </c>
      <c r="E148" s="11" t="s">
        <v>159</v>
      </c>
      <c r="F148" s="153" t="s">
        <v>431</v>
      </c>
      <c r="G148" s="12">
        <v>45127</v>
      </c>
      <c r="H148" s="12" t="s">
        <v>96</v>
      </c>
      <c r="I148" s="130">
        <v>45162</v>
      </c>
      <c r="J148" s="131" t="s">
        <v>97</v>
      </c>
      <c r="K148" s="134" t="s">
        <v>432</v>
      </c>
      <c r="L148" s="134" t="s">
        <v>395</v>
      </c>
      <c r="M148" s="133"/>
    </row>
    <row r="149" spans="1:13" s="4" customFormat="1" ht="43.35" hidden="1" customHeight="1" x14ac:dyDescent="0.25">
      <c r="A149" s="9" t="s">
        <v>75</v>
      </c>
      <c r="B149" s="13">
        <f>VLOOKUP(Table24[[#This Row],[Location 
(drop-down)]],'List source'!D$2:E$59,2,FALSE)</f>
        <v>180</v>
      </c>
      <c r="C149" s="25" t="s">
        <v>433</v>
      </c>
      <c r="D149" s="33" t="str">
        <f t="shared" si="2"/>
        <v>P148-180-23</v>
      </c>
      <c r="E149" s="11" t="s">
        <v>269</v>
      </c>
      <c r="F149" s="152" t="s">
        <v>434</v>
      </c>
      <c r="G149" s="12">
        <v>45146</v>
      </c>
      <c r="H149" s="12" t="s">
        <v>435</v>
      </c>
      <c r="I149" s="23">
        <v>45180</v>
      </c>
      <c r="J149" s="13" t="s">
        <v>97</v>
      </c>
      <c r="K149" s="126" t="s">
        <v>436</v>
      </c>
      <c r="L149" s="126" t="s">
        <v>437</v>
      </c>
      <c r="M149" s="10"/>
    </row>
    <row r="150" spans="1:13" s="4" customFormat="1" ht="45.6" hidden="1" customHeight="1" x14ac:dyDescent="0.25">
      <c r="A150" s="9" t="s">
        <v>75</v>
      </c>
      <c r="B150" s="13">
        <f>VLOOKUP(Table24[[#This Row],[Location 
(drop-down)]],'List source'!D$2:E$59,2,FALSE)</f>
        <v>180</v>
      </c>
      <c r="C150" s="25" t="s">
        <v>438</v>
      </c>
      <c r="D150" s="33" t="str">
        <f t="shared" si="2"/>
        <v>P149-180-23</v>
      </c>
      <c r="E150" s="11" t="s">
        <v>94</v>
      </c>
      <c r="F150" s="153" t="s">
        <v>439</v>
      </c>
      <c r="G150" s="12">
        <v>45127</v>
      </c>
      <c r="H150" s="12" t="s">
        <v>440</v>
      </c>
      <c r="I150" s="130">
        <v>45148</v>
      </c>
      <c r="J150" s="131" t="s">
        <v>97</v>
      </c>
      <c r="K150" s="134"/>
      <c r="L150" s="134"/>
      <c r="M150" s="133"/>
    </row>
    <row r="151" spans="1:13" s="4" customFormat="1" ht="44.1" hidden="1" customHeight="1" x14ac:dyDescent="0.25">
      <c r="A151" s="9" t="s">
        <v>75</v>
      </c>
      <c r="B151" s="13">
        <f>VLOOKUP(Table24[[#This Row],[Location 
(drop-down)]],'List source'!D$2:E$59,2,FALSE)</f>
        <v>180</v>
      </c>
      <c r="C151" s="25" t="s">
        <v>441</v>
      </c>
      <c r="D151" s="220" t="str">
        <f t="shared" si="2"/>
        <v>P150-180-23</v>
      </c>
      <c r="E151" s="11" t="s">
        <v>94</v>
      </c>
      <c r="F151" s="152" t="s">
        <v>442</v>
      </c>
      <c r="G151" s="12">
        <v>45127</v>
      </c>
      <c r="H151" s="12" t="s">
        <v>443</v>
      </c>
      <c r="I151" s="361">
        <v>45148</v>
      </c>
      <c r="J151" s="13" t="s">
        <v>97</v>
      </c>
      <c r="K151" s="126"/>
      <c r="L151" s="126"/>
      <c r="M151" s="10"/>
    </row>
    <row r="152" spans="1:13" s="4" customFormat="1" ht="41.65" hidden="1" customHeight="1" x14ac:dyDescent="0.25">
      <c r="A152" s="9" t="s">
        <v>75</v>
      </c>
      <c r="B152" s="13">
        <f>VLOOKUP(Table24[[#This Row],[Location 
(drop-down)]],'List source'!D$2:E$59,2,FALSE)</f>
        <v>180</v>
      </c>
      <c r="C152" s="25" t="s">
        <v>444</v>
      </c>
      <c r="D152" s="33" t="str">
        <f t="shared" si="2"/>
        <v>P151-180-23</v>
      </c>
      <c r="E152" s="11" t="s">
        <v>94</v>
      </c>
      <c r="F152" s="153" t="s">
        <v>445</v>
      </c>
      <c r="G152" s="12">
        <v>45152</v>
      </c>
      <c r="H152" s="12" t="s">
        <v>435</v>
      </c>
      <c r="I152" s="23">
        <v>45167</v>
      </c>
      <c r="J152" s="131" t="s">
        <v>97</v>
      </c>
      <c r="K152" s="134"/>
      <c r="L152" s="134"/>
      <c r="M152" s="133"/>
    </row>
    <row r="153" spans="1:13" s="4" customFormat="1" ht="42.6" hidden="1" customHeight="1" x14ac:dyDescent="0.25">
      <c r="A153" s="9" t="s">
        <v>446</v>
      </c>
      <c r="B153" s="13">
        <f>VLOOKUP(Table24[[#This Row],[Location 
(drop-down)]],'List source'!D$2:E$59,2,FALSE)</f>
        <v>188</v>
      </c>
      <c r="C153" s="25" t="s">
        <v>447</v>
      </c>
      <c r="D153" s="33" t="str">
        <f t="shared" si="2"/>
        <v>P152-188-23</v>
      </c>
      <c r="E153" s="11" t="s">
        <v>94</v>
      </c>
      <c r="F153" s="152" t="s">
        <v>448</v>
      </c>
      <c r="G153" s="12">
        <v>45162</v>
      </c>
      <c r="H153" s="12" t="s">
        <v>449</v>
      </c>
      <c r="I153" s="23">
        <v>45337</v>
      </c>
      <c r="J153" s="13" t="s">
        <v>147</v>
      </c>
      <c r="K153" s="126" t="s">
        <v>450</v>
      </c>
      <c r="L153" s="126" t="s">
        <v>451</v>
      </c>
      <c r="M153" s="10"/>
    </row>
    <row r="154" spans="1:13" s="4" customFormat="1" ht="44.1" hidden="1" customHeight="1" x14ac:dyDescent="0.25">
      <c r="A154" s="9" t="s">
        <v>61</v>
      </c>
      <c r="B154" s="13">
        <f>VLOOKUP(Table24[[#This Row],[Location 
(drop-down)]],'List source'!D$2:E$59,2,FALSE)</f>
        <v>120</v>
      </c>
      <c r="C154" s="25" t="s">
        <v>452</v>
      </c>
      <c r="D154" s="33" t="str">
        <f t="shared" si="2"/>
        <v>P153-120-23</v>
      </c>
      <c r="E154" s="11" t="s">
        <v>94</v>
      </c>
      <c r="F154" s="152" t="s">
        <v>453</v>
      </c>
      <c r="G154" s="23">
        <v>45182</v>
      </c>
      <c r="H154" s="14" t="s">
        <v>161</v>
      </c>
      <c r="I154" s="23">
        <v>45427</v>
      </c>
      <c r="J154" s="10" t="s">
        <v>97</v>
      </c>
      <c r="K154" s="126"/>
      <c r="L154" s="126"/>
      <c r="M154" s="10"/>
    </row>
    <row r="155" spans="1:13" s="4" customFormat="1" ht="120" hidden="1" customHeight="1" x14ac:dyDescent="0.25">
      <c r="A155" s="9" t="s">
        <v>61</v>
      </c>
      <c r="B155" s="13">
        <f>VLOOKUP(Table24[[#This Row],[Location 
(drop-down)]],'List source'!D$2:E$59,2,FALSE)</f>
        <v>120</v>
      </c>
      <c r="C155" s="25" t="s">
        <v>454</v>
      </c>
      <c r="D155" s="33" t="str">
        <f t="shared" si="2"/>
        <v>P154-120-23</v>
      </c>
      <c r="E155" s="11" t="s">
        <v>94</v>
      </c>
      <c r="F155" s="152" t="s">
        <v>455</v>
      </c>
      <c r="G155" s="23">
        <v>45182</v>
      </c>
      <c r="H155" s="14" t="s">
        <v>161</v>
      </c>
      <c r="I155" s="23">
        <v>45229</v>
      </c>
      <c r="J155" s="10" t="s">
        <v>97</v>
      </c>
      <c r="K155" s="126"/>
      <c r="L155" s="126"/>
      <c r="M155" s="10"/>
    </row>
    <row r="156" spans="1:13" s="4" customFormat="1" ht="51.75" hidden="1" customHeight="1" x14ac:dyDescent="0.25">
      <c r="A156" s="9" t="s">
        <v>61</v>
      </c>
      <c r="B156" s="13">
        <f>VLOOKUP(Table24[[#This Row],[Location 
(drop-down)]],'List source'!D$2:E$59,2,FALSE)</f>
        <v>120</v>
      </c>
      <c r="C156" s="25" t="s">
        <v>456</v>
      </c>
      <c r="D156" s="33" t="str">
        <f t="shared" si="2"/>
        <v>P155-120-23</v>
      </c>
      <c r="E156" s="11" t="s">
        <v>94</v>
      </c>
      <c r="F156" s="152" t="s">
        <v>457</v>
      </c>
      <c r="G156" s="23">
        <v>45182</v>
      </c>
      <c r="H156" s="14" t="s">
        <v>161</v>
      </c>
      <c r="I156" s="23">
        <v>45433</v>
      </c>
      <c r="J156" s="10" t="s">
        <v>97</v>
      </c>
      <c r="K156" s="126"/>
      <c r="L156" s="126"/>
      <c r="M156" s="10"/>
    </row>
    <row r="157" spans="1:13" s="4" customFormat="1" ht="54" hidden="1" customHeight="1" x14ac:dyDescent="0.25">
      <c r="A157" s="9" t="s">
        <v>61</v>
      </c>
      <c r="B157" s="13">
        <f>VLOOKUP(Table24[[#This Row],[Location 
(drop-down)]],'List source'!D$2:E$59,2,FALSE)</f>
        <v>120</v>
      </c>
      <c r="C157" s="25" t="s">
        <v>458</v>
      </c>
      <c r="D157" s="33" t="str">
        <f t="shared" si="2"/>
        <v>P156-120-23</v>
      </c>
      <c r="E157" s="11" t="s">
        <v>94</v>
      </c>
      <c r="F157" s="152" t="s">
        <v>459</v>
      </c>
      <c r="G157" s="23">
        <v>45182</v>
      </c>
      <c r="H157" s="14" t="s">
        <v>161</v>
      </c>
      <c r="I157" s="23">
        <v>45426</v>
      </c>
      <c r="J157" s="10" t="s">
        <v>97</v>
      </c>
      <c r="K157" s="126"/>
      <c r="L157" s="126"/>
      <c r="M157" s="10"/>
    </row>
    <row r="158" spans="1:13" s="4" customFormat="1" ht="30" hidden="1" customHeight="1" x14ac:dyDescent="0.25">
      <c r="A158" s="9" t="s">
        <v>208</v>
      </c>
      <c r="B158" s="13">
        <f>VLOOKUP(Table24[[#This Row],[Location 
(drop-down)]],'List source'!D$2:E$59,2,FALSE)</f>
        <v>142</v>
      </c>
      <c r="C158" s="25" t="s">
        <v>460</v>
      </c>
      <c r="D158" s="33" t="str">
        <f t="shared" si="2"/>
        <v>P157-142-23</v>
      </c>
      <c r="E158" s="11" t="s">
        <v>159</v>
      </c>
      <c r="F158" s="153" t="s">
        <v>461</v>
      </c>
      <c r="G158" s="130">
        <v>45225</v>
      </c>
      <c r="H158" s="135" t="s">
        <v>96</v>
      </c>
      <c r="I158" s="132">
        <v>44942</v>
      </c>
      <c r="J158" s="131" t="s">
        <v>97</v>
      </c>
      <c r="K158" s="134" t="s">
        <v>462</v>
      </c>
      <c r="L158" s="134" t="s">
        <v>395</v>
      </c>
      <c r="M158" s="133"/>
    </row>
    <row r="159" spans="1:13" s="4" customFormat="1" ht="30" hidden="1" customHeight="1" x14ac:dyDescent="0.25">
      <c r="A159" s="9" t="s">
        <v>168</v>
      </c>
      <c r="B159" s="13">
        <f>VLOOKUP(Table24[[#This Row],[Location 
(drop-down)]],'List source'!D$2:E$59,2,FALSE)</f>
        <v>136</v>
      </c>
      <c r="C159" s="25" t="s">
        <v>463</v>
      </c>
      <c r="D159" s="33" t="str">
        <f t="shared" si="2"/>
        <v>P158-136-23</v>
      </c>
      <c r="E159" s="11" t="s">
        <v>159</v>
      </c>
      <c r="F159" s="152" t="s">
        <v>464</v>
      </c>
      <c r="G159" s="23">
        <v>45272</v>
      </c>
      <c r="H159" s="11" t="s">
        <v>435</v>
      </c>
      <c r="I159" s="23">
        <v>45279</v>
      </c>
      <c r="J159" s="13" t="s">
        <v>97</v>
      </c>
      <c r="K159" s="126" t="s">
        <v>465</v>
      </c>
      <c r="L159" s="126" t="s">
        <v>243</v>
      </c>
      <c r="M159" s="10"/>
    </row>
    <row r="160" spans="1:13" s="4" customFormat="1" ht="30" hidden="1" customHeight="1" x14ac:dyDescent="0.25">
      <c r="A160" s="9" t="s">
        <v>131</v>
      </c>
      <c r="B160" s="13" t="str">
        <f>VLOOKUP(Table24[[#This Row],[Location 
(drop-down)]],'List source'!D$2:E$59,2,FALSE)</f>
        <v>VOID</v>
      </c>
      <c r="C160" s="25" t="s">
        <v>466</v>
      </c>
      <c r="D160" s="220" t="str">
        <f t="shared" si="2"/>
        <v>P159-VOID-23</v>
      </c>
      <c r="E160" s="11" t="s">
        <v>50</v>
      </c>
      <c r="F160" s="153" t="s">
        <v>467</v>
      </c>
      <c r="G160" s="130" t="s">
        <v>50</v>
      </c>
      <c r="H160" s="135" t="s">
        <v>50</v>
      </c>
      <c r="I160" s="360" t="s">
        <v>50</v>
      </c>
      <c r="J160" s="131" t="s">
        <v>50</v>
      </c>
      <c r="K160" s="134"/>
      <c r="L160" s="134"/>
      <c r="M160" s="133" t="s">
        <v>468</v>
      </c>
    </row>
    <row r="161" spans="1:13" s="4" customFormat="1" ht="30" customHeight="1" x14ac:dyDescent="0.25">
      <c r="A161" s="9"/>
      <c r="B161" s="13" t="e">
        <f>VLOOKUP(Table24[[#This Row],[Location 
(drop-down)]],'List source'!D$2:E$59,2,FALSE)</f>
        <v>#N/A</v>
      </c>
      <c r="C161" s="25" t="s">
        <v>469</v>
      </c>
      <c r="D161" s="33" t="e">
        <f t="shared" si="2"/>
        <v>#N/A</v>
      </c>
      <c r="E161" s="11"/>
      <c r="F161" s="152"/>
      <c r="G161" s="23"/>
      <c r="H161" s="11"/>
      <c r="I161" s="23"/>
      <c r="J161" s="13"/>
      <c r="K161" s="126"/>
      <c r="L161" s="126"/>
      <c r="M161" s="10"/>
    </row>
    <row r="162" spans="1:13" s="4" customFormat="1" ht="30" customHeight="1" x14ac:dyDescent="0.25">
      <c r="A162" s="9"/>
      <c r="B162" s="13" t="e">
        <f>VLOOKUP(Table24[[#This Row],[Location 
(drop-down)]],'List source'!D$2:E$59,2,FALSE)</f>
        <v>#N/A</v>
      </c>
      <c r="C162" s="25" t="s">
        <v>470</v>
      </c>
      <c r="D162" s="33" t="e">
        <f t="shared" si="2"/>
        <v>#N/A</v>
      </c>
      <c r="E162" s="11"/>
      <c r="F162" s="153"/>
      <c r="G162" s="130"/>
      <c r="H162" s="135"/>
      <c r="I162" s="130"/>
      <c r="J162" s="131"/>
      <c r="K162" s="134"/>
      <c r="L162" s="134"/>
      <c r="M162" s="133"/>
    </row>
    <row r="163" spans="1:13" s="4" customFormat="1" ht="30" customHeight="1" x14ac:dyDescent="0.25">
      <c r="A163" s="9"/>
      <c r="B163" s="13" t="e">
        <f>VLOOKUP(Table24[[#This Row],[Location 
(drop-down)]],'List source'!D$2:E$59,2,FALSE)</f>
        <v>#N/A</v>
      </c>
      <c r="C163" s="25" t="s">
        <v>471</v>
      </c>
      <c r="D163" s="33" t="e">
        <f t="shared" si="2"/>
        <v>#N/A</v>
      </c>
      <c r="E163" s="11"/>
      <c r="F163" s="152"/>
      <c r="G163" s="23"/>
      <c r="H163" s="11"/>
      <c r="I163" s="23"/>
      <c r="J163" s="13"/>
      <c r="K163" s="126"/>
      <c r="L163" s="126"/>
      <c r="M163" s="10"/>
    </row>
    <row r="164" spans="1:13" s="4" customFormat="1" ht="30" customHeight="1" x14ac:dyDescent="0.25">
      <c r="A164" s="9"/>
      <c r="B164" s="13" t="e">
        <f>VLOOKUP(Table24[[#This Row],[Location 
(drop-down)]],'List source'!D$2:E$59,2,FALSE)</f>
        <v>#N/A</v>
      </c>
      <c r="C164" s="25" t="s">
        <v>472</v>
      </c>
      <c r="D164" s="33" t="e">
        <f t="shared" si="2"/>
        <v>#N/A</v>
      </c>
      <c r="E164" s="11"/>
      <c r="F164" s="153"/>
      <c r="G164" s="23"/>
      <c r="H164" s="135"/>
      <c r="I164" s="136"/>
      <c r="J164" s="131"/>
      <c r="K164" s="134"/>
      <c r="L164" s="134"/>
      <c r="M164" s="133"/>
    </row>
    <row r="165" spans="1:13" s="4" customFormat="1" ht="30" customHeight="1" x14ac:dyDescent="0.25">
      <c r="A165" s="9"/>
      <c r="B165" s="13" t="e">
        <f>VLOOKUP(Table24[[#This Row],[Location 
(drop-down)]],'List source'!D$2:E$59,2,FALSE)</f>
        <v>#N/A</v>
      </c>
      <c r="C165" s="25" t="s">
        <v>473</v>
      </c>
      <c r="D165" s="33" t="e">
        <f t="shared" si="2"/>
        <v>#N/A</v>
      </c>
      <c r="E165" s="11"/>
      <c r="F165" s="152"/>
      <c r="G165" s="12"/>
      <c r="H165" s="11"/>
      <c r="I165" s="12"/>
      <c r="J165" s="13"/>
      <c r="K165" s="126"/>
      <c r="L165" s="126"/>
      <c r="M165" s="10"/>
    </row>
    <row r="166" spans="1:13" s="4" customFormat="1" ht="30" customHeight="1" x14ac:dyDescent="0.25">
      <c r="A166" s="9"/>
      <c r="B166" s="13" t="e">
        <f>VLOOKUP(Table24[[#This Row],[Location 
(drop-down)]],'List source'!D$2:E$59,2,FALSE)</f>
        <v>#N/A</v>
      </c>
      <c r="C166" s="25" t="s">
        <v>474</v>
      </c>
      <c r="D166" s="33" t="e">
        <f t="shared" si="2"/>
        <v>#N/A</v>
      </c>
      <c r="E166" s="11"/>
      <c r="F166" s="153"/>
      <c r="G166" s="23"/>
      <c r="H166" s="135"/>
      <c r="I166" s="130"/>
      <c r="J166" s="131"/>
      <c r="K166" s="134"/>
      <c r="L166" s="134"/>
      <c r="M166" s="133"/>
    </row>
    <row r="167" spans="1:13" s="4" customFormat="1" ht="30" customHeight="1" x14ac:dyDescent="0.25">
      <c r="A167" s="9"/>
      <c r="B167" s="13" t="e">
        <f>VLOOKUP(Table24[[#This Row],[Location 
(drop-down)]],'List source'!D$2:E$59,2,FALSE)</f>
        <v>#N/A</v>
      </c>
      <c r="C167" s="25" t="s">
        <v>475</v>
      </c>
      <c r="D167" s="33" t="e">
        <f t="shared" si="2"/>
        <v>#N/A</v>
      </c>
      <c r="E167" s="11"/>
      <c r="F167" s="152"/>
      <c r="G167" s="23"/>
      <c r="H167" s="11"/>
      <c r="I167" s="13"/>
      <c r="J167" s="13"/>
      <c r="K167" s="126"/>
      <c r="L167" s="126"/>
      <c r="M167" s="10"/>
    </row>
    <row r="168" spans="1:13" s="4" customFormat="1" ht="30" customHeight="1" x14ac:dyDescent="0.25">
      <c r="A168" s="9"/>
      <c r="B168" s="13" t="e">
        <f>VLOOKUP(Table24[[#This Row],[Location 
(drop-down)]],'List source'!D$2:E$59,2,FALSE)</f>
        <v>#N/A</v>
      </c>
      <c r="C168" s="25" t="s">
        <v>476</v>
      </c>
      <c r="D168" s="33" t="e">
        <f t="shared" si="2"/>
        <v>#N/A</v>
      </c>
      <c r="E168" s="11"/>
      <c r="F168" s="153"/>
      <c r="G168" s="23"/>
      <c r="H168" s="135"/>
      <c r="I168" s="130"/>
      <c r="J168" s="131"/>
      <c r="K168" s="134"/>
      <c r="L168" s="134"/>
      <c r="M168" s="133"/>
    </row>
    <row r="169" spans="1:13" s="4" customFormat="1" ht="30" customHeight="1" x14ac:dyDescent="0.25">
      <c r="A169" s="9"/>
      <c r="B169" s="13" t="e">
        <f>VLOOKUP(Table24[[#This Row],[Location 
(drop-down)]],'List source'!D$2:E$59,2,FALSE)</f>
        <v>#N/A</v>
      </c>
      <c r="C169" s="25" t="s">
        <v>477</v>
      </c>
      <c r="D169" s="33" t="e">
        <f t="shared" si="2"/>
        <v>#N/A</v>
      </c>
      <c r="E169" s="11"/>
      <c r="F169" s="148"/>
      <c r="G169" s="23"/>
      <c r="H169" s="12"/>
      <c r="I169" s="12"/>
      <c r="J169" s="10"/>
      <c r="K169" s="9"/>
      <c r="L169" s="9"/>
      <c r="M169" s="10"/>
    </row>
    <row r="170" spans="1:13" s="4" customFormat="1" ht="30" customHeight="1" x14ac:dyDescent="0.25">
      <c r="A170" s="9"/>
      <c r="B170" s="13" t="e">
        <f>VLOOKUP(Table24[[#This Row],[Location 
(drop-down)]],'List source'!D$2:E$59,2,FALSE)</f>
        <v>#N/A</v>
      </c>
      <c r="C170" s="25" t="s">
        <v>478</v>
      </c>
      <c r="D170" s="33" t="e">
        <f t="shared" si="2"/>
        <v>#N/A</v>
      </c>
      <c r="E170" s="11"/>
      <c r="F170" s="148"/>
      <c r="G170" s="23"/>
      <c r="H170" s="12"/>
      <c r="I170" s="12"/>
      <c r="J170" s="10"/>
      <c r="K170" s="9"/>
      <c r="L170" s="9"/>
      <c r="M170" s="10"/>
    </row>
    <row r="171" spans="1:13" s="4" customFormat="1" ht="30" customHeight="1" x14ac:dyDescent="0.25">
      <c r="A171" s="9"/>
      <c r="B171" s="13" t="e">
        <f>VLOOKUP(Table24[[#This Row],[Location 
(drop-down)]],'List source'!D$2:E$59,2,FALSE)</f>
        <v>#N/A</v>
      </c>
      <c r="C171" s="25" t="s">
        <v>479</v>
      </c>
      <c r="D171" s="33" t="e">
        <f t="shared" si="2"/>
        <v>#N/A</v>
      </c>
      <c r="E171" s="11"/>
      <c r="F171" s="148"/>
      <c r="G171" s="23"/>
      <c r="H171" s="12"/>
      <c r="I171" s="12"/>
      <c r="J171" s="10"/>
      <c r="K171" s="9"/>
      <c r="L171" s="9"/>
      <c r="M171" s="10"/>
    </row>
    <row r="172" spans="1:13" s="4" customFormat="1" ht="30" customHeight="1" x14ac:dyDescent="0.25">
      <c r="A172" s="9"/>
      <c r="B172" s="13" t="e">
        <f>VLOOKUP(Table24[[#This Row],[Location 
(drop-down)]],'List source'!D$2:E$59,2,FALSE)</f>
        <v>#N/A</v>
      </c>
      <c r="C172" s="25" t="s">
        <v>480</v>
      </c>
      <c r="D172" s="33" t="e">
        <f t="shared" si="2"/>
        <v>#N/A</v>
      </c>
      <c r="E172" s="11"/>
      <c r="F172" s="148"/>
      <c r="G172" s="23"/>
      <c r="H172" s="12"/>
      <c r="I172" s="12"/>
      <c r="J172" s="10"/>
      <c r="K172" s="9"/>
      <c r="L172" s="9"/>
      <c r="M172" s="10"/>
    </row>
    <row r="173" spans="1:13" s="4" customFormat="1" ht="30" customHeight="1" x14ac:dyDescent="0.25">
      <c r="A173" s="9"/>
      <c r="B173" s="13" t="e">
        <f>VLOOKUP(Table24[[#This Row],[Location 
(drop-down)]],'List source'!D$2:E$59,2,FALSE)</f>
        <v>#N/A</v>
      </c>
      <c r="C173" s="25" t="s">
        <v>481</v>
      </c>
      <c r="D173" s="33" t="e">
        <f t="shared" si="2"/>
        <v>#N/A</v>
      </c>
      <c r="E173" s="11"/>
      <c r="F173" s="148"/>
      <c r="G173" s="23"/>
      <c r="H173" s="12"/>
      <c r="I173" s="12"/>
      <c r="J173" s="10"/>
      <c r="K173" s="9"/>
      <c r="L173" s="9"/>
      <c r="M173" s="10"/>
    </row>
    <row r="174" spans="1:13" s="4" customFormat="1" ht="30" customHeight="1" x14ac:dyDescent="0.25">
      <c r="A174" s="9"/>
      <c r="B174" s="13" t="e">
        <f>VLOOKUP(Table24[[#This Row],[Location 
(drop-down)]],'List source'!D$2:E$59,2,FALSE)</f>
        <v>#N/A</v>
      </c>
      <c r="C174" s="25" t="s">
        <v>482</v>
      </c>
      <c r="D174" s="33" t="e">
        <f t="shared" si="2"/>
        <v>#N/A</v>
      </c>
      <c r="E174" s="11"/>
      <c r="F174" s="148"/>
      <c r="G174" s="23"/>
      <c r="H174" s="12"/>
      <c r="I174" s="12"/>
      <c r="J174" s="10"/>
      <c r="K174" s="9"/>
      <c r="L174" s="9"/>
      <c r="M174" s="10"/>
    </row>
    <row r="175" spans="1:13" s="4" customFormat="1" ht="30" customHeight="1" x14ac:dyDescent="0.25">
      <c r="A175" s="9"/>
      <c r="B175" s="13" t="e">
        <f>VLOOKUP(Table24[[#This Row],[Location 
(drop-down)]],'List source'!D$2:E$59,2,FALSE)</f>
        <v>#N/A</v>
      </c>
      <c r="C175" s="25" t="s">
        <v>483</v>
      </c>
      <c r="D175" s="33" t="e">
        <f t="shared" si="2"/>
        <v>#N/A</v>
      </c>
      <c r="E175" s="11"/>
      <c r="F175" s="148"/>
      <c r="G175" s="23"/>
      <c r="H175" s="12"/>
      <c r="I175" s="12"/>
      <c r="J175" s="10"/>
      <c r="K175" s="9"/>
      <c r="L175" s="9"/>
      <c r="M175" s="10"/>
    </row>
    <row r="176" spans="1:13" s="4" customFormat="1" ht="30" customHeight="1" x14ac:dyDescent="0.25">
      <c r="A176" s="9"/>
      <c r="B176" s="13" t="e">
        <f>VLOOKUP(Table24[[#This Row],[Location 
(drop-down)]],'List source'!D$2:E$59,2,FALSE)</f>
        <v>#N/A</v>
      </c>
      <c r="C176" s="25" t="s">
        <v>484</v>
      </c>
      <c r="D176" s="33" t="e">
        <f t="shared" si="2"/>
        <v>#N/A</v>
      </c>
      <c r="E176" s="11"/>
      <c r="F176" s="148"/>
      <c r="G176" s="23"/>
      <c r="H176" s="12"/>
      <c r="I176" s="12"/>
      <c r="J176" s="10"/>
      <c r="K176" s="9"/>
      <c r="L176" s="9"/>
      <c r="M176" s="10"/>
    </row>
    <row r="177" spans="1:13" s="4" customFormat="1" ht="30" customHeight="1" x14ac:dyDescent="0.25">
      <c r="A177" s="9"/>
      <c r="B177" s="13" t="e">
        <f>VLOOKUP(Table24[[#This Row],[Location 
(drop-down)]],'List source'!D$2:E$59,2,FALSE)</f>
        <v>#N/A</v>
      </c>
      <c r="C177" s="25" t="s">
        <v>485</v>
      </c>
      <c r="D177" s="33" t="e">
        <f t="shared" si="2"/>
        <v>#N/A</v>
      </c>
      <c r="E177" s="11"/>
      <c r="F177" s="148"/>
      <c r="G177" s="23"/>
      <c r="H177" s="12"/>
      <c r="I177" s="12"/>
      <c r="J177" s="10"/>
      <c r="K177" s="9"/>
      <c r="L177" s="9"/>
      <c r="M177" s="10"/>
    </row>
    <row r="178" spans="1:13" s="4" customFormat="1" ht="30" customHeight="1" x14ac:dyDescent="0.25">
      <c r="A178" s="9"/>
      <c r="B178" s="13" t="e">
        <f>VLOOKUP(Table24[[#This Row],[Location 
(drop-down)]],'List source'!D$2:E$59,2,FALSE)</f>
        <v>#N/A</v>
      </c>
      <c r="C178" s="25" t="s">
        <v>486</v>
      </c>
      <c r="D178" s="33" t="e">
        <f t="shared" si="2"/>
        <v>#N/A</v>
      </c>
      <c r="E178" s="11"/>
      <c r="F178" s="148"/>
      <c r="G178" s="23"/>
      <c r="H178" s="12"/>
      <c r="I178" s="12"/>
      <c r="J178" s="10"/>
      <c r="K178" s="9"/>
      <c r="L178" s="9"/>
      <c r="M178" s="10"/>
    </row>
    <row r="179" spans="1:13" s="4" customFormat="1" ht="30" customHeight="1" x14ac:dyDescent="0.25">
      <c r="A179" s="9"/>
      <c r="B179" s="13" t="e">
        <f>VLOOKUP(Table24[[#This Row],[Location 
(drop-down)]],'List source'!D$2:E$59,2,FALSE)</f>
        <v>#N/A</v>
      </c>
      <c r="C179" s="25" t="s">
        <v>487</v>
      </c>
      <c r="D179" s="33" t="e">
        <f t="shared" si="2"/>
        <v>#N/A</v>
      </c>
      <c r="E179" s="11"/>
      <c r="F179" s="148"/>
      <c r="G179" s="23"/>
      <c r="H179" s="12"/>
      <c r="I179" s="12"/>
      <c r="J179" s="10"/>
      <c r="K179" s="9"/>
      <c r="L179" s="9"/>
      <c r="M179" s="10"/>
    </row>
    <row r="180" spans="1:13" s="4" customFormat="1" ht="30" customHeight="1" x14ac:dyDescent="0.25">
      <c r="A180" s="9"/>
      <c r="B180" s="13" t="e">
        <f>VLOOKUP(Table24[[#This Row],[Location 
(drop-down)]],'List source'!D$2:E$59,2,FALSE)</f>
        <v>#N/A</v>
      </c>
      <c r="C180" s="25" t="s">
        <v>488</v>
      </c>
      <c r="D180" s="33" t="e">
        <f t="shared" si="2"/>
        <v>#N/A</v>
      </c>
      <c r="E180" s="11"/>
      <c r="F180" s="148"/>
      <c r="G180" s="23"/>
      <c r="H180" s="12"/>
      <c r="I180" s="12"/>
      <c r="J180" s="10"/>
      <c r="K180" s="9"/>
      <c r="L180" s="9"/>
      <c r="M180" s="10"/>
    </row>
    <row r="181" spans="1:13" s="4" customFormat="1" ht="30" customHeight="1" x14ac:dyDescent="0.25">
      <c r="A181" s="9"/>
      <c r="B181" s="13" t="e">
        <f>VLOOKUP(Table24[[#This Row],[Location 
(drop-down)]],'List source'!D$2:E$59,2,FALSE)</f>
        <v>#N/A</v>
      </c>
      <c r="C181" s="25" t="s">
        <v>489</v>
      </c>
      <c r="D181" s="33" t="e">
        <f t="shared" si="2"/>
        <v>#N/A</v>
      </c>
      <c r="E181" s="11"/>
      <c r="F181" s="148"/>
      <c r="G181" s="23"/>
      <c r="H181" s="12"/>
      <c r="I181" s="12"/>
      <c r="J181" s="10"/>
      <c r="K181" s="9"/>
      <c r="L181" s="9"/>
      <c r="M181" s="10"/>
    </row>
    <row r="182" spans="1:13" s="4" customFormat="1" ht="30" customHeight="1" x14ac:dyDescent="0.25">
      <c r="A182" s="9"/>
      <c r="B182" s="13" t="e">
        <f>VLOOKUP(Table24[[#This Row],[Location 
(drop-down)]],'List source'!D$2:E$59,2,FALSE)</f>
        <v>#N/A</v>
      </c>
      <c r="C182" s="25" t="s">
        <v>490</v>
      </c>
      <c r="D182" s="33" t="e">
        <f t="shared" si="2"/>
        <v>#N/A</v>
      </c>
      <c r="E182" s="11"/>
      <c r="F182" s="148"/>
      <c r="G182" s="23"/>
      <c r="H182" s="12"/>
      <c r="I182" s="12"/>
      <c r="J182" s="10"/>
      <c r="K182" s="9"/>
      <c r="L182" s="9"/>
      <c r="M182" s="10"/>
    </row>
    <row r="183" spans="1:13" s="4" customFormat="1" ht="30" customHeight="1" x14ac:dyDescent="0.25">
      <c r="A183" s="9"/>
      <c r="B183" s="13" t="e">
        <f>VLOOKUP(Table24[[#This Row],[Location 
(drop-down)]],'List source'!D$2:E$59,2,FALSE)</f>
        <v>#N/A</v>
      </c>
      <c r="C183" s="25" t="s">
        <v>491</v>
      </c>
      <c r="D183" s="33" t="e">
        <f t="shared" si="2"/>
        <v>#N/A</v>
      </c>
      <c r="E183" s="11"/>
      <c r="F183" s="148"/>
      <c r="G183" s="23"/>
      <c r="H183" s="12"/>
      <c r="I183" s="12"/>
      <c r="J183" s="10"/>
      <c r="K183" s="9"/>
      <c r="L183" s="9"/>
      <c r="M183" s="10"/>
    </row>
    <row r="184" spans="1:13" s="4" customFormat="1" ht="30" customHeight="1" x14ac:dyDescent="0.25">
      <c r="A184" s="9"/>
      <c r="B184" s="13" t="e">
        <f>VLOOKUP(Table24[[#This Row],[Location 
(drop-down)]],'List source'!D$2:E$59,2,FALSE)</f>
        <v>#N/A</v>
      </c>
      <c r="C184" s="25" t="s">
        <v>492</v>
      </c>
      <c r="D184" s="33" t="e">
        <f t="shared" si="2"/>
        <v>#N/A</v>
      </c>
      <c r="E184" s="11"/>
      <c r="F184" s="148"/>
      <c r="G184" s="23"/>
      <c r="H184" s="12"/>
      <c r="I184" s="12"/>
      <c r="J184" s="10"/>
      <c r="K184" s="9"/>
      <c r="L184" s="9"/>
      <c r="M184" s="10"/>
    </row>
    <row r="185" spans="1:13" s="4" customFormat="1" ht="30" customHeight="1" x14ac:dyDescent="0.25">
      <c r="A185" s="9"/>
      <c r="B185" s="13" t="e">
        <f>VLOOKUP(Table24[[#This Row],[Location 
(drop-down)]],'List source'!D$2:E$59,2,FALSE)</f>
        <v>#N/A</v>
      </c>
      <c r="C185" s="25" t="s">
        <v>493</v>
      </c>
      <c r="D185" s="33" t="e">
        <f t="shared" si="2"/>
        <v>#N/A</v>
      </c>
      <c r="E185" s="11"/>
      <c r="F185" s="148"/>
      <c r="G185" s="23"/>
      <c r="H185" s="12"/>
      <c r="I185" s="12"/>
      <c r="J185" s="10"/>
      <c r="K185" s="9"/>
      <c r="L185" s="9"/>
      <c r="M185" s="10"/>
    </row>
    <row r="186" spans="1:13" s="4" customFormat="1" ht="30" customHeight="1" x14ac:dyDescent="0.25">
      <c r="A186" s="9"/>
      <c r="B186" s="13" t="e">
        <f>VLOOKUP(Table24[[#This Row],[Location 
(drop-down)]],'List source'!D$2:E$59,2,FALSE)</f>
        <v>#N/A</v>
      </c>
      <c r="C186" s="25" t="s">
        <v>494</v>
      </c>
      <c r="D186" s="33" t="e">
        <f t="shared" si="2"/>
        <v>#N/A</v>
      </c>
      <c r="E186" s="11"/>
      <c r="F186" s="148"/>
      <c r="G186" s="23"/>
      <c r="H186" s="12"/>
      <c r="I186" s="12"/>
      <c r="J186" s="10"/>
      <c r="K186" s="9"/>
      <c r="L186" s="9"/>
      <c r="M186" s="10"/>
    </row>
    <row r="187" spans="1:13" s="4" customFormat="1" ht="30" customHeight="1" x14ac:dyDescent="0.25">
      <c r="A187" s="9"/>
      <c r="B187" s="13" t="e">
        <f>VLOOKUP(Table24[[#This Row],[Location 
(drop-down)]],'List source'!D$2:E$59,2,FALSE)</f>
        <v>#N/A</v>
      </c>
      <c r="C187" s="25" t="s">
        <v>495</v>
      </c>
      <c r="D187" s="33" t="e">
        <f t="shared" si="2"/>
        <v>#N/A</v>
      </c>
      <c r="E187" s="11"/>
      <c r="F187" s="148"/>
      <c r="G187" s="23"/>
      <c r="H187" s="12"/>
      <c r="I187" s="12"/>
      <c r="J187" s="10"/>
      <c r="K187" s="9"/>
      <c r="L187" s="9"/>
      <c r="M187" s="10"/>
    </row>
    <row r="188" spans="1:13" s="4" customFormat="1" ht="30" customHeight="1" x14ac:dyDescent="0.25">
      <c r="A188" s="9"/>
      <c r="B188" s="13" t="e">
        <f>VLOOKUP(Table24[[#This Row],[Location 
(drop-down)]],'List source'!D$2:E$59,2,FALSE)</f>
        <v>#N/A</v>
      </c>
      <c r="C188" s="25" t="s">
        <v>496</v>
      </c>
      <c r="D188" s="33" t="e">
        <f t="shared" si="2"/>
        <v>#N/A</v>
      </c>
      <c r="E188" s="11"/>
      <c r="F188" s="148"/>
      <c r="G188" s="23"/>
      <c r="H188" s="12"/>
      <c r="I188" s="12"/>
      <c r="J188" s="10"/>
      <c r="K188" s="9"/>
      <c r="L188" s="9"/>
      <c r="M188" s="10"/>
    </row>
    <row r="189" spans="1:13" s="4" customFormat="1" ht="30" customHeight="1" x14ac:dyDescent="0.25">
      <c r="A189" s="9"/>
      <c r="B189" s="13" t="e">
        <f>VLOOKUP(Table24[[#This Row],[Location 
(drop-down)]],'List source'!D$2:E$59,2,FALSE)</f>
        <v>#N/A</v>
      </c>
      <c r="C189" s="25" t="s">
        <v>497</v>
      </c>
      <c r="D189" s="33" t="e">
        <f t="shared" si="2"/>
        <v>#N/A</v>
      </c>
      <c r="E189" s="11"/>
      <c r="F189" s="148"/>
      <c r="G189" s="23"/>
      <c r="H189" s="12"/>
      <c r="I189" s="12"/>
      <c r="J189" s="10"/>
      <c r="K189" s="9"/>
      <c r="L189" s="9"/>
      <c r="M189" s="10"/>
    </row>
    <row r="190" spans="1:13" s="4" customFormat="1" ht="30" customHeight="1" x14ac:dyDescent="0.25">
      <c r="A190" s="9"/>
      <c r="B190" s="13" t="e">
        <f>VLOOKUP(Table24[[#This Row],[Location 
(drop-down)]],'List source'!D$2:E$59,2,FALSE)</f>
        <v>#N/A</v>
      </c>
      <c r="C190" s="25" t="s">
        <v>498</v>
      </c>
      <c r="D190" s="33" t="e">
        <f t="shared" si="2"/>
        <v>#N/A</v>
      </c>
      <c r="E190" s="11"/>
      <c r="F190" s="148"/>
      <c r="G190" s="23"/>
      <c r="H190" s="12"/>
      <c r="I190" s="12"/>
      <c r="J190" s="10"/>
      <c r="K190" s="9"/>
      <c r="L190" s="9"/>
      <c r="M190" s="10"/>
    </row>
    <row r="191" spans="1:13" s="4" customFormat="1" ht="30" customHeight="1" x14ac:dyDescent="0.25">
      <c r="A191" s="9"/>
      <c r="B191" s="13" t="e">
        <f>VLOOKUP(Table24[[#This Row],[Location 
(drop-down)]],'List source'!D$2:E$59,2,FALSE)</f>
        <v>#N/A</v>
      </c>
      <c r="C191" s="25" t="s">
        <v>499</v>
      </c>
      <c r="D191" s="33" t="e">
        <f t="shared" si="2"/>
        <v>#N/A</v>
      </c>
      <c r="E191" s="11"/>
      <c r="F191" s="148"/>
      <c r="G191" s="23"/>
      <c r="H191" s="12"/>
      <c r="I191" s="12"/>
      <c r="J191" s="10"/>
      <c r="K191" s="9"/>
      <c r="L191" s="9"/>
      <c r="M191" s="10"/>
    </row>
    <row r="192" spans="1:13" s="4" customFormat="1" ht="30" customHeight="1" x14ac:dyDescent="0.25">
      <c r="A192" s="9"/>
      <c r="B192" s="13" t="e">
        <f>VLOOKUP(Table24[[#This Row],[Location 
(drop-down)]],'List source'!D$2:E$59,2,FALSE)</f>
        <v>#N/A</v>
      </c>
      <c r="C192" s="25" t="s">
        <v>500</v>
      </c>
      <c r="D192" s="33" t="e">
        <f t="shared" si="2"/>
        <v>#N/A</v>
      </c>
      <c r="E192" s="11"/>
      <c r="F192" s="148"/>
      <c r="G192" s="23"/>
      <c r="H192" s="12"/>
      <c r="I192" s="12"/>
      <c r="J192" s="10"/>
      <c r="K192" s="9"/>
      <c r="L192" s="9"/>
      <c r="M192" s="10"/>
    </row>
    <row r="193" spans="1:13" s="4" customFormat="1" ht="30" customHeight="1" x14ac:dyDescent="0.25">
      <c r="A193" s="9"/>
      <c r="B193" s="13" t="e">
        <f>VLOOKUP(Table24[[#This Row],[Location 
(drop-down)]],'List source'!D$2:E$59,2,FALSE)</f>
        <v>#N/A</v>
      </c>
      <c r="C193" s="25" t="s">
        <v>501</v>
      </c>
      <c r="D193" s="33" t="e">
        <f t="shared" si="2"/>
        <v>#N/A</v>
      </c>
      <c r="E193" s="11"/>
      <c r="F193" s="148"/>
      <c r="G193" s="23"/>
      <c r="H193" s="12"/>
      <c r="I193" s="12"/>
      <c r="J193" s="10"/>
      <c r="K193" s="9"/>
      <c r="L193" s="9"/>
      <c r="M193" s="10"/>
    </row>
    <row r="194" spans="1:13" s="4" customFormat="1" ht="30" customHeight="1" x14ac:dyDescent="0.25">
      <c r="A194" s="9"/>
      <c r="B194" s="13" t="e">
        <f>VLOOKUP(Table24[[#This Row],[Location 
(drop-down)]],'List source'!D$2:E$59,2,FALSE)</f>
        <v>#N/A</v>
      </c>
      <c r="C194" s="25" t="s">
        <v>502</v>
      </c>
      <c r="D194" s="33" t="e">
        <f t="shared" ref="D194:D257" si="3">"P" &amp; C194 &amp; "-" &amp; B194 &amp; "-" &amp; "23"</f>
        <v>#N/A</v>
      </c>
      <c r="E194" s="11"/>
      <c r="F194" s="148"/>
      <c r="G194" s="23"/>
      <c r="H194" s="12"/>
      <c r="I194" s="12"/>
      <c r="J194" s="10"/>
      <c r="K194" s="9"/>
      <c r="L194" s="9"/>
      <c r="M194" s="10"/>
    </row>
    <row r="195" spans="1:13" s="4" customFormat="1" ht="30" customHeight="1" x14ac:dyDescent="0.25">
      <c r="A195" s="9"/>
      <c r="B195" s="13" t="e">
        <f>VLOOKUP(Table24[[#This Row],[Location 
(drop-down)]],'List source'!D$2:E$59,2,FALSE)</f>
        <v>#N/A</v>
      </c>
      <c r="C195" s="25" t="s">
        <v>503</v>
      </c>
      <c r="D195" s="33" t="e">
        <f t="shared" si="3"/>
        <v>#N/A</v>
      </c>
      <c r="E195" s="11"/>
      <c r="F195" s="148"/>
      <c r="G195" s="23"/>
      <c r="H195" s="12"/>
      <c r="I195" s="12"/>
      <c r="J195" s="10"/>
      <c r="K195" s="9"/>
      <c r="L195" s="9"/>
      <c r="M195" s="10"/>
    </row>
    <row r="196" spans="1:13" s="4" customFormat="1" ht="30" customHeight="1" x14ac:dyDescent="0.25">
      <c r="A196" s="9"/>
      <c r="B196" s="13" t="e">
        <f>VLOOKUP(Table24[[#This Row],[Location 
(drop-down)]],'List source'!D$2:E$59,2,FALSE)</f>
        <v>#N/A</v>
      </c>
      <c r="C196" s="25" t="s">
        <v>504</v>
      </c>
      <c r="D196" s="33" t="e">
        <f t="shared" si="3"/>
        <v>#N/A</v>
      </c>
      <c r="E196" s="11"/>
      <c r="F196" s="148"/>
      <c r="G196" s="23"/>
      <c r="H196" s="12"/>
      <c r="I196" s="12"/>
      <c r="J196" s="10"/>
      <c r="K196" s="9"/>
      <c r="L196" s="9"/>
      <c r="M196" s="10"/>
    </row>
    <row r="197" spans="1:13" s="4" customFormat="1" ht="30" customHeight="1" x14ac:dyDescent="0.25">
      <c r="A197" s="9"/>
      <c r="B197" s="13" t="e">
        <f>VLOOKUP(Table24[[#This Row],[Location 
(drop-down)]],'List source'!D$2:E$59,2,FALSE)</f>
        <v>#N/A</v>
      </c>
      <c r="C197" s="25" t="s">
        <v>505</v>
      </c>
      <c r="D197" s="33" t="e">
        <f t="shared" si="3"/>
        <v>#N/A</v>
      </c>
      <c r="E197" s="11"/>
      <c r="F197" s="148"/>
      <c r="G197" s="23"/>
      <c r="H197" s="12"/>
      <c r="I197" s="12"/>
      <c r="J197" s="10"/>
      <c r="K197" s="9"/>
      <c r="L197" s="9"/>
      <c r="M197" s="10"/>
    </row>
    <row r="198" spans="1:13" s="4" customFormat="1" ht="30" customHeight="1" x14ac:dyDescent="0.25">
      <c r="A198" s="9"/>
      <c r="B198" s="13" t="e">
        <f>VLOOKUP(Table24[[#This Row],[Location 
(drop-down)]],'List source'!D$2:E$59,2,FALSE)</f>
        <v>#N/A</v>
      </c>
      <c r="C198" s="25" t="s">
        <v>506</v>
      </c>
      <c r="D198" s="33" t="e">
        <f t="shared" si="3"/>
        <v>#N/A</v>
      </c>
      <c r="E198" s="11"/>
      <c r="F198" s="148"/>
      <c r="G198" s="23"/>
      <c r="H198" s="12"/>
      <c r="I198" s="12"/>
      <c r="J198" s="10"/>
      <c r="K198" s="9"/>
      <c r="L198" s="9"/>
      <c r="M198" s="10"/>
    </row>
    <row r="199" spans="1:13" s="4" customFormat="1" ht="30" customHeight="1" x14ac:dyDescent="0.25">
      <c r="A199" s="9"/>
      <c r="B199" s="13" t="e">
        <f>VLOOKUP(Table24[[#This Row],[Location 
(drop-down)]],'List source'!D$2:E$59,2,FALSE)</f>
        <v>#N/A</v>
      </c>
      <c r="C199" s="25" t="s">
        <v>507</v>
      </c>
      <c r="D199" s="33" t="e">
        <f t="shared" si="3"/>
        <v>#N/A</v>
      </c>
      <c r="E199" s="11"/>
      <c r="F199" s="148"/>
      <c r="G199" s="23"/>
      <c r="H199" s="12"/>
      <c r="I199" s="12"/>
      <c r="J199" s="10"/>
      <c r="K199" s="9"/>
      <c r="L199" s="9"/>
      <c r="M199" s="10"/>
    </row>
    <row r="200" spans="1:13" s="4" customFormat="1" ht="30" customHeight="1" x14ac:dyDescent="0.25">
      <c r="A200" s="9"/>
      <c r="B200" s="13" t="e">
        <f>VLOOKUP(Table24[[#This Row],[Location 
(drop-down)]],'List source'!D$2:E$59,2,FALSE)</f>
        <v>#N/A</v>
      </c>
      <c r="C200" s="25" t="s">
        <v>508</v>
      </c>
      <c r="D200" s="33" t="e">
        <f t="shared" si="3"/>
        <v>#N/A</v>
      </c>
      <c r="E200" s="11"/>
      <c r="F200" s="148"/>
      <c r="G200" s="23"/>
      <c r="H200" s="12"/>
      <c r="I200" s="12"/>
      <c r="J200" s="10"/>
      <c r="K200" s="9"/>
      <c r="L200" s="9"/>
      <c r="M200" s="10"/>
    </row>
    <row r="201" spans="1:13" s="4" customFormat="1" ht="30" customHeight="1" x14ac:dyDescent="0.25">
      <c r="A201" s="9"/>
      <c r="B201" s="13" t="e">
        <f>VLOOKUP(Table24[[#This Row],[Location 
(drop-down)]],'List source'!D$2:E$59,2,FALSE)</f>
        <v>#N/A</v>
      </c>
      <c r="C201" s="25" t="s">
        <v>509</v>
      </c>
      <c r="D201" s="33" t="e">
        <f t="shared" si="3"/>
        <v>#N/A</v>
      </c>
      <c r="E201" s="11"/>
      <c r="F201" s="148"/>
      <c r="G201" s="23"/>
      <c r="H201" s="12"/>
      <c r="I201" s="12"/>
      <c r="J201" s="10"/>
      <c r="K201" s="9"/>
      <c r="L201" s="9"/>
      <c r="M201" s="10"/>
    </row>
    <row r="202" spans="1:13" s="4" customFormat="1" ht="30" customHeight="1" x14ac:dyDescent="0.25">
      <c r="A202" s="9"/>
      <c r="B202" s="13" t="e">
        <f>VLOOKUP(Table24[[#This Row],[Location 
(drop-down)]],'List source'!D$2:E$59,2,FALSE)</f>
        <v>#N/A</v>
      </c>
      <c r="C202" s="25" t="s">
        <v>510</v>
      </c>
      <c r="D202" s="33" t="e">
        <f t="shared" si="3"/>
        <v>#N/A</v>
      </c>
      <c r="E202" s="11"/>
      <c r="F202" s="148"/>
      <c r="G202" s="23"/>
      <c r="H202" s="12"/>
      <c r="I202" s="12"/>
      <c r="J202" s="10"/>
      <c r="K202" s="9"/>
      <c r="L202" s="9"/>
      <c r="M202" s="10"/>
    </row>
    <row r="203" spans="1:13" s="4" customFormat="1" ht="30" customHeight="1" x14ac:dyDescent="0.25">
      <c r="A203" s="9"/>
      <c r="B203" s="13" t="e">
        <f>VLOOKUP(Table24[[#This Row],[Location 
(drop-down)]],'List source'!D$2:E$59,2,FALSE)</f>
        <v>#N/A</v>
      </c>
      <c r="C203" s="25" t="s">
        <v>511</v>
      </c>
      <c r="D203" s="33" t="e">
        <f t="shared" si="3"/>
        <v>#N/A</v>
      </c>
      <c r="E203" s="11"/>
      <c r="F203" s="148"/>
      <c r="G203" s="23"/>
      <c r="H203" s="12"/>
      <c r="I203" s="12"/>
      <c r="J203" s="10"/>
      <c r="K203" s="9"/>
      <c r="L203" s="9"/>
      <c r="M203" s="10"/>
    </row>
    <row r="204" spans="1:13" s="4" customFormat="1" ht="30" customHeight="1" x14ac:dyDescent="0.25">
      <c r="A204" s="9"/>
      <c r="B204" s="13" t="e">
        <f>VLOOKUP(Table24[[#This Row],[Location 
(drop-down)]],'List source'!D$2:E$59,2,FALSE)</f>
        <v>#N/A</v>
      </c>
      <c r="C204" s="25" t="s">
        <v>512</v>
      </c>
      <c r="D204" s="33" t="e">
        <f t="shared" si="3"/>
        <v>#N/A</v>
      </c>
      <c r="E204" s="11"/>
      <c r="F204" s="148"/>
      <c r="G204" s="14"/>
      <c r="H204" s="12"/>
      <c r="I204" s="12"/>
      <c r="J204" s="10"/>
      <c r="K204" s="9"/>
      <c r="L204" s="9"/>
      <c r="M204" s="10"/>
    </row>
    <row r="205" spans="1:13" s="4" customFormat="1" ht="30" customHeight="1" x14ac:dyDescent="0.25">
      <c r="A205" s="9"/>
      <c r="B205" s="13" t="e">
        <f>VLOOKUP(Table24[[#This Row],[Location 
(drop-down)]],'List source'!D$2:E$59,2,FALSE)</f>
        <v>#N/A</v>
      </c>
      <c r="C205" s="25" t="s">
        <v>513</v>
      </c>
      <c r="D205" s="33" t="e">
        <f t="shared" si="3"/>
        <v>#N/A</v>
      </c>
      <c r="E205" s="11"/>
      <c r="F205" s="148"/>
      <c r="G205" s="23"/>
      <c r="H205" s="12"/>
      <c r="I205" s="12"/>
      <c r="J205" s="10"/>
      <c r="K205" s="9"/>
      <c r="L205" s="9"/>
      <c r="M205" s="10"/>
    </row>
    <row r="206" spans="1:13" s="4" customFormat="1" ht="30" customHeight="1" x14ac:dyDescent="0.25">
      <c r="A206" s="9"/>
      <c r="B206" s="13" t="e">
        <f>VLOOKUP(Table24[[#This Row],[Location 
(drop-down)]],'List source'!D$2:E$59,2,FALSE)</f>
        <v>#N/A</v>
      </c>
      <c r="C206" s="25" t="s">
        <v>514</v>
      </c>
      <c r="D206" s="33" t="e">
        <f t="shared" si="3"/>
        <v>#N/A</v>
      </c>
      <c r="E206" s="11"/>
      <c r="F206" s="148"/>
      <c r="G206" s="23"/>
      <c r="H206" s="12"/>
      <c r="I206" s="12"/>
      <c r="J206" s="10"/>
      <c r="K206" s="9"/>
      <c r="L206" s="9"/>
      <c r="M206" s="10"/>
    </row>
    <row r="207" spans="1:13" s="4" customFormat="1" ht="30" customHeight="1" x14ac:dyDescent="0.25">
      <c r="A207" s="9"/>
      <c r="B207" s="13" t="e">
        <f>VLOOKUP(Table24[[#This Row],[Location 
(drop-down)]],'List source'!D$2:E$59,2,FALSE)</f>
        <v>#N/A</v>
      </c>
      <c r="C207" s="25" t="s">
        <v>515</v>
      </c>
      <c r="D207" s="33" t="e">
        <f t="shared" si="3"/>
        <v>#N/A</v>
      </c>
      <c r="E207" s="11"/>
      <c r="F207" s="148"/>
      <c r="G207" s="23"/>
      <c r="H207" s="12"/>
      <c r="I207" s="12"/>
      <c r="J207" s="10"/>
      <c r="K207" s="9"/>
      <c r="L207" s="9"/>
      <c r="M207" s="10"/>
    </row>
    <row r="208" spans="1:13" s="4" customFormat="1" ht="30" customHeight="1" x14ac:dyDescent="0.25">
      <c r="A208" s="9"/>
      <c r="B208" s="13" t="e">
        <f>VLOOKUP(Table24[[#This Row],[Location 
(drop-down)]],'List source'!D$2:E$59,2,FALSE)</f>
        <v>#N/A</v>
      </c>
      <c r="C208" s="25" t="s">
        <v>516</v>
      </c>
      <c r="D208" s="33" t="e">
        <f t="shared" si="3"/>
        <v>#N/A</v>
      </c>
      <c r="E208" s="11"/>
      <c r="F208" s="148"/>
      <c r="G208" s="12"/>
      <c r="H208" s="12"/>
      <c r="I208" s="12"/>
      <c r="J208" s="10"/>
      <c r="K208" s="9"/>
      <c r="L208" s="9"/>
      <c r="M208" s="10"/>
    </row>
    <row r="209" spans="1:13" s="4" customFormat="1" ht="30" customHeight="1" x14ac:dyDescent="0.25">
      <c r="A209" s="9"/>
      <c r="B209" s="13" t="e">
        <f>VLOOKUP(Table24[[#This Row],[Location 
(drop-down)]],'List source'!D$2:E$59,2,FALSE)</f>
        <v>#N/A</v>
      </c>
      <c r="C209" s="25" t="s">
        <v>517</v>
      </c>
      <c r="D209" s="33" t="e">
        <f t="shared" si="3"/>
        <v>#N/A</v>
      </c>
      <c r="E209" s="11"/>
      <c r="F209" s="148"/>
      <c r="G209" s="12"/>
      <c r="H209" s="12"/>
      <c r="I209" s="12"/>
      <c r="J209" s="10"/>
      <c r="K209" s="9"/>
      <c r="L209" s="9"/>
      <c r="M209" s="10"/>
    </row>
    <row r="210" spans="1:13" s="4" customFormat="1" ht="30" customHeight="1" x14ac:dyDescent="0.25">
      <c r="A210" s="9"/>
      <c r="B210" s="13" t="e">
        <f>VLOOKUP(Table24[[#This Row],[Location 
(drop-down)]],'List source'!D$2:E$59,2,FALSE)</f>
        <v>#N/A</v>
      </c>
      <c r="C210" s="25" t="s">
        <v>518</v>
      </c>
      <c r="D210" s="33" t="e">
        <f t="shared" si="3"/>
        <v>#N/A</v>
      </c>
      <c r="E210" s="11"/>
      <c r="F210" s="148"/>
      <c r="G210" s="23"/>
      <c r="H210" s="12"/>
      <c r="I210" s="12"/>
      <c r="J210" s="10"/>
      <c r="K210" s="9"/>
      <c r="L210" s="9"/>
      <c r="M210" s="10"/>
    </row>
    <row r="211" spans="1:13" s="4" customFormat="1" ht="30" customHeight="1" x14ac:dyDescent="0.25">
      <c r="A211" s="9"/>
      <c r="B211" s="13" t="e">
        <f>VLOOKUP(Table24[[#This Row],[Location 
(drop-down)]],'List source'!D$2:E$59,2,FALSE)</f>
        <v>#N/A</v>
      </c>
      <c r="C211" s="25" t="s">
        <v>519</v>
      </c>
      <c r="D211" s="33" t="e">
        <f t="shared" si="3"/>
        <v>#N/A</v>
      </c>
      <c r="E211" s="11"/>
      <c r="F211" s="148"/>
      <c r="G211" s="23"/>
      <c r="H211" s="12"/>
      <c r="I211" s="12"/>
      <c r="J211" s="10"/>
      <c r="K211" s="9"/>
      <c r="L211" s="9"/>
      <c r="M211" s="10"/>
    </row>
    <row r="212" spans="1:13" s="4" customFormat="1" ht="30" customHeight="1" x14ac:dyDescent="0.25">
      <c r="A212" s="9"/>
      <c r="B212" s="13" t="e">
        <f>VLOOKUP(Table24[[#This Row],[Location 
(drop-down)]],'List source'!D$2:E$59,2,FALSE)</f>
        <v>#N/A</v>
      </c>
      <c r="C212" s="25" t="s">
        <v>520</v>
      </c>
      <c r="D212" s="33" t="e">
        <f t="shared" si="3"/>
        <v>#N/A</v>
      </c>
      <c r="E212" s="11"/>
      <c r="F212" s="148"/>
      <c r="G212" s="23"/>
      <c r="H212" s="12"/>
      <c r="I212" s="12"/>
      <c r="J212" s="10"/>
      <c r="K212" s="9"/>
      <c r="L212" s="9"/>
      <c r="M212" s="10"/>
    </row>
    <row r="213" spans="1:13" s="4" customFormat="1" ht="30" customHeight="1" x14ac:dyDescent="0.25">
      <c r="A213" s="9"/>
      <c r="B213" s="13" t="e">
        <f>VLOOKUP(Table24[[#This Row],[Location 
(drop-down)]],'List source'!D$2:E$59,2,FALSE)</f>
        <v>#N/A</v>
      </c>
      <c r="C213" s="25" t="s">
        <v>521</v>
      </c>
      <c r="D213" s="33" t="e">
        <f t="shared" si="3"/>
        <v>#N/A</v>
      </c>
      <c r="E213" s="11"/>
      <c r="F213" s="148"/>
      <c r="G213" s="23"/>
      <c r="H213" s="12"/>
      <c r="I213" s="12"/>
      <c r="J213" s="10"/>
      <c r="K213" s="9"/>
      <c r="L213" s="9"/>
      <c r="M213" s="10"/>
    </row>
    <row r="214" spans="1:13" s="4" customFormat="1" ht="30" customHeight="1" x14ac:dyDescent="0.25">
      <c r="A214" s="9"/>
      <c r="B214" s="13" t="e">
        <f>VLOOKUP(Table24[[#This Row],[Location 
(drop-down)]],'List source'!D$2:E$59,2,FALSE)</f>
        <v>#N/A</v>
      </c>
      <c r="C214" s="25" t="s">
        <v>522</v>
      </c>
      <c r="D214" s="33" t="e">
        <f t="shared" si="3"/>
        <v>#N/A</v>
      </c>
      <c r="E214" s="11"/>
      <c r="F214" s="148"/>
      <c r="G214" s="23"/>
      <c r="H214" s="12"/>
      <c r="I214" s="12"/>
      <c r="J214" s="10"/>
      <c r="K214" s="9"/>
      <c r="L214" s="9"/>
      <c r="M214" s="10"/>
    </row>
    <row r="215" spans="1:13" s="4" customFormat="1" ht="30" customHeight="1" x14ac:dyDescent="0.25">
      <c r="A215" s="9"/>
      <c r="B215" s="13" t="e">
        <f>VLOOKUP(Table24[[#This Row],[Location 
(drop-down)]],'List source'!D$2:E$59,2,FALSE)</f>
        <v>#N/A</v>
      </c>
      <c r="C215" s="25" t="s">
        <v>523</v>
      </c>
      <c r="D215" s="33" t="e">
        <f t="shared" si="3"/>
        <v>#N/A</v>
      </c>
      <c r="E215" s="11"/>
      <c r="F215" s="148"/>
      <c r="G215" s="23"/>
      <c r="H215" s="12"/>
      <c r="I215" s="12"/>
      <c r="J215" s="10"/>
      <c r="K215" s="9"/>
      <c r="L215" s="9"/>
      <c r="M215" s="10"/>
    </row>
    <row r="216" spans="1:13" s="4" customFormat="1" ht="30" customHeight="1" x14ac:dyDescent="0.25">
      <c r="A216" s="9"/>
      <c r="B216" s="13" t="e">
        <f>VLOOKUP(Table24[[#This Row],[Location 
(drop-down)]],'List source'!D$2:E$59,2,FALSE)</f>
        <v>#N/A</v>
      </c>
      <c r="C216" s="25" t="s">
        <v>524</v>
      </c>
      <c r="D216" s="33" t="e">
        <f t="shared" si="3"/>
        <v>#N/A</v>
      </c>
      <c r="E216" s="11"/>
      <c r="F216" s="148"/>
      <c r="G216" s="23"/>
      <c r="H216" s="12"/>
      <c r="I216" s="12"/>
      <c r="J216" s="10"/>
      <c r="K216" s="9"/>
      <c r="L216" s="9"/>
      <c r="M216" s="10"/>
    </row>
    <row r="217" spans="1:13" s="4" customFormat="1" ht="30" customHeight="1" x14ac:dyDescent="0.25">
      <c r="A217" s="9"/>
      <c r="B217" s="13" t="e">
        <f>VLOOKUP(Table24[[#This Row],[Location 
(drop-down)]],'List source'!D$2:E$59,2,FALSE)</f>
        <v>#N/A</v>
      </c>
      <c r="C217" s="25" t="s">
        <v>525</v>
      </c>
      <c r="D217" s="33" t="e">
        <f t="shared" si="3"/>
        <v>#N/A</v>
      </c>
      <c r="E217" s="11"/>
      <c r="F217" s="148"/>
      <c r="G217" s="23"/>
      <c r="H217" s="12"/>
      <c r="I217" s="12"/>
      <c r="J217" s="10"/>
      <c r="K217" s="9"/>
      <c r="L217" s="9"/>
      <c r="M217" s="10"/>
    </row>
    <row r="218" spans="1:13" s="4" customFormat="1" ht="30" customHeight="1" x14ac:dyDescent="0.25">
      <c r="A218" s="9"/>
      <c r="B218" s="13" t="e">
        <f>VLOOKUP(Table24[[#This Row],[Location 
(drop-down)]],'List source'!D$2:E$59,2,FALSE)</f>
        <v>#N/A</v>
      </c>
      <c r="C218" s="25" t="s">
        <v>526</v>
      </c>
      <c r="D218" s="33" t="e">
        <f t="shared" si="3"/>
        <v>#N/A</v>
      </c>
      <c r="E218" s="11"/>
      <c r="F218" s="148"/>
      <c r="G218" s="23"/>
      <c r="H218" s="12"/>
      <c r="I218" s="12"/>
      <c r="J218" s="10"/>
      <c r="K218" s="9"/>
      <c r="L218" s="9"/>
      <c r="M218" s="10"/>
    </row>
    <row r="219" spans="1:13" s="4" customFormat="1" ht="30" customHeight="1" x14ac:dyDescent="0.25">
      <c r="A219" s="9"/>
      <c r="B219" s="13" t="e">
        <f>VLOOKUP(Table24[[#This Row],[Location 
(drop-down)]],'List source'!D$2:E$59,2,FALSE)</f>
        <v>#N/A</v>
      </c>
      <c r="C219" s="25" t="s">
        <v>527</v>
      </c>
      <c r="D219" s="33" t="e">
        <f t="shared" si="3"/>
        <v>#N/A</v>
      </c>
      <c r="E219" s="11"/>
      <c r="F219" s="148"/>
      <c r="G219" s="23"/>
      <c r="H219" s="12"/>
      <c r="I219" s="12"/>
      <c r="J219" s="10"/>
      <c r="K219" s="9"/>
      <c r="L219" s="9"/>
      <c r="M219" s="10"/>
    </row>
    <row r="220" spans="1:13" s="4" customFormat="1" ht="30" customHeight="1" x14ac:dyDescent="0.25">
      <c r="A220" s="9"/>
      <c r="B220" s="13" t="e">
        <f>VLOOKUP(Table24[[#This Row],[Location 
(drop-down)]],'List source'!D$2:E$59,2,FALSE)</f>
        <v>#N/A</v>
      </c>
      <c r="C220" s="25" t="s">
        <v>528</v>
      </c>
      <c r="D220" s="33" t="e">
        <f t="shared" si="3"/>
        <v>#N/A</v>
      </c>
      <c r="E220" s="11"/>
      <c r="G220" s="23"/>
      <c r="H220" s="12"/>
      <c r="I220" s="12"/>
      <c r="J220" s="10"/>
      <c r="K220" s="9"/>
      <c r="L220" s="9"/>
      <c r="M220" s="10"/>
    </row>
    <row r="221" spans="1:13" s="4" customFormat="1" ht="30" customHeight="1" x14ac:dyDescent="0.25">
      <c r="A221" s="9"/>
      <c r="B221" s="13" t="e">
        <f>VLOOKUP(Table24[[#This Row],[Location 
(drop-down)]],'List source'!D$2:E$59,2,FALSE)</f>
        <v>#N/A</v>
      </c>
      <c r="C221" s="25" t="s">
        <v>529</v>
      </c>
      <c r="D221" s="33" t="e">
        <f t="shared" si="3"/>
        <v>#N/A</v>
      </c>
      <c r="E221" s="11"/>
      <c r="F221" s="148"/>
      <c r="G221" s="23"/>
      <c r="H221" s="12"/>
      <c r="I221" s="12"/>
      <c r="J221" s="10"/>
      <c r="K221" s="9"/>
      <c r="L221" s="9"/>
      <c r="M221" s="10"/>
    </row>
    <row r="222" spans="1:13" s="4" customFormat="1" ht="30" customHeight="1" x14ac:dyDescent="0.25">
      <c r="A222" s="9"/>
      <c r="B222" s="13" t="e">
        <f>VLOOKUP(Table24[[#This Row],[Location 
(drop-down)]],'List source'!D$2:E$59,2,FALSE)</f>
        <v>#N/A</v>
      </c>
      <c r="C222" s="25" t="s">
        <v>530</v>
      </c>
      <c r="D222" s="33" t="e">
        <f t="shared" si="3"/>
        <v>#N/A</v>
      </c>
      <c r="E222" s="11"/>
      <c r="F222" s="148"/>
      <c r="G222" s="23"/>
      <c r="H222" s="12"/>
      <c r="I222" s="12"/>
      <c r="J222" s="10"/>
      <c r="K222" s="9"/>
      <c r="L222" s="9"/>
      <c r="M222" s="10"/>
    </row>
    <row r="223" spans="1:13" s="4" customFormat="1" ht="30" customHeight="1" x14ac:dyDescent="0.25">
      <c r="A223" s="9"/>
      <c r="B223" s="13" t="e">
        <f>VLOOKUP(Table24[[#This Row],[Location 
(drop-down)]],'List source'!D$2:E$59,2,FALSE)</f>
        <v>#N/A</v>
      </c>
      <c r="C223" s="25" t="s">
        <v>531</v>
      </c>
      <c r="D223" s="33" t="e">
        <f t="shared" si="3"/>
        <v>#N/A</v>
      </c>
      <c r="E223" s="11"/>
      <c r="F223" s="148"/>
      <c r="G223" s="23"/>
      <c r="H223" s="12"/>
      <c r="I223" s="12"/>
      <c r="J223" s="10"/>
      <c r="K223" s="9"/>
      <c r="L223" s="9"/>
      <c r="M223" s="10"/>
    </row>
    <row r="224" spans="1:13" s="4" customFormat="1" ht="30" customHeight="1" x14ac:dyDescent="0.25">
      <c r="A224" s="9"/>
      <c r="B224" s="13" t="e">
        <f>VLOOKUP(Table24[[#This Row],[Location 
(drop-down)]],'List source'!D$2:E$59,2,FALSE)</f>
        <v>#N/A</v>
      </c>
      <c r="C224" s="25" t="s">
        <v>532</v>
      </c>
      <c r="D224" s="33" t="e">
        <f t="shared" si="3"/>
        <v>#N/A</v>
      </c>
      <c r="E224" s="11"/>
      <c r="F224" s="148"/>
      <c r="G224" s="23"/>
      <c r="H224" s="12"/>
      <c r="I224" s="12"/>
      <c r="J224" s="10"/>
      <c r="K224" s="9"/>
      <c r="L224" s="9"/>
      <c r="M224" s="10"/>
    </row>
    <row r="225" spans="1:13" s="4" customFormat="1" ht="30" customHeight="1" x14ac:dyDescent="0.25">
      <c r="A225" s="9"/>
      <c r="B225" s="13" t="e">
        <f>VLOOKUP(Table24[[#This Row],[Location 
(drop-down)]],'List source'!D$2:E$59,2,FALSE)</f>
        <v>#N/A</v>
      </c>
      <c r="C225" s="25" t="s">
        <v>533</v>
      </c>
      <c r="D225" s="33" t="e">
        <f t="shared" si="3"/>
        <v>#N/A</v>
      </c>
      <c r="E225" s="11"/>
      <c r="F225" s="148"/>
      <c r="G225" s="23"/>
      <c r="H225" s="12"/>
      <c r="I225" s="12"/>
      <c r="J225" s="10"/>
      <c r="K225" s="9"/>
      <c r="L225" s="9"/>
      <c r="M225" s="10"/>
    </row>
    <row r="226" spans="1:13" s="4" customFormat="1" ht="30" customHeight="1" x14ac:dyDescent="0.25">
      <c r="A226" s="9"/>
      <c r="B226" s="13" t="e">
        <f>VLOOKUP(Table24[[#This Row],[Location 
(drop-down)]],'List source'!D$2:E$59,2,FALSE)</f>
        <v>#N/A</v>
      </c>
      <c r="C226" s="25" t="s">
        <v>534</v>
      </c>
      <c r="D226" s="33" t="e">
        <f t="shared" si="3"/>
        <v>#N/A</v>
      </c>
      <c r="E226" s="11"/>
      <c r="F226" s="148"/>
      <c r="G226" s="23"/>
      <c r="H226" s="12"/>
      <c r="I226" s="12"/>
      <c r="J226" s="10"/>
      <c r="K226" s="9"/>
      <c r="L226" s="9"/>
      <c r="M226" s="10"/>
    </row>
    <row r="227" spans="1:13" s="4" customFormat="1" ht="30" customHeight="1" x14ac:dyDescent="0.25">
      <c r="A227" s="9"/>
      <c r="B227" s="13" t="e">
        <f>VLOOKUP(Table24[[#This Row],[Location 
(drop-down)]],'List source'!D$2:E$59,2,FALSE)</f>
        <v>#N/A</v>
      </c>
      <c r="C227" s="25" t="s">
        <v>535</v>
      </c>
      <c r="D227" s="33" t="e">
        <f t="shared" si="3"/>
        <v>#N/A</v>
      </c>
      <c r="E227" s="11"/>
      <c r="F227" s="148"/>
      <c r="G227" s="23"/>
      <c r="H227" s="12"/>
      <c r="I227" s="12"/>
      <c r="J227" s="10"/>
      <c r="K227" s="9"/>
      <c r="L227" s="9"/>
      <c r="M227" s="10"/>
    </row>
    <row r="228" spans="1:13" s="4" customFormat="1" ht="30" customHeight="1" x14ac:dyDescent="0.25">
      <c r="A228" s="9"/>
      <c r="B228" s="13" t="e">
        <f>VLOOKUP(Table24[[#This Row],[Location 
(drop-down)]],'List source'!D$2:E$59,2,FALSE)</f>
        <v>#N/A</v>
      </c>
      <c r="C228" s="25" t="s">
        <v>536</v>
      </c>
      <c r="D228" s="33" t="e">
        <f t="shared" si="3"/>
        <v>#N/A</v>
      </c>
      <c r="E228" s="11"/>
      <c r="F228" s="148"/>
      <c r="G228" s="23"/>
      <c r="H228" s="12"/>
      <c r="I228" s="12"/>
      <c r="J228" s="10"/>
      <c r="K228" s="9"/>
      <c r="L228" s="9"/>
      <c r="M228" s="10"/>
    </row>
    <row r="229" spans="1:13" s="4" customFormat="1" ht="30" customHeight="1" x14ac:dyDescent="0.25">
      <c r="A229" s="9"/>
      <c r="B229" s="13" t="e">
        <f>VLOOKUP(Table24[[#This Row],[Location 
(drop-down)]],'List source'!D$2:E$59,2,FALSE)</f>
        <v>#N/A</v>
      </c>
      <c r="C229" s="25" t="s">
        <v>537</v>
      </c>
      <c r="D229" s="33" t="e">
        <f t="shared" si="3"/>
        <v>#N/A</v>
      </c>
      <c r="E229" s="11"/>
      <c r="F229" s="148"/>
      <c r="G229" s="23"/>
      <c r="H229" s="12"/>
      <c r="I229" s="12"/>
      <c r="J229" s="10"/>
      <c r="K229" s="9"/>
      <c r="L229" s="9"/>
      <c r="M229" s="10"/>
    </row>
    <row r="230" spans="1:13" s="4" customFormat="1" ht="30" customHeight="1" x14ac:dyDescent="0.25">
      <c r="A230" s="9"/>
      <c r="B230" s="13" t="e">
        <f>VLOOKUP(Table24[[#This Row],[Location 
(drop-down)]],'List source'!D$2:E$59,2,FALSE)</f>
        <v>#N/A</v>
      </c>
      <c r="C230" s="25" t="s">
        <v>538</v>
      </c>
      <c r="D230" s="33" t="e">
        <f t="shared" si="3"/>
        <v>#N/A</v>
      </c>
      <c r="E230" s="11"/>
      <c r="F230" s="148"/>
      <c r="G230" s="23"/>
      <c r="H230" s="12"/>
      <c r="I230" s="12"/>
      <c r="J230" s="10"/>
      <c r="K230" s="9"/>
      <c r="L230" s="9"/>
      <c r="M230" s="10"/>
    </row>
    <row r="231" spans="1:13" s="4" customFormat="1" ht="30" customHeight="1" x14ac:dyDescent="0.25">
      <c r="A231" s="9"/>
      <c r="B231" s="13" t="e">
        <f>VLOOKUP(Table24[[#This Row],[Location 
(drop-down)]],'List source'!D$2:E$59,2,FALSE)</f>
        <v>#N/A</v>
      </c>
      <c r="C231" s="25" t="s">
        <v>539</v>
      </c>
      <c r="D231" s="33" t="e">
        <f t="shared" si="3"/>
        <v>#N/A</v>
      </c>
      <c r="E231" s="11"/>
      <c r="F231" s="148"/>
      <c r="G231" s="23"/>
      <c r="H231" s="12"/>
      <c r="I231" s="12"/>
      <c r="J231" s="10"/>
      <c r="K231" s="9"/>
      <c r="L231" s="9"/>
      <c r="M231" s="10"/>
    </row>
    <row r="232" spans="1:13" s="4" customFormat="1" ht="30" customHeight="1" x14ac:dyDescent="0.25">
      <c r="A232" s="9"/>
      <c r="B232" s="13" t="e">
        <f>VLOOKUP(Table24[[#This Row],[Location 
(drop-down)]],'List source'!D$2:E$59,2,FALSE)</f>
        <v>#N/A</v>
      </c>
      <c r="C232" s="25" t="s">
        <v>540</v>
      </c>
      <c r="D232" s="33" t="e">
        <f t="shared" si="3"/>
        <v>#N/A</v>
      </c>
      <c r="E232" s="11"/>
      <c r="F232" s="148"/>
      <c r="G232" s="23"/>
      <c r="H232" s="12"/>
      <c r="I232" s="12"/>
      <c r="J232" s="10"/>
      <c r="K232" s="9"/>
      <c r="L232" s="9"/>
      <c r="M232" s="10"/>
    </row>
    <row r="233" spans="1:13" s="4" customFormat="1" ht="30" customHeight="1" x14ac:dyDescent="0.25">
      <c r="A233" s="9"/>
      <c r="B233" s="13" t="e">
        <f>VLOOKUP(Table24[[#This Row],[Location 
(drop-down)]],'List source'!D$2:E$59,2,FALSE)</f>
        <v>#N/A</v>
      </c>
      <c r="C233" s="25" t="s">
        <v>541</v>
      </c>
      <c r="D233" s="33" t="e">
        <f t="shared" si="3"/>
        <v>#N/A</v>
      </c>
      <c r="E233" s="11"/>
      <c r="F233" s="148"/>
      <c r="G233" s="23"/>
      <c r="H233" s="12"/>
      <c r="I233" s="12"/>
      <c r="J233" s="10"/>
      <c r="K233" s="9"/>
      <c r="L233" s="9"/>
      <c r="M233" s="10"/>
    </row>
    <row r="234" spans="1:13" s="4" customFormat="1" ht="30" customHeight="1" x14ac:dyDescent="0.25">
      <c r="A234" s="9"/>
      <c r="B234" s="13" t="e">
        <f>VLOOKUP(Table24[[#This Row],[Location 
(drop-down)]],'List source'!D$2:E$59,2,FALSE)</f>
        <v>#N/A</v>
      </c>
      <c r="C234" s="25" t="s">
        <v>542</v>
      </c>
      <c r="D234" s="33" t="e">
        <f t="shared" si="3"/>
        <v>#N/A</v>
      </c>
      <c r="E234" s="11"/>
      <c r="F234" s="148"/>
      <c r="G234" s="23"/>
      <c r="H234" s="12"/>
      <c r="I234" s="12"/>
      <c r="J234" s="10"/>
      <c r="K234" s="9"/>
      <c r="L234" s="9"/>
      <c r="M234" s="10"/>
    </row>
    <row r="235" spans="1:13" s="4" customFormat="1" ht="30" customHeight="1" x14ac:dyDescent="0.25">
      <c r="A235" s="9"/>
      <c r="B235" s="13" t="e">
        <f>VLOOKUP(Table24[[#This Row],[Location 
(drop-down)]],'List source'!D$2:E$59,2,FALSE)</f>
        <v>#N/A</v>
      </c>
      <c r="C235" s="25" t="s">
        <v>543</v>
      </c>
      <c r="D235" s="33" t="e">
        <f t="shared" si="3"/>
        <v>#N/A</v>
      </c>
      <c r="E235" s="11"/>
      <c r="F235" s="148"/>
      <c r="G235" s="23"/>
      <c r="H235" s="12"/>
      <c r="I235" s="12"/>
      <c r="J235" s="10"/>
      <c r="K235" s="9"/>
      <c r="L235" s="9"/>
      <c r="M235" s="10"/>
    </row>
    <row r="236" spans="1:13" s="4" customFormat="1" ht="30" customHeight="1" x14ac:dyDescent="0.25">
      <c r="A236" s="9"/>
      <c r="B236" s="13" t="e">
        <f>VLOOKUP(Table24[[#This Row],[Location 
(drop-down)]],'List source'!D$2:E$59,2,FALSE)</f>
        <v>#N/A</v>
      </c>
      <c r="C236" s="25" t="s">
        <v>544</v>
      </c>
      <c r="D236" s="33" t="e">
        <f t="shared" si="3"/>
        <v>#N/A</v>
      </c>
      <c r="E236" s="11"/>
      <c r="F236" s="148"/>
      <c r="G236" s="23"/>
      <c r="H236" s="12"/>
      <c r="I236" s="12"/>
      <c r="J236" s="10"/>
      <c r="K236" s="9"/>
      <c r="L236" s="9"/>
      <c r="M236" s="10"/>
    </row>
    <row r="237" spans="1:13" s="4" customFormat="1" ht="30" customHeight="1" x14ac:dyDescent="0.25">
      <c r="A237" s="9"/>
      <c r="B237" s="13" t="e">
        <f>VLOOKUP(Table24[[#This Row],[Location 
(drop-down)]],'List source'!D$2:E$59,2,FALSE)</f>
        <v>#N/A</v>
      </c>
      <c r="C237" s="25" t="s">
        <v>545</v>
      </c>
      <c r="D237" s="33" t="e">
        <f t="shared" si="3"/>
        <v>#N/A</v>
      </c>
      <c r="E237" s="11"/>
      <c r="F237" s="148"/>
      <c r="G237" s="12"/>
      <c r="H237" s="12"/>
      <c r="I237" s="12"/>
      <c r="J237" s="10"/>
      <c r="K237" s="9"/>
      <c r="L237" s="9"/>
      <c r="M237" s="10"/>
    </row>
    <row r="238" spans="1:13" s="4" customFormat="1" ht="30" customHeight="1" x14ac:dyDescent="0.25">
      <c r="A238" s="9"/>
      <c r="B238" s="13" t="e">
        <f>VLOOKUP(Table24[[#This Row],[Location 
(drop-down)]],'List source'!D$2:E$59,2,FALSE)</f>
        <v>#N/A</v>
      </c>
      <c r="C238" s="25" t="s">
        <v>546</v>
      </c>
      <c r="D238" s="33" t="e">
        <f t="shared" si="3"/>
        <v>#N/A</v>
      </c>
      <c r="E238" s="11"/>
      <c r="F238" s="148"/>
      <c r="G238" s="12"/>
      <c r="H238" s="12"/>
      <c r="I238" s="12"/>
      <c r="J238" s="10"/>
      <c r="K238" s="9"/>
      <c r="L238" s="9"/>
      <c r="M238" s="10"/>
    </row>
    <row r="239" spans="1:13" s="4" customFormat="1" ht="30" customHeight="1" x14ac:dyDescent="0.25">
      <c r="A239" s="9"/>
      <c r="B239" s="13" t="e">
        <f>VLOOKUP(Table24[[#This Row],[Location 
(drop-down)]],'List source'!D$2:E$59,2,FALSE)</f>
        <v>#N/A</v>
      </c>
      <c r="C239" s="25" t="s">
        <v>547</v>
      </c>
      <c r="D239" s="33" t="e">
        <f t="shared" si="3"/>
        <v>#N/A</v>
      </c>
      <c r="E239" s="11"/>
      <c r="F239" s="148"/>
      <c r="G239" s="12"/>
      <c r="H239" s="12"/>
      <c r="I239" s="12"/>
      <c r="J239" s="10"/>
      <c r="K239" s="9"/>
      <c r="L239" s="9"/>
      <c r="M239" s="10"/>
    </row>
    <row r="240" spans="1:13" s="4" customFormat="1" ht="30" customHeight="1" x14ac:dyDescent="0.25">
      <c r="A240" s="9"/>
      <c r="B240" s="13" t="e">
        <f>VLOOKUP(Table24[[#This Row],[Location 
(drop-down)]],'List source'!D$2:E$59,2,FALSE)</f>
        <v>#N/A</v>
      </c>
      <c r="C240" s="25" t="s">
        <v>548</v>
      </c>
      <c r="D240" s="33" t="e">
        <f t="shared" si="3"/>
        <v>#N/A</v>
      </c>
      <c r="E240" s="11"/>
      <c r="F240" s="148"/>
      <c r="G240" s="12"/>
      <c r="H240" s="12"/>
      <c r="I240" s="12"/>
      <c r="J240" s="10"/>
      <c r="K240" s="9"/>
      <c r="L240" s="9"/>
      <c r="M240" s="10"/>
    </row>
    <row r="241" spans="1:13" s="4" customFormat="1" ht="30" customHeight="1" x14ac:dyDescent="0.25">
      <c r="A241" s="9"/>
      <c r="B241" s="13" t="e">
        <f>VLOOKUP(Table24[[#This Row],[Location 
(drop-down)]],'List source'!D$2:E$59,2,FALSE)</f>
        <v>#N/A</v>
      </c>
      <c r="C241" s="25" t="s">
        <v>549</v>
      </c>
      <c r="D241" s="33" t="e">
        <f t="shared" si="3"/>
        <v>#N/A</v>
      </c>
      <c r="E241" s="11"/>
      <c r="F241" s="148"/>
      <c r="G241" s="12"/>
      <c r="H241" s="12"/>
      <c r="I241" s="12"/>
      <c r="J241" s="10"/>
      <c r="K241" s="9"/>
      <c r="L241" s="9"/>
      <c r="M241" s="10"/>
    </row>
    <row r="242" spans="1:13" s="4" customFormat="1" ht="30" customHeight="1" x14ac:dyDescent="0.25">
      <c r="A242" s="9"/>
      <c r="B242" s="13" t="e">
        <f>VLOOKUP(Table24[[#This Row],[Location 
(drop-down)]],'List source'!D$2:E$59,2,FALSE)</f>
        <v>#N/A</v>
      </c>
      <c r="C242" s="25" t="s">
        <v>550</v>
      </c>
      <c r="D242" s="33" t="e">
        <f t="shared" si="3"/>
        <v>#N/A</v>
      </c>
      <c r="E242" s="11"/>
      <c r="F242" s="148"/>
      <c r="G242" s="12"/>
      <c r="H242" s="12"/>
      <c r="I242" s="12"/>
      <c r="J242" s="10"/>
      <c r="K242" s="9"/>
      <c r="L242" s="9"/>
      <c r="M242" s="10"/>
    </row>
    <row r="243" spans="1:13" s="4" customFormat="1" ht="30" customHeight="1" x14ac:dyDescent="0.25">
      <c r="A243" s="9"/>
      <c r="B243" s="13" t="e">
        <f>VLOOKUP(Table24[[#This Row],[Location 
(drop-down)]],'List source'!D$2:E$59,2,FALSE)</f>
        <v>#N/A</v>
      </c>
      <c r="C243" s="25" t="s">
        <v>551</v>
      </c>
      <c r="D243" s="33" t="e">
        <f t="shared" si="3"/>
        <v>#N/A</v>
      </c>
      <c r="E243" s="11"/>
      <c r="F243" s="148"/>
      <c r="G243" s="12"/>
      <c r="H243" s="12"/>
      <c r="I243" s="12"/>
      <c r="J243" s="10"/>
      <c r="K243" s="9"/>
      <c r="L243" s="9"/>
      <c r="M243" s="10"/>
    </row>
    <row r="244" spans="1:13" s="4" customFormat="1" ht="30" customHeight="1" x14ac:dyDescent="0.25">
      <c r="A244" s="9"/>
      <c r="B244" s="13" t="e">
        <f>VLOOKUP(Table24[[#This Row],[Location 
(drop-down)]],'List source'!D$2:E$59,2,FALSE)</f>
        <v>#N/A</v>
      </c>
      <c r="C244" s="25" t="s">
        <v>552</v>
      </c>
      <c r="D244" s="33" t="e">
        <f t="shared" si="3"/>
        <v>#N/A</v>
      </c>
      <c r="E244" s="11"/>
      <c r="F244" s="148"/>
      <c r="G244" s="12"/>
      <c r="H244" s="12"/>
      <c r="I244" s="12"/>
      <c r="J244" s="10"/>
      <c r="K244" s="9"/>
      <c r="L244" s="9"/>
      <c r="M244" s="10"/>
    </row>
    <row r="245" spans="1:13" s="4" customFormat="1" ht="30" customHeight="1" x14ac:dyDescent="0.25">
      <c r="A245" s="9"/>
      <c r="B245" s="13" t="e">
        <f>VLOOKUP(Table24[[#This Row],[Location 
(drop-down)]],'List source'!D$2:E$59,2,FALSE)</f>
        <v>#N/A</v>
      </c>
      <c r="C245" s="25" t="s">
        <v>553</v>
      </c>
      <c r="D245" s="33" t="e">
        <f t="shared" si="3"/>
        <v>#N/A</v>
      </c>
      <c r="E245" s="11"/>
      <c r="F245" s="148"/>
      <c r="G245" s="12"/>
      <c r="H245" s="12"/>
      <c r="I245" s="12"/>
      <c r="J245" s="10"/>
      <c r="K245" s="9"/>
      <c r="L245" s="9"/>
      <c r="M245" s="10"/>
    </row>
    <row r="246" spans="1:13" s="4" customFormat="1" ht="30" customHeight="1" x14ac:dyDescent="0.25">
      <c r="A246" s="9"/>
      <c r="B246" s="13" t="e">
        <f>VLOOKUP(Table24[[#This Row],[Location 
(drop-down)]],'List source'!D$2:E$59,2,FALSE)</f>
        <v>#N/A</v>
      </c>
      <c r="C246" s="25" t="s">
        <v>554</v>
      </c>
      <c r="D246" s="33" t="e">
        <f t="shared" si="3"/>
        <v>#N/A</v>
      </c>
      <c r="E246" s="11"/>
      <c r="F246" s="148"/>
      <c r="G246" s="12"/>
      <c r="H246" s="12"/>
      <c r="I246" s="12"/>
      <c r="J246" s="10"/>
      <c r="K246" s="9"/>
      <c r="L246" s="9"/>
      <c r="M246" s="10"/>
    </row>
    <row r="247" spans="1:13" s="4" customFormat="1" ht="30" customHeight="1" x14ac:dyDescent="0.25">
      <c r="A247" s="9"/>
      <c r="B247" s="13" t="e">
        <f>VLOOKUP(Table24[[#This Row],[Location 
(drop-down)]],'List source'!D$2:E$59,2,FALSE)</f>
        <v>#N/A</v>
      </c>
      <c r="C247" s="25" t="s">
        <v>555</v>
      </c>
      <c r="D247" s="33" t="e">
        <f t="shared" si="3"/>
        <v>#N/A</v>
      </c>
      <c r="E247" s="11"/>
      <c r="F247" s="148"/>
      <c r="G247" s="12"/>
      <c r="H247" s="12"/>
      <c r="I247" s="12"/>
      <c r="J247" s="10"/>
      <c r="K247" s="9"/>
      <c r="L247" s="9"/>
      <c r="M247" s="10"/>
    </row>
    <row r="248" spans="1:13" s="4" customFormat="1" ht="30" customHeight="1" x14ac:dyDescent="0.25">
      <c r="A248" s="9"/>
      <c r="B248" s="13" t="e">
        <f>VLOOKUP(Table24[[#This Row],[Location 
(drop-down)]],'List source'!D$2:E$59,2,FALSE)</f>
        <v>#N/A</v>
      </c>
      <c r="C248" s="25" t="s">
        <v>556</v>
      </c>
      <c r="D248" s="33" t="e">
        <f t="shared" si="3"/>
        <v>#N/A</v>
      </c>
      <c r="E248" s="11"/>
      <c r="F248" s="148"/>
      <c r="G248" s="12"/>
      <c r="H248" s="12"/>
      <c r="I248" s="12"/>
      <c r="J248" s="10"/>
      <c r="K248" s="9"/>
      <c r="L248" s="9"/>
      <c r="M248" s="10"/>
    </row>
    <row r="249" spans="1:13" s="4" customFormat="1" ht="30" customHeight="1" x14ac:dyDescent="0.25">
      <c r="A249" s="9"/>
      <c r="B249" s="13" t="e">
        <f>VLOOKUP(Table24[[#This Row],[Location 
(drop-down)]],'List source'!D$2:E$59,2,FALSE)</f>
        <v>#N/A</v>
      </c>
      <c r="C249" s="25" t="s">
        <v>557</v>
      </c>
      <c r="D249" s="33" t="e">
        <f t="shared" si="3"/>
        <v>#N/A</v>
      </c>
      <c r="E249" s="11"/>
      <c r="F249" s="148"/>
      <c r="G249" s="12"/>
      <c r="H249" s="12"/>
      <c r="I249" s="12"/>
      <c r="J249" s="10"/>
      <c r="K249" s="9"/>
      <c r="L249" s="9"/>
      <c r="M249" s="10"/>
    </row>
    <row r="250" spans="1:13" s="4" customFormat="1" ht="30" customHeight="1" x14ac:dyDescent="0.25">
      <c r="A250" s="9"/>
      <c r="B250" s="13" t="e">
        <f>VLOOKUP(Table24[[#This Row],[Location 
(drop-down)]],'List source'!D$2:E$59,2,FALSE)</f>
        <v>#N/A</v>
      </c>
      <c r="C250" s="25" t="s">
        <v>558</v>
      </c>
      <c r="D250" s="33" t="e">
        <f t="shared" si="3"/>
        <v>#N/A</v>
      </c>
      <c r="E250" s="11"/>
      <c r="F250" s="148"/>
      <c r="G250" s="12"/>
      <c r="H250" s="12"/>
      <c r="I250" s="12"/>
      <c r="J250" s="10"/>
      <c r="K250" s="9"/>
      <c r="L250" s="9"/>
      <c r="M250" s="10"/>
    </row>
    <row r="251" spans="1:13" s="4" customFormat="1" ht="30" customHeight="1" x14ac:dyDescent="0.25">
      <c r="A251" s="9"/>
      <c r="B251" s="13" t="e">
        <f>VLOOKUP(Table24[[#This Row],[Location 
(drop-down)]],'List source'!D$2:E$59,2,FALSE)</f>
        <v>#N/A</v>
      </c>
      <c r="C251" s="25" t="s">
        <v>559</v>
      </c>
      <c r="D251" s="33" t="e">
        <f t="shared" si="3"/>
        <v>#N/A</v>
      </c>
      <c r="E251" s="11"/>
      <c r="F251" s="148"/>
      <c r="G251" s="12"/>
      <c r="H251" s="12"/>
      <c r="I251" s="12"/>
      <c r="J251" s="10"/>
      <c r="K251" s="9"/>
      <c r="L251" s="9"/>
      <c r="M251" s="10"/>
    </row>
    <row r="252" spans="1:13" s="4" customFormat="1" ht="30" customHeight="1" x14ac:dyDescent="0.25">
      <c r="A252" s="9"/>
      <c r="B252" s="13" t="e">
        <f>VLOOKUP(Table24[[#This Row],[Location 
(drop-down)]],'List source'!D$2:E$59,2,FALSE)</f>
        <v>#N/A</v>
      </c>
      <c r="C252" s="25" t="s">
        <v>560</v>
      </c>
      <c r="D252" s="33" t="e">
        <f t="shared" si="3"/>
        <v>#N/A</v>
      </c>
      <c r="E252" s="11"/>
      <c r="F252" s="148"/>
      <c r="G252" s="12"/>
      <c r="H252" s="12"/>
      <c r="I252" s="12"/>
      <c r="J252" s="10"/>
      <c r="K252" s="9"/>
      <c r="L252" s="9"/>
      <c r="M252" s="10"/>
    </row>
    <row r="253" spans="1:13" s="4" customFormat="1" ht="30" customHeight="1" x14ac:dyDescent="0.25">
      <c r="A253" s="9"/>
      <c r="B253" s="13" t="e">
        <f>VLOOKUP(Table24[[#This Row],[Location 
(drop-down)]],'List source'!D$2:E$59,2,FALSE)</f>
        <v>#N/A</v>
      </c>
      <c r="C253" s="25" t="s">
        <v>561</v>
      </c>
      <c r="D253" s="33" t="e">
        <f t="shared" si="3"/>
        <v>#N/A</v>
      </c>
      <c r="E253" s="11"/>
      <c r="F253" s="148"/>
      <c r="G253" s="12"/>
      <c r="H253" s="12"/>
      <c r="I253" s="12"/>
      <c r="J253" s="10"/>
      <c r="K253" s="9"/>
      <c r="L253" s="9"/>
      <c r="M253" s="10"/>
    </row>
    <row r="254" spans="1:13" s="4" customFormat="1" ht="30" customHeight="1" x14ac:dyDescent="0.25">
      <c r="A254" s="9"/>
      <c r="B254" s="13" t="e">
        <f>VLOOKUP(Table24[[#This Row],[Location 
(drop-down)]],'List source'!D$2:E$59,2,FALSE)</f>
        <v>#N/A</v>
      </c>
      <c r="C254" s="25" t="s">
        <v>562</v>
      </c>
      <c r="D254" s="33" t="e">
        <f t="shared" si="3"/>
        <v>#N/A</v>
      </c>
      <c r="E254" s="11"/>
      <c r="F254" s="148"/>
      <c r="G254" s="12"/>
      <c r="H254" s="12"/>
      <c r="I254" s="12"/>
      <c r="J254" s="10"/>
      <c r="K254" s="9"/>
      <c r="L254" s="9"/>
      <c r="M254" s="10"/>
    </row>
    <row r="255" spans="1:13" s="4" customFormat="1" ht="30" customHeight="1" x14ac:dyDescent="0.25">
      <c r="A255" s="9"/>
      <c r="B255" s="13" t="e">
        <f>VLOOKUP(Table24[[#This Row],[Location 
(drop-down)]],'List source'!D$2:E$59,2,FALSE)</f>
        <v>#N/A</v>
      </c>
      <c r="C255" s="25" t="s">
        <v>563</v>
      </c>
      <c r="D255" s="33" t="e">
        <f t="shared" si="3"/>
        <v>#N/A</v>
      </c>
      <c r="E255" s="11"/>
      <c r="F255" s="148"/>
      <c r="G255" s="12"/>
      <c r="H255" s="12"/>
      <c r="I255" s="12"/>
      <c r="J255" s="10"/>
      <c r="K255" s="9"/>
      <c r="L255" s="9"/>
      <c r="M255" s="10"/>
    </row>
    <row r="256" spans="1:13" s="4" customFormat="1" ht="30" customHeight="1" x14ac:dyDescent="0.25">
      <c r="A256" s="9"/>
      <c r="B256" s="13" t="e">
        <f>VLOOKUP(Table24[[#This Row],[Location 
(drop-down)]],'List source'!D$2:E$59,2,FALSE)</f>
        <v>#N/A</v>
      </c>
      <c r="C256" s="25" t="s">
        <v>564</v>
      </c>
      <c r="D256" s="33" t="e">
        <f t="shared" si="3"/>
        <v>#N/A</v>
      </c>
      <c r="E256" s="11"/>
      <c r="F256" s="148"/>
      <c r="G256" s="12"/>
      <c r="H256" s="12"/>
      <c r="I256" s="12"/>
      <c r="J256" s="10"/>
      <c r="K256" s="9"/>
      <c r="L256" s="9"/>
      <c r="M256" s="10"/>
    </row>
    <row r="257" spans="1:13" s="4" customFormat="1" ht="30" customHeight="1" x14ac:dyDescent="0.25">
      <c r="A257" s="9"/>
      <c r="B257" s="13" t="e">
        <f>VLOOKUP(Table24[[#This Row],[Location 
(drop-down)]],'List source'!D$2:E$59,2,FALSE)</f>
        <v>#N/A</v>
      </c>
      <c r="C257" s="25" t="s">
        <v>565</v>
      </c>
      <c r="D257" s="33" t="e">
        <f t="shared" si="3"/>
        <v>#N/A</v>
      </c>
      <c r="E257" s="11"/>
      <c r="F257" s="148"/>
      <c r="G257" s="12"/>
      <c r="H257" s="12"/>
      <c r="I257" s="12"/>
      <c r="J257" s="10"/>
      <c r="K257" s="9"/>
      <c r="L257" s="9"/>
      <c r="M257" s="10"/>
    </row>
    <row r="258" spans="1:13" s="4" customFormat="1" ht="30" customHeight="1" x14ac:dyDescent="0.25">
      <c r="A258" s="9"/>
      <c r="B258" s="13" t="e">
        <f>VLOOKUP(Table24[[#This Row],[Location 
(drop-down)]],'List source'!D$2:E$59,2,FALSE)</f>
        <v>#N/A</v>
      </c>
      <c r="C258" s="25" t="s">
        <v>566</v>
      </c>
      <c r="D258" s="33" t="e">
        <f t="shared" ref="D258:D321" si="4">"P" &amp; C258 &amp; "-" &amp; B258 &amp; "-" &amp; "23"</f>
        <v>#N/A</v>
      </c>
      <c r="E258" s="11"/>
      <c r="F258" s="148"/>
      <c r="G258" s="12"/>
      <c r="H258" s="12"/>
      <c r="I258" s="12"/>
      <c r="J258" s="10"/>
      <c r="K258" s="9"/>
      <c r="L258" s="9"/>
      <c r="M258" s="10"/>
    </row>
    <row r="259" spans="1:13" s="4" customFormat="1" ht="30" customHeight="1" x14ac:dyDescent="0.25">
      <c r="A259" s="9"/>
      <c r="B259" s="13" t="e">
        <f>VLOOKUP(Table24[[#This Row],[Location 
(drop-down)]],'List source'!D$2:E$59,2,FALSE)</f>
        <v>#N/A</v>
      </c>
      <c r="C259" s="25" t="s">
        <v>567</v>
      </c>
      <c r="D259" s="33" t="e">
        <f t="shared" si="4"/>
        <v>#N/A</v>
      </c>
      <c r="E259" s="11"/>
      <c r="F259" s="148"/>
      <c r="G259" s="12"/>
      <c r="H259" s="12"/>
      <c r="I259" s="12"/>
      <c r="J259" s="10"/>
      <c r="K259" s="9"/>
      <c r="L259" s="9"/>
      <c r="M259" s="10"/>
    </row>
    <row r="260" spans="1:13" s="4" customFormat="1" ht="30" customHeight="1" x14ac:dyDescent="0.25">
      <c r="A260" s="9"/>
      <c r="B260" s="13" t="e">
        <f>VLOOKUP(Table24[[#This Row],[Location 
(drop-down)]],'List source'!D$2:E$59,2,FALSE)</f>
        <v>#N/A</v>
      </c>
      <c r="C260" s="25" t="s">
        <v>568</v>
      </c>
      <c r="D260" s="33" t="e">
        <f t="shared" si="4"/>
        <v>#N/A</v>
      </c>
      <c r="E260" s="11"/>
      <c r="F260" s="148"/>
      <c r="G260" s="12"/>
      <c r="H260" s="12"/>
      <c r="I260" s="12"/>
      <c r="J260" s="10"/>
      <c r="K260" s="9"/>
      <c r="L260" s="9"/>
      <c r="M260" s="10"/>
    </row>
    <row r="261" spans="1:13" s="4" customFormat="1" ht="30" customHeight="1" x14ac:dyDescent="0.25">
      <c r="A261" s="9"/>
      <c r="B261" s="13" t="e">
        <f>VLOOKUP(Table24[[#This Row],[Location 
(drop-down)]],'List source'!D$2:E$59,2,FALSE)</f>
        <v>#N/A</v>
      </c>
      <c r="C261" s="25" t="s">
        <v>569</v>
      </c>
      <c r="D261" s="33" t="e">
        <f t="shared" si="4"/>
        <v>#N/A</v>
      </c>
      <c r="E261" s="11"/>
      <c r="F261" s="148"/>
      <c r="G261" s="12"/>
      <c r="H261" s="12"/>
      <c r="I261" s="12"/>
      <c r="J261" s="10"/>
      <c r="K261" s="9"/>
      <c r="L261" s="9"/>
      <c r="M261" s="10"/>
    </row>
    <row r="262" spans="1:13" s="4" customFormat="1" ht="30" customHeight="1" x14ac:dyDescent="0.25">
      <c r="A262" s="9"/>
      <c r="B262" s="13" t="e">
        <f>VLOOKUP(Table24[[#This Row],[Location 
(drop-down)]],'List source'!D$2:E$59,2,FALSE)</f>
        <v>#N/A</v>
      </c>
      <c r="C262" s="25" t="s">
        <v>570</v>
      </c>
      <c r="D262" s="33" t="e">
        <f t="shared" si="4"/>
        <v>#N/A</v>
      </c>
      <c r="E262" s="11"/>
      <c r="F262" s="148"/>
      <c r="G262" s="12"/>
      <c r="H262" s="12"/>
      <c r="I262" s="12"/>
      <c r="J262" s="10"/>
      <c r="K262" s="9"/>
      <c r="L262" s="9"/>
      <c r="M262" s="10"/>
    </row>
    <row r="263" spans="1:13" s="4" customFormat="1" ht="30" customHeight="1" x14ac:dyDescent="0.25">
      <c r="A263" s="9"/>
      <c r="B263" s="13" t="e">
        <f>VLOOKUP(Table24[[#This Row],[Location 
(drop-down)]],'List source'!D$2:E$59,2,FALSE)</f>
        <v>#N/A</v>
      </c>
      <c r="C263" s="25" t="s">
        <v>571</v>
      </c>
      <c r="D263" s="33" t="e">
        <f t="shared" si="4"/>
        <v>#N/A</v>
      </c>
      <c r="E263" s="11"/>
      <c r="F263" s="148"/>
      <c r="G263" s="12"/>
      <c r="H263" s="12"/>
      <c r="I263" s="12"/>
      <c r="J263" s="10"/>
      <c r="K263" s="9"/>
      <c r="L263" s="9"/>
      <c r="M263" s="10"/>
    </row>
    <row r="264" spans="1:13" s="4" customFormat="1" ht="30" customHeight="1" x14ac:dyDescent="0.25">
      <c r="A264" s="9"/>
      <c r="B264" s="13" t="e">
        <f>VLOOKUP(Table24[[#This Row],[Location 
(drop-down)]],'List source'!D$2:E$59,2,FALSE)</f>
        <v>#N/A</v>
      </c>
      <c r="C264" s="25" t="s">
        <v>572</v>
      </c>
      <c r="D264" s="33" t="e">
        <f t="shared" si="4"/>
        <v>#N/A</v>
      </c>
      <c r="E264" s="11"/>
      <c r="F264" s="148"/>
      <c r="G264" s="12"/>
      <c r="H264" s="12"/>
      <c r="I264" s="12"/>
      <c r="J264" s="10"/>
      <c r="K264" s="9"/>
      <c r="L264" s="9"/>
      <c r="M264" s="10"/>
    </row>
    <row r="265" spans="1:13" s="4" customFormat="1" ht="30" customHeight="1" x14ac:dyDescent="0.25">
      <c r="A265" s="9"/>
      <c r="B265" s="13" t="e">
        <f>VLOOKUP(Table24[[#This Row],[Location 
(drop-down)]],'List source'!D$2:E$59,2,FALSE)</f>
        <v>#N/A</v>
      </c>
      <c r="C265" s="25" t="s">
        <v>573</v>
      </c>
      <c r="D265" s="33" t="e">
        <f t="shared" si="4"/>
        <v>#N/A</v>
      </c>
      <c r="E265" s="11"/>
      <c r="F265" s="148"/>
      <c r="G265" s="12"/>
      <c r="H265" s="12"/>
      <c r="I265" s="12"/>
      <c r="J265" s="10"/>
      <c r="K265" s="9"/>
      <c r="L265" s="9"/>
      <c r="M265" s="10"/>
    </row>
    <row r="266" spans="1:13" s="4" customFormat="1" ht="30" customHeight="1" x14ac:dyDescent="0.25">
      <c r="A266" s="9"/>
      <c r="B266" s="13" t="e">
        <f>VLOOKUP(Table24[[#This Row],[Location 
(drop-down)]],'List source'!D$2:E$59,2,FALSE)</f>
        <v>#N/A</v>
      </c>
      <c r="C266" s="25" t="s">
        <v>574</v>
      </c>
      <c r="D266" s="33" t="e">
        <f t="shared" si="4"/>
        <v>#N/A</v>
      </c>
      <c r="E266" s="11"/>
      <c r="F266" s="148"/>
      <c r="G266" s="12"/>
      <c r="H266" s="12"/>
      <c r="I266" s="12"/>
      <c r="J266" s="10"/>
      <c r="K266" s="9"/>
      <c r="L266" s="9"/>
      <c r="M266" s="10"/>
    </row>
    <row r="267" spans="1:13" s="4" customFormat="1" ht="30" customHeight="1" x14ac:dyDescent="0.25">
      <c r="A267" s="9"/>
      <c r="B267" s="13" t="e">
        <f>VLOOKUP(Table24[[#This Row],[Location 
(drop-down)]],'List source'!D$2:E$59,2,FALSE)</f>
        <v>#N/A</v>
      </c>
      <c r="C267" s="25" t="s">
        <v>575</v>
      </c>
      <c r="D267" s="33" t="e">
        <f t="shared" si="4"/>
        <v>#N/A</v>
      </c>
      <c r="E267" s="11"/>
      <c r="F267" s="148"/>
      <c r="G267" s="12"/>
      <c r="H267" s="12"/>
      <c r="I267" s="12"/>
      <c r="J267" s="10"/>
      <c r="K267" s="9"/>
      <c r="L267" s="9"/>
      <c r="M267" s="10"/>
    </row>
    <row r="268" spans="1:13" s="4" customFormat="1" ht="30" customHeight="1" x14ac:dyDescent="0.25">
      <c r="A268" s="9"/>
      <c r="B268" s="13" t="e">
        <f>VLOOKUP(Table24[[#This Row],[Location 
(drop-down)]],'List source'!D$2:E$59,2,FALSE)</f>
        <v>#N/A</v>
      </c>
      <c r="C268" s="25" t="s">
        <v>576</v>
      </c>
      <c r="D268" s="33" t="e">
        <f t="shared" si="4"/>
        <v>#N/A</v>
      </c>
      <c r="E268" s="11"/>
      <c r="F268" s="148"/>
      <c r="G268" s="12"/>
      <c r="H268" s="12"/>
      <c r="I268" s="12"/>
      <c r="J268" s="10"/>
      <c r="K268" s="9"/>
      <c r="L268" s="9"/>
      <c r="M268" s="10"/>
    </row>
    <row r="269" spans="1:13" s="4" customFormat="1" ht="30" customHeight="1" x14ac:dyDescent="0.25">
      <c r="A269" s="9"/>
      <c r="B269" s="13" t="e">
        <f>VLOOKUP(Table24[[#This Row],[Location 
(drop-down)]],'List source'!D$2:E$59,2,FALSE)</f>
        <v>#N/A</v>
      </c>
      <c r="C269" s="25" t="s">
        <v>577</v>
      </c>
      <c r="D269" s="33" t="e">
        <f t="shared" si="4"/>
        <v>#N/A</v>
      </c>
      <c r="E269" s="11"/>
      <c r="F269" s="148"/>
      <c r="G269" s="12"/>
      <c r="H269" s="12"/>
      <c r="I269" s="12"/>
      <c r="J269" s="10"/>
      <c r="K269" s="9"/>
      <c r="L269" s="9"/>
      <c r="M269" s="10"/>
    </row>
    <row r="270" spans="1:13" s="4" customFormat="1" ht="30" customHeight="1" x14ac:dyDescent="0.25">
      <c r="A270" s="9"/>
      <c r="B270" s="13" t="e">
        <f>VLOOKUP(Table24[[#This Row],[Location 
(drop-down)]],'List source'!D$2:E$59,2,FALSE)</f>
        <v>#N/A</v>
      </c>
      <c r="C270" s="25" t="s">
        <v>578</v>
      </c>
      <c r="D270" s="33" t="e">
        <f t="shared" si="4"/>
        <v>#N/A</v>
      </c>
      <c r="E270" s="11"/>
      <c r="F270" s="148"/>
      <c r="G270" s="12"/>
      <c r="H270" s="12"/>
      <c r="I270" s="12"/>
      <c r="J270" s="10"/>
      <c r="K270" s="9"/>
      <c r="L270" s="9"/>
      <c r="M270" s="10"/>
    </row>
    <row r="271" spans="1:13" s="4" customFormat="1" ht="30" customHeight="1" x14ac:dyDescent="0.25">
      <c r="A271" s="9"/>
      <c r="B271" s="13" t="e">
        <f>VLOOKUP(Table24[[#This Row],[Location 
(drop-down)]],'List source'!D$2:E$59,2,FALSE)</f>
        <v>#N/A</v>
      </c>
      <c r="C271" s="25" t="s">
        <v>579</v>
      </c>
      <c r="D271" s="33" t="e">
        <f t="shared" si="4"/>
        <v>#N/A</v>
      </c>
      <c r="E271" s="11"/>
      <c r="F271" s="148"/>
      <c r="G271" s="12"/>
      <c r="H271" s="12"/>
      <c r="I271" s="12"/>
      <c r="J271" s="10"/>
      <c r="K271" s="9"/>
      <c r="L271" s="9"/>
      <c r="M271" s="10"/>
    </row>
    <row r="272" spans="1:13" s="4" customFormat="1" ht="30" customHeight="1" x14ac:dyDescent="0.25">
      <c r="A272" s="9"/>
      <c r="B272" s="13" t="e">
        <f>VLOOKUP(Table24[[#This Row],[Location 
(drop-down)]],'List source'!D$2:E$59,2,FALSE)</f>
        <v>#N/A</v>
      </c>
      <c r="C272" s="25" t="s">
        <v>580</v>
      </c>
      <c r="D272" s="33" t="e">
        <f t="shared" si="4"/>
        <v>#N/A</v>
      </c>
      <c r="E272" s="11"/>
      <c r="F272" s="148"/>
      <c r="G272" s="12"/>
      <c r="H272" s="12"/>
      <c r="I272" s="12"/>
      <c r="J272" s="10"/>
      <c r="K272" s="9"/>
      <c r="L272" s="9"/>
      <c r="M272" s="10"/>
    </row>
    <row r="273" spans="1:13" s="4" customFormat="1" ht="30" customHeight="1" x14ac:dyDescent="0.25">
      <c r="A273" s="9"/>
      <c r="B273" s="13" t="e">
        <f>VLOOKUP(Table24[[#This Row],[Location 
(drop-down)]],'List source'!D$2:E$59,2,FALSE)</f>
        <v>#N/A</v>
      </c>
      <c r="C273" s="25" t="s">
        <v>581</v>
      </c>
      <c r="D273" s="33" t="e">
        <f t="shared" si="4"/>
        <v>#N/A</v>
      </c>
      <c r="E273" s="11"/>
      <c r="F273" s="148"/>
      <c r="G273" s="12"/>
      <c r="H273" s="12"/>
      <c r="I273" s="12"/>
      <c r="J273" s="10"/>
      <c r="K273" s="9"/>
      <c r="L273" s="9"/>
      <c r="M273" s="10"/>
    </row>
    <row r="274" spans="1:13" s="4" customFormat="1" ht="30" customHeight="1" x14ac:dyDescent="0.25">
      <c r="A274" s="9"/>
      <c r="B274" s="13" t="e">
        <f>VLOOKUP(Table24[[#This Row],[Location 
(drop-down)]],'List source'!D$2:E$59,2,FALSE)</f>
        <v>#N/A</v>
      </c>
      <c r="C274" s="25" t="s">
        <v>582</v>
      </c>
      <c r="D274" s="33" t="e">
        <f t="shared" si="4"/>
        <v>#N/A</v>
      </c>
      <c r="E274" s="11"/>
      <c r="F274" s="148"/>
      <c r="G274" s="12"/>
      <c r="H274" s="12"/>
      <c r="I274" s="12"/>
      <c r="J274" s="10"/>
      <c r="K274" s="9"/>
      <c r="L274" s="9"/>
      <c r="M274" s="10"/>
    </row>
    <row r="275" spans="1:13" s="4" customFormat="1" ht="30" customHeight="1" x14ac:dyDescent="0.25">
      <c r="A275" s="9"/>
      <c r="B275" s="13" t="e">
        <f>VLOOKUP(Table24[[#This Row],[Location 
(drop-down)]],'List source'!D$2:E$59,2,FALSE)</f>
        <v>#N/A</v>
      </c>
      <c r="C275" s="25" t="s">
        <v>583</v>
      </c>
      <c r="D275" s="33" t="e">
        <f t="shared" si="4"/>
        <v>#N/A</v>
      </c>
      <c r="E275" s="11"/>
      <c r="F275" s="148"/>
      <c r="G275" s="12"/>
      <c r="H275" s="12"/>
      <c r="I275" s="12"/>
      <c r="J275" s="10"/>
      <c r="K275" s="9"/>
      <c r="L275" s="9"/>
      <c r="M275" s="10"/>
    </row>
    <row r="276" spans="1:13" s="4" customFormat="1" ht="30" customHeight="1" x14ac:dyDescent="0.25">
      <c r="A276" s="9"/>
      <c r="B276" s="13" t="e">
        <f>VLOOKUP(Table24[[#This Row],[Location 
(drop-down)]],'List source'!D$2:E$59,2,FALSE)</f>
        <v>#N/A</v>
      </c>
      <c r="C276" s="25" t="s">
        <v>584</v>
      </c>
      <c r="D276" s="33" t="e">
        <f t="shared" si="4"/>
        <v>#N/A</v>
      </c>
      <c r="E276" s="11"/>
      <c r="F276" s="148"/>
      <c r="G276" s="12"/>
      <c r="H276" s="12"/>
      <c r="I276" s="12"/>
      <c r="J276" s="10"/>
      <c r="K276" s="9"/>
      <c r="L276" s="9"/>
      <c r="M276" s="10"/>
    </row>
    <row r="277" spans="1:13" s="4" customFormat="1" ht="30" customHeight="1" x14ac:dyDescent="0.25">
      <c r="A277" s="9"/>
      <c r="B277" s="13" t="e">
        <f>VLOOKUP(Table24[[#This Row],[Location 
(drop-down)]],'List source'!D$2:E$59,2,FALSE)</f>
        <v>#N/A</v>
      </c>
      <c r="C277" s="25" t="s">
        <v>585</v>
      </c>
      <c r="D277" s="33" t="e">
        <f t="shared" si="4"/>
        <v>#N/A</v>
      </c>
      <c r="E277" s="11"/>
      <c r="F277" s="148"/>
      <c r="G277" s="12"/>
      <c r="H277" s="12"/>
      <c r="I277" s="12"/>
      <c r="J277" s="10"/>
      <c r="K277" s="9"/>
      <c r="L277" s="9"/>
      <c r="M277" s="10"/>
    </row>
    <row r="278" spans="1:13" s="4" customFormat="1" ht="30" customHeight="1" x14ac:dyDescent="0.25">
      <c r="A278" s="9"/>
      <c r="B278" s="13" t="e">
        <f>VLOOKUP(Table24[[#This Row],[Location 
(drop-down)]],'List source'!D$2:E$59,2,FALSE)</f>
        <v>#N/A</v>
      </c>
      <c r="C278" s="25" t="s">
        <v>586</v>
      </c>
      <c r="D278" s="33" t="e">
        <f t="shared" si="4"/>
        <v>#N/A</v>
      </c>
      <c r="E278" s="11"/>
      <c r="F278" s="148"/>
      <c r="G278" s="12"/>
      <c r="H278" s="12"/>
      <c r="I278" s="12"/>
      <c r="J278" s="10"/>
      <c r="K278" s="9"/>
      <c r="L278" s="9"/>
      <c r="M278" s="10"/>
    </row>
    <row r="279" spans="1:13" s="4" customFormat="1" ht="30" customHeight="1" x14ac:dyDescent="0.25">
      <c r="A279" s="9"/>
      <c r="B279" s="13" t="e">
        <f>VLOOKUP(Table24[[#This Row],[Location 
(drop-down)]],'List source'!D$2:E$59,2,FALSE)</f>
        <v>#N/A</v>
      </c>
      <c r="C279" s="25" t="s">
        <v>587</v>
      </c>
      <c r="D279" s="33" t="e">
        <f t="shared" si="4"/>
        <v>#N/A</v>
      </c>
      <c r="E279" s="11"/>
      <c r="F279" s="148"/>
      <c r="G279" s="12"/>
      <c r="H279" s="12"/>
      <c r="I279" s="12"/>
      <c r="J279" s="10"/>
      <c r="K279" s="9"/>
      <c r="L279" s="9"/>
      <c r="M279" s="10"/>
    </row>
    <row r="280" spans="1:13" s="4" customFormat="1" ht="30" customHeight="1" x14ac:dyDescent="0.25">
      <c r="A280" s="9"/>
      <c r="B280" s="13" t="e">
        <f>VLOOKUP(Table24[[#This Row],[Location 
(drop-down)]],'List source'!D$2:E$59,2,FALSE)</f>
        <v>#N/A</v>
      </c>
      <c r="C280" s="25" t="s">
        <v>588</v>
      </c>
      <c r="D280" s="33" t="e">
        <f t="shared" si="4"/>
        <v>#N/A</v>
      </c>
      <c r="E280" s="11"/>
      <c r="F280" s="148"/>
      <c r="G280" s="12"/>
      <c r="H280" s="12"/>
      <c r="I280" s="12"/>
      <c r="J280" s="10"/>
      <c r="K280" s="9"/>
      <c r="L280" s="9"/>
      <c r="M280" s="10"/>
    </row>
    <row r="281" spans="1:13" s="4" customFormat="1" ht="30" customHeight="1" x14ac:dyDescent="0.25">
      <c r="A281" s="9"/>
      <c r="B281" s="13" t="e">
        <f>VLOOKUP(Table24[[#This Row],[Location 
(drop-down)]],'List source'!D$2:E$59,2,FALSE)</f>
        <v>#N/A</v>
      </c>
      <c r="C281" s="25" t="s">
        <v>589</v>
      </c>
      <c r="D281" s="33" t="e">
        <f t="shared" si="4"/>
        <v>#N/A</v>
      </c>
      <c r="E281" s="11"/>
      <c r="F281" s="148"/>
      <c r="G281" s="12"/>
      <c r="H281" s="12"/>
      <c r="I281" s="12"/>
      <c r="J281" s="10"/>
      <c r="K281" s="9"/>
      <c r="L281" s="9"/>
      <c r="M281" s="10"/>
    </row>
    <row r="282" spans="1:13" s="4" customFormat="1" ht="30" customHeight="1" x14ac:dyDescent="0.25">
      <c r="A282" s="9"/>
      <c r="B282" s="13" t="e">
        <f>VLOOKUP(Table24[[#This Row],[Location 
(drop-down)]],'List source'!D$2:E$59,2,FALSE)</f>
        <v>#N/A</v>
      </c>
      <c r="C282" s="25" t="s">
        <v>590</v>
      </c>
      <c r="D282" s="33" t="e">
        <f t="shared" si="4"/>
        <v>#N/A</v>
      </c>
      <c r="E282" s="11"/>
      <c r="F282" s="148"/>
      <c r="G282" s="12"/>
      <c r="H282" s="12"/>
      <c r="I282" s="12"/>
      <c r="J282" s="10"/>
      <c r="K282" s="9"/>
      <c r="L282" s="9"/>
      <c r="M282" s="10"/>
    </row>
    <row r="283" spans="1:13" s="4" customFormat="1" ht="30" customHeight="1" x14ac:dyDescent="0.25">
      <c r="A283" s="9"/>
      <c r="B283" s="13" t="e">
        <f>VLOOKUP(Table24[[#This Row],[Location 
(drop-down)]],'List source'!D$2:E$59,2,FALSE)</f>
        <v>#N/A</v>
      </c>
      <c r="C283" s="25" t="s">
        <v>591</v>
      </c>
      <c r="D283" s="33" t="e">
        <f t="shared" si="4"/>
        <v>#N/A</v>
      </c>
      <c r="E283" s="11"/>
      <c r="F283" s="148"/>
      <c r="G283" s="12"/>
      <c r="H283" s="12"/>
      <c r="I283" s="12"/>
      <c r="J283" s="10"/>
      <c r="K283" s="9"/>
      <c r="L283" s="9"/>
      <c r="M283" s="10"/>
    </row>
    <row r="284" spans="1:13" s="4" customFormat="1" ht="30" customHeight="1" x14ac:dyDescent="0.25">
      <c r="A284" s="9"/>
      <c r="B284" s="13" t="e">
        <f>VLOOKUP(Table24[[#This Row],[Location 
(drop-down)]],'List source'!D$2:E$59,2,FALSE)</f>
        <v>#N/A</v>
      </c>
      <c r="C284" s="25" t="s">
        <v>592</v>
      </c>
      <c r="D284" s="33" t="e">
        <f t="shared" si="4"/>
        <v>#N/A</v>
      </c>
      <c r="E284" s="11"/>
      <c r="F284" s="148"/>
      <c r="G284" s="12"/>
      <c r="H284" s="12"/>
      <c r="I284" s="12"/>
      <c r="J284" s="10"/>
      <c r="K284" s="9"/>
      <c r="L284" s="9"/>
      <c r="M284" s="10"/>
    </row>
    <row r="285" spans="1:13" s="4" customFormat="1" ht="30" customHeight="1" x14ac:dyDescent="0.25">
      <c r="A285" s="9"/>
      <c r="B285" s="13" t="e">
        <f>VLOOKUP(Table24[[#This Row],[Location 
(drop-down)]],'List source'!D$2:E$59,2,FALSE)</f>
        <v>#N/A</v>
      </c>
      <c r="C285" s="25" t="s">
        <v>593</v>
      </c>
      <c r="D285" s="33" t="e">
        <f t="shared" si="4"/>
        <v>#N/A</v>
      </c>
      <c r="E285" s="11"/>
      <c r="F285" s="148"/>
      <c r="G285" s="12"/>
      <c r="H285" s="12"/>
      <c r="I285" s="12"/>
      <c r="J285" s="10"/>
      <c r="K285" s="9"/>
      <c r="L285" s="9"/>
      <c r="M285" s="10"/>
    </row>
    <row r="286" spans="1:13" s="4" customFormat="1" ht="30" customHeight="1" x14ac:dyDescent="0.25">
      <c r="A286" s="9"/>
      <c r="B286" s="13" t="e">
        <f>VLOOKUP(Table24[[#This Row],[Location 
(drop-down)]],'List source'!D$2:E$59,2,FALSE)</f>
        <v>#N/A</v>
      </c>
      <c r="C286" s="25" t="s">
        <v>594</v>
      </c>
      <c r="D286" s="33" t="e">
        <f t="shared" si="4"/>
        <v>#N/A</v>
      </c>
      <c r="E286" s="11"/>
      <c r="F286" s="148"/>
      <c r="G286" s="12"/>
      <c r="H286" s="12"/>
      <c r="I286" s="12"/>
      <c r="J286" s="10"/>
      <c r="K286" s="9"/>
      <c r="L286" s="9"/>
      <c r="M286" s="10"/>
    </row>
    <row r="287" spans="1:13" s="4" customFormat="1" ht="30" customHeight="1" x14ac:dyDescent="0.25">
      <c r="A287" s="9"/>
      <c r="B287" s="13" t="e">
        <f>VLOOKUP(Table24[[#This Row],[Location 
(drop-down)]],'List source'!D$2:E$59,2,FALSE)</f>
        <v>#N/A</v>
      </c>
      <c r="C287" s="25" t="s">
        <v>595</v>
      </c>
      <c r="D287" s="33" t="e">
        <f t="shared" si="4"/>
        <v>#N/A</v>
      </c>
      <c r="E287" s="11"/>
      <c r="F287" s="148"/>
      <c r="G287" s="12"/>
      <c r="H287" s="12"/>
      <c r="I287" s="12"/>
      <c r="J287" s="10"/>
      <c r="K287" s="9"/>
      <c r="L287" s="9"/>
      <c r="M287" s="10"/>
    </row>
    <row r="288" spans="1:13" s="4" customFormat="1" ht="30" customHeight="1" x14ac:dyDescent="0.25">
      <c r="A288" s="9"/>
      <c r="B288" s="13" t="e">
        <f>VLOOKUP(Table24[[#This Row],[Location 
(drop-down)]],'List source'!D$2:E$59,2,FALSE)</f>
        <v>#N/A</v>
      </c>
      <c r="C288" s="25" t="s">
        <v>596</v>
      </c>
      <c r="D288" s="33" t="e">
        <f t="shared" si="4"/>
        <v>#N/A</v>
      </c>
      <c r="E288" s="11"/>
      <c r="F288" s="148"/>
      <c r="G288" s="12"/>
      <c r="H288" s="12"/>
      <c r="I288" s="12"/>
      <c r="J288" s="10"/>
      <c r="K288" s="9"/>
      <c r="L288" s="9"/>
      <c r="M288" s="10"/>
    </row>
    <row r="289" spans="1:13" s="4" customFormat="1" ht="30" customHeight="1" x14ac:dyDescent="0.25">
      <c r="A289" s="9"/>
      <c r="B289" s="13" t="e">
        <f>VLOOKUP(Table24[[#This Row],[Location 
(drop-down)]],'List source'!D$2:E$59,2,FALSE)</f>
        <v>#N/A</v>
      </c>
      <c r="C289" s="25" t="s">
        <v>597</v>
      </c>
      <c r="D289" s="33" t="e">
        <f t="shared" si="4"/>
        <v>#N/A</v>
      </c>
      <c r="E289" s="11"/>
      <c r="F289" s="148"/>
      <c r="G289" s="12"/>
      <c r="H289" s="12"/>
      <c r="I289" s="12"/>
      <c r="J289" s="10"/>
      <c r="K289" s="9"/>
      <c r="L289" s="9"/>
      <c r="M289" s="10"/>
    </row>
    <row r="290" spans="1:13" s="4" customFormat="1" ht="30" customHeight="1" x14ac:dyDescent="0.25">
      <c r="A290" s="9"/>
      <c r="B290" s="13" t="e">
        <f>VLOOKUP(Table24[[#This Row],[Location 
(drop-down)]],'List source'!D$2:E$59,2,FALSE)</f>
        <v>#N/A</v>
      </c>
      <c r="C290" s="25" t="s">
        <v>598</v>
      </c>
      <c r="D290" s="33" t="e">
        <f t="shared" si="4"/>
        <v>#N/A</v>
      </c>
      <c r="E290" s="11"/>
      <c r="F290" s="148"/>
      <c r="G290" s="12"/>
      <c r="H290" s="12"/>
      <c r="I290" s="12"/>
      <c r="J290" s="10"/>
      <c r="K290" s="9"/>
      <c r="L290" s="9"/>
      <c r="M290" s="10"/>
    </row>
    <row r="291" spans="1:13" s="4" customFormat="1" ht="30" customHeight="1" x14ac:dyDescent="0.25">
      <c r="A291" s="9"/>
      <c r="B291" s="13" t="e">
        <f>VLOOKUP(Table24[[#This Row],[Location 
(drop-down)]],'List source'!D$2:E$59,2,FALSE)</f>
        <v>#N/A</v>
      </c>
      <c r="C291" s="25" t="s">
        <v>599</v>
      </c>
      <c r="D291" s="33" t="e">
        <f t="shared" si="4"/>
        <v>#N/A</v>
      </c>
      <c r="E291" s="11"/>
      <c r="F291" s="148"/>
      <c r="G291" s="12"/>
      <c r="H291" s="12"/>
      <c r="I291" s="12"/>
      <c r="J291" s="10"/>
      <c r="K291" s="9"/>
      <c r="L291" s="9"/>
      <c r="M291" s="10"/>
    </row>
    <row r="292" spans="1:13" s="4" customFormat="1" ht="30" customHeight="1" x14ac:dyDescent="0.25">
      <c r="A292" s="9"/>
      <c r="B292" s="13" t="e">
        <f>VLOOKUP(Table24[[#This Row],[Location 
(drop-down)]],'List source'!D$2:E$59,2,FALSE)</f>
        <v>#N/A</v>
      </c>
      <c r="C292" s="25" t="s">
        <v>600</v>
      </c>
      <c r="D292" s="33" t="e">
        <f t="shared" si="4"/>
        <v>#N/A</v>
      </c>
      <c r="E292" s="11"/>
      <c r="F292" s="148"/>
      <c r="G292" s="12"/>
      <c r="H292" s="12"/>
      <c r="I292" s="12"/>
      <c r="J292" s="10"/>
      <c r="K292" s="9"/>
      <c r="L292" s="9"/>
      <c r="M292" s="10"/>
    </row>
    <row r="293" spans="1:13" s="4" customFormat="1" ht="30" customHeight="1" x14ac:dyDescent="0.25">
      <c r="A293" s="9"/>
      <c r="B293" s="13" t="e">
        <f>VLOOKUP(Table24[[#This Row],[Location 
(drop-down)]],'List source'!D$2:E$59,2,FALSE)</f>
        <v>#N/A</v>
      </c>
      <c r="C293" s="25" t="s">
        <v>601</v>
      </c>
      <c r="D293" s="33" t="e">
        <f t="shared" si="4"/>
        <v>#N/A</v>
      </c>
      <c r="E293" s="11"/>
      <c r="F293" s="148"/>
      <c r="G293" s="12"/>
      <c r="H293" s="12"/>
      <c r="I293" s="12"/>
      <c r="J293" s="10"/>
      <c r="K293" s="9"/>
      <c r="L293" s="9"/>
      <c r="M293" s="10"/>
    </row>
    <row r="294" spans="1:13" s="4" customFormat="1" ht="30" customHeight="1" x14ac:dyDescent="0.25">
      <c r="A294" s="9"/>
      <c r="B294" s="13" t="e">
        <f>VLOOKUP(Table24[[#This Row],[Location 
(drop-down)]],'List source'!D$2:E$59,2,FALSE)</f>
        <v>#N/A</v>
      </c>
      <c r="C294" s="25" t="s">
        <v>602</v>
      </c>
      <c r="D294" s="33" t="e">
        <f t="shared" si="4"/>
        <v>#N/A</v>
      </c>
      <c r="E294" s="11"/>
      <c r="F294" s="148"/>
      <c r="G294" s="12"/>
      <c r="H294" s="12"/>
      <c r="I294" s="12"/>
      <c r="J294" s="10"/>
      <c r="K294" s="9"/>
      <c r="L294" s="9"/>
      <c r="M294" s="10"/>
    </row>
    <row r="295" spans="1:13" s="4" customFormat="1" ht="30" customHeight="1" x14ac:dyDescent="0.25">
      <c r="A295" s="9"/>
      <c r="B295" s="13" t="e">
        <f>VLOOKUP(Table24[[#This Row],[Location 
(drop-down)]],'List source'!D$2:E$59,2,FALSE)</f>
        <v>#N/A</v>
      </c>
      <c r="C295" s="25" t="s">
        <v>603</v>
      </c>
      <c r="D295" s="33" t="e">
        <f t="shared" si="4"/>
        <v>#N/A</v>
      </c>
      <c r="E295" s="11"/>
      <c r="F295" s="148"/>
      <c r="G295" s="12"/>
      <c r="H295" s="12"/>
      <c r="I295" s="12"/>
      <c r="J295" s="10"/>
      <c r="K295" s="9"/>
      <c r="L295" s="9"/>
      <c r="M295" s="10"/>
    </row>
    <row r="296" spans="1:13" s="4" customFormat="1" ht="30" customHeight="1" x14ac:dyDescent="0.25">
      <c r="A296" s="9"/>
      <c r="B296" s="13" t="e">
        <f>VLOOKUP(Table24[[#This Row],[Location 
(drop-down)]],'List source'!D$2:E$59,2,FALSE)</f>
        <v>#N/A</v>
      </c>
      <c r="C296" s="25" t="s">
        <v>604</v>
      </c>
      <c r="D296" s="33" t="e">
        <f t="shared" si="4"/>
        <v>#N/A</v>
      </c>
      <c r="E296" s="11"/>
      <c r="F296" s="148"/>
      <c r="G296" s="12"/>
      <c r="H296" s="12"/>
      <c r="I296" s="12"/>
      <c r="J296" s="10"/>
      <c r="K296" s="9"/>
      <c r="L296" s="9"/>
      <c r="M296" s="10"/>
    </row>
    <row r="297" spans="1:13" s="4" customFormat="1" ht="30" customHeight="1" x14ac:dyDescent="0.25">
      <c r="A297" s="9"/>
      <c r="B297" s="13" t="e">
        <f>VLOOKUP(Table24[[#This Row],[Location 
(drop-down)]],'List source'!D$2:E$59,2,FALSE)</f>
        <v>#N/A</v>
      </c>
      <c r="C297" s="25" t="s">
        <v>605</v>
      </c>
      <c r="D297" s="33" t="e">
        <f t="shared" si="4"/>
        <v>#N/A</v>
      </c>
      <c r="E297" s="11"/>
      <c r="F297" s="148"/>
      <c r="G297" s="12"/>
      <c r="H297" s="12"/>
      <c r="I297" s="12"/>
      <c r="J297" s="10"/>
      <c r="K297" s="9"/>
      <c r="L297" s="9"/>
      <c r="M297" s="10"/>
    </row>
    <row r="298" spans="1:13" s="4" customFormat="1" ht="30" customHeight="1" x14ac:dyDescent="0.25">
      <c r="A298" s="9"/>
      <c r="B298" s="13" t="e">
        <f>VLOOKUP(Table24[[#This Row],[Location 
(drop-down)]],'List source'!D$2:E$59,2,FALSE)</f>
        <v>#N/A</v>
      </c>
      <c r="C298" s="25" t="s">
        <v>606</v>
      </c>
      <c r="D298" s="33" t="e">
        <f t="shared" si="4"/>
        <v>#N/A</v>
      </c>
      <c r="E298" s="11"/>
      <c r="F298" s="148"/>
      <c r="G298" s="12"/>
      <c r="H298" s="12"/>
      <c r="I298" s="12"/>
      <c r="J298" s="10"/>
      <c r="K298" s="9"/>
      <c r="L298" s="9"/>
      <c r="M298" s="10"/>
    </row>
    <row r="299" spans="1:13" s="4" customFormat="1" ht="30" customHeight="1" x14ac:dyDescent="0.25">
      <c r="A299" s="9"/>
      <c r="B299" s="13" t="e">
        <f>VLOOKUP(Table24[[#This Row],[Location 
(drop-down)]],'List source'!D$2:E$59,2,FALSE)</f>
        <v>#N/A</v>
      </c>
      <c r="C299" s="25" t="s">
        <v>607</v>
      </c>
      <c r="D299" s="33" t="e">
        <f t="shared" si="4"/>
        <v>#N/A</v>
      </c>
      <c r="E299" s="11"/>
      <c r="F299" s="148"/>
      <c r="G299" s="12"/>
      <c r="H299" s="12"/>
      <c r="I299" s="12"/>
      <c r="J299" s="10"/>
      <c r="K299" s="9"/>
      <c r="L299" s="9"/>
      <c r="M299" s="10"/>
    </row>
    <row r="300" spans="1:13" s="4" customFormat="1" ht="30" customHeight="1" x14ac:dyDescent="0.25">
      <c r="A300" s="9"/>
      <c r="B300" s="13" t="e">
        <f>VLOOKUP(Table24[[#This Row],[Location 
(drop-down)]],'List source'!D$2:E$59,2,FALSE)</f>
        <v>#N/A</v>
      </c>
      <c r="C300" s="25" t="s">
        <v>608</v>
      </c>
      <c r="D300" s="33" t="e">
        <f t="shared" si="4"/>
        <v>#N/A</v>
      </c>
      <c r="E300" s="11"/>
      <c r="F300" s="148"/>
      <c r="G300" s="12"/>
      <c r="H300" s="12"/>
      <c r="I300" s="12"/>
      <c r="J300" s="10"/>
      <c r="K300" s="9"/>
      <c r="L300" s="9"/>
      <c r="M300" s="10"/>
    </row>
    <row r="301" spans="1:13" s="4" customFormat="1" ht="30" customHeight="1" x14ac:dyDescent="0.25">
      <c r="A301" s="9"/>
      <c r="B301" s="13" t="e">
        <f>VLOOKUP(Table24[[#This Row],[Location 
(drop-down)]],'List source'!D$2:E$59,2,FALSE)</f>
        <v>#N/A</v>
      </c>
      <c r="C301" s="25" t="s">
        <v>609</v>
      </c>
      <c r="D301" s="33" t="e">
        <f t="shared" si="4"/>
        <v>#N/A</v>
      </c>
      <c r="E301" s="11"/>
      <c r="F301" s="148"/>
      <c r="G301" s="12"/>
      <c r="H301" s="12"/>
      <c r="I301" s="12"/>
      <c r="J301" s="10"/>
      <c r="K301" s="9"/>
      <c r="L301" s="9"/>
      <c r="M301" s="10"/>
    </row>
    <row r="302" spans="1:13" s="4" customFormat="1" ht="30" customHeight="1" x14ac:dyDescent="0.25">
      <c r="A302" s="9"/>
      <c r="B302" s="13" t="e">
        <f>VLOOKUP(Table24[[#This Row],[Location 
(drop-down)]],'List source'!D$2:E$59,2,FALSE)</f>
        <v>#N/A</v>
      </c>
      <c r="C302" s="25" t="s">
        <v>610</v>
      </c>
      <c r="D302" s="33" t="e">
        <f t="shared" si="4"/>
        <v>#N/A</v>
      </c>
      <c r="E302" s="11"/>
      <c r="F302" s="148"/>
      <c r="G302" s="12"/>
      <c r="H302" s="12"/>
      <c r="I302" s="12"/>
      <c r="J302" s="10"/>
      <c r="K302" s="9"/>
      <c r="L302" s="9"/>
      <c r="M302" s="10"/>
    </row>
    <row r="303" spans="1:13" s="4" customFormat="1" ht="30" customHeight="1" x14ac:dyDescent="0.25">
      <c r="A303" s="9"/>
      <c r="B303" s="13" t="e">
        <f>VLOOKUP(Table24[[#This Row],[Location 
(drop-down)]],'List source'!D$2:E$59,2,FALSE)</f>
        <v>#N/A</v>
      </c>
      <c r="C303" s="25" t="s">
        <v>611</v>
      </c>
      <c r="D303" s="33" t="e">
        <f t="shared" si="4"/>
        <v>#N/A</v>
      </c>
      <c r="E303" s="11"/>
      <c r="F303" s="148"/>
      <c r="G303" s="12"/>
      <c r="H303" s="12"/>
      <c r="I303" s="12"/>
      <c r="J303" s="10"/>
      <c r="K303" s="9"/>
      <c r="L303" s="9"/>
      <c r="M303" s="10"/>
    </row>
    <row r="304" spans="1:13" s="4" customFormat="1" ht="30" customHeight="1" x14ac:dyDescent="0.25">
      <c r="A304" s="9"/>
      <c r="B304" s="13" t="e">
        <f>VLOOKUP(Table24[[#This Row],[Location 
(drop-down)]],'List source'!D$2:E$59,2,FALSE)</f>
        <v>#N/A</v>
      </c>
      <c r="C304" s="25" t="s">
        <v>612</v>
      </c>
      <c r="D304" s="33" t="e">
        <f t="shared" si="4"/>
        <v>#N/A</v>
      </c>
      <c r="E304" s="11"/>
      <c r="F304" s="148"/>
      <c r="G304" s="12"/>
      <c r="H304" s="12"/>
      <c r="I304" s="12"/>
      <c r="J304" s="10"/>
      <c r="K304" s="9"/>
      <c r="L304" s="9"/>
      <c r="M304" s="10"/>
    </row>
    <row r="305" spans="1:13" s="4" customFormat="1" ht="30" customHeight="1" x14ac:dyDescent="0.25">
      <c r="A305" s="9"/>
      <c r="B305" s="13" t="e">
        <f>VLOOKUP(Table24[[#This Row],[Location 
(drop-down)]],'List source'!D$2:E$59,2,FALSE)</f>
        <v>#N/A</v>
      </c>
      <c r="C305" s="25" t="s">
        <v>613</v>
      </c>
      <c r="D305" s="33" t="e">
        <f t="shared" si="4"/>
        <v>#N/A</v>
      </c>
      <c r="E305" s="11"/>
      <c r="F305" s="148"/>
      <c r="G305" s="12"/>
      <c r="H305" s="12"/>
      <c r="I305" s="12"/>
      <c r="J305" s="10"/>
      <c r="K305" s="9"/>
      <c r="L305" s="9"/>
      <c r="M305" s="10"/>
    </row>
    <row r="306" spans="1:13" s="4" customFormat="1" ht="30" customHeight="1" x14ac:dyDescent="0.25">
      <c r="A306" s="9"/>
      <c r="B306" s="13" t="e">
        <f>VLOOKUP(Table24[[#This Row],[Location 
(drop-down)]],'List source'!D$2:E$59,2,FALSE)</f>
        <v>#N/A</v>
      </c>
      <c r="C306" s="25" t="s">
        <v>614</v>
      </c>
      <c r="D306" s="33" t="e">
        <f t="shared" si="4"/>
        <v>#N/A</v>
      </c>
      <c r="E306" s="11"/>
      <c r="F306" s="148"/>
      <c r="G306" s="12"/>
      <c r="H306" s="12"/>
      <c r="I306" s="12"/>
      <c r="J306" s="10"/>
      <c r="K306" s="9"/>
      <c r="L306" s="9"/>
      <c r="M306" s="10"/>
    </row>
    <row r="307" spans="1:13" s="4" customFormat="1" ht="30" customHeight="1" x14ac:dyDescent="0.25">
      <c r="A307" s="9"/>
      <c r="B307" s="13" t="e">
        <f>VLOOKUP(Table24[[#This Row],[Location 
(drop-down)]],'List source'!D$2:E$59,2,FALSE)</f>
        <v>#N/A</v>
      </c>
      <c r="C307" s="25" t="s">
        <v>615</v>
      </c>
      <c r="D307" s="33" t="e">
        <f t="shared" si="4"/>
        <v>#N/A</v>
      </c>
      <c r="E307" s="11"/>
      <c r="F307" s="148"/>
      <c r="G307" s="12"/>
      <c r="H307" s="12"/>
      <c r="I307" s="12"/>
      <c r="J307" s="10"/>
      <c r="K307" s="9"/>
      <c r="L307" s="9"/>
      <c r="M307" s="10"/>
    </row>
    <row r="308" spans="1:13" s="4" customFormat="1" ht="30" customHeight="1" x14ac:dyDescent="0.25">
      <c r="A308" s="9"/>
      <c r="B308" s="13" t="e">
        <f>VLOOKUP(Table24[[#This Row],[Location 
(drop-down)]],'List source'!D$2:E$59,2,FALSE)</f>
        <v>#N/A</v>
      </c>
      <c r="C308" s="25" t="s">
        <v>616</v>
      </c>
      <c r="D308" s="33" t="e">
        <f t="shared" si="4"/>
        <v>#N/A</v>
      </c>
      <c r="E308" s="11"/>
      <c r="F308" s="148"/>
      <c r="G308" s="12"/>
      <c r="H308" s="12"/>
      <c r="I308" s="12"/>
      <c r="J308" s="10"/>
      <c r="K308" s="9"/>
      <c r="L308" s="9"/>
      <c r="M308" s="10"/>
    </row>
    <row r="309" spans="1:13" s="4" customFormat="1" ht="30" customHeight="1" x14ac:dyDescent="0.25">
      <c r="A309" s="9"/>
      <c r="B309" s="13" t="e">
        <f>VLOOKUP(Table24[[#This Row],[Location 
(drop-down)]],'List source'!D$2:E$59,2,FALSE)</f>
        <v>#N/A</v>
      </c>
      <c r="C309" s="25" t="s">
        <v>617</v>
      </c>
      <c r="D309" s="33" t="e">
        <f t="shared" si="4"/>
        <v>#N/A</v>
      </c>
      <c r="E309" s="11"/>
      <c r="F309" s="148"/>
      <c r="G309" s="12"/>
      <c r="H309" s="12"/>
      <c r="I309" s="12"/>
      <c r="J309" s="10"/>
      <c r="K309" s="9"/>
      <c r="L309" s="9"/>
      <c r="M309" s="10"/>
    </row>
    <row r="310" spans="1:13" s="4" customFormat="1" ht="30" customHeight="1" x14ac:dyDescent="0.25">
      <c r="A310" s="9"/>
      <c r="B310" s="13" t="e">
        <f>VLOOKUP(Table24[[#This Row],[Location 
(drop-down)]],'List source'!D$2:E$59,2,FALSE)</f>
        <v>#N/A</v>
      </c>
      <c r="C310" s="25" t="s">
        <v>618</v>
      </c>
      <c r="D310" s="33" t="e">
        <f t="shared" si="4"/>
        <v>#N/A</v>
      </c>
      <c r="E310" s="11"/>
      <c r="F310" s="148"/>
      <c r="G310" s="12"/>
      <c r="H310" s="12"/>
      <c r="I310" s="12"/>
      <c r="J310" s="10"/>
      <c r="K310" s="9"/>
      <c r="L310" s="9"/>
      <c r="M310" s="10"/>
    </row>
    <row r="311" spans="1:13" s="4" customFormat="1" ht="30" customHeight="1" x14ac:dyDescent="0.25">
      <c r="A311" s="9"/>
      <c r="B311" s="13" t="e">
        <f>VLOOKUP(Table24[[#This Row],[Location 
(drop-down)]],'List source'!D$2:E$59,2,FALSE)</f>
        <v>#N/A</v>
      </c>
      <c r="C311" s="25" t="s">
        <v>619</v>
      </c>
      <c r="D311" s="33" t="e">
        <f t="shared" si="4"/>
        <v>#N/A</v>
      </c>
      <c r="E311" s="11"/>
      <c r="F311" s="148"/>
      <c r="G311" s="12"/>
      <c r="H311" s="12"/>
      <c r="I311" s="12"/>
      <c r="J311" s="10"/>
      <c r="K311" s="9"/>
      <c r="L311" s="9"/>
      <c r="M311" s="10"/>
    </row>
    <row r="312" spans="1:13" s="4" customFormat="1" ht="30" customHeight="1" x14ac:dyDescent="0.25">
      <c r="A312" s="9"/>
      <c r="B312" s="13" t="e">
        <f>VLOOKUP(Table24[[#This Row],[Location 
(drop-down)]],'List source'!D$2:E$59,2,FALSE)</f>
        <v>#N/A</v>
      </c>
      <c r="C312" s="25" t="s">
        <v>620</v>
      </c>
      <c r="D312" s="33" t="e">
        <f t="shared" si="4"/>
        <v>#N/A</v>
      </c>
      <c r="E312" s="11"/>
      <c r="F312" s="148"/>
      <c r="G312" s="12"/>
      <c r="H312" s="12"/>
      <c r="I312" s="12"/>
      <c r="J312" s="10"/>
      <c r="K312" s="9"/>
      <c r="L312" s="9"/>
      <c r="M312" s="10"/>
    </row>
    <row r="313" spans="1:13" s="4" customFormat="1" ht="30" customHeight="1" x14ac:dyDescent="0.25">
      <c r="A313" s="9"/>
      <c r="B313" s="13" t="e">
        <f>VLOOKUP(Table24[[#This Row],[Location 
(drop-down)]],'List source'!D$2:E$59,2,FALSE)</f>
        <v>#N/A</v>
      </c>
      <c r="C313" s="25" t="s">
        <v>621</v>
      </c>
      <c r="D313" s="33" t="e">
        <f t="shared" si="4"/>
        <v>#N/A</v>
      </c>
      <c r="E313" s="11"/>
      <c r="F313" s="148"/>
      <c r="G313" s="12"/>
      <c r="H313" s="12"/>
      <c r="I313" s="12"/>
      <c r="J313" s="10"/>
      <c r="K313" s="9"/>
      <c r="L313" s="9"/>
      <c r="M313" s="10"/>
    </row>
    <row r="314" spans="1:13" s="4" customFormat="1" ht="30" customHeight="1" x14ac:dyDescent="0.25">
      <c r="A314" s="9"/>
      <c r="B314" s="13" t="e">
        <f>VLOOKUP(Table24[[#This Row],[Location 
(drop-down)]],'List source'!D$2:E$59,2,FALSE)</f>
        <v>#N/A</v>
      </c>
      <c r="C314" s="25" t="s">
        <v>622</v>
      </c>
      <c r="D314" s="33" t="e">
        <f t="shared" si="4"/>
        <v>#N/A</v>
      </c>
      <c r="E314" s="11"/>
      <c r="F314" s="148"/>
      <c r="G314" s="12"/>
      <c r="H314" s="12"/>
      <c r="I314" s="12"/>
      <c r="J314" s="10"/>
      <c r="K314" s="9"/>
      <c r="L314" s="9"/>
      <c r="M314" s="10"/>
    </row>
    <row r="315" spans="1:13" s="4" customFormat="1" ht="30" customHeight="1" x14ac:dyDescent="0.25">
      <c r="A315" s="9"/>
      <c r="B315" s="13" t="e">
        <f>VLOOKUP(Table24[[#This Row],[Location 
(drop-down)]],'List source'!D$2:E$59,2,FALSE)</f>
        <v>#N/A</v>
      </c>
      <c r="C315" s="25" t="s">
        <v>623</v>
      </c>
      <c r="D315" s="33" t="e">
        <f t="shared" si="4"/>
        <v>#N/A</v>
      </c>
      <c r="E315" s="11"/>
      <c r="F315" s="148"/>
      <c r="G315" s="12"/>
      <c r="H315" s="12"/>
      <c r="I315" s="12"/>
      <c r="J315" s="10"/>
      <c r="K315" s="9"/>
      <c r="L315" s="9"/>
      <c r="M315" s="10"/>
    </row>
    <row r="316" spans="1:13" s="4" customFormat="1" ht="30" customHeight="1" x14ac:dyDescent="0.25">
      <c r="A316" s="9"/>
      <c r="B316" s="13" t="e">
        <f>VLOOKUP(Table24[[#This Row],[Location 
(drop-down)]],'List source'!D$2:E$59,2,FALSE)</f>
        <v>#N/A</v>
      </c>
      <c r="C316" s="25" t="s">
        <v>624</v>
      </c>
      <c r="D316" s="33" t="e">
        <f t="shared" si="4"/>
        <v>#N/A</v>
      </c>
      <c r="E316" s="11"/>
      <c r="F316" s="148"/>
      <c r="G316" s="12"/>
      <c r="H316" s="12"/>
      <c r="I316" s="12"/>
      <c r="J316" s="10"/>
      <c r="K316" s="9"/>
      <c r="L316" s="9"/>
      <c r="M316" s="10"/>
    </row>
    <row r="317" spans="1:13" s="4" customFormat="1" ht="30" customHeight="1" x14ac:dyDescent="0.25">
      <c r="A317" s="9"/>
      <c r="B317" s="13" t="e">
        <f>VLOOKUP(Table24[[#This Row],[Location 
(drop-down)]],'List source'!D$2:E$59,2,FALSE)</f>
        <v>#N/A</v>
      </c>
      <c r="C317" s="25" t="s">
        <v>625</v>
      </c>
      <c r="D317" s="33" t="e">
        <f t="shared" si="4"/>
        <v>#N/A</v>
      </c>
      <c r="E317" s="11"/>
      <c r="F317" s="148"/>
      <c r="G317" s="12"/>
      <c r="H317" s="12"/>
      <c r="I317" s="12"/>
      <c r="J317" s="10"/>
      <c r="K317" s="9"/>
      <c r="L317" s="9"/>
      <c r="M317" s="10"/>
    </row>
    <row r="318" spans="1:13" s="4" customFormat="1" ht="30" customHeight="1" x14ac:dyDescent="0.25">
      <c r="A318" s="9"/>
      <c r="B318" s="13" t="e">
        <f>VLOOKUP(Table24[[#This Row],[Location 
(drop-down)]],'List source'!D$2:E$59,2,FALSE)</f>
        <v>#N/A</v>
      </c>
      <c r="C318" s="25" t="s">
        <v>626</v>
      </c>
      <c r="D318" s="33" t="e">
        <f t="shared" si="4"/>
        <v>#N/A</v>
      </c>
      <c r="E318" s="11"/>
      <c r="F318" s="148"/>
      <c r="G318" s="12"/>
      <c r="H318" s="12"/>
      <c r="I318" s="12"/>
      <c r="J318" s="10"/>
      <c r="K318" s="9"/>
      <c r="L318" s="9"/>
      <c r="M318" s="10"/>
    </row>
    <row r="319" spans="1:13" s="4" customFormat="1" ht="30" customHeight="1" x14ac:dyDescent="0.25">
      <c r="A319" s="9"/>
      <c r="B319" s="13" t="e">
        <f>VLOOKUP(Table24[[#This Row],[Location 
(drop-down)]],'List source'!D$2:E$59,2,FALSE)</f>
        <v>#N/A</v>
      </c>
      <c r="C319" s="25" t="s">
        <v>627</v>
      </c>
      <c r="D319" s="33" t="e">
        <f t="shared" si="4"/>
        <v>#N/A</v>
      </c>
      <c r="E319" s="11"/>
      <c r="F319" s="148"/>
      <c r="G319" s="12"/>
      <c r="H319" s="12"/>
      <c r="I319" s="12"/>
      <c r="J319" s="10"/>
      <c r="K319" s="9"/>
      <c r="L319" s="9"/>
      <c r="M319" s="10"/>
    </row>
    <row r="320" spans="1:13" s="4" customFormat="1" ht="30" customHeight="1" x14ac:dyDescent="0.25">
      <c r="A320" s="9"/>
      <c r="B320" s="13" t="e">
        <f>VLOOKUP(Table24[[#This Row],[Location 
(drop-down)]],'List source'!D$2:E$59,2,FALSE)</f>
        <v>#N/A</v>
      </c>
      <c r="C320" s="25" t="s">
        <v>628</v>
      </c>
      <c r="D320" s="33" t="e">
        <f t="shared" si="4"/>
        <v>#N/A</v>
      </c>
      <c r="E320" s="11"/>
      <c r="F320" s="148"/>
      <c r="G320" s="12"/>
      <c r="H320" s="12"/>
      <c r="I320" s="12"/>
      <c r="J320" s="10"/>
      <c r="K320" s="9"/>
      <c r="L320" s="9"/>
      <c r="M320" s="10"/>
    </row>
    <row r="321" spans="1:13" s="4" customFormat="1" ht="30" customHeight="1" x14ac:dyDescent="0.25">
      <c r="A321" s="9"/>
      <c r="B321" s="13" t="e">
        <f>VLOOKUP(Table24[[#This Row],[Location 
(drop-down)]],'List source'!D$2:E$59,2,FALSE)</f>
        <v>#N/A</v>
      </c>
      <c r="C321" s="25" t="s">
        <v>629</v>
      </c>
      <c r="D321" s="33" t="e">
        <f t="shared" si="4"/>
        <v>#N/A</v>
      </c>
      <c r="E321" s="11"/>
      <c r="F321" s="148"/>
      <c r="G321" s="12"/>
      <c r="H321" s="12"/>
      <c r="I321" s="12"/>
      <c r="J321" s="10"/>
      <c r="K321" s="9"/>
      <c r="L321" s="9"/>
      <c r="M321" s="10"/>
    </row>
    <row r="322" spans="1:13" s="4" customFormat="1" ht="30" customHeight="1" x14ac:dyDescent="0.25">
      <c r="A322" s="9"/>
      <c r="B322" s="13" t="e">
        <f>VLOOKUP(Table24[[#This Row],[Location 
(drop-down)]],'List source'!D$2:E$59,2,FALSE)</f>
        <v>#N/A</v>
      </c>
      <c r="C322" s="25" t="s">
        <v>630</v>
      </c>
      <c r="D322" s="33" t="e">
        <f t="shared" ref="D322:D385" si="5">"P" &amp; C322 &amp; "-" &amp; B322 &amp; "-" &amp; "23"</f>
        <v>#N/A</v>
      </c>
      <c r="E322" s="11"/>
      <c r="F322" s="148"/>
      <c r="G322" s="12"/>
      <c r="H322" s="12"/>
      <c r="I322" s="12"/>
      <c r="J322" s="10"/>
      <c r="K322" s="9"/>
      <c r="L322" s="9"/>
      <c r="M322" s="10"/>
    </row>
    <row r="323" spans="1:13" s="4" customFormat="1" ht="30" customHeight="1" x14ac:dyDescent="0.25">
      <c r="A323" s="9"/>
      <c r="B323" s="13" t="e">
        <f>VLOOKUP(Table24[[#This Row],[Location 
(drop-down)]],'List source'!D$2:E$59,2,FALSE)</f>
        <v>#N/A</v>
      </c>
      <c r="C323" s="25" t="s">
        <v>631</v>
      </c>
      <c r="D323" s="33" t="e">
        <f t="shared" si="5"/>
        <v>#N/A</v>
      </c>
      <c r="E323" s="11"/>
      <c r="F323" s="148"/>
      <c r="G323" s="12"/>
      <c r="H323" s="12"/>
      <c r="I323" s="12"/>
      <c r="J323" s="10"/>
      <c r="K323" s="9"/>
      <c r="L323" s="9"/>
      <c r="M323" s="10"/>
    </row>
    <row r="324" spans="1:13" s="4" customFormat="1" ht="30" customHeight="1" x14ac:dyDescent="0.25">
      <c r="A324" s="9"/>
      <c r="B324" s="13" t="e">
        <f>VLOOKUP(Table24[[#This Row],[Location 
(drop-down)]],'List source'!D$2:E$59,2,FALSE)</f>
        <v>#N/A</v>
      </c>
      <c r="C324" s="25" t="s">
        <v>632</v>
      </c>
      <c r="D324" s="33" t="e">
        <f t="shared" si="5"/>
        <v>#N/A</v>
      </c>
      <c r="E324" s="11"/>
      <c r="F324" s="148"/>
      <c r="G324" s="12"/>
      <c r="H324" s="12"/>
      <c r="I324" s="12"/>
      <c r="J324" s="10"/>
      <c r="K324" s="9"/>
      <c r="L324" s="9"/>
      <c r="M324" s="10"/>
    </row>
    <row r="325" spans="1:13" s="4" customFormat="1" ht="30" customHeight="1" x14ac:dyDescent="0.25">
      <c r="A325" s="9"/>
      <c r="B325" s="13" t="e">
        <f>VLOOKUP(Table24[[#This Row],[Location 
(drop-down)]],'List source'!D$2:E$59,2,FALSE)</f>
        <v>#N/A</v>
      </c>
      <c r="C325" s="25" t="s">
        <v>633</v>
      </c>
      <c r="D325" s="33" t="e">
        <f t="shared" si="5"/>
        <v>#N/A</v>
      </c>
      <c r="E325" s="11"/>
      <c r="F325" s="148"/>
      <c r="G325" s="12"/>
      <c r="H325" s="12"/>
      <c r="I325" s="12"/>
      <c r="J325" s="10"/>
      <c r="K325" s="9"/>
      <c r="L325" s="9"/>
      <c r="M325" s="10"/>
    </row>
    <row r="326" spans="1:13" s="4" customFormat="1" ht="30" customHeight="1" x14ac:dyDescent="0.25">
      <c r="A326" s="9"/>
      <c r="B326" s="13" t="e">
        <f>VLOOKUP(Table24[[#This Row],[Location 
(drop-down)]],'List source'!D$2:E$59,2,FALSE)</f>
        <v>#N/A</v>
      </c>
      <c r="C326" s="25" t="s">
        <v>634</v>
      </c>
      <c r="D326" s="33" t="e">
        <f t="shared" si="5"/>
        <v>#N/A</v>
      </c>
      <c r="E326" s="11"/>
      <c r="F326" s="148"/>
      <c r="G326" s="12"/>
      <c r="H326" s="12"/>
      <c r="I326" s="12"/>
      <c r="J326" s="10"/>
      <c r="K326" s="9"/>
      <c r="L326" s="9"/>
      <c r="M326" s="10"/>
    </row>
    <row r="327" spans="1:13" s="4" customFormat="1" ht="30" customHeight="1" x14ac:dyDescent="0.25">
      <c r="A327" s="9"/>
      <c r="B327" s="13" t="e">
        <f>VLOOKUP(Table24[[#This Row],[Location 
(drop-down)]],'List source'!D$2:E$59,2,FALSE)</f>
        <v>#N/A</v>
      </c>
      <c r="C327" s="25" t="s">
        <v>635</v>
      </c>
      <c r="D327" s="33" t="e">
        <f t="shared" si="5"/>
        <v>#N/A</v>
      </c>
      <c r="E327" s="11"/>
      <c r="F327" s="148"/>
      <c r="G327" s="12"/>
      <c r="H327" s="12"/>
      <c r="I327" s="12"/>
      <c r="J327" s="10"/>
      <c r="K327" s="9"/>
      <c r="L327" s="9"/>
      <c r="M327" s="10"/>
    </row>
    <row r="328" spans="1:13" s="4" customFormat="1" ht="30" customHeight="1" x14ac:dyDescent="0.25">
      <c r="A328" s="9"/>
      <c r="B328" s="13" t="e">
        <f>VLOOKUP(Table24[[#This Row],[Location 
(drop-down)]],'List source'!D$2:E$59,2,FALSE)</f>
        <v>#N/A</v>
      </c>
      <c r="C328" s="25" t="s">
        <v>636</v>
      </c>
      <c r="D328" s="33" t="e">
        <f t="shared" si="5"/>
        <v>#N/A</v>
      </c>
      <c r="E328" s="11"/>
      <c r="F328" s="148"/>
      <c r="G328" s="12"/>
      <c r="H328" s="12"/>
      <c r="I328" s="12"/>
      <c r="J328" s="10"/>
      <c r="K328" s="9"/>
      <c r="L328" s="9"/>
      <c r="M328" s="10"/>
    </row>
    <row r="329" spans="1:13" s="4" customFormat="1" ht="30" customHeight="1" x14ac:dyDescent="0.25">
      <c r="A329" s="9"/>
      <c r="B329" s="13" t="e">
        <f>VLOOKUP(Table24[[#This Row],[Location 
(drop-down)]],'List source'!D$2:E$59,2,FALSE)</f>
        <v>#N/A</v>
      </c>
      <c r="C329" s="25" t="s">
        <v>637</v>
      </c>
      <c r="D329" s="33" t="e">
        <f t="shared" si="5"/>
        <v>#N/A</v>
      </c>
      <c r="E329" s="11"/>
      <c r="F329" s="148"/>
      <c r="G329" s="12"/>
      <c r="H329" s="12"/>
      <c r="I329" s="12"/>
      <c r="J329" s="10"/>
      <c r="K329" s="9"/>
      <c r="L329" s="9"/>
      <c r="M329" s="10"/>
    </row>
    <row r="330" spans="1:13" s="4" customFormat="1" ht="30" customHeight="1" x14ac:dyDescent="0.25">
      <c r="A330" s="9"/>
      <c r="B330" s="13" t="e">
        <f>VLOOKUP(Table24[[#This Row],[Location 
(drop-down)]],'List source'!D$2:E$59,2,FALSE)</f>
        <v>#N/A</v>
      </c>
      <c r="C330" s="25" t="s">
        <v>638</v>
      </c>
      <c r="D330" s="33" t="e">
        <f t="shared" si="5"/>
        <v>#N/A</v>
      </c>
      <c r="E330" s="11"/>
      <c r="F330" s="148"/>
      <c r="G330" s="12"/>
      <c r="H330" s="12"/>
      <c r="I330" s="12"/>
      <c r="J330" s="10"/>
      <c r="K330" s="9"/>
      <c r="L330" s="9"/>
      <c r="M330" s="10"/>
    </row>
    <row r="331" spans="1:13" s="4" customFormat="1" ht="30" customHeight="1" x14ac:dyDescent="0.25">
      <c r="A331" s="9"/>
      <c r="B331" s="13" t="e">
        <f>VLOOKUP(Table24[[#This Row],[Location 
(drop-down)]],'List source'!D$2:E$59,2,FALSE)</f>
        <v>#N/A</v>
      </c>
      <c r="C331" s="25" t="s">
        <v>639</v>
      </c>
      <c r="D331" s="33" t="e">
        <f t="shared" si="5"/>
        <v>#N/A</v>
      </c>
      <c r="E331" s="11"/>
      <c r="F331" s="148"/>
      <c r="G331" s="12"/>
      <c r="H331" s="12"/>
      <c r="I331" s="12"/>
      <c r="J331" s="10"/>
      <c r="K331" s="9"/>
      <c r="L331" s="9"/>
      <c r="M331" s="10"/>
    </row>
    <row r="332" spans="1:13" s="4" customFormat="1" ht="30" customHeight="1" x14ac:dyDescent="0.25">
      <c r="A332" s="9"/>
      <c r="B332" s="13" t="e">
        <f>VLOOKUP(Table24[[#This Row],[Location 
(drop-down)]],'List source'!D$2:E$59,2,FALSE)</f>
        <v>#N/A</v>
      </c>
      <c r="C332" s="25" t="s">
        <v>640</v>
      </c>
      <c r="D332" s="33" t="e">
        <f t="shared" si="5"/>
        <v>#N/A</v>
      </c>
      <c r="E332" s="11"/>
      <c r="F332" s="148"/>
      <c r="G332" s="12"/>
      <c r="H332" s="12"/>
      <c r="I332" s="12"/>
      <c r="J332" s="10"/>
      <c r="K332" s="9"/>
      <c r="L332" s="9"/>
      <c r="M332" s="10"/>
    </row>
    <row r="333" spans="1:13" s="4" customFormat="1" ht="30" customHeight="1" x14ac:dyDescent="0.25">
      <c r="A333" s="9"/>
      <c r="B333" s="13" t="e">
        <f>VLOOKUP(Table24[[#This Row],[Location 
(drop-down)]],'List source'!D$2:E$59,2,FALSE)</f>
        <v>#N/A</v>
      </c>
      <c r="C333" s="25" t="s">
        <v>641</v>
      </c>
      <c r="D333" s="33" t="e">
        <f t="shared" si="5"/>
        <v>#N/A</v>
      </c>
      <c r="E333" s="11"/>
      <c r="F333" s="148"/>
      <c r="G333" s="12"/>
      <c r="H333" s="12"/>
      <c r="I333" s="12"/>
      <c r="J333" s="10"/>
      <c r="K333" s="9"/>
      <c r="L333" s="9"/>
      <c r="M333" s="10"/>
    </row>
    <row r="334" spans="1:13" s="4" customFormat="1" ht="30" customHeight="1" x14ac:dyDescent="0.25">
      <c r="A334" s="9"/>
      <c r="B334" s="13" t="e">
        <f>VLOOKUP(Table24[[#This Row],[Location 
(drop-down)]],'List source'!D$2:E$59,2,FALSE)</f>
        <v>#N/A</v>
      </c>
      <c r="C334" s="25" t="s">
        <v>642</v>
      </c>
      <c r="D334" s="33" t="e">
        <f t="shared" si="5"/>
        <v>#N/A</v>
      </c>
      <c r="E334" s="11"/>
      <c r="F334" s="148"/>
      <c r="G334" s="12"/>
      <c r="H334" s="12"/>
      <c r="I334" s="12"/>
      <c r="J334" s="10"/>
      <c r="K334" s="9"/>
      <c r="L334" s="9"/>
      <c r="M334" s="10"/>
    </row>
    <row r="335" spans="1:13" s="4" customFormat="1" ht="30" customHeight="1" x14ac:dyDescent="0.25">
      <c r="A335" s="9"/>
      <c r="B335" s="13" t="e">
        <f>VLOOKUP(Table24[[#This Row],[Location 
(drop-down)]],'List source'!D$2:E$59,2,FALSE)</f>
        <v>#N/A</v>
      </c>
      <c r="C335" s="25" t="s">
        <v>643</v>
      </c>
      <c r="D335" s="33" t="e">
        <f t="shared" si="5"/>
        <v>#N/A</v>
      </c>
      <c r="E335" s="11"/>
      <c r="F335" s="148"/>
      <c r="G335" s="12"/>
      <c r="H335" s="12"/>
      <c r="I335" s="12"/>
      <c r="J335" s="10"/>
      <c r="K335" s="9"/>
      <c r="L335" s="9"/>
      <c r="M335" s="10"/>
    </row>
    <row r="336" spans="1:13" s="4" customFormat="1" ht="30" customHeight="1" x14ac:dyDescent="0.25">
      <c r="A336" s="9"/>
      <c r="B336" s="13" t="e">
        <f>VLOOKUP(Table24[[#This Row],[Location 
(drop-down)]],'List source'!D$2:E$59,2,FALSE)</f>
        <v>#N/A</v>
      </c>
      <c r="C336" s="25" t="s">
        <v>644</v>
      </c>
      <c r="D336" s="33" t="e">
        <f t="shared" si="5"/>
        <v>#N/A</v>
      </c>
      <c r="E336" s="11"/>
      <c r="F336" s="148"/>
      <c r="G336" s="12"/>
      <c r="H336" s="12"/>
      <c r="I336" s="12"/>
      <c r="J336" s="10"/>
      <c r="K336" s="9"/>
      <c r="L336" s="9"/>
      <c r="M336" s="10"/>
    </row>
    <row r="337" spans="1:13" s="4" customFormat="1" ht="30" customHeight="1" x14ac:dyDescent="0.25">
      <c r="A337" s="9"/>
      <c r="B337" s="13" t="e">
        <f>VLOOKUP(Table24[[#This Row],[Location 
(drop-down)]],'List source'!D$2:E$59,2,FALSE)</f>
        <v>#N/A</v>
      </c>
      <c r="C337" s="25" t="s">
        <v>645</v>
      </c>
      <c r="D337" s="33" t="e">
        <f t="shared" si="5"/>
        <v>#N/A</v>
      </c>
      <c r="E337" s="11"/>
      <c r="F337" s="148"/>
      <c r="G337" s="12"/>
      <c r="H337" s="12"/>
      <c r="I337" s="12"/>
      <c r="J337" s="10"/>
      <c r="K337" s="9"/>
      <c r="L337" s="9"/>
      <c r="M337" s="10"/>
    </row>
    <row r="338" spans="1:13" s="4" customFormat="1" ht="30" customHeight="1" x14ac:dyDescent="0.25">
      <c r="A338" s="9"/>
      <c r="B338" s="13" t="e">
        <f>VLOOKUP(Table24[[#This Row],[Location 
(drop-down)]],'List source'!D$2:E$59,2,FALSE)</f>
        <v>#N/A</v>
      </c>
      <c r="C338" s="25" t="s">
        <v>646</v>
      </c>
      <c r="D338" s="33" t="e">
        <f t="shared" si="5"/>
        <v>#N/A</v>
      </c>
      <c r="E338" s="11"/>
      <c r="F338" s="148"/>
      <c r="G338" s="12"/>
      <c r="H338" s="12"/>
      <c r="I338" s="12"/>
      <c r="J338" s="10"/>
      <c r="K338" s="9"/>
      <c r="L338" s="9"/>
      <c r="M338" s="10"/>
    </row>
    <row r="339" spans="1:13" s="4" customFormat="1" ht="30" customHeight="1" x14ac:dyDescent="0.25">
      <c r="A339" s="9"/>
      <c r="B339" s="13" t="e">
        <f>VLOOKUP(Table24[[#This Row],[Location 
(drop-down)]],'List source'!D$2:E$59,2,FALSE)</f>
        <v>#N/A</v>
      </c>
      <c r="C339" s="25" t="s">
        <v>647</v>
      </c>
      <c r="D339" s="33" t="e">
        <f t="shared" si="5"/>
        <v>#N/A</v>
      </c>
      <c r="E339" s="11"/>
      <c r="F339" s="148"/>
      <c r="G339" s="12"/>
      <c r="H339" s="12"/>
      <c r="I339" s="12"/>
      <c r="J339" s="10"/>
      <c r="K339" s="9"/>
      <c r="L339" s="9"/>
      <c r="M339" s="10"/>
    </row>
    <row r="340" spans="1:13" s="4" customFormat="1" ht="30" customHeight="1" x14ac:dyDescent="0.25">
      <c r="A340" s="9"/>
      <c r="B340" s="13" t="e">
        <f>VLOOKUP(Table24[[#This Row],[Location 
(drop-down)]],'List source'!D$2:E$59,2,FALSE)</f>
        <v>#N/A</v>
      </c>
      <c r="C340" s="25" t="s">
        <v>648</v>
      </c>
      <c r="D340" s="33" t="e">
        <f t="shared" si="5"/>
        <v>#N/A</v>
      </c>
      <c r="E340" s="11"/>
      <c r="F340" s="148"/>
      <c r="G340" s="12"/>
      <c r="H340" s="12"/>
      <c r="I340" s="12"/>
      <c r="J340" s="10"/>
      <c r="K340" s="9"/>
      <c r="L340" s="9"/>
      <c r="M340" s="10"/>
    </row>
    <row r="341" spans="1:13" s="4" customFormat="1" ht="30" customHeight="1" x14ac:dyDescent="0.25">
      <c r="A341" s="9"/>
      <c r="B341" s="13" t="e">
        <f>VLOOKUP(Table24[[#This Row],[Location 
(drop-down)]],'List source'!D$2:E$59,2,FALSE)</f>
        <v>#N/A</v>
      </c>
      <c r="C341" s="25" t="s">
        <v>649</v>
      </c>
      <c r="D341" s="33" t="e">
        <f t="shared" si="5"/>
        <v>#N/A</v>
      </c>
      <c r="E341" s="11"/>
      <c r="F341" s="148"/>
      <c r="G341" s="12"/>
      <c r="H341" s="12"/>
      <c r="I341" s="12"/>
      <c r="J341" s="10"/>
      <c r="K341" s="9"/>
      <c r="L341" s="9"/>
      <c r="M341" s="10"/>
    </row>
    <row r="342" spans="1:13" s="4" customFormat="1" ht="30" customHeight="1" x14ac:dyDescent="0.25">
      <c r="A342" s="9"/>
      <c r="B342" s="13" t="e">
        <f>VLOOKUP(Table24[[#This Row],[Location 
(drop-down)]],'List source'!D$2:E$59,2,FALSE)</f>
        <v>#N/A</v>
      </c>
      <c r="C342" s="25" t="s">
        <v>650</v>
      </c>
      <c r="D342" s="33" t="e">
        <f t="shared" si="5"/>
        <v>#N/A</v>
      </c>
      <c r="E342" s="11"/>
      <c r="F342" s="148"/>
      <c r="G342" s="12"/>
      <c r="H342" s="12"/>
      <c r="I342" s="12"/>
      <c r="J342" s="10"/>
      <c r="K342" s="9"/>
      <c r="L342" s="9"/>
      <c r="M342" s="10"/>
    </row>
    <row r="343" spans="1:13" s="4" customFormat="1" ht="30" customHeight="1" x14ac:dyDescent="0.25">
      <c r="A343" s="9"/>
      <c r="B343" s="13" t="e">
        <f>VLOOKUP(Table24[[#This Row],[Location 
(drop-down)]],'List source'!D$2:E$59,2,FALSE)</f>
        <v>#N/A</v>
      </c>
      <c r="C343" s="25" t="s">
        <v>651</v>
      </c>
      <c r="D343" s="33" t="e">
        <f t="shared" si="5"/>
        <v>#N/A</v>
      </c>
      <c r="E343" s="11"/>
      <c r="F343" s="148"/>
      <c r="G343" s="12"/>
      <c r="H343" s="12"/>
      <c r="I343" s="12"/>
      <c r="J343" s="10"/>
      <c r="K343" s="9"/>
      <c r="L343" s="9"/>
      <c r="M343" s="10"/>
    </row>
    <row r="344" spans="1:13" s="4" customFormat="1" ht="30" customHeight="1" x14ac:dyDescent="0.25">
      <c r="A344" s="9"/>
      <c r="B344" s="13" t="e">
        <f>VLOOKUP(Table24[[#This Row],[Location 
(drop-down)]],'List source'!D$2:E$59,2,FALSE)</f>
        <v>#N/A</v>
      </c>
      <c r="C344" s="25" t="s">
        <v>652</v>
      </c>
      <c r="D344" s="33" t="e">
        <f t="shared" si="5"/>
        <v>#N/A</v>
      </c>
      <c r="E344" s="11"/>
      <c r="F344" s="148"/>
      <c r="G344" s="12"/>
      <c r="H344" s="12"/>
      <c r="I344" s="12"/>
      <c r="J344" s="10"/>
      <c r="K344" s="9"/>
      <c r="L344" s="9"/>
      <c r="M344" s="10"/>
    </row>
    <row r="345" spans="1:13" s="4" customFormat="1" ht="30" customHeight="1" x14ac:dyDescent="0.25">
      <c r="A345" s="9"/>
      <c r="B345" s="13" t="e">
        <f>VLOOKUP(Table24[[#This Row],[Location 
(drop-down)]],'List source'!D$2:E$59,2,FALSE)</f>
        <v>#N/A</v>
      </c>
      <c r="C345" s="25" t="s">
        <v>653</v>
      </c>
      <c r="D345" s="33" t="e">
        <f t="shared" si="5"/>
        <v>#N/A</v>
      </c>
      <c r="E345" s="11"/>
      <c r="F345" s="148"/>
      <c r="G345" s="12"/>
      <c r="H345" s="12"/>
      <c r="I345" s="12"/>
      <c r="J345" s="10"/>
      <c r="K345" s="9"/>
      <c r="L345" s="9"/>
      <c r="M345" s="10"/>
    </row>
    <row r="346" spans="1:13" s="4" customFormat="1" ht="30" customHeight="1" x14ac:dyDescent="0.25">
      <c r="A346" s="9"/>
      <c r="B346" s="13" t="e">
        <f>VLOOKUP(Table24[[#This Row],[Location 
(drop-down)]],'List source'!D$2:E$59,2,FALSE)</f>
        <v>#N/A</v>
      </c>
      <c r="C346" s="25" t="s">
        <v>654</v>
      </c>
      <c r="D346" s="33" t="e">
        <f t="shared" si="5"/>
        <v>#N/A</v>
      </c>
      <c r="E346" s="11"/>
      <c r="F346" s="148"/>
      <c r="G346" s="12"/>
      <c r="H346" s="12"/>
      <c r="I346" s="12"/>
      <c r="J346" s="10"/>
      <c r="K346" s="9"/>
      <c r="L346" s="9"/>
      <c r="M346" s="10"/>
    </row>
    <row r="347" spans="1:13" s="4" customFormat="1" ht="30" customHeight="1" x14ac:dyDescent="0.25">
      <c r="A347" s="9"/>
      <c r="B347" s="13" t="e">
        <f>VLOOKUP(Table24[[#This Row],[Location 
(drop-down)]],'List source'!D$2:E$59,2,FALSE)</f>
        <v>#N/A</v>
      </c>
      <c r="C347" s="25" t="s">
        <v>655</v>
      </c>
      <c r="D347" s="33" t="e">
        <f t="shared" si="5"/>
        <v>#N/A</v>
      </c>
      <c r="E347" s="11"/>
      <c r="F347" s="148"/>
      <c r="G347" s="12"/>
      <c r="H347" s="12"/>
      <c r="I347" s="12"/>
      <c r="J347" s="10"/>
      <c r="K347" s="9"/>
      <c r="L347" s="9"/>
      <c r="M347" s="10"/>
    </row>
    <row r="348" spans="1:13" s="4" customFormat="1" ht="30" customHeight="1" x14ac:dyDescent="0.25">
      <c r="A348" s="9"/>
      <c r="B348" s="13" t="e">
        <f>VLOOKUP(Table24[[#This Row],[Location 
(drop-down)]],'List source'!D$2:E$59,2,FALSE)</f>
        <v>#N/A</v>
      </c>
      <c r="C348" s="25" t="s">
        <v>656</v>
      </c>
      <c r="D348" s="33" t="e">
        <f t="shared" si="5"/>
        <v>#N/A</v>
      </c>
      <c r="E348" s="11"/>
      <c r="F348" s="148"/>
      <c r="G348" s="12"/>
      <c r="H348" s="12"/>
      <c r="I348" s="12"/>
      <c r="J348" s="10"/>
      <c r="K348" s="9"/>
      <c r="L348" s="9"/>
      <c r="M348" s="10"/>
    </row>
    <row r="349" spans="1:13" s="4" customFormat="1" ht="30" customHeight="1" x14ac:dyDescent="0.25">
      <c r="A349" s="9"/>
      <c r="B349" s="13" t="e">
        <f>VLOOKUP(Table24[[#This Row],[Location 
(drop-down)]],'List source'!D$2:E$59,2,FALSE)</f>
        <v>#N/A</v>
      </c>
      <c r="C349" s="25" t="s">
        <v>657</v>
      </c>
      <c r="D349" s="33" t="e">
        <f t="shared" si="5"/>
        <v>#N/A</v>
      </c>
      <c r="E349" s="11"/>
      <c r="F349" s="148"/>
      <c r="G349" s="12"/>
      <c r="H349" s="12"/>
      <c r="I349" s="12"/>
      <c r="J349" s="10"/>
      <c r="K349" s="9"/>
      <c r="L349" s="9"/>
      <c r="M349" s="10"/>
    </row>
    <row r="350" spans="1:13" s="4" customFormat="1" ht="30" customHeight="1" x14ac:dyDescent="0.25">
      <c r="A350" s="9"/>
      <c r="B350" s="13" t="e">
        <f>VLOOKUP(Table24[[#This Row],[Location 
(drop-down)]],'List source'!D$2:E$59,2,FALSE)</f>
        <v>#N/A</v>
      </c>
      <c r="C350" s="25" t="s">
        <v>658</v>
      </c>
      <c r="D350" s="33" t="e">
        <f t="shared" si="5"/>
        <v>#N/A</v>
      </c>
      <c r="E350" s="11"/>
      <c r="F350" s="148"/>
      <c r="G350" s="12"/>
      <c r="H350" s="12"/>
      <c r="I350" s="12"/>
      <c r="J350" s="10"/>
      <c r="K350" s="9"/>
      <c r="L350" s="9"/>
      <c r="M350" s="10"/>
    </row>
    <row r="351" spans="1:13" s="4" customFormat="1" ht="30" customHeight="1" x14ac:dyDescent="0.25">
      <c r="A351" s="9"/>
      <c r="B351" s="13" t="e">
        <f>VLOOKUP(Table24[[#This Row],[Location 
(drop-down)]],'List source'!D$2:E$59,2,FALSE)</f>
        <v>#N/A</v>
      </c>
      <c r="C351" s="25" t="s">
        <v>659</v>
      </c>
      <c r="D351" s="33" t="e">
        <f t="shared" si="5"/>
        <v>#N/A</v>
      </c>
      <c r="E351" s="11"/>
      <c r="F351" s="148"/>
      <c r="G351" s="12"/>
      <c r="H351" s="12"/>
      <c r="I351" s="12"/>
      <c r="J351" s="10"/>
      <c r="K351" s="9"/>
      <c r="L351" s="9"/>
      <c r="M351" s="10"/>
    </row>
    <row r="352" spans="1:13" s="4" customFormat="1" ht="30" customHeight="1" x14ac:dyDescent="0.25">
      <c r="A352" s="9"/>
      <c r="B352" s="13" t="e">
        <f>VLOOKUP(Table24[[#This Row],[Location 
(drop-down)]],'List source'!D$2:E$59,2,FALSE)</f>
        <v>#N/A</v>
      </c>
      <c r="C352" s="25" t="s">
        <v>660</v>
      </c>
      <c r="D352" s="33" t="e">
        <f t="shared" si="5"/>
        <v>#N/A</v>
      </c>
      <c r="E352" s="11"/>
      <c r="F352" s="148"/>
      <c r="G352" s="12"/>
      <c r="H352" s="12"/>
      <c r="I352" s="12"/>
      <c r="J352" s="10"/>
      <c r="K352" s="9"/>
      <c r="L352" s="9"/>
      <c r="M352" s="10"/>
    </row>
    <row r="353" spans="1:13" s="4" customFormat="1" ht="30" customHeight="1" x14ac:dyDescent="0.25">
      <c r="A353" s="9"/>
      <c r="B353" s="13" t="e">
        <f>VLOOKUP(Table24[[#This Row],[Location 
(drop-down)]],'List source'!D$2:E$59,2,FALSE)</f>
        <v>#N/A</v>
      </c>
      <c r="C353" s="25" t="s">
        <v>661</v>
      </c>
      <c r="D353" s="33" t="e">
        <f t="shared" si="5"/>
        <v>#N/A</v>
      </c>
      <c r="E353" s="11"/>
      <c r="F353" s="148"/>
      <c r="G353" s="12"/>
      <c r="H353" s="12"/>
      <c r="I353" s="12"/>
      <c r="J353" s="10"/>
      <c r="K353" s="9"/>
      <c r="L353" s="9"/>
      <c r="M353" s="10"/>
    </row>
    <row r="354" spans="1:13" s="4" customFormat="1" ht="30" customHeight="1" x14ac:dyDescent="0.25">
      <c r="A354" s="9"/>
      <c r="B354" s="13" t="e">
        <f>VLOOKUP(Table24[[#This Row],[Location 
(drop-down)]],'List source'!D$2:E$59,2,FALSE)</f>
        <v>#N/A</v>
      </c>
      <c r="C354" s="25" t="s">
        <v>662</v>
      </c>
      <c r="D354" s="33" t="e">
        <f t="shared" si="5"/>
        <v>#N/A</v>
      </c>
      <c r="E354" s="11"/>
      <c r="F354" s="148"/>
      <c r="G354" s="12"/>
      <c r="H354" s="12"/>
      <c r="I354" s="12"/>
      <c r="J354" s="10"/>
      <c r="K354" s="9"/>
      <c r="L354" s="9"/>
      <c r="M354" s="10"/>
    </row>
    <row r="355" spans="1:13" s="4" customFormat="1" ht="30" customHeight="1" x14ac:dyDescent="0.25">
      <c r="A355" s="9"/>
      <c r="B355" s="13" t="e">
        <f>VLOOKUP(Table24[[#This Row],[Location 
(drop-down)]],'List source'!D$2:E$59,2,FALSE)</f>
        <v>#N/A</v>
      </c>
      <c r="C355" s="25" t="s">
        <v>663</v>
      </c>
      <c r="D355" s="33" t="e">
        <f t="shared" si="5"/>
        <v>#N/A</v>
      </c>
      <c r="E355" s="11"/>
      <c r="F355" s="148"/>
      <c r="G355" s="12"/>
      <c r="H355" s="12"/>
      <c r="I355" s="12"/>
      <c r="J355" s="10"/>
      <c r="K355" s="9"/>
      <c r="L355" s="9"/>
      <c r="M355" s="10"/>
    </row>
    <row r="356" spans="1:13" s="4" customFormat="1" ht="30" customHeight="1" x14ac:dyDescent="0.25">
      <c r="A356" s="9"/>
      <c r="B356" s="13" t="e">
        <f>VLOOKUP(Table24[[#This Row],[Location 
(drop-down)]],'List source'!D$2:E$59,2,FALSE)</f>
        <v>#N/A</v>
      </c>
      <c r="C356" s="25" t="s">
        <v>664</v>
      </c>
      <c r="D356" s="33" t="e">
        <f t="shared" si="5"/>
        <v>#N/A</v>
      </c>
      <c r="E356" s="11"/>
      <c r="F356" s="148"/>
      <c r="G356" s="12"/>
      <c r="H356" s="12"/>
      <c r="I356" s="12"/>
      <c r="J356" s="10"/>
      <c r="K356" s="9"/>
      <c r="L356" s="9"/>
      <c r="M356" s="10"/>
    </row>
    <row r="357" spans="1:13" s="4" customFormat="1" ht="30" customHeight="1" x14ac:dyDescent="0.25">
      <c r="A357" s="9"/>
      <c r="B357" s="13" t="e">
        <f>VLOOKUP(Table24[[#This Row],[Location 
(drop-down)]],'List source'!D$2:E$59,2,FALSE)</f>
        <v>#N/A</v>
      </c>
      <c r="C357" s="25" t="s">
        <v>665</v>
      </c>
      <c r="D357" s="33" t="e">
        <f t="shared" si="5"/>
        <v>#N/A</v>
      </c>
      <c r="E357" s="11"/>
      <c r="F357" s="148"/>
      <c r="G357" s="12"/>
      <c r="H357" s="12"/>
      <c r="I357" s="12"/>
      <c r="J357" s="10"/>
      <c r="K357" s="9"/>
      <c r="L357" s="9"/>
      <c r="M357" s="10"/>
    </row>
    <row r="358" spans="1:13" s="4" customFormat="1" ht="30" customHeight="1" x14ac:dyDescent="0.25">
      <c r="A358" s="9"/>
      <c r="B358" s="13" t="e">
        <f>VLOOKUP(Table24[[#This Row],[Location 
(drop-down)]],'List source'!D$2:E$59,2,FALSE)</f>
        <v>#N/A</v>
      </c>
      <c r="C358" s="25" t="s">
        <v>666</v>
      </c>
      <c r="D358" s="33" t="e">
        <f t="shared" si="5"/>
        <v>#N/A</v>
      </c>
      <c r="E358" s="11"/>
      <c r="F358" s="148"/>
      <c r="G358" s="12"/>
      <c r="H358" s="12"/>
      <c r="I358" s="12"/>
      <c r="J358" s="10"/>
      <c r="K358" s="9"/>
      <c r="L358" s="9"/>
      <c r="M358" s="10"/>
    </row>
    <row r="359" spans="1:13" s="4" customFormat="1" ht="30" customHeight="1" x14ac:dyDescent="0.25">
      <c r="A359" s="9"/>
      <c r="B359" s="13" t="e">
        <f>VLOOKUP(Table24[[#This Row],[Location 
(drop-down)]],'List source'!D$2:E$59,2,FALSE)</f>
        <v>#N/A</v>
      </c>
      <c r="C359" s="25" t="s">
        <v>667</v>
      </c>
      <c r="D359" s="33" t="e">
        <f t="shared" si="5"/>
        <v>#N/A</v>
      </c>
      <c r="E359" s="11"/>
      <c r="F359" s="148"/>
      <c r="G359" s="12"/>
      <c r="H359" s="12"/>
      <c r="I359" s="12"/>
      <c r="J359" s="10"/>
      <c r="K359" s="9"/>
      <c r="L359" s="9"/>
      <c r="M359" s="10"/>
    </row>
    <row r="360" spans="1:13" s="4" customFormat="1" ht="30" customHeight="1" x14ac:dyDescent="0.25">
      <c r="A360" s="9"/>
      <c r="B360" s="13" t="e">
        <f>VLOOKUP(Table24[[#This Row],[Location 
(drop-down)]],'List source'!D$2:E$59,2,FALSE)</f>
        <v>#N/A</v>
      </c>
      <c r="C360" s="25" t="s">
        <v>668</v>
      </c>
      <c r="D360" s="33" t="e">
        <f t="shared" si="5"/>
        <v>#N/A</v>
      </c>
      <c r="E360" s="11"/>
      <c r="F360" s="148"/>
      <c r="G360" s="12"/>
      <c r="H360" s="12"/>
      <c r="I360" s="12"/>
      <c r="J360" s="10"/>
      <c r="K360" s="9"/>
      <c r="L360" s="9"/>
      <c r="M360" s="10"/>
    </row>
    <row r="361" spans="1:13" s="4" customFormat="1" ht="30" customHeight="1" x14ac:dyDescent="0.25">
      <c r="A361" s="9"/>
      <c r="B361" s="13" t="e">
        <f>VLOOKUP(Table24[[#This Row],[Location 
(drop-down)]],'List source'!D$2:E$59,2,FALSE)</f>
        <v>#N/A</v>
      </c>
      <c r="C361" s="25" t="s">
        <v>669</v>
      </c>
      <c r="D361" s="33" t="e">
        <f t="shared" si="5"/>
        <v>#N/A</v>
      </c>
      <c r="E361" s="11"/>
      <c r="F361" s="148"/>
      <c r="G361" s="12"/>
      <c r="H361" s="12"/>
      <c r="I361" s="12"/>
      <c r="J361" s="10"/>
      <c r="K361" s="9"/>
      <c r="L361" s="9"/>
      <c r="M361" s="10"/>
    </row>
    <row r="362" spans="1:13" s="4" customFormat="1" ht="30" customHeight="1" x14ac:dyDescent="0.25">
      <c r="A362" s="9"/>
      <c r="B362" s="13" t="e">
        <f>VLOOKUP(Table24[[#This Row],[Location 
(drop-down)]],'List source'!D$2:E$59,2,FALSE)</f>
        <v>#N/A</v>
      </c>
      <c r="C362" s="25" t="s">
        <v>670</v>
      </c>
      <c r="D362" s="33" t="e">
        <f t="shared" si="5"/>
        <v>#N/A</v>
      </c>
      <c r="E362" s="11"/>
      <c r="F362" s="148"/>
      <c r="G362" s="12"/>
      <c r="H362" s="12"/>
      <c r="I362" s="12"/>
      <c r="J362" s="10"/>
      <c r="K362" s="9"/>
      <c r="L362" s="9"/>
      <c r="M362" s="10"/>
    </row>
    <row r="363" spans="1:13" s="4" customFormat="1" ht="30" customHeight="1" x14ac:dyDescent="0.25">
      <c r="A363" s="9"/>
      <c r="B363" s="13" t="e">
        <f>VLOOKUP(Table24[[#This Row],[Location 
(drop-down)]],'List source'!D$2:E$59,2,FALSE)</f>
        <v>#N/A</v>
      </c>
      <c r="C363" s="25" t="s">
        <v>671</v>
      </c>
      <c r="D363" s="33" t="e">
        <f t="shared" si="5"/>
        <v>#N/A</v>
      </c>
      <c r="E363" s="11"/>
      <c r="F363" s="148"/>
      <c r="G363" s="12"/>
      <c r="H363" s="12"/>
      <c r="I363" s="12"/>
      <c r="J363" s="10"/>
      <c r="K363" s="9"/>
      <c r="L363" s="9"/>
      <c r="M363" s="10"/>
    </row>
    <row r="364" spans="1:13" s="4" customFormat="1" ht="30" customHeight="1" x14ac:dyDescent="0.25">
      <c r="A364" s="9"/>
      <c r="B364" s="13" t="e">
        <f>VLOOKUP(Table24[[#This Row],[Location 
(drop-down)]],'List source'!D$2:E$59,2,FALSE)</f>
        <v>#N/A</v>
      </c>
      <c r="C364" s="25" t="s">
        <v>672</v>
      </c>
      <c r="D364" s="33" t="e">
        <f t="shared" si="5"/>
        <v>#N/A</v>
      </c>
      <c r="E364" s="11"/>
      <c r="F364" s="148"/>
      <c r="G364" s="12"/>
      <c r="H364" s="12"/>
      <c r="I364" s="12"/>
      <c r="J364" s="10"/>
      <c r="K364" s="9"/>
      <c r="L364" s="9"/>
      <c r="M364" s="10"/>
    </row>
    <row r="365" spans="1:13" s="4" customFormat="1" ht="30" customHeight="1" x14ac:dyDescent="0.25">
      <c r="A365" s="9"/>
      <c r="B365" s="13" t="e">
        <f>VLOOKUP(Table24[[#This Row],[Location 
(drop-down)]],'List source'!D$2:E$59,2,FALSE)</f>
        <v>#N/A</v>
      </c>
      <c r="C365" s="25" t="s">
        <v>673</v>
      </c>
      <c r="D365" s="33" t="e">
        <f t="shared" si="5"/>
        <v>#N/A</v>
      </c>
      <c r="E365" s="11"/>
      <c r="F365" s="148"/>
      <c r="G365" s="12"/>
      <c r="H365" s="12"/>
      <c r="I365" s="12"/>
      <c r="J365" s="10"/>
      <c r="K365" s="9"/>
      <c r="L365" s="9"/>
      <c r="M365" s="10"/>
    </row>
    <row r="366" spans="1:13" s="4" customFormat="1" ht="30" customHeight="1" x14ac:dyDescent="0.25">
      <c r="A366" s="9"/>
      <c r="B366" s="13" t="e">
        <f>VLOOKUP(Table24[[#This Row],[Location 
(drop-down)]],'List source'!D$2:E$59,2,FALSE)</f>
        <v>#N/A</v>
      </c>
      <c r="C366" s="25" t="s">
        <v>674</v>
      </c>
      <c r="D366" s="33" t="e">
        <f t="shared" si="5"/>
        <v>#N/A</v>
      </c>
      <c r="E366" s="11"/>
      <c r="F366" s="148"/>
      <c r="G366" s="12"/>
      <c r="H366" s="12"/>
      <c r="I366" s="12"/>
      <c r="J366" s="10"/>
      <c r="K366" s="9"/>
      <c r="L366" s="9"/>
      <c r="M366" s="10"/>
    </row>
    <row r="367" spans="1:13" s="4" customFormat="1" ht="30" customHeight="1" x14ac:dyDescent="0.25">
      <c r="A367" s="9"/>
      <c r="B367" s="13" t="e">
        <f>VLOOKUP(Table24[[#This Row],[Location 
(drop-down)]],'List source'!D$2:E$59,2,FALSE)</f>
        <v>#N/A</v>
      </c>
      <c r="C367" s="25" t="s">
        <v>675</v>
      </c>
      <c r="D367" s="33" t="e">
        <f t="shared" si="5"/>
        <v>#N/A</v>
      </c>
      <c r="E367" s="11"/>
      <c r="F367" s="148"/>
      <c r="G367" s="12"/>
      <c r="H367" s="12"/>
      <c r="I367" s="12"/>
      <c r="J367" s="10"/>
      <c r="K367" s="9"/>
      <c r="L367" s="9"/>
      <c r="M367" s="10"/>
    </row>
    <row r="368" spans="1:13" s="4" customFormat="1" ht="30" customHeight="1" x14ac:dyDescent="0.25">
      <c r="A368" s="9"/>
      <c r="B368" s="13" t="e">
        <f>VLOOKUP(Table24[[#This Row],[Location 
(drop-down)]],'List source'!D$2:E$59,2,FALSE)</f>
        <v>#N/A</v>
      </c>
      <c r="C368" s="25" t="s">
        <v>676</v>
      </c>
      <c r="D368" s="33" t="e">
        <f t="shared" si="5"/>
        <v>#N/A</v>
      </c>
      <c r="E368" s="11"/>
      <c r="F368" s="148"/>
      <c r="G368" s="12"/>
      <c r="H368" s="12"/>
      <c r="I368" s="12"/>
      <c r="J368" s="10"/>
      <c r="K368" s="9"/>
      <c r="L368" s="9"/>
      <c r="M368" s="10"/>
    </row>
    <row r="369" spans="1:13" s="4" customFormat="1" ht="30" customHeight="1" x14ac:dyDescent="0.25">
      <c r="A369" s="9"/>
      <c r="B369" s="13" t="e">
        <f>VLOOKUP(Table24[[#This Row],[Location 
(drop-down)]],'List source'!D$2:E$59,2,FALSE)</f>
        <v>#N/A</v>
      </c>
      <c r="C369" s="25" t="s">
        <v>677</v>
      </c>
      <c r="D369" s="33" t="e">
        <f t="shared" si="5"/>
        <v>#N/A</v>
      </c>
      <c r="E369" s="11"/>
      <c r="F369" s="148"/>
      <c r="G369" s="12"/>
      <c r="H369" s="12"/>
      <c r="I369" s="12"/>
      <c r="J369" s="10"/>
      <c r="K369" s="9"/>
      <c r="L369" s="9"/>
      <c r="M369" s="10"/>
    </row>
    <row r="370" spans="1:13" s="4" customFormat="1" ht="30" customHeight="1" x14ac:dyDescent="0.25">
      <c r="A370" s="9"/>
      <c r="B370" s="13" t="e">
        <f>VLOOKUP(Table24[[#This Row],[Location 
(drop-down)]],'List source'!D$2:E$59,2,FALSE)</f>
        <v>#N/A</v>
      </c>
      <c r="C370" s="25" t="s">
        <v>678</v>
      </c>
      <c r="D370" s="33" t="e">
        <f t="shared" si="5"/>
        <v>#N/A</v>
      </c>
      <c r="E370" s="11"/>
      <c r="F370" s="148"/>
      <c r="G370" s="12"/>
      <c r="H370" s="12"/>
      <c r="I370" s="12"/>
      <c r="J370" s="10"/>
      <c r="K370" s="9"/>
      <c r="L370" s="9"/>
      <c r="M370" s="10"/>
    </row>
    <row r="371" spans="1:13" s="4" customFormat="1" ht="30" customHeight="1" x14ac:dyDescent="0.25">
      <c r="A371" s="9"/>
      <c r="B371" s="13" t="e">
        <f>VLOOKUP(Table24[[#This Row],[Location 
(drop-down)]],'List source'!D$2:E$59,2,FALSE)</f>
        <v>#N/A</v>
      </c>
      <c r="C371" s="25" t="s">
        <v>679</v>
      </c>
      <c r="D371" s="33" t="e">
        <f t="shared" si="5"/>
        <v>#N/A</v>
      </c>
      <c r="E371" s="11"/>
      <c r="F371" s="148"/>
      <c r="G371" s="12"/>
      <c r="H371" s="12"/>
      <c r="I371" s="12"/>
      <c r="J371" s="10"/>
      <c r="K371" s="9"/>
      <c r="L371" s="9"/>
      <c r="M371" s="10"/>
    </row>
    <row r="372" spans="1:13" s="4" customFormat="1" ht="30" customHeight="1" x14ac:dyDescent="0.25">
      <c r="A372" s="9"/>
      <c r="B372" s="13" t="e">
        <f>VLOOKUP(Table24[[#This Row],[Location 
(drop-down)]],'List source'!D$2:E$59,2,FALSE)</f>
        <v>#N/A</v>
      </c>
      <c r="C372" s="25" t="s">
        <v>680</v>
      </c>
      <c r="D372" s="33" t="e">
        <f t="shared" si="5"/>
        <v>#N/A</v>
      </c>
      <c r="E372" s="11"/>
      <c r="F372" s="148"/>
      <c r="G372" s="12"/>
      <c r="H372" s="12"/>
      <c r="I372" s="12"/>
      <c r="J372" s="10"/>
      <c r="K372" s="9"/>
      <c r="L372" s="9"/>
      <c r="M372" s="10"/>
    </row>
    <row r="373" spans="1:13" s="4" customFormat="1" ht="30" customHeight="1" x14ac:dyDescent="0.25">
      <c r="A373" s="9"/>
      <c r="B373" s="13" t="e">
        <f>VLOOKUP(Table24[[#This Row],[Location 
(drop-down)]],'List source'!D$2:E$59,2,FALSE)</f>
        <v>#N/A</v>
      </c>
      <c r="C373" s="25" t="s">
        <v>681</v>
      </c>
      <c r="D373" s="33" t="e">
        <f t="shared" si="5"/>
        <v>#N/A</v>
      </c>
      <c r="E373" s="11"/>
      <c r="F373" s="148"/>
      <c r="G373" s="12"/>
      <c r="H373" s="12"/>
      <c r="I373" s="12"/>
      <c r="J373" s="10"/>
      <c r="K373" s="9"/>
      <c r="L373" s="9"/>
      <c r="M373" s="10"/>
    </row>
    <row r="374" spans="1:13" s="4" customFormat="1" ht="30" customHeight="1" x14ac:dyDescent="0.25">
      <c r="A374" s="9"/>
      <c r="B374" s="13" t="e">
        <f>VLOOKUP(Table24[[#This Row],[Location 
(drop-down)]],'List source'!D$2:E$59,2,FALSE)</f>
        <v>#N/A</v>
      </c>
      <c r="C374" s="25" t="s">
        <v>682</v>
      </c>
      <c r="D374" s="33" t="e">
        <f t="shared" si="5"/>
        <v>#N/A</v>
      </c>
      <c r="E374" s="11"/>
      <c r="F374" s="148"/>
      <c r="G374" s="12"/>
      <c r="H374" s="12"/>
      <c r="I374" s="12"/>
      <c r="J374" s="10"/>
      <c r="K374" s="9"/>
      <c r="L374" s="9"/>
      <c r="M374" s="10"/>
    </row>
    <row r="375" spans="1:13" s="4" customFormat="1" ht="30" customHeight="1" x14ac:dyDescent="0.25">
      <c r="A375" s="9"/>
      <c r="B375" s="13" t="e">
        <f>VLOOKUP(Table24[[#This Row],[Location 
(drop-down)]],'List source'!D$2:E$59,2,FALSE)</f>
        <v>#N/A</v>
      </c>
      <c r="C375" s="25" t="s">
        <v>683</v>
      </c>
      <c r="D375" s="33" t="e">
        <f t="shared" si="5"/>
        <v>#N/A</v>
      </c>
      <c r="E375" s="11"/>
      <c r="F375" s="148"/>
      <c r="G375" s="12"/>
      <c r="H375" s="12"/>
      <c r="I375" s="12"/>
      <c r="J375" s="10"/>
      <c r="K375" s="9"/>
      <c r="L375" s="9"/>
      <c r="M375" s="10"/>
    </row>
    <row r="376" spans="1:13" s="4" customFormat="1" ht="30" customHeight="1" x14ac:dyDescent="0.25">
      <c r="A376" s="9"/>
      <c r="B376" s="13" t="e">
        <f>VLOOKUP(Table24[[#This Row],[Location 
(drop-down)]],'List source'!D$2:E$59,2,FALSE)</f>
        <v>#N/A</v>
      </c>
      <c r="C376" s="25" t="s">
        <v>684</v>
      </c>
      <c r="D376" s="33" t="e">
        <f t="shared" si="5"/>
        <v>#N/A</v>
      </c>
      <c r="E376" s="11"/>
      <c r="F376" s="148"/>
      <c r="G376" s="12"/>
      <c r="H376" s="12"/>
      <c r="I376" s="12"/>
      <c r="J376" s="10"/>
      <c r="K376" s="9"/>
      <c r="L376" s="9"/>
      <c r="M376" s="10"/>
    </row>
    <row r="377" spans="1:13" s="4" customFormat="1" ht="30" customHeight="1" x14ac:dyDescent="0.25">
      <c r="A377" s="9"/>
      <c r="B377" s="13" t="e">
        <f>VLOOKUP(Table24[[#This Row],[Location 
(drop-down)]],'List source'!D$2:E$59,2,FALSE)</f>
        <v>#N/A</v>
      </c>
      <c r="C377" s="25" t="s">
        <v>685</v>
      </c>
      <c r="D377" s="33" t="e">
        <f t="shared" si="5"/>
        <v>#N/A</v>
      </c>
      <c r="E377" s="11"/>
      <c r="F377" s="148"/>
      <c r="G377" s="12"/>
      <c r="H377" s="12"/>
      <c r="I377" s="12"/>
      <c r="J377" s="10"/>
      <c r="K377" s="9"/>
      <c r="L377" s="9"/>
      <c r="M377" s="10"/>
    </row>
    <row r="378" spans="1:13" s="4" customFormat="1" ht="30" customHeight="1" x14ac:dyDescent="0.25">
      <c r="A378" s="9"/>
      <c r="B378" s="13" t="e">
        <f>VLOOKUP(Table24[[#This Row],[Location 
(drop-down)]],'List source'!D$2:E$59,2,FALSE)</f>
        <v>#N/A</v>
      </c>
      <c r="C378" s="25" t="s">
        <v>686</v>
      </c>
      <c r="D378" s="33" t="e">
        <f t="shared" si="5"/>
        <v>#N/A</v>
      </c>
      <c r="E378" s="11"/>
      <c r="F378" s="148"/>
      <c r="G378" s="12"/>
      <c r="H378" s="12"/>
      <c r="I378" s="12"/>
      <c r="J378" s="10"/>
      <c r="K378" s="9"/>
      <c r="L378" s="9"/>
      <c r="M378" s="10"/>
    </row>
    <row r="379" spans="1:13" s="4" customFormat="1" ht="30" customHeight="1" x14ac:dyDescent="0.25">
      <c r="A379" s="9"/>
      <c r="B379" s="13" t="e">
        <f>VLOOKUP(Table24[[#This Row],[Location 
(drop-down)]],'List source'!D$2:E$59,2,FALSE)</f>
        <v>#N/A</v>
      </c>
      <c r="C379" s="25" t="s">
        <v>687</v>
      </c>
      <c r="D379" s="33" t="e">
        <f t="shared" si="5"/>
        <v>#N/A</v>
      </c>
      <c r="E379" s="11"/>
      <c r="F379" s="148"/>
      <c r="G379" s="12"/>
      <c r="H379" s="12"/>
      <c r="I379" s="12"/>
      <c r="J379" s="10"/>
      <c r="K379" s="9"/>
      <c r="L379" s="9"/>
      <c r="M379" s="10"/>
    </row>
    <row r="380" spans="1:13" s="4" customFormat="1" ht="30" customHeight="1" x14ac:dyDescent="0.25">
      <c r="A380" s="9"/>
      <c r="B380" s="13" t="e">
        <f>VLOOKUP(Table24[[#This Row],[Location 
(drop-down)]],'List source'!D$2:E$59,2,FALSE)</f>
        <v>#N/A</v>
      </c>
      <c r="C380" s="25" t="s">
        <v>688</v>
      </c>
      <c r="D380" s="33" t="e">
        <f t="shared" si="5"/>
        <v>#N/A</v>
      </c>
      <c r="E380" s="11"/>
      <c r="F380" s="148"/>
      <c r="G380" s="12"/>
      <c r="H380" s="12"/>
      <c r="I380" s="12"/>
      <c r="J380" s="10"/>
      <c r="K380" s="9"/>
      <c r="L380" s="9"/>
      <c r="M380" s="10"/>
    </row>
    <row r="381" spans="1:13" s="4" customFormat="1" ht="30" customHeight="1" x14ac:dyDescent="0.25">
      <c r="A381" s="9"/>
      <c r="B381" s="13" t="e">
        <f>VLOOKUP(Table24[[#This Row],[Location 
(drop-down)]],'List source'!D$2:E$59,2,FALSE)</f>
        <v>#N/A</v>
      </c>
      <c r="C381" s="25" t="s">
        <v>689</v>
      </c>
      <c r="D381" s="33" t="e">
        <f t="shared" si="5"/>
        <v>#N/A</v>
      </c>
      <c r="E381" s="11"/>
      <c r="F381" s="148"/>
      <c r="G381" s="12"/>
      <c r="H381" s="12"/>
      <c r="I381" s="12"/>
      <c r="J381" s="10"/>
      <c r="K381" s="9"/>
      <c r="L381" s="9"/>
      <c r="M381" s="10"/>
    </row>
    <row r="382" spans="1:13" s="4" customFormat="1" ht="30" customHeight="1" x14ac:dyDescent="0.25">
      <c r="A382" s="9"/>
      <c r="B382" s="13" t="e">
        <f>VLOOKUP(Table24[[#This Row],[Location 
(drop-down)]],'List source'!D$2:E$59,2,FALSE)</f>
        <v>#N/A</v>
      </c>
      <c r="C382" s="25" t="s">
        <v>690</v>
      </c>
      <c r="D382" s="33" t="e">
        <f t="shared" si="5"/>
        <v>#N/A</v>
      </c>
      <c r="E382" s="11"/>
      <c r="F382" s="148"/>
      <c r="G382" s="12"/>
      <c r="H382" s="12"/>
      <c r="I382" s="12"/>
      <c r="J382" s="10"/>
      <c r="K382" s="9"/>
      <c r="L382" s="9"/>
      <c r="M382" s="10"/>
    </row>
    <row r="383" spans="1:13" s="4" customFormat="1" ht="30" customHeight="1" x14ac:dyDescent="0.25">
      <c r="A383" s="9"/>
      <c r="B383" s="13" t="e">
        <f>VLOOKUP(Table24[[#This Row],[Location 
(drop-down)]],'List source'!D$2:E$59,2,FALSE)</f>
        <v>#N/A</v>
      </c>
      <c r="C383" s="25" t="s">
        <v>691</v>
      </c>
      <c r="D383" s="33" t="e">
        <f t="shared" si="5"/>
        <v>#N/A</v>
      </c>
      <c r="E383" s="11"/>
      <c r="F383" s="148"/>
      <c r="G383" s="12"/>
      <c r="H383" s="12"/>
      <c r="I383" s="12"/>
      <c r="J383" s="10"/>
      <c r="K383" s="9"/>
      <c r="L383" s="9"/>
      <c r="M383" s="10"/>
    </row>
    <row r="384" spans="1:13" s="4" customFormat="1" ht="30" customHeight="1" x14ac:dyDescent="0.25">
      <c r="A384" s="9"/>
      <c r="B384" s="13" t="e">
        <f>VLOOKUP(Table24[[#This Row],[Location 
(drop-down)]],'List source'!D$2:E$59,2,FALSE)</f>
        <v>#N/A</v>
      </c>
      <c r="C384" s="25" t="s">
        <v>692</v>
      </c>
      <c r="D384" s="33" t="e">
        <f t="shared" si="5"/>
        <v>#N/A</v>
      </c>
      <c r="E384" s="11"/>
      <c r="F384" s="148"/>
      <c r="G384" s="12"/>
      <c r="H384" s="12"/>
      <c r="I384" s="12"/>
      <c r="J384" s="10"/>
      <c r="K384" s="9"/>
      <c r="L384" s="9"/>
      <c r="M384" s="10"/>
    </row>
    <row r="385" spans="1:13" s="4" customFormat="1" ht="30" customHeight="1" x14ac:dyDescent="0.25">
      <c r="A385" s="9"/>
      <c r="B385" s="13" t="e">
        <f>VLOOKUP(Table24[[#This Row],[Location 
(drop-down)]],'List source'!D$2:E$59,2,FALSE)</f>
        <v>#N/A</v>
      </c>
      <c r="C385" s="25" t="s">
        <v>693</v>
      </c>
      <c r="D385" s="33" t="e">
        <f t="shared" si="5"/>
        <v>#N/A</v>
      </c>
      <c r="E385" s="11"/>
      <c r="F385" s="148"/>
      <c r="G385" s="12"/>
      <c r="H385" s="12"/>
      <c r="I385" s="12"/>
      <c r="J385" s="10"/>
      <c r="K385" s="9"/>
      <c r="L385" s="9"/>
      <c r="M385" s="10"/>
    </row>
    <row r="386" spans="1:13" s="4" customFormat="1" ht="30" customHeight="1" x14ac:dyDescent="0.25">
      <c r="A386" s="9"/>
      <c r="B386" s="13" t="e">
        <f>VLOOKUP(Table24[[#This Row],[Location 
(drop-down)]],'List source'!D$2:E$59,2,FALSE)</f>
        <v>#N/A</v>
      </c>
      <c r="C386" s="25" t="s">
        <v>694</v>
      </c>
      <c r="D386" s="33" t="e">
        <f t="shared" ref="D386:D449" si="6">"P" &amp; C386 &amp; "-" &amp; B386 &amp; "-" &amp; "23"</f>
        <v>#N/A</v>
      </c>
      <c r="E386" s="11"/>
      <c r="F386" s="148"/>
      <c r="G386" s="12"/>
      <c r="H386" s="12"/>
      <c r="I386" s="12"/>
      <c r="J386" s="10"/>
      <c r="K386" s="9"/>
      <c r="L386" s="9"/>
      <c r="M386" s="10"/>
    </row>
    <row r="387" spans="1:13" s="4" customFormat="1" ht="30" customHeight="1" x14ac:dyDescent="0.25">
      <c r="A387" s="9"/>
      <c r="B387" s="13" t="e">
        <f>VLOOKUP(Table24[[#This Row],[Location 
(drop-down)]],'List source'!D$2:E$59,2,FALSE)</f>
        <v>#N/A</v>
      </c>
      <c r="C387" s="25" t="s">
        <v>695</v>
      </c>
      <c r="D387" s="33" t="e">
        <f t="shared" si="6"/>
        <v>#N/A</v>
      </c>
      <c r="E387" s="11"/>
      <c r="F387" s="148"/>
      <c r="G387" s="12"/>
      <c r="H387" s="12"/>
      <c r="I387" s="12"/>
      <c r="J387" s="10"/>
      <c r="K387" s="9"/>
      <c r="L387" s="9"/>
      <c r="M387" s="10"/>
    </row>
    <row r="388" spans="1:13" s="4" customFormat="1" ht="30" customHeight="1" x14ac:dyDescent="0.25">
      <c r="A388" s="9"/>
      <c r="B388" s="13" t="e">
        <f>VLOOKUP(Table24[[#This Row],[Location 
(drop-down)]],'List source'!D$2:E$59,2,FALSE)</f>
        <v>#N/A</v>
      </c>
      <c r="C388" s="25" t="s">
        <v>696</v>
      </c>
      <c r="D388" s="33" t="e">
        <f t="shared" si="6"/>
        <v>#N/A</v>
      </c>
      <c r="E388" s="11"/>
      <c r="F388" s="148"/>
      <c r="G388" s="12"/>
      <c r="H388" s="12"/>
      <c r="I388" s="12"/>
      <c r="J388" s="10"/>
      <c r="K388" s="9"/>
      <c r="L388" s="9"/>
      <c r="M388" s="10"/>
    </row>
    <row r="389" spans="1:13" s="4" customFormat="1" ht="30" customHeight="1" x14ac:dyDescent="0.25">
      <c r="A389" s="9"/>
      <c r="B389" s="13" t="e">
        <f>VLOOKUP(Table24[[#This Row],[Location 
(drop-down)]],'List source'!D$2:E$59,2,FALSE)</f>
        <v>#N/A</v>
      </c>
      <c r="C389" s="25" t="s">
        <v>697</v>
      </c>
      <c r="D389" s="33" t="e">
        <f t="shared" si="6"/>
        <v>#N/A</v>
      </c>
      <c r="E389" s="11"/>
      <c r="F389" s="148"/>
      <c r="G389" s="12"/>
      <c r="H389" s="12"/>
      <c r="I389" s="12"/>
      <c r="J389" s="10"/>
      <c r="K389" s="9"/>
      <c r="L389" s="9"/>
      <c r="M389" s="10"/>
    </row>
    <row r="390" spans="1:13" s="4" customFormat="1" ht="30" customHeight="1" x14ac:dyDescent="0.25">
      <c r="A390" s="9"/>
      <c r="B390" s="13" t="e">
        <f>VLOOKUP(Table24[[#This Row],[Location 
(drop-down)]],'List source'!D$2:E$59,2,FALSE)</f>
        <v>#N/A</v>
      </c>
      <c r="C390" s="25" t="s">
        <v>698</v>
      </c>
      <c r="D390" s="33" t="e">
        <f t="shared" si="6"/>
        <v>#N/A</v>
      </c>
      <c r="E390" s="11"/>
      <c r="F390" s="148"/>
      <c r="G390" s="12"/>
      <c r="H390" s="12"/>
      <c r="I390" s="12"/>
      <c r="J390" s="10"/>
      <c r="K390" s="9"/>
      <c r="L390" s="9"/>
      <c r="M390" s="10"/>
    </row>
    <row r="391" spans="1:13" s="4" customFormat="1" ht="30" customHeight="1" x14ac:dyDescent="0.25">
      <c r="A391" s="9"/>
      <c r="B391" s="13" t="e">
        <f>VLOOKUP(Table24[[#This Row],[Location 
(drop-down)]],'List source'!D$2:E$59,2,FALSE)</f>
        <v>#N/A</v>
      </c>
      <c r="C391" s="25" t="s">
        <v>699</v>
      </c>
      <c r="D391" s="33" t="e">
        <f t="shared" si="6"/>
        <v>#N/A</v>
      </c>
      <c r="E391" s="11"/>
      <c r="F391" s="148"/>
      <c r="G391" s="12"/>
      <c r="H391" s="12"/>
      <c r="I391" s="12"/>
      <c r="J391" s="10"/>
      <c r="K391" s="9"/>
      <c r="L391" s="9"/>
      <c r="M391" s="10"/>
    </row>
    <row r="392" spans="1:13" s="4" customFormat="1" ht="30" customHeight="1" x14ac:dyDescent="0.25">
      <c r="A392" s="9"/>
      <c r="B392" s="13" t="e">
        <f>VLOOKUP(Table24[[#This Row],[Location 
(drop-down)]],'List source'!D$2:E$59,2,FALSE)</f>
        <v>#N/A</v>
      </c>
      <c r="C392" s="25" t="s">
        <v>700</v>
      </c>
      <c r="D392" s="33" t="e">
        <f t="shared" si="6"/>
        <v>#N/A</v>
      </c>
      <c r="E392" s="11"/>
      <c r="F392" s="148"/>
      <c r="G392" s="12"/>
      <c r="H392" s="12"/>
      <c r="I392" s="12"/>
      <c r="J392" s="10"/>
      <c r="K392" s="9"/>
      <c r="L392" s="9"/>
      <c r="M392" s="10"/>
    </row>
    <row r="393" spans="1:13" s="4" customFormat="1" ht="30" customHeight="1" x14ac:dyDescent="0.25">
      <c r="A393" s="9"/>
      <c r="B393" s="13" t="e">
        <f>VLOOKUP(Table24[[#This Row],[Location 
(drop-down)]],'List source'!D$2:E$59,2,FALSE)</f>
        <v>#N/A</v>
      </c>
      <c r="C393" s="25" t="s">
        <v>701</v>
      </c>
      <c r="D393" s="33" t="e">
        <f t="shared" si="6"/>
        <v>#N/A</v>
      </c>
      <c r="E393" s="11"/>
      <c r="F393" s="148"/>
      <c r="G393" s="12"/>
      <c r="H393" s="12"/>
      <c r="I393" s="12"/>
      <c r="J393" s="10"/>
      <c r="K393" s="9"/>
      <c r="L393" s="9"/>
      <c r="M393" s="10"/>
    </row>
    <row r="394" spans="1:13" s="4" customFormat="1" ht="30" customHeight="1" x14ac:dyDescent="0.25">
      <c r="A394" s="9"/>
      <c r="B394" s="13" t="e">
        <f>VLOOKUP(Table24[[#This Row],[Location 
(drop-down)]],'List source'!D$2:E$59,2,FALSE)</f>
        <v>#N/A</v>
      </c>
      <c r="C394" s="25" t="s">
        <v>702</v>
      </c>
      <c r="D394" s="33" t="e">
        <f t="shared" si="6"/>
        <v>#N/A</v>
      </c>
      <c r="E394" s="11"/>
      <c r="F394" s="148"/>
      <c r="G394" s="12"/>
      <c r="H394" s="12"/>
      <c r="I394" s="12"/>
      <c r="J394" s="10"/>
      <c r="K394" s="9"/>
      <c r="L394" s="9"/>
      <c r="M394" s="10"/>
    </row>
    <row r="395" spans="1:13" s="4" customFormat="1" ht="30" customHeight="1" x14ac:dyDescent="0.25">
      <c r="A395" s="9"/>
      <c r="B395" s="13" t="e">
        <f>VLOOKUP(Table24[[#This Row],[Location 
(drop-down)]],'List source'!D$2:E$59,2,FALSE)</f>
        <v>#N/A</v>
      </c>
      <c r="C395" s="25" t="s">
        <v>703</v>
      </c>
      <c r="D395" s="33" t="e">
        <f t="shared" si="6"/>
        <v>#N/A</v>
      </c>
      <c r="E395" s="11"/>
      <c r="F395" s="148"/>
      <c r="G395" s="12"/>
      <c r="H395" s="12"/>
      <c r="I395" s="12"/>
      <c r="J395" s="10"/>
      <c r="K395" s="9"/>
      <c r="L395" s="9"/>
      <c r="M395" s="10"/>
    </row>
    <row r="396" spans="1:13" s="4" customFormat="1" ht="30" customHeight="1" x14ac:dyDescent="0.25">
      <c r="A396" s="9"/>
      <c r="B396" s="13" t="e">
        <f>VLOOKUP(Table24[[#This Row],[Location 
(drop-down)]],'List source'!D$2:E$59,2,FALSE)</f>
        <v>#N/A</v>
      </c>
      <c r="C396" s="25" t="s">
        <v>704</v>
      </c>
      <c r="D396" s="33" t="e">
        <f t="shared" si="6"/>
        <v>#N/A</v>
      </c>
      <c r="E396" s="11"/>
      <c r="F396" s="148"/>
      <c r="G396" s="12"/>
      <c r="H396" s="12"/>
      <c r="I396" s="12"/>
      <c r="J396" s="10"/>
      <c r="K396" s="9"/>
      <c r="L396" s="9"/>
      <c r="M396" s="10"/>
    </row>
    <row r="397" spans="1:13" s="4" customFormat="1" ht="30" customHeight="1" x14ac:dyDescent="0.25">
      <c r="A397" s="9"/>
      <c r="B397" s="13" t="e">
        <f>VLOOKUP(Table24[[#This Row],[Location 
(drop-down)]],'List source'!D$2:E$59,2,FALSE)</f>
        <v>#N/A</v>
      </c>
      <c r="C397" s="25" t="s">
        <v>705</v>
      </c>
      <c r="D397" s="33" t="e">
        <f t="shared" si="6"/>
        <v>#N/A</v>
      </c>
      <c r="E397" s="11"/>
      <c r="F397" s="148"/>
      <c r="G397" s="12"/>
      <c r="H397" s="12"/>
      <c r="I397" s="12"/>
      <c r="J397" s="10"/>
      <c r="K397" s="9"/>
      <c r="L397" s="9"/>
      <c r="M397" s="10"/>
    </row>
    <row r="398" spans="1:13" s="4" customFormat="1" ht="30" customHeight="1" x14ac:dyDescent="0.25">
      <c r="A398" s="9"/>
      <c r="B398" s="13" t="e">
        <f>VLOOKUP(Table24[[#This Row],[Location 
(drop-down)]],'List source'!D$2:E$59,2,FALSE)</f>
        <v>#N/A</v>
      </c>
      <c r="C398" s="25" t="s">
        <v>706</v>
      </c>
      <c r="D398" s="33" t="e">
        <f t="shared" si="6"/>
        <v>#N/A</v>
      </c>
      <c r="E398" s="11"/>
      <c r="F398" s="148"/>
      <c r="G398" s="12"/>
      <c r="H398" s="12"/>
      <c r="I398" s="12"/>
      <c r="J398" s="10"/>
      <c r="K398" s="9"/>
      <c r="L398" s="9"/>
      <c r="M398" s="10"/>
    </row>
    <row r="399" spans="1:13" s="4" customFormat="1" ht="30" customHeight="1" x14ac:dyDescent="0.25">
      <c r="A399" s="9"/>
      <c r="B399" s="13" t="e">
        <f>VLOOKUP(Table24[[#This Row],[Location 
(drop-down)]],'List source'!D$2:E$59,2,FALSE)</f>
        <v>#N/A</v>
      </c>
      <c r="C399" s="25" t="s">
        <v>707</v>
      </c>
      <c r="D399" s="33" t="e">
        <f t="shared" si="6"/>
        <v>#N/A</v>
      </c>
      <c r="E399" s="11"/>
      <c r="F399" s="148"/>
      <c r="G399" s="12"/>
      <c r="H399" s="12"/>
      <c r="I399" s="12"/>
      <c r="J399" s="10"/>
      <c r="K399" s="9"/>
      <c r="L399" s="9"/>
      <c r="M399" s="10"/>
    </row>
    <row r="400" spans="1:13" s="4" customFormat="1" ht="30" customHeight="1" x14ac:dyDescent="0.25">
      <c r="A400" s="9"/>
      <c r="B400" s="13" t="e">
        <f>VLOOKUP(Table24[[#This Row],[Location 
(drop-down)]],'List source'!D$2:E$59,2,FALSE)</f>
        <v>#N/A</v>
      </c>
      <c r="C400" s="25" t="s">
        <v>708</v>
      </c>
      <c r="D400" s="33" t="e">
        <f t="shared" si="6"/>
        <v>#N/A</v>
      </c>
      <c r="E400" s="11"/>
      <c r="F400" s="148"/>
      <c r="G400" s="12"/>
      <c r="H400" s="12"/>
      <c r="I400" s="12"/>
      <c r="J400" s="10"/>
      <c r="K400" s="9"/>
      <c r="L400" s="9"/>
      <c r="M400" s="10"/>
    </row>
    <row r="401" spans="1:13" s="4" customFormat="1" ht="30" customHeight="1" x14ac:dyDescent="0.25">
      <c r="A401" s="9"/>
      <c r="B401" s="13" t="e">
        <f>VLOOKUP(Table24[[#This Row],[Location 
(drop-down)]],'List source'!D$2:E$59,2,FALSE)</f>
        <v>#N/A</v>
      </c>
      <c r="C401" s="25" t="s">
        <v>709</v>
      </c>
      <c r="D401" s="33" t="e">
        <f t="shared" si="6"/>
        <v>#N/A</v>
      </c>
      <c r="E401" s="11"/>
      <c r="F401" s="148"/>
      <c r="G401" s="12"/>
      <c r="H401" s="12"/>
      <c r="I401" s="12"/>
      <c r="J401" s="10"/>
      <c r="K401" s="9"/>
      <c r="L401" s="9"/>
      <c r="M401" s="10"/>
    </row>
    <row r="402" spans="1:13" s="4" customFormat="1" ht="30" customHeight="1" x14ac:dyDescent="0.25">
      <c r="A402" s="9"/>
      <c r="B402" s="13" t="e">
        <f>VLOOKUP(Table24[[#This Row],[Location 
(drop-down)]],'List source'!D$2:E$59,2,FALSE)</f>
        <v>#N/A</v>
      </c>
      <c r="C402" s="25" t="s">
        <v>710</v>
      </c>
      <c r="D402" s="33" t="e">
        <f t="shared" si="6"/>
        <v>#N/A</v>
      </c>
      <c r="E402" s="11"/>
      <c r="F402" s="148"/>
      <c r="G402" s="12"/>
      <c r="H402" s="12"/>
      <c r="I402" s="12"/>
      <c r="J402" s="10"/>
      <c r="K402" s="9"/>
      <c r="L402" s="9"/>
      <c r="M402" s="10"/>
    </row>
    <row r="403" spans="1:13" s="4" customFormat="1" ht="30" customHeight="1" x14ac:dyDescent="0.25">
      <c r="A403" s="9"/>
      <c r="B403" s="13" t="e">
        <f>VLOOKUP(Table24[[#This Row],[Location 
(drop-down)]],'List source'!D$2:E$59,2,FALSE)</f>
        <v>#N/A</v>
      </c>
      <c r="C403" s="25" t="s">
        <v>711</v>
      </c>
      <c r="D403" s="33" t="e">
        <f t="shared" si="6"/>
        <v>#N/A</v>
      </c>
      <c r="E403" s="11"/>
      <c r="F403" s="148"/>
      <c r="G403" s="12"/>
      <c r="H403" s="12"/>
      <c r="I403" s="12"/>
      <c r="J403" s="10"/>
      <c r="K403" s="9"/>
      <c r="L403" s="9"/>
      <c r="M403" s="10"/>
    </row>
    <row r="404" spans="1:13" s="4" customFormat="1" ht="30" customHeight="1" x14ac:dyDescent="0.25">
      <c r="A404" s="9"/>
      <c r="B404" s="13" t="e">
        <f>VLOOKUP(Table24[[#This Row],[Location 
(drop-down)]],'List source'!D$2:E$59,2,FALSE)</f>
        <v>#N/A</v>
      </c>
      <c r="C404" s="25" t="s">
        <v>712</v>
      </c>
      <c r="D404" s="33" t="e">
        <f t="shared" si="6"/>
        <v>#N/A</v>
      </c>
      <c r="E404" s="11"/>
      <c r="F404" s="148"/>
      <c r="G404" s="12"/>
      <c r="H404" s="12"/>
      <c r="I404" s="12"/>
      <c r="J404" s="10"/>
      <c r="K404" s="9"/>
      <c r="L404" s="9"/>
      <c r="M404" s="10"/>
    </row>
    <row r="405" spans="1:13" s="4" customFormat="1" ht="30" customHeight="1" x14ac:dyDescent="0.25">
      <c r="A405" s="9"/>
      <c r="B405" s="13" t="e">
        <f>VLOOKUP(Table24[[#This Row],[Location 
(drop-down)]],'List source'!D$2:E$59,2,FALSE)</f>
        <v>#N/A</v>
      </c>
      <c r="C405" s="25" t="s">
        <v>713</v>
      </c>
      <c r="D405" s="33" t="e">
        <f t="shared" si="6"/>
        <v>#N/A</v>
      </c>
      <c r="E405" s="11"/>
      <c r="F405" s="148"/>
      <c r="G405" s="12"/>
      <c r="H405" s="12"/>
      <c r="I405" s="12"/>
      <c r="J405" s="10"/>
      <c r="K405" s="9"/>
      <c r="L405" s="9"/>
      <c r="M405" s="10"/>
    </row>
    <row r="406" spans="1:13" s="4" customFormat="1" ht="30" customHeight="1" x14ac:dyDescent="0.25">
      <c r="A406" s="9"/>
      <c r="B406" s="13" t="e">
        <f>VLOOKUP(Table24[[#This Row],[Location 
(drop-down)]],'List source'!D$2:E$59,2,FALSE)</f>
        <v>#N/A</v>
      </c>
      <c r="C406" s="25" t="s">
        <v>714</v>
      </c>
      <c r="D406" s="33" t="e">
        <f t="shared" si="6"/>
        <v>#N/A</v>
      </c>
      <c r="E406" s="11"/>
      <c r="F406" s="148"/>
      <c r="G406" s="12"/>
      <c r="H406" s="12"/>
      <c r="I406" s="12"/>
      <c r="J406" s="10"/>
      <c r="K406" s="9"/>
      <c r="L406" s="9"/>
      <c r="M406" s="10"/>
    </row>
    <row r="407" spans="1:13" s="4" customFormat="1" ht="30" customHeight="1" x14ac:dyDescent="0.25">
      <c r="A407" s="9"/>
      <c r="B407" s="13" t="e">
        <f>VLOOKUP(Table24[[#This Row],[Location 
(drop-down)]],'List source'!D$2:E$59,2,FALSE)</f>
        <v>#N/A</v>
      </c>
      <c r="C407" s="25" t="s">
        <v>715</v>
      </c>
      <c r="D407" s="33" t="e">
        <f t="shared" si="6"/>
        <v>#N/A</v>
      </c>
      <c r="E407" s="11"/>
      <c r="F407" s="148"/>
      <c r="G407" s="12"/>
      <c r="H407" s="12"/>
      <c r="I407" s="12"/>
      <c r="J407" s="10"/>
      <c r="K407" s="9"/>
      <c r="L407" s="9"/>
      <c r="M407" s="10"/>
    </row>
    <row r="408" spans="1:13" s="4" customFormat="1" ht="30" customHeight="1" x14ac:dyDescent="0.25">
      <c r="A408" s="9"/>
      <c r="B408" s="13" t="e">
        <f>VLOOKUP(Table24[[#This Row],[Location 
(drop-down)]],'List source'!D$2:E$59,2,FALSE)</f>
        <v>#N/A</v>
      </c>
      <c r="C408" s="25" t="s">
        <v>716</v>
      </c>
      <c r="D408" s="33" t="e">
        <f t="shared" si="6"/>
        <v>#N/A</v>
      </c>
      <c r="E408" s="11"/>
      <c r="F408" s="148"/>
      <c r="G408" s="12"/>
      <c r="H408" s="12"/>
      <c r="I408" s="12"/>
      <c r="J408" s="10"/>
      <c r="K408" s="9"/>
      <c r="L408" s="9"/>
      <c r="M408" s="10"/>
    </row>
    <row r="409" spans="1:13" s="4" customFormat="1" ht="30" customHeight="1" x14ac:dyDescent="0.25">
      <c r="A409" s="9"/>
      <c r="B409" s="13" t="e">
        <f>VLOOKUP(Table24[[#This Row],[Location 
(drop-down)]],'List source'!D$2:E$59,2,FALSE)</f>
        <v>#N/A</v>
      </c>
      <c r="C409" s="25" t="s">
        <v>717</v>
      </c>
      <c r="D409" s="33" t="e">
        <f t="shared" si="6"/>
        <v>#N/A</v>
      </c>
      <c r="E409" s="11"/>
      <c r="F409" s="148"/>
      <c r="G409" s="12"/>
      <c r="H409" s="12"/>
      <c r="I409" s="12"/>
      <c r="J409" s="10"/>
      <c r="K409" s="9"/>
      <c r="L409" s="9"/>
      <c r="M409" s="10"/>
    </row>
    <row r="410" spans="1:13" s="4" customFormat="1" ht="30" customHeight="1" x14ac:dyDescent="0.25">
      <c r="A410" s="9"/>
      <c r="B410" s="13" t="e">
        <f>VLOOKUP(Table24[[#This Row],[Location 
(drop-down)]],'List source'!D$2:E$59,2,FALSE)</f>
        <v>#N/A</v>
      </c>
      <c r="C410" s="25" t="s">
        <v>718</v>
      </c>
      <c r="D410" s="33" t="e">
        <f t="shared" si="6"/>
        <v>#N/A</v>
      </c>
      <c r="E410" s="11"/>
      <c r="F410" s="148"/>
      <c r="G410" s="12"/>
      <c r="H410" s="12"/>
      <c r="I410" s="12"/>
      <c r="J410" s="10"/>
      <c r="K410" s="9"/>
      <c r="L410" s="9"/>
      <c r="M410" s="10"/>
    </row>
    <row r="411" spans="1:13" s="4" customFormat="1" ht="30" customHeight="1" x14ac:dyDescent="0.25">
      <c r="A411" s="9"/>
      <c r="B411" s="13" t="e">
        <f>VLOOKUP(Table24[[#This Row],[Location 
(drop-down)]],'List source'!D$2:E$59,2,FALSE)</f>
        <v>#N/A</v>
      </c>
      <c r="C411" s="25" t="s">
        <v>719</v>
      </c>
      <c r="D411" s="33" t="e">
        <f t="shared" si="6"/>
        <v>#N/A</v>
      </c>
      <c r="E411" s="11"/>
      <c r="F411" s="148"/>
      <c r="G411" s="12"/>
      <c r="H411" s="12"/>
      <c r="I411" s="12"/>
      <c r="J411" s="10"/>
      <c r="K411" s="9"/>
      <c r="L411" s="9"/>
      <c r="M411" s="10"/>
    </row>
    <row r="412" spans="1:13" s="4" customFormat="1" ht="30" customHeight="1" x14ac:dyDescent="0.25">
      <c r="A412" s="9"/>
      <c r="B412" s="13" t="e">
        <f>VLOOKUP(Table24[[#This Row],[Location 
(drop-down)]],'List source'!D$2:E$59,2,FALSE)</f>
        <v>#N/A</v>
      </c>
      <c r="C412" s="25" t="s">
        <v>720</v>
      </c>
      <c r="D412" s="33" t="e">
        <f t="shared" si="6"/>
        <v>#N/A</v>
      </c>
      <c r="E412" s="11"/>
      <c r="F412" s="148"/>
      <c r="G412" s="12"/>
      <c r="H412" s="12"/>
      <c r="I412" s="12"/>
      <c r="J412" s="10"/>
      <c r="K412" s="9"/>
      <c r="L412" s="9"/>
      <c r="M412" s="10"/>
    </row>
    <row r="413" spans="1:13" s="4" customFormat="1" ht="30" customHeight="1" x14ac:dyDescent="0.25">
      <c r="A413" s="9"/>
      <c r="B413" s="13" t="e">
        <f>VLOOKUP(Table24[[#This Row],[Location 
(drop-down)]],'List source'!D$2:E$59,2,FALSE)</f>
        <v>#N/A</v>
      </c>
      <c r="C413" s="25" t="s">
        <v>721</v>
      </c>
      <c r="D413" s="33" t="e">
        <f t="shared" si="6"/>
        <v>#N/A</v>
      </c>
      <c r="E413" s="11"/>
      <c r="F413" s="148"/>
      <c r="G413" s="12"/>
      <c r="H413" s="12"/>
      <c r="I413" s="12"/>
      <c r="J413" s="10"/>
      <c r="K413" s="9"/>
      <c r="L413" s="9"/>
      <c r="M413" s="10"/>
    </row>
    <row r="414" spans="1:13" s="4" customFormat="1" ht="30" customHeight="1" x14ac:dyDescent="0.25">
      <c r="A414" s="9"/>
      <c r="B414" s="13" t="e">
        <f>VLOOKUP(Table24[[#This Row],[Location 
(drop-down)]],'List source'!D$2:E$59,2,FALSE)</f>
        <v>#N/A</v>
      </c>
      <c r="C414" s="25" t="s">
        <v>722</v>
      </c>
      <c r="D414" s="33" t="e">
        <f t="shared" si="6"/>
        <v>#N/A</v>
      </c>
      <c r="E414" s="11"/>
      <c r="F414" s="148"/>
      <c r="G414" s="12"/>
      <c r="H414" s="12"/>
      <c r="I414" s="12"/>
      <c r="J414" s="10"/>
      <c r="K414" s="9"/>
      <c r="L414" s="9"/>
      <c r="M414" s="10"/>
    </row>
    <row r="415" spans="1:13" s="4" customFormat="1" ht="30" customHeight="1" x14ac:dyDescent="0.25">
      <c r="A415" s="9"/>
      <c r="B415" s="13" t="e">
        <f>VLOOKUP(Table24[[#This Row],[Location 
(drop-down)]],'List source'!D$2:E$59,2,FALSE)</f>
        <v>#N/A</v>
      </c>
      <c r="C415" s="25" t="s">
        <v>723</v>
      </c>
      <c r="D415" s="33" t="e">
        <f t="shared" si="6"/>
        <v>#N/A</v>
      </c>
      <c r="E415" s="11"/>
      <c r="F415" s="148"/>
      <c r="G415" s="12"/>
      <c r="H415" s="12"/>
      <c r="I415" s="12"/>
      <c r="J415" s="10"/>
      <c r="K415" s="9"/>
      <c r="L415" s="9"/>
      <c r="M415" s="10"/>
    </row>
    <row r="416" spans="1:13" s="4" customFormat="1" ht="30" customHeight="1" x14ac:dyDescent="0.25">
      <c r="A416" s="9"/>
      <c r="B416" s="13" t="e">
        <f>VLOOKUP(Table24[[#This Row],[Location 
(drop-down)]],'List source'!D$2:E$59,2,FALSE)</f>
        <v>#N/A</v>
      </c>
      <c r="C416" s="25" t="s">
        <v>724</v>
      </c>
      <c r="D416" s="33" t="e">
        <f t="shared" si="6"/>
        <v>#N/A</v>
      </c>
      <c r="E416" s="11"/>
      <c r="F416" s="148"/>
      <c r="G416" s="12"/>
      <c r="H416" s="12"/>
      <c r="I416" s="12"/>
      <c r="J416" s="10"/>
      <c r="K416" s="9"/>
      <c r="L416" s="9"/>
      <c r="M416" s="10"/>
    </row>
    <row r="417" spans="1:13" s="4" customFormat="1" ht="30" customHeight="1" x14ac:dyDescent="0.25">
      <c r="A417" s="9"/>
      <c r="B417" s="13" t="e">
        <f>VLOOKUP(Table24[[#This Row],[Location 
(drop-down)]],'List source'!D$2:E$59,2,FALSE)</f>
        <v>#N/A</v>
      </c>
      <c r="C417" s="25" t="s">
        <v>725</v>
      </c>
      <c r="D417" s="33" t="e">
        <f t="shared" si="6"/>
        <v>#N/A</v>
      </c>
      <c r="E417" s="11"/>
      <c r="F417" s="148"/>
      <c r="G417" s="12"/>
      <c r="H417" s="12"/>
      <c r="I417" s="12"/>
      <c r="J417" s="10"/>
      <c r="K417" s="9"/>
      <c r="L417" s="9"/>
      <c r="M417" s="10"/>
    </row>
    <row r="418" spans="1:13" s="4" customFormat="1" ht="30" customHeight="1" x14ac:dyDescent="0.25">
      <c r="A418" s="9"/>
      <c r="B418" s="13" t="e">
        <f>VLOOKUP(Table24[[#This Row],[Location 
(drop-down)]],'List source'!D$2:E$59,2,FALSE)</f>
        <v>#N/A</v>
      </c>
      <c r="C418" s="25" t="s">
        <v>726</v>
      </c>
      <c r="D418" s="33" t="e">
        <f t="shared" si="6"/>
        <v>#N/A</v>
      </c>
      <c r="E418" s="11"/>
      <c r="F418" s="148"/>
      <c r="G418" s="12"/>
      <c r="H418" s="12"/>
      <c r="I418" s="12"/>
      <c r="J418" s="10"/>
      <c r="K418" s="9"/>
      <c r="L418" s="9"/>
      <c r="M418" s="10"/>
    </row>
    <row r="419" spans="1:13" s="4" customFormat="1" ht="30" customHeight="1" x14ac:dyDescent="0.25">
      <c r="A419" s="9"/>
      <c r="B419" s="13" t="e">
        <f>VLOOKUP(Table24[[#This Row],[Location 
(drop-down)]],'List source'!D$2:E$59,2,FALSE)</f>
        <v>#N/A</v>
      </c>
      <c r="C419" s="25" t="s">
        <v>727</v>
      </c>
      <c r="D419" s="33" t="e">
        <f t="shared" si="6"/>
        <v>#N/A</v>
      </c>
      <c r="E419" s="11"/>
      <c r="F419" s="148"/>
      <c r="G419" s="12"/>
      <c r="H419" s="12"/>
      <c r="I419" s="12"/>
      <c r="J419" s="10"/>
      <c r="K419" s="9"/>
      <c r="L419" s="9"/>
      <c r="M419" s="10"/>
    </row>
    <row r="420" spans="1:13" s="4" customFormat="1" ht="30" customHeight="1" x14ac:dyDescent="0.25">
      <c r="A420" s="9"/>
      <c r="B420" s="13" t="e">
        <f>VLOOKUP(Table24[[#This Row],[Location 
(drop-down)]],'List source'!D$2:E$59,2,FALSE)</f>
        <v>#N/A</v>
      </c>
      <c r="C420" s="25" t="s">
        <v>728</v>
      </c>
      <c r="D420" s="33" t="e">
        <f t="shared" si="6"/>
        <v>#N/A</v>
      </c>
      <c r="E420" s="11"/>
      <c r="F420" s="148"/>
      <c r="G420" s="12"/>
      <c r="H420" s="12"/>
      <c r="I420" s="12"/>
      <c r="J420" s="10"/>
      <c r="K420" s="9"/>
      <c r="L420" s="9"/>
      <c r="M420" s="10"/>
    </row>
    <row r="421" spans="1:13" s="4" customFormat="1" ht="30" customHeight="1" x14ac:dyDescent="0.25">
      <c r="A421" s="9"/>
      <c r="B421" s="13" t="e">
        <f>VLOOKUP(Table24[[#This Row],[Location 
(drop-down)]],'List source'!D$2:E$59,2,FALSE)</f>
        <v>#N/A</v>
      </c>
      <c r="C421" s="25" t="s">
        <v>729</v>
      </c>
      <c r="D421" s="33" t="e">
        <f t="shared" si="6"/>
        <v>#N/A</v>
      </c>
      <c r="E421" s="11"/>
      <c r="F421" s="148"/>
      <c r="G421" s="12"/>
      <c r="H421" s="12"/>
      <c r="I421" s="12"/>
      <c r="J421" s="10"/>
      <c r="K421" s="9"/>
      <c r="L421" s="9"/>
      <c r="M421" s="10"/>
    </row>
    <row r="422" spans="1:13" s="4" customFormat="1" ht="30" customHeight="1" x14ac:dyDescent="0.25">
      <c r="A422" s="9"/>
      <c r="B422" s="13" t="e">
        <f>VLOOKUP(Table24[[#This Row],[Location 
(drop-down)]],'List source'!D$2:E$59,2,FALSE)</f>
        <v>#N/A</v>
      </c>
      <c r="C422" s="25" t="s">
        <v>730</v>
      </c>
      <c r="D422" s="33" t="e">
        <f t="shared" si="6"/>
        <v>#N/A</v>
      </c>
      <c r="E422" s="11"/>
      <c r="F422" s="148"/>
      <c r="G422" s="12"/>
      <c r="H422" s="12"/>
      <c r="I422" s="12"/>
      <c r="J422" s="10"/>
      <c r="K422" s="9"/>
      <c r="L422" s="9"/>
      <c r="M422" s="10"/>
    </row>
    <row r="423" spans="1:13" s="4" customFormat="1" ht="30" customHeight="1" x14ac:dyDescent="0.25">
      <c r="A423" s="9"/>
      <c r="B423" s="13" t="e">
        <f>VLOOKUP(Table24[[#This Row],[Location 
(drop-down)]],'List source'!D$2:E$59,2,FALSE)</f>
        <v>#N/A</v>
      </c>
      <c r="C423" s="25" t="s">
        <v>731</v>
      </c>
      <c r="D423" s="33" t="e">
        <f t="shared" si="6"/>
        <v>#N/A</v>
      </c>
      <c r="E423" s="11"/>
      <c r="F423" s="148"/>
      <c r="G423" s="12"/>
      <c r="H423" s="12"/>
      <c r="I423" s="12"/>
      <c r="J423" s="10"/>
      <c r="K423" s="9"/>
      <c r="L423" s="9"/>
      <c r="M423" s="10"/>
    </row>
    <row r="424" spans="1:13" s="4" customFormat="1" ht="30" customHeight="1" x14ac:dyDescent="0.25">
      <c r="A424" s="9"/>
      <c r="B424" s="13" t="e">
        <f>VLOOKUP(Table24[[#This Row],[Location 
(drop-down)]],'List source'!D$2:E$59,2,FALSE)</f>
        <v>#N/A</v>
      </c>
      <c r="C424" s="25" t="s">
        <v>732</v>
      </c>
      <c r="D424" s="33" t="e">
        <f t="shared" si="6"/>
        <v>#N/A</v>
      </c>
      <c r="E424" s="11"/>
      <c r="F424" s="148"/>
      <c r="G424" s="12"/>
      <c r="H424" s="12"/>
      <c r="I424" s="12"/>
      <c r="J424" s="10"/>
      <c r="K424" s="9"/>
      <c r="L424" s="9"/>
      <c r="M424" s="10"/>
    </row>
    <row r="425" spans="1:13" s="4" customFormat="1" ht="30" customHeight="1" x14ac:dyDescent="0.25">
      <c r="A425" s="9"/>
      <c r="B425" s="13" t="e">
        <f>VLOOKUP(Table24[[#This Row],[Location 
(drop-down)]],'List source'!D$2:E$59,2,FALSE)</f>
        <v>#N/A</v>
      </c>
      <c r="C425" s="25" t="s">
        <v>733</v>
      </c>
      <c r="D425" s="33" t="e">
        <f t="shared" si="6"/>
        <v>#N/A</v>
      </c>
      <c r="E425" s="11"/>
      <c r="F425" s="148"/>
      <c r="G425" s="12"/>
      <c r="H425" s="12"/>
      <c r="I425" s="12"/>
      <c r="J425" s="10"/>
      <c r="K425" s="9"/>
      <c r="L425" s="9"/>
      <c r="M425" s="10"/>
    </row>
    <row r="426" spans="1:13" s="4" customFormat="1" ht="30" customHeight="1" x14ac:dyDescent="0.25">
      <c r="A426" s="9"/>
      <c r="B426" s="13" t="e">
        <f>VLOOKUP(Table24[[#This Row],[Location 
(drop-down)]],'List source'!D$2:E$59,2,FALSE)</f>
        <v>#N/A</v>
      </c>
      <c r="C426" s="25" t="s">
        <v>734</v>
      </c>
      <c r="D426" s="33" t="e">
        <f t="shared" si="6"/>
        <v>#N/A</v>
      </c>
      <c r="E426" s="11"/>
      <c r="F426" s="148"/>
      <c r="G426" s="12"/>
      <c r="H426" s="12"/>
      <c r="I426" s="12"/>
      <c r="J426" s="10"/>
      <c r="K426" s="9"/>
      <c r="L426" s="9"/>
      <c r="M426" s="10"/>
    </row>
    <row r="427" spans="1:13" s="4" customFormat="1" ht="30" customHeight="1" x14ac:dyDescent="0.25">
      <c r="A427" s="9"/>
      <c r="B427" s="13" t="e">
        <f>VLOOKUP(Table24[[#This Row],[Location 
(drop-down)]],'List source'!D$2:E$59,2,FALSE)</f>
        <v>#N/A</v>
      </c>
      <c r="C427" s="25" t="s">
        <v>735</v>
      </c>
      <c r="D427" s="33" t="e">
        <f t="shared" si="6"/>
        <v>#N/A</v>
      </c>
      <c r="E427" s="11"/>
      <c r="F427" s="148"/>
      <c r="G427" s="12"/>
      <c r="H427" s="12"/>
      <c r="I427" s="12"/>
      <c r="J427" s="10"/>
      <c r="K427" s="9"/>
      <c r="L427" s="9"/>
      <c r="M427" s="10"/>
    </row>
    <row r="428" spans="1:13" s="4" customFormat="1" ht="30" customHeight="1" x14ac:dyDescent="0.25">
      <c r="A428" s="9"/>
      <c r="B428" s="13" t="e">
        <f>VLOOKUP(Table24[[#This Row],[Location 
(drop-down)]],'List source'!D$2:E$59,2,FALSE)</f>
        <v>#N/A</v>
      </c>
      <c r="C428" s="25" t="s">
        <v>736</v>
      </c>
      <c r="D428" s="33" t="e">
        <f t="shared" si="6"/>
        <v>#N/A</v>
      </c>
      <c r="E428" s="11"/>
      <c r="F428" s="148"/>
      <c r="G428" s="12"/>
      <c r="H428" s="12"/>
      <c r="I428" s="12"/>
      <c r="J428" s="10"/>
      <c r="K428" s="9"/>
      <c r="L428" s="9"/>
      <c r="M428" s="10"/>
    </row>
    <row r="429" spans="1:13" s="4" customFormat="1" ht="30" customHeight="1" x14ac:dyDescent="0.25">
      <c r="A429" s="9"/>
      <c r="B429" s="13" t="e">
        <f>VLOOKUP(Table24[[#This Row],[Location 
(drop-down)]],'List source'!D$2:E$59,2,FALSE)</f>
        <v>#N/A</v>
      </c>
      <c r="C429" s="25" t="s">
        <v>737</v>
      </c>
      <c r="D429" s="33" t="e">
        <f t="shared" si="6"/>
        <v>#N/A</v>
      </c>
      <c r="E429" s="11"/>
      <c r="F429" s="148"/>
      <c r="G429" s="12"/>
      <c r="H429" s="12"/>
      <c r="I429" s="12"/>
      <c r="J429" s="10"/>
      <c r="K429" s="9"/>
      <c r="L429" s="9"/>
      <c r="M429" s="10"/>
    </row>
    <row r="430" spans="1:13" s="4" customFormat="1" ht="30" customHeight="1" x14ac:dyDescent="0.25">
      <c r="A430" s="9"/>
      <c r="B430" s="13" t="e">
        <f>VLOOKUP(Table24[[#This Row],[Location 
(drop-down)]],'List source'!D$2:E$59,2,FALSE)</f>
        <v>#N/A</v>
      </c>
      <c r="C430" s="25" t="s">
        <v>738</v>
      </c>
      <c r="D430" s="33" t="e">
        <f t="shared" si="6"/>
        <v>#N/A</v>
      </c>
      <c r="E430" s="11"/>
      <c r="F430" s="148"/>
      <c r="G430" s="12"/>
      <c r="H430" s="12"/>
      <c r="I430" s="12"/>
      <c r="J430" s="10"/>
      <c r="K430" s="9"/>
      <c r="L430" s="9"/>
      <c r="M430" s="10"/>
    </row>
    <row r="431" spans="1:13" s="4" customFormat="1" ht="30" customHeight="1" x14ac:dyDescent="0.25">
      <c r="A431" s="9"/>
      <c r="B431" s="13" t="e">
        <f>VLOOKUP(Table24[[#This Row],[Location 
(drop-down)]],'List source'!D$2:E$59,2,FALSE)</f>
        <v>#N/A</v>
      </c>
      <c r="C431" s="25" t="s">
        <v>739</v>
      </c>
      <c r="D431" s="33" t="e">
        <f t="shared" si="6"/>
        <v>#N/A</v>
      </c>
      <c r="E431" s="11"/>
      <c r="F431" s="148"/>
      <c r="G431" s="12"/>
      <c r="H431" s="12"/>
      <c r="I431" s="12"/>
      <c r="J431" s="10"/>
      <c r="K431" s="9"/>
      <c r="L431" s="9"/>
      <c r="M431" s="10"/>
    </row>
    <row r="432" spans="1:13" s="4" customFormat="1" ht="30" customHeight="1" x14ac:dyDescent="0.25">
      <c r="A432" s="9"/>
      <c r="B432" s="13" t="e">
        <f>VLOOKUP(Table24[[#This Row],[Location 
(drop-down)]],'List source'!D$2:E$59,2,FALSE)</f>
        <v>#N/A</v>
      </c>
      <c r="C432" s="25" t="s">
        <v>740</v>
      </c>
      <c r="D432" s="33" t="e">
        <f t="shared" si="6"/>
        <v>#N/A</v>
      </c>
      <c r="E432" s="11"/>
      <c r="F432" s="148"/>
      <c r="G432" s="12"/>
      <c r="H432" s="12"/>
      <c r="I432" s="12"/>
      <c r="J432" s="10"/>
      <c r="K432" s="9"/>
      <c r="L432" s="9"/>
      <c r="M432" s="10"/>
    </row>
    <row r="433" spans="1:13" s="4" customFormat="1" ht="30" customHeight="1" x14ac:dyDescent="0.25">
      <c r="A433" s="9"/>
      <c r="B433" s="13" t="e">
        <f>VLOOKUP(Table24[[#This Row],[Location 
(drop-down)]],'List source'!D$2:E$59,2,FALSE)</f>
        <v>#N/A</v>
      </c>
      <c r="C433" s="25" t="s">
        <v>741</v>
      </c>
      <c r="D433" s="33" t="e">
        <f t="shared" si="6"/>
        <v>#N/A</v>
      </c>
      <c r="E433" s="11"/>
      <c r="F433" s="148"/>
      <c r="G433" s="12"/>
      <c r="H433" s="12"/>
      <c r="I433" s="12"/>
      <c r="J433" s="10"/>
      <c r="K433" s="9"/>
      <c r="L433" s="9"/>
      <c r="M433" s="10"/>
    </row>
    <row r="434" spans="1:13" s="4" customFormat="1" ht="30" customHeight="1" x14ac:dyDescent="0.25">
      <c r="A434" s="9"/>
      <c r="B434" s="13" t="e">
        <f>VLOOKUP(Table24[[#This Row],[Location 
(drop-down)]],'List source'!D$2:E$59,2,FALSE)</f>
        <v>#N/A</v>
      </c>
      <c r="C434" s="25" t="s">
        <v>742</v>
      </c>
      <c r="D434" s="33" t="e">
        <f t="shared" si="6"/>
        <v>#N/A</v>
      </c>
      <c r="E434" s="11"/>
      <c r="F434" s="148"/>
      <c r="G434" s="12"/>
      <c r="H434" s="12"/>
      <c r="I434" s="12"/>
      <c r="J434" s="10"/>
      <c r="K434" s="9"/>
      <c r="L434" s="9"/>
      <c r="M434" s="10"/>
    </row>
    <row r="435" spans="1:13" s="4" customFormat="1" ht="30" customHeight="1" x14ac:dyDescent="0.25">
      <c r="A435" s="9"/>
      <c r="B435" s="13" t="e">
        <f>VLOOKUP(Table24[[#This Row],[Location 
(drop-down)]],'List source'!D$2:E$59,2,FALSE)</f>
        <v>#N/A</v>
      </c>
      <c r="C435" s="25" t="s">
        <v>743</v>
      </c>
      <c r="D435" s="33" t="e">
        <f t="shared" si="6"/>
        <v>#N/A</v>
      </c>
      <c r="E435" s="11"/>
      <c r="F435" s="148"/>
      <c r="G435" s="12"/>
      <c r="H435" s="12"/>
      <c r="I435" s="12"/>
      <c r="J435" s="10"/>
      <c r="K435" s="9"/>
      <c r="L435" s="9"/>
      <c r="M435" s="10"/>
    </row>
    <row r="436" spans="1:13" s="4" customFormat="1" ht="30" customHeight="1" x14ac:dyDescent="0.25">
      <c r="A436" s="9"/>
      <c r="B436" s="13" t="e">
        <f>VLOOKUP(Table24[[#This Row],[Location 
(drop-down)]],'List source'!D$2:E$59,2,FALSE)</f>
        <v>#N/A</v>
      </c>
      <c r="C436" s="25" t="s">
        <v>744</v>
      </c>
      <c r="D436" s="33" t="e">
        <f t="shared" si="6"/>
        <v>#N/A</v>
      </c>
      <c r="E436" s="11"/>
      <c r="F436" s="148"/>
      <c r="G436" s="12"/>
      <c r="H436" s="12"/>
      <c r="I436" s="12"/>
      <c r="J436" s="10"/>
      <c r="K436" s="9"/>
      <c r="L436" s="9"/>
      <c r="M436" s="10"/>
    </row>
    <row r="437" spans="1:13" s="4" customFormat="1" ht="30" customHeight="1" x14ac:dyDescent="0.25">
      <c r="A437" s="9"/>
      <c r="B437" s="13" t="e">
        <f>VLOOKUP(Table24[[#This Row],[Location 
(drop-down)]],'List source'!D$2:E$59,2,FALSE)</f>
        <v>#N/A</v>
      </c>
      <c r="C437" s="25" t="s">
        <v>745</v>
      </c>
      <c r="D437" s="33" t="e">
        <f t="shared" si="6"/>
        <v>#N/A</v>
      </c>
      <c r="E437" s="11"/>
      <c r="F437" s="148"/>
      <c r="G437" s="12"/>
      <c r="H437" s="12"/>
      <c r="I437" s="12"/>
      <c r="J437" s="10"/>
      <c r="K437" s="9"/>
      <c r="L437" s="9"/>
      <c r="M437" s="10"/>
    </row>
    <row r="438" spans="1:13" s="4" customFormat="1" ht="30" customHeight="1" x14ac:dyDescent="0.25">
      <c r="A438" s="9"/>
      <c r="B438" s="13" t="e">
        <f>VLOOKUP(Table24[[#This Row],[Location 
(drop-down)]],'List source'!D$2:E$59,2,FALSE)</f>
        <v>#N/A</v>
      </c>
      <c r="C438" s="25" t="s">
        <v>746</v>
      </c>
      <c r="D438" s="33" t="e">
        <f t="shared" si="6"/>
        <v>#N/A</v>
      </c>
      <c r="E438" s="11"/>
      <c r="F438" s="148"/>
      <c r="G438" s="12"/>
      <c r="H438" s="12"/>
      <c r="I438" s="12"/>
      <c r="J438" s="10"/>
      <c r="K438" s="9"/>
      <c r="L438" s="9"/>
      <c r="M438" s="10"/>
    </row>
    <row r="439" spans="1:13" s="4" customFormat="1" ht="30" customHeight="1" x14ac:dyDescent="0.25">
      <c r="A439" s="9"/>
      <c r="B439" s="13" t="e">
        <f>VLOOKUP(Table24[[#This Row],[Location 
(drop-down)]],'List source'!D$2:E$59,2,FALSE)</f>
        <v>#N/A</v>
      </c>
      <c r="C439" s="25" t="s">
        <v>747</v>
      </c>
      <c r="D439" s="33" t="e">
        <f t="shared" si="6"/>
        <v>#N/A</v>
      </c>
      <c r="E439" s="11"/>
      <c r="F439" s="148"/>
      <c r="G439" s="12"/>
      <c r="H439" s="12"/>
      <c r="I439" s="12"/>
      <c r="J439" s="10"/>
      <c r="K439" s="9"/>
      <c r="L439" s="9"/>
      <c r="M439" s="10"/>
    </row>
    <row r="440" spans="1:13" s="4" customFormat="1" ht="30" customHeight="1" x14ac:dyDescent="0.25">
      <c r="A440" s="9"/>
      <c r="B440" s="13" t="e">
        <f>VLOOKUP(Table24[[#This Row],[Location 
(drop-down)]],'List source'!D$2:E$59,2,FALSE)</f>
        <v>#N/A</v>
      </c>
      <c r="C440" s="25" t="s">
        <v>748</v>
      </c>
      <c r="D440" s="33" t="e">
        <f t="shared" si="6"/>
        <v>#N/A</v>
      </c>
      <c r="E440" s="11"/>
      <c r="F440" s="148"/>
      <c r="G440" s="12"/>
      <c r="H440" s="12"/>
      <c r="I440" s="12"/>
      <c r="J440" s="10"/>
      <c r="K440" s="9"/>
      <c r="L440" s="9"/>
      <c r="M440" s="10"/>
    </row>
    <row r="441" spans="1:13" s="4" customFormat="1" ht="30" customHeight="1" x14ac:dyDescent="0.25">
      <c r="A441" s="9"/>
      <c r="B441" s="13" t="e">
        <f>VLOOKUP(Table24[[#This Row],[Location 
(drop-down)]],'List source'!D$2:E$59,2,FALSE)</f>
        <v>#N/A</v>
      </c>
      <c r="C441" s="25" t="s">
        <v>749</v>
      </c>
      <c r="D441" s="33" t="e">
        <f t="shared" si="6"/>
        <v>#N/A</v>
      </c>
      <c r="E441" s="11"/>
      <c r="F441" s="148"/>
      <c r="G441" s="12"/>
      <c r="H441" s="12"/>
      <c r="I441" s="12"/>
      <c r="J441" s="10"/>
      <c r="K441" s="9"/>
      <c r="L441" s="9"/>
      <c r="M441" s="10"/>
    </row>
    <row r="442" spans="1:13" s="4" customFormat="1" ht="30" customHeight="1" x14ac:dyDescent="0.25">
      <c r="A442" s="9"/>
      <c r="B442" s="13" t="e">
        <f>VLOOKUP(Table24[[#This Row],[Location 
(drop-down)]],'List source'!D$2:E$59,2,FALSE)</f>
        <v>#N/A</v>
      </c>
      <c r="C442" s="25" t="s">
        <v>750</v>
      </c>
      <c r="D442" s="33" t="e">
        <f t="shared" si="6"/>
        <v>#N/A</v>
      </c>
      <c r="E442" s="11"/>
      <c r="F442" s="148"/>
      <c r="G442" s="12"/>
      <c r="H442" s="12"/>
      <c r="I442" s="12"/>
      <c r="J442" s="10"/>
      <c r="K442" s="9"/>
      <c r="L442" s="9"/>
      <c r="M442" s="10"/>
    </row>
    <row r="443" spans="1:13" s="4" customFormat="1" ht="30" customHeight="1" x14ac:dyDescent="0.25">
      <c r="A443" s="9"/>
      <c r="B443" s="13" t="e">
        <f>VLOOKUP(Table24[[#This Row],[Location 
(drop-down)]],'List source'!D$2:E$59,2,FALSE)</f>
        <v>#N/A</v>
      </c>
      <c r="C443" s="25" t="s">
        <v>751</v>
      </c>
      <c r="D443" s="33" t="e">
        <f t="shared" si="6"/>
        <v>#N/A</v>
      </c>
      <c r="E443" s="11"/>
      <c r="F443" s="148"/>
      <c r="G443" s="12"/>
      <c r="H443" s="12"/>
      <c r="I443" s="12"/>
      <c r="J443" s="10"/>
      <c r="K443" s="9"/>
      <c r="L443" s="9"/>
      <c r="M443" s="10"/>
    </row>
    <row r="444" spans="1:13" s="4" customFormat="1" ht="30" customHeight="1" x14ac:dyDescent="0.25">
      <c r="A444" s="9"/>
      <c r="B444" s="13" t="e">
        <f>VLOOKUP(Table24[[#This Row],[Location 
(drop-down)]],'List source'!D$2:E$59,2,FALSE)</f>
        <v>#N/A</v>
      </c>
      <c r="C444" s="25" t="s">
        <v>752</v>
      </c>
      <c r="D444" s="33" t="e">
        <f t="shared" si="6"/>
        <v>#N/A</v>
      </c>
      <c r="E444" s="11"/>
      <c r="F444" s="148"/>
      <c r="G444" s="12"/>
      <c r="H444" s="12"/>
      <c r="I444" s="12"/>
      <c r="J444" s="10"/>
      <c r="K444" s="9"/>
      <c r="L444" s="9"/>
      <c r="M444" s="10"/>
    </row>
    <row r="445" spans="1:13" s="4" customFormat="1" ht="30" customHeight="1" x14ac:dyDescent="0.25">
      <c r="A445" s="9"/>
      <c r="B445" s="13" t="e">
        <f>VLOOKUP(Table24[[#This Row],[Location 
(drop-down)]],'List source'!D$2:E$59,2,FALSE)</f>
        <v>#N/A</v>
      </c>
      <c r="C445" s="25" t="s">
        <v>753</v>
      </c>
      <c r="D445" s="33" t="e">
        <f t="shared" si="6"/>
        <v>#N/A</v>
      </c>
      <c r="E445" s="11"/>
      <c r="F445" s="148"/>
      <c r="G445" s="12"/>
      <c r="H445" s="12"/>
      <c r="I445" s="12"/>
      <c r="J445" s="10"/>
      <c r="K445" s="9"/>
      <c r="L445" s="9"/>
      <c r="M445" s="10"/>
    </row>
    <row r="446" spans="1:13" s="4" customFormat="1" ht="30" customHeight="1" x14ac:dyDescent="0.25">
      <c r="A446" s="9"/>
      <c r="B446" s="13" t="e">
        <f>VLOOKUP(Table24[[#This Row],[Location 
(drop-down)]],'List source'!D$2:E$59,2,FALSE)</f>
        <v>#N/A</v>
      </c>
      <c r="C446" s="25" t="s">
        <v>754</v>
      </c>
      <c r="D446" s="33" t="e">
        <f t="shared" si="6"/>
        <v>#N/A</v>
      </c>
      <c r="E446" s="11"/>
      <c r="F446" s="148"/>
      <c r="G446" s="12"/>
      <c r="H446" s="12"/>
      <c r="I446" s="12"/>
      <c r="J446" s="10"/>
      <c r="K446" s="9"/>
      <c r="L446" s="9"/>
      <c r="M446" s="10"/>
    </row>
    <row r="447" spans="1:13" s="4" customFormat="1" ht="30" customHeight="1" x14ac:dyDescent="0.25">
      <c r="A447" s="9"/>
      <c r="B447" s="13" t="e">
        <f>VLOOKUP(Table24[[#This Row],[Location 
(drop-down)]],'List source'!D$2:E$59,2,FALSE)</f>
        <v>#N/A</v>
      </c>
      <c r="C447" s="25" t="s">
        <v>755</v>
      </c>
      <c r="D447" s="33" t="e">
        <f t="shared" si="6"/>
        <v>#N/A</v>
      </c>
      <c r="E447" s="11"/>
      <c r="F447" s="148"/>
      <c r="G447" s="12"/>
      <c r="H447" s="12"/>
      <c r="I447" s="12"/>
      <c r="J447" s="10"/>
      <c r="K447" s="9"/>
      <c r="L447" s="9"/>
      <c r="M447" s="10"/>
    </row>
    <row r="448" spans="1:13" s="4" customFormat="1" ht="30" customHeight="1" x14ac:dyDescent="0.25">
      <c r="A448" s="9"/>
      <c r="B448" s="13" t="e">
        <f>VLOOKUP(Table24[[#This Row],[Location 
(drop-down)]],'List source'!D$2:E$59,2,FALSE)</f>
        <v>#N/A</v>
      </c>
      <c r="C448" s="25" t="s">
        <v>756</v>
      </c>
      <c r="D448" s="33" t="e">
        <f t="shared" si="6"/>
        <v>#N/A</v>
      </c>
      <c r="E448" s="11"/>
      <c r="F448" s="148"/>
      <c r="G448" s="12"/>
      <c r="H448" s="12"/>
      <c r="I448" s="12"/>
      <c r="J448" s="10"/>
      <c r="K448" s="9"/>
      <c r="L448" s="9"/>
      <c r="M448" s="10"/>
    </row>
    <row r="449" spans="1:13" s="4" customFormat="1" ht="30" customHeight="1" x14ac:dyDescent="0.25">
      <c r="A449" s="9"/>
      <c r="B449" s="13" t="e">
        <f>VLOOKUP(Table24[[#This Row],[Location 
(drop-down)]],'List source'!D$2:E$59,2,FALSE)</f>
        <v>#N/A</v>
      </c>
      <c r="C449" s="25" t="s">
        <v>757</v>
      </c>
      <c r="D449" s="33" t="e">
        <f t="shared" si="6"/>
        <v>#N/A</v>
      </c>
      <c r="E449" s="11"/>
      <c r="F449" s="148"/>
      <c r="G449" s="12"/>
      <c r="H449" s="12"/>
      <c r="I449" s="12"/>
      <c r="J449" s="10"/>
      <c r="K449" s="9"/>
      <c r="L449" s="9"/>
      <c r="M449" s="10"/>
    </row>
    <row r="450" spans="1:13" s="4" customFormat="1" ht="30" customHeight="1" x14ac:dyDescent="0.25">
      <c r="A450" s="9"/>
      <c r="B450" s="13" t="e">
        <f>VLOOKUP(Table24[[#This Row],[Location 
(drop-down)]],'List source'!D$2:E$59,2,FALSE)</f>
        <v>#N/A</v>
      </c>
      <c r="C450" s="25" t="s">
        <v>758</v>
      </c>
      <c r="D450" s="33" t="e">
        <f t="shared" ref="D450:D501" si="7">"P" &amp; C450 &amp; "-" &amp; B450 &amp; "-" &amp; "23"</f>
        <v>#N/A</v>
      </c>
      <c r="E450" s="11"/>
      <c r="F450" s="148"/>
      <c r="G450" s="12"/>
      <c r="H450" s="12"/>
      <c r="I450" s="12"/>
      <c r="J450" s="10"/>
      <c r="K450" s="9"/>
      <c r="L450" s="9"/>
      <c r="M450" s="10"/>
    </row>
    <row r="451" spans="1:13" s="4" customFormat="1" ht="30" customHeight="1" x14ac:dyDescent="0.25">
      <c r="A451" s="9"/>
      <c r="B451" s="13" t="e">
        <f>VLOOKUP(Table24[[#This Row],[Location 
(drop-down)]],'List source'!D$2:E$59,2,FALSE)</f>
        <v>#N/A</v>
      </c>
      <c r="C451" s="25" t="s">
        <v>759</v>
      </c>
      <c r="D451" s="33" t="e">
        <f t="shared" si="7"/>
        <v>#N/A</v>
      </c>
      <c r="E451" s="11"/>
      <c r="F451" s="148"/>
      <c r="G451" s="12"/>
      <c r="H451" s="12"/>
      <c r="I451" s="12"/>
      <c r="J451" s="10"/>
      <c r="K451" s="9"/>
      <c r="L451" s="9"/>
      <c r="M451" s="10"/>
    </row>
    <row r="452" spans="1:13" s="4" customFormat="1" ht="30" customHeight="1" x14ac:dyDescent="0.25">
      <c r="A452" s="9"/>
      <c r="B452" s="13" t="e">
        <f>VLOOKUP(Table24[[#This Row],[Location 
(drop-down)]],'List source'!D$2:E$59,2,FALSE)</f>
        <v>#N/A</v>
      </c>
      <c r="C452" s="25" t="s">
        <v>760</v>
      </c>
      <c r="D452" s="33" t="e">
        <f t="shared" si="7"/>
        <v>#N/A</v>
      </c>
      <c r="E452" s="11"/>
      <c r="F452" s="148"/>
      <c r="G452" s="12"/>
      <c r="H452" s="12"/>
      <c r="I452" s="12"/>
      <c r="J452" s="10"/>
      <c r="K452" s="9"/>
      <c r="L452" s="9"/>
      <c r="M452" s="10"/>
    </row>
    <row r="453" spans="1:13" s="4" customFormat="1" ht="30" customHeight="1" x14ac:dyDescent="0.25">
      <c r="A453" s="9"/>
      <c r="B453" s="13" t="e">
        <f>VLOOKUP(Table24[[#This Row],[Location 
(drop-down)]],'List source'!D$2:E$59,2,FALSE)</f>
        <v>#N/A</v>
      </c>
      <c r="C453" s="25" t="s">
        <v>761</v>
      </c>
      <c r="D453" s="33" t="e">
        <f t="shared" si="7"/>
        <v>#N/A</v>
      </c>
      <c r="E453" s="11"/>
      <c r="F453" s="148"/>
      <c r="G453" s="12"/>
      <c r="H453" s="12"/>
      <c r="I453" s="12"/>
      <c r="J453" s="10"/>
      <c r="K453" s="9"/>
      <c r="L453" s="9"/>
      <c r="M453" s="10"/>
    </row>
    <row r="454" spans="1:13" s="4" customFormat="1" ht="30" customHeight="1" x14ac:dyDescent="0.25">
      <c r="A454" s="9"/>
      <c r="B454" s="13" t="e">
        <f>VLOOKUP(Table24[[#This Row],[Location 
(drop-down)]],'List source'!D$2:E$59,2,FALSE)</f>
        <v>#N/A</v>
      </c>
      <c r="C454" s="25" t="s">
        <v>762</v>
      </c>
      <c r="D454" s="33" t="e">
        <f t="shared" si="7"/>
        <v>#N/A</v>
      </c>
      <c r="E454" s="11"/>
      <c r="F454" s="148"/>
      <c r="G454" s="12"/>
      <c r="H454" s="12"/>
      <c r="I454" s="12"/>
      <c r="J454" s="10"/>
      <c r="K454" s="9"/>
      <c r="L454" s="9"/>
      <c r="M454" s="10"/>
    </row>
    <row r="455" spans="1:13" s="4" customFormat="1" ht="30" customHeight="1" x14ac:dyDescent="0.25">
      <c r="A455" s="9"/>
      <c r="B455" s="13" t="e">
        <f>VLOOKUP(Table24[[#This Row],[Location 
(drop-down)]],'List source'!D$2:E$59,2,FALSE)</f>
        <v>#N/A</v>
      </c>
      <c r="C455" s="25" t="s">
        <v>763</v>
      </c>
      <c r="D455" s="33" t="e">
        <f t="shared" si="7"/>
        <v>#N/A</v>
      </c>
      <c r="E455" s="11"/>
      <c r="F455" s="148"/>
      <c r="G455" s="12"/>
      <c r="H455" s="12"/>
      <c r="I455" s="12"/>
      <c r="J455" s="10"/>
      <c r="K455" s="9"/>
      <c r="L455" s="9"/>
      <c r="M455" s="10"/>
    </row>
    <row r="456" spans="1:13" s="4" customFormat="1" ht="30" customHeight="1" x14ac:dyDescent="0.25">
      <c r="A456" s="9"/>
      <c r="B456" s="13" t="e">
        <f>VLOOKUP(Table24[[#This Row],[Location 
(drop-down)]],'List source'!D$2:E$59,2,FALSE)</f>
        <v>#N/A</v>
      </c>
      <c r="C456" s="25" t="s">
        <v>764</v>
      </c>
      <c r="D456" s="33" t="e">
        <f t="shared" si="7"/>
        <v>#N/A</v>
      </c>
      <c r="E456" s="11"/>
      <c r="F456" s="148"/>
      <c r="G456" s="12"/>
      <c r="H456" s="12"/>
      <c r="I456" s="12"/>
      <c r="J456" s="10"/>
      <c r="K456" s="9"/>
      <c r="L456" s="9"/>
      <c r="M456" s="10"/>
    </row>
    <row r="457" spans="1:13" s="4" customFormat="1" ht="30" customHeight="1" x14ac:dyDescent="0.25">
      <c r="A457" s="9"/>
      <c r="B457" s="13" t="e">
        <f>VLOOKUP(Table24[[#This Row],[Location 
(drop-down)]],'List source'!D$2:E$59,2,FALSE)</f>
        <v>#N/A</v>
      </c>
      <c r="C457" s="25" t="s">
        <v>765</v>
      </c>
      <c r="D457" s="33" t="e">
        <f t="shared" si="7"/>
        <v>#N/A</v>
      </c>
      <c r="E457" s="11"/>
      <c r="F457" s="148"/>
      <c r="G457" s="12"/>
      <c r="H457" s="12"/>
      <c r="I457" s="12"/>
      <c r="J457" s="10"/>
      <c r="K457" s="9"/>
      <c r="L457" s="9"/>
      <c r="M457" s="10"/>
    </row>
    <row r="458" spans="1:13" s="4" customFormat="1" ht="30" customHeight="1" x14ac:dyDescent="0.25">
      <c r="A458" s="9"/>
      <c r="B458" s="13" t="e">
        <f>VLOOKUP(Table24[[#This Row],[Location 
(drop-down)]],'List source'!D$2:E$59,2,FALSE)</f>
        <v>#N/A</v>
      </c>
      <c r="C458" s="25" t="s">
        <v>766</v>
      </c>
      <c r="D458" s="33" t="e">
        <f t="shared" si="7"/>
        <v>#N/A</v>
      </c>
      <c r="E458" s="11"/>
      <c r="F458" s="148"/>
      <c r="G458" s="12"/>
      <c r="H458" s="12"/>
      <c r="I458" s="12"/>
      <c r="J458" s="10"/>
      <c r="K458" s="9"/>
      <c r="L458" s="9"/>
      <c r="M458" s="10"/>
    </row>
    <row r="459" spans="1:13" s="4" customFormat="1" ht="30" customHeight="1" x14ac:dyDescent="0.25">
      <c r="A459" s="9"/>
      <c r="B459" s="13" t="e">
        <f>VLOOKUP(Table24[[#This Row],[Location 
(drop-down)]],'List source'!D$2:E$59,2,FALSE)</f>
        <v>#N/A</v>
      </c>
      <c r="C459" s="25" t="s">
        <v>767</v>
      </c>
      <c r="D459" s="33" t="e">
        <f t="shared" si="7"/>
        <v>#N/A</v>
      </c>
      <c r="E459" s="11"/>
      <c r="F459" s="148"/>
      <c r="G459" s="12"/>
      <c r="H459" s="12"/>
      <c r="I459" s="12"/>
      <c r="J459" s="10"/>
      <c r="K459" s="9"/>
      <c r="L459" s="9"/>
      <c r="M459" s="10"/>
    </row>
    <row r="460" spans="1:13" s="4" customFormat="1" ht="30" customHeight="1" x14ac:dyDescent="0.25">
      <c r="A460" s="9"/>
      <c r="B460" s="13" t="e">
        <f>VLOOKUP(Table24[[#This Row],[Location 
(drop-down)]],'List source'!D$2:E$59,2,FALSE)</f>
        <v>#N/A</v>
      </c>
      <c r="C460" s="25" t="s">
        <v>768</v>
      </c>
      <c r="D460" s="33" t="e">
        <f t="shared" si="7"/>
        <v>#N/A</v>
      </c>
      <c r="E460" s="11"/>
      <c r="F460" s="148"/>
      <c r="G460" s="12"/>
      <c r="H460" s="12"/>
      <c r="I460" s="12"/>
      <c r="J460" s="10"/>
      <c r="K460" s="9"/>
      <c r="L460" s="9"/>
      <c r="M460" s="10"/>
    </row>
    <row r="461" spans="1:13" s="4" customFormat="1" ht="30" customHeight="1" x14ac:dyDescent="0.25">
      <c r="A461" s="9"/>
      <c r="B461" s="13" t="e">
        <f>VLOOKUP(Table24[[#This Row],[Location 
(drop-down)]],'List source'!D$2:E$59,2,FALSE)</f>
        <v>#N/A</v>
      </c>
      <c r="C461" s="25" t="s">
        <v>769</v>
      </c>
      <c r="D461" s="33" t="e">
        <f t="shared" si="7"/>
        <v>#N/A</v>
      </c>
      <c r="E461" s="11"/>
      <c r="F461" s="148"/>
      <c r="G461" s="12"/>
      <c r="H461" s="12"/>
      <c r="I461" s="12"/>
      <c r="J461" s="10"/>
      <c r="K461" s="9"/>
      <c r="L461" s="9"/>
      <c r="M461" s="10"/>
    </row>
    <row r="462" spans="1:13" s="4" customFormat="1" ht="30" customHeight="1" x14ac:dyDescent="0.25">
      <c r="A462" s="9"/>
      <c r="B462" s="13" t="e">
        <f>VLOOKUP(Table24[[#This Row],[Location 
(drop-down)]],'List source'!D$2:E$59,2,FALSE)</f>
        <v>#N/A</v>
      </c>
      <c r="C462" s="25" t="s">
        <v>770</v>
      </c>
      <c r="D462" s="33" t="e">
        <f t="shared" si="7"/>
        <v>#N/A</v>
      </c>
      <c r="E462" s="11"/>
      <c r="F462" s="148"/>
      <c r="G462" s="12"/>
      <c r="H462" s="12"/>
      <c r="I462" s="12"/>
      <c r="J462" s="10"/>
      <c r="K462" s="9"/>
      <c r="L462" s="9"/>
      <c r="M462" s="10"/>
    </row>
    <row r="463" spans="1:13" s="4" customFormat="1" ht="30" customHeight="1" x14ac:dyDescent="0.25">
      <c r="A463" s="9"/>
      <c r="B463" s="13" t="e">
        <f>VLOOKUP(Table24[[#This Row],[Location 
(drop-down)]],'List source'!D$2:E$59,2,FALSE)</f>
        <v>#N/A</v>
      </c>
      <c r="C463" s="25" t="s">
        <v>771</v>
      </c>
      <c r="D463" s="33" t="e">
        <f t="shared" si="7"/>
        <v>#N/A</v>
      </c>
      <c r="E463" s="11"/>
      <c r="F463" s="148"/>
      <c r="G463" s="12"/>
      <c r="H463" s="12"/>
      <c r="I463" s="12"/>
      <c r="J463" s="10"/>
      <c r="K463" s="9"/>
      <c r="L463" s="9"/>
      <c r="M463" s="10"/>
    </row>
    <row r="464" spans="1:13" s="4" customFormat="1" ht="30" customHeight="1" x14ac:dyDescent="0.25">
      <c r="A464" s="9"/>
      <c r="B464" s="13" t="e">
        <f>VLOOKUP(Table24[[#This Row],[Location 
(drop-down)]],'List source'!D$2:E$59,2,FALSE)</f>
        <v>#N/A</v>
      </c>
      <c r="C464" s="25" t="s">
        <v>772</v>
      </c>
      <c r="D464" s="33" t="e">
        <f t="shared" si="7"/>
        <v>#N/A</v>
      </c>
      <c r="E464" s="11"/>
      <c r="F464" s="148"/>
      <c r="G464" s="12"/>
      <c r="H464" s="12"/>
      <c r="I464" s="12"/>
      <c r="J464" s="10"/>
      <c r="K464" s="9"/>
      <c r="L464" s="9"/>
      <c r="M464" s="10"/>
    </row>
    <row r="465" spans="1:13" s="4" customFormat="1" ht="30" customHeight="1" x14ac:dyDescent="0.25">
      <c r="A465" s="9"/>
      <c r="B465" s="13" t="e">
        <f>VLOOKUP(Table24[[#This Row],[Location 
(drop-down)]],'List source'!D$2:E$59,2,FALSE)</f>
        <v>#N/A</v>
      </c>
      <c r="C465" s="25" t="s">
        <v>773</v>
      </c>
      <c r="D465" s="33" t="e">
        <f t="shared" si="7"/>
        <v>#N/A</v>
      </c>
      <c r="E465" s="11"/>
      <c r="F465" s="148"/>
      <c r="G465" s="12"/>
      <c r="H465" s="12"/>
      <c r="I465" s="12"/>
      <c r="J465" s="10"/>
      <c r="K465" s="9"/>
      <c r="L465" s="9"/>
      <c r="M465" s="10"/>
    </row>
    <row r="466" spans="1:13" s="4" customFormat="1" ht="30" customHeight="1" x14ac:dyDescent="0.25">
      <c r="A466" s="9"/>
      <c r="B466" s="13" t="e">
        <f>VLOOKUP(Table24[[#This Row],[Location 
(drop-down)]],'List source'!D$2:E$59,2,FALSE)</f>
        <v>#N/A</v>
      </c>
      <c r="C466" s="25" t="s">
        <v>774</v>
      </c>
      <c r="D466" s="33" t="e">
        <f t="shared" si="7"/>
        <v>#N/A</v>
      </c>
      <c r="E466" s="11"/>
      <c r="F466" s="148"/>
      <c r="G466" s="12"/>
      <c r="H466" s="12"/>
      <c r="I466" s="12"/>
      <c r="J466" s="10"/>
      <c r="K466" s="9"/>
      <c r="L466" s="9"/>
      <c r="M466" s="10"/>
    </row>
    <row r="467" spans="1:13" s="4" customFormat="1" ht="30" customHeight="1" x14ac:dyDescent="0.25">
      <c r="A467" s="9"/>
      <c r="B467" s="13" t="e">
        <f>VLOOKUP(Table24[[#This Row],[Location 
(drop-down)]],'List source'!D$2:E$59,2,FALSE)</f>
        <v>#N/A</v>
      </c>
      <c r="C467" s="25" t="s">
        <v>775</v>
      </c>
      <c r="D467" s="33" t="e">
        <f t="shared" si="7"/>
        <v>#N/A</v>
      </c>
      <c r="E467" s="11"/>
      <c r="F467" s="148"/>
      <c r="G467" s="12"/>
      <c r="H467" s="12"/>
      <c r="I467" s="12"/>
      <c r="J467" s="10"/>
      <c r="K467" s="9"/>
      <c r="L467" s="9"/>
      <c r="M467" s="10"/>
    </row>
    <row r="468" spans="1:13" s="4" customFormat="1" ht="30" customHeight="1" x14ac:dyDescent="0.25">
      <c r="A468" s="9"/>
      <c r="B468" s="13" t="e">
        <f>VLOOKUP(Table24[[#This Row],[Location 
(drop-down)]],'List source'!D$2:E$59,2,FALSE)</f>
        <v>#N/A</v>
      </c>
      <c r="C468" s="25" t="s">
        <v>776</v>
      </c>
      <c r="D468" s="33" t="e">
        <f t="shared" si="7"/>
        <v>#N/A</v>
      </c>
      <c r="E468" s="11"/>
      <c r="F468" s="148"/>
      <c r="G468" s="12"/>
      <c r="H468" s="12"/>
      <c r="I468" s="12"/>
      <c r="J468" s="10"/>
      <c r="K468" s="9"/>
      <c r="L468" s="9"/>
      <c r="M468" s="10"/>
    </row>
    <row r="469" spans="1:13" s="4" customFormat="1" ht="30" customHeight="1" x14ac:dyDescent="0.25">
      <c r="A469" s="9"/>
      <c r="B469" s="13" t="e">
        <f>VLOOKUP(Table24[[#This Row],[Location 
(drop-down)]],'List source'!D$2:E$59,2,FALSE)</f>
        <v>#N/A</v>
      </c>
      <c r="C469" s="25" t="s">
        <v>777</v>
      </c>
      <c r="D469" s="33" t="e">
        <f t="shared" si="7"/>
        <v>#N/A</v>
      </c>
      <c r="E469" s="11"/>
      <c r="F469" s="148"/>
      <c r="G469" s="12"/>
      <c r="H469" s="12"/>
      <c r="I469" s="12"/>
      <c r="J469" s="10"/>
      <c r="K469" s="9"/>
      <c r="L469" s="9"/>
      <c r="M469" s="10"/>
    </row>
    <row r="470" spans="1:13" s="4" customFormat="1" ht="30" customHeight="1" x14ac:dyDescent="0.25">
      <c r="A470" s="9"/>
      <c r="B470" s="13" t="e">
        <f>VLOOKUP(Table24[[#This Row],[Location 
(drop-down)]],'List source'!D$2:E$59,2,FALSE)</f>
        <v>#N/A</v>
      </c>
      <c r="C470" s="25" t="s">
        <v>778</v>
      </c>
      <c r="D470" s="33" t="e">
        <f t="shared" si="7"/>
        <v>#N/A</v>
      </c>
      <c r="E470" s="11"/>
      <c r="F470" s="148"/>
      <c r="G470" s="12"/>
      <c r="H470" s="12"/>
      <c r="I470" s="12"/>
      <c r="J470" s="10"/>
      <c r="K470" s="9"/>
      <c r="L470" s="9"/>
      <c r="M470" s="10"/>
    </row>
    <row r="471" spans="1:13" s="4" customFormat="1" ht="30" customHeight="1" x14ac:dyDescent="0.25">
      <c r="A471" s="9"/>
      <c r="B471" s="13" t="e">
        <f>VLOOKUP(Table24[[#This Row],[Location 
(drop-down)]],'List source'!D$2:E$59,2,FALSE)</f>
        <v>#N/A</v>
      </c>
      <c r="C471" s="25" t="s">
        <v>779</v>
      </c>
      <c r="D471" s="33" t="e">
        <f t="shared" si="7"/>
        <v>#N/A</v>
      </c>
      <c r="E471" s="11"/>
      <c r="F471" s="148"/>
      <c r="G471" s="12"/>
      <c r="H471" s="12"/>
      <c r="I471" s="12"/>
      <c r="J471" s="10"/>
      <c r="K471" s="9"/>
      <c r="L471" s="9"/>
      <c r="M471" s="10"/>
    </row>
    <row r="472" spans="1:13" s="4" customFormat="1" ht="30" customHeight="1" x14ac:dyDescent="0.25">
      <c r="A472" s="9"/>
      <c r="B472" s="13" t="e">
        <f>VLOOKUP(Table24[[#This Row],[Location 
(drop-down)]],'List source'!D$2:E$59,2,FALSE)</f>
        <v>#N/A</v>
      </c>
      <c r="C472" s="25" t="s">
        <v>780</v>
      </c>
      <c r="D472" s="33" t="e">
        <f t="shared" si="7"/>
        <v>#N/A</v>
      </c>
      <c r="E472" s="11"/>
      <c r="F472" s="148"/>
      <c r="G472" s="12"/>
      <c r="H472" s="12"/>
      <c r="I472" s="12"/>
      <c r="J472" s="10"/>
      <c r="K472" s="9"/>
      <c r="L472" s="9"/>
      <c r="M472" s="10"/>
    </row>
    <row r="473" spans="1:13" s="4" customFormat="1" ht="30" customHeight="1" x14ac:dyDescent="0.25">
      <c r="A473" s="9"/>
      <c r="B473" s="13" t="e">
        <f>VLOOKUP(Table24[[#This Row],[Location 
(drop-down)]],'List source'!D$2:E$59,2,FALSE)</f>
        <v>#N/A</v>
      </c>
      <c r="C473" s="25" t="s">
        <v>781</v>
      </c>
      <c r="D473" s="33" t="e">
        <f t="shared" si="7"/>
        <v>#N/A</v>
      </c>
      <c r="E473" s="11"/>
      <c r="F473" s="148"/>
      <c r="G473" s="12"/>
      <c r="H473" s="12"/>
      <c r="I473" s="12"/>
      <c r="J473" s="10"/>
      <c r="K473" s="9"/>
      <c r="L473" s="9"/>
      <c r="M473" s="10"/>
    </row>
    <row r="474" spans="1:13" s="4" customFormat="1" ht="30" customHeight="1" x14ac:dyDescent="0.25">
      <c r="A474" s="9"/>
      <c r="B474" s="13" t="e">
        <f>VLOOKUP(Table24[[#This Row],[Location 
(drop-down)]],'List source'!D$2:E$59,2,FALSE)</f>
        <v>#N/A</v>
      </c>
      <c r="C474" s="25" t="s">
        <v>782</v>
      </c>
      <c r="D474" s="33" t="e">
        <f t="shared" si="7"/>
        <v>#N/A</v>
      </c>
      <c r="E474" s="11"/>
      <c r="F474" s="148"/>
      <c r="G474" s="12"/>
      <c r="H474" s="12"/>
      <c r="I474" s="12"/>
      <c r="J474" s="10"/>
      <c r="K474" s="9"/>
      <c r="L474" s="9"/>
      <c r="M474" s="10"/>
    </row>
    <row r="475" spans="1:13" s="4" customFormat="1" ht="30" customHeight="1" x14ac:dyDescent="0.25">
      <c r="A475" s="9"/>
      <c r="B475" s="13" t="e">
        <f>VLOOKUP(Table24[[#This Row],[Location 
(drop-down)]],'List source'!D$2:E$59,2,FALSE)</f>
        <v>#N/A</v>
      </c>
      <c r="C475" s="25" t="s">
        <v>783</v>
      </c>
      <c r="D475" s="33" t="e">
        <f t="shared" si="7"/>
        <v>#N/A</v>
      </c>
      <c r="E475" s="11"/>
      <c r="F475" s="148"/>
      <c r="G475" s="12"/>
      <c r="H475" s="12"/>
      <c r="I475" s="12"/>
      <c r="J475" s="10"/>
      <c r="K475" s="9"/>
      <c r="L475" s="9"/>
      <c r="M475" s="10"/>
    </row>
    <row r="476" spans="1:13" s="4" customFormat="1" ht="30" customHeight="1" x14ac:dyDescent="0.25">
      <c r="A476" s="9"/>
      <c r="B476" s="13" t="e">
        <f>VLOOKUP(Table24[[#This Row],[Location 
(drop-down)]],'List source'!D$2:E$59,2,FALSE)</f>
        <v>#N/A</v>
      </c>
      <c r="C476" s="25" t="s">
        <v>784</v>
      </c>
      <c r="D476" s="33" t="e">
        <f t="shared" si="7"/>
        <v>#N/A</v>
      </c>
      <c r="E476" s="11"/>
      <c r="F476" s="148"/>
      <c r="G476" s="12"/>
      <c r="H476" s="12"/>
      <c r="I476" s="12"/>
      <c r="J476" s="10"/>
      <c r="K476" s="9"/>
      <c r="L476" s="9"/>
      <c r="M476" s="10"/>
    </row>
    <row r="477" spans="1:13" s="4" customFormat="1" ht="30" customHeight="1" x14ac:dyDescent="0.25">
      <c r="A477" s="9"/>
      <c r="B477" s="13" t="e">
        <f>VLOOKUP(Table24[[#This Row],[Location 
(drop-down)]],'List source'!D$2:E$59,2,FALSE)</f>
        <v>#N/A</v>
      </c>
      <c r="C477" s="25" t="s">
        <v>785</v>
      </c>
      <c r="D477" s="33" t="e">
        <f t="shared" si="7"/>
        <v>#N/A</v>
      </c>
      <c r="E477" s="11"/>
      <c r="F477" s="148"/>
      <c r="G477" s="12"/>
      <c r="H477" s="12"/>
      <c r="I477" s="12"/>
      <c r="J477" s="10"/>
      <c r="K477" s="9"/>
      <c r="L477" s="9"/>
      <c r="M477" s="10"/>
    </row>
    <row r="478" spans="1:13" s="4" customFormat="1" ht="30" customHeight="1" x14ac:dyDescent="0.25">
      <c r="A478" s="9"/>
      <c r="B478" s="13" t="e">
        <f>VLOOKUP(Table24[[#This Row],[Location 
(drop-down)]],'List source'!D$2:E$59,2,FALSE)</f>
        <v>#N/A</v>
      </c>
      <c r="C478" s="25" t="s">
        <v>786</v>
      </c>
      <c r="D478" s="33" t="e">
        <f t="shared" si="7"/>
        <v>#N/A</v>
      </c>
      <c r="E478" s="11"/>
      <c r="F478" s="148"/>
      <c r="G478" s="12"/>
      <c r="H478" s="12"/>
      <c r="I478" s="12"/>
      <c r="J478" s="10"/>
      <c r="K478" s="9"/>
      <c r="L478" s="9"/>
      <c r="M478" s="10"/>
    </row>
    <row r="479" spans="1:13" s="4" customFormat="1" ht="30" customHeight="1" x14ac:dyDescent="0.25">
      <c r="A479" s="9"/>
      <c r="B479" s="13" t="e">
        <f>VLOOKUP(Table24[[#This Row],[Location 
(drop-down)]],'List source'!D$2:E$59,2,FALSE)</f>
        <v>#N/A</v>
      </c>
      <c r="C479" s="25" t="s">
        <v>787</v>
      </c>
      <c r="D479" s="33" t="e">
        <f t="shared" si="7"/>
        <v>#N/A</v>
      </c>
      <c r="E479" s="11"/>
      <c r="F479" s="148"/>
      <c r="G479" s="12"/>
      <c r="H479" s="12"/>
      <c r="I479" s="12"/>
      <c r="J479" s="10"/>
      <c r="K479" s="9"/>
      <c r="L479" s="9"/>
      <c r="M479" s="10"/>
    </row>
    <row r="480" spans="1:13" s="4" customFormat="1" ht="30" customHeight="1" x14ac:dyDescent="0.25">
      <c r="A480" s="9"/>
      <c r="B480" s="13" t="e">
        <f>VLOOKUP(Table24[[#This Row],[Location 
(drop-down)]],'List source'!D$2:E$59,2,FALSE)</f>
        <v>#N/A</v>
      </c>
      <c r="C480" s="25" t="s">
        <v>788</v>
      </c>
      <c r="D480" s="33" t="e">
        <f t="shared" si="7"/>
        <v>#N/A</v>
      </c>
      <c r="E480" s="11"/>
      <c r="F480" s="148"/>
      <c r="G480" s="12"/>
      <c r="H480" s="12"/>
      <c r="I480" s="12"/>
      <c r="J480" s="10"/>
      <c r="K480" s="9"/>
      <c r="L480" s="9"/>
      <c r="M480" s="10"/>
    </row>
    <row r="481" spans="1:13" s="4" customFormat="1" ht="30" customHeight="1" x14ac:dyDescent="0.25">
      <c r="A481" s="9"/>
      <c r="B481" s="13" t="e">
        <f>VLOOKUP(Table24[[#This Row],[Location 
(drop-down)]],'List source'!D$2:E$59,2,FALSE)</f>
        <v>#N/A</v>
      </c>
      <c r="C481" s="25" t="s">
        <v>789</v>
      </c>
      <c r="D481" s="33" t="e">
        <f t="shared" si="7"/>
        <v>#N/A</v>
      </c>
      <c r="E481" s="11"/>
      <c r="F481" s="148"/>
      <c r="G481" s="12"/>
      <c r="H481" s="12"/>
      <c r="I481" s="12"/>
      <c r="J481" s="10"/>
      <c r="K481" s="9"/>
      <c r="L481" s="9"/>
      <c r="M481" s="10"/>
    </row>
    <row r="482" spans="1:13" s="4" customFormat="1" ht="30" customHeight="1" x14ac:dyDescent="0.25">
      <c r="A482" s="9"/>
      <c r="B482" s="13" t="e">
        <f>VLOOKUP(Table24[[#This Row],[Location 
(drop-down)]],'List source'!D$2:E$59,2,FALSE)</f>
        <v>#N/A</v>
      </c>
      <c r="C482" s="25" t="s">
        <v>790</v>
      </c>
      <c r="D482" s="33" t="e">
        <f t="shared" si="7"/>
        <v>#N/A</v>
      </c>
      <c r="E482" s="11"/>
      <c r="F482" s="148"/>
      <c r="G482" s="12"/>
      <c r="H482" s="12"/>
      <c r="I482" s="12"/>
      <c r="J482" s="10"/>
      <c r="K482" s="9"/>
      <c r="L482" s="9"/>
      <c r="M482" s="10"/>
    </row>
    <row r="483" spans="1:13" s="4" customFormat="1" ht="30" customHeight="1" x14ac:dyDescent="0.25">
      <c r="A483" s="9"/>
      <c r="B483" s="13" t="e">
        <f>VLOOKUP(Table24[[#This Row],[Location 
(drop-down)]],'List source'!D$2:E$59,2,FALSE)</f>
        <v>#N/A</v>
      </c>
      <c r="C483" s="25" t="s">
        <v>791</v>
      </c>
      <c r="D483" s="33" t="e">
        <f t="shared" si="7"/>
        <v>#N/A</v>
      </c>
      <c r="E483" s="11"/>
      <c r="F483" s="148"/>
      <c r="G483" s="12"/>
      <c r="H483" s="12"/>
      <c r="I483" s="12"/>
      <c r="J483" s="10"/>
      <c r="K483" s="9"/>
      <c r="L483" s="9"/>
      <c r="M483" s="10"/>
    </row>
    <row r="484" spans="1:13" s="4" customFormat="1" ht="30" customHeight="1" x14ac:dyDescent="0.25">
      <c r="A484" s="9"/>
      <c r="B484" s="13" t="e">
        <f>VLOOKUP(Table24[[#This Row],[Location 
(drop-down)]],'List source'!D$2:E$59,2,FALSE)</f>
        <v>#N/A</v>
      </c>
      <c r="C484" s="25" t="s">
        <v>792</v>
      </c>
      <c r="D484" s="33" t="e">
        <f t="shared" si="7"/>
        <v>#N/A</v>
      </c>
      <c r="E484" s="11"/>
      <c r="F484" s="148"/>
      <c r="G484" s="12"/>
      <c r="H484" s="12"/>
      <c r="I484" s="12"/>
      <c r="J484" s="10"/>
      <c r="K484" s="9"/>
      <c r="L484" s="9"/>
      <c r="M484" s="10"/>
    </row>
    <row r="485" spans="1:13" s="4" customFormat="1" ht="30" customHeight="1" x14ac:dyDescent="0.25">
      <c r="A485" s="9"/>
      <c r="B485" s="13" t="e">
        <f>VLOOKUP(Table24[[#This Row],[Location 
(drop-down)]],'List source'!D$2:E$59,2,FALSE)</f>
        <v>#N/A</v>
      </c>
      <c r="C485" s="25" t="s">
        <v>793</v>
      </c>
      <c r="D485" s="33" t="e">
        <f t="shared" si="7"/>
        <v>#N/A</v>
      </c>
      <c r="E485" s="11"/>
      <c r="F485" s="148"/>
      <c r="G485" s="12"/>
      <c r="H485" s="12"/>
      <c r="I485" s="12"/>
      <c r="J485" s="10"/>
      <c r="K485" s="9"/>
      <c r="L485" s="9"/>
      <c r="M485" s="10"/>
    </row>
    <row r="486" spans="1:13" s="4" customFormat="1" ht="30" customHeight="1" x14ac:dyDescent="0.25">
      <c r="A486" s="9"/>
      <c r="B486" s="13" t="e">
        <f>VLOOKUP(Table24[[#This Row],[Location 
(drop-down)]],'List source'!D$2:E$59,2,FALSE)</f>
        <v>#N/A</v>
      </c>
      <c r="C486" s="25" t="s">
        <v>794</v>
      </c>
      <c r="D486" s="33" t="e">
        <f t="shared" si="7"/>
        <v>#N/A</v>
      </c>
      <c r="E486" s="11"/>
      <c r="F486" s="148"/>
      <c r="G486" s="12"/>
      <c r="H486" s="12"/>
      <c r="I486" s="12"/>
      <c r="J486" s="10"/>
      <c r="K486" s="9"/>
      <c r="L486" s="9"/>
      <c r="M486" s="10"/>
    </row>
    <row r="487" spans="1:13" s="4" customFormat="1" ht="30" customHeight="1" x14ac:dyDescent="0.25">
      <c r="A487" s="9"/>
      <c r="B487" s="13" t="e">
        <f>VLOOKUP(Table24[[#This Row],[Location 
(drop-down)]],'List source'!D$2:E$59,2,FALSE)</f>
        <v>#N/A</v>
      </c>
      <c r="C487" s="25" t="s">
        <v>795</v>
      </c>
      <c r="D487" s="33" t="e">
        <f t="shared" si="7"/>
        <v>#N/A</v>
      </c>
      <c r="E487" s="11"/>
      <c r="F487" s="148"/>
      <c r="G487" s="12"/>
      <c r="H487" s="12"/>
      <c r="I487" s="12"/>
      <c r="J487" s="10"/>
      <c r="K487" s="9"/>
      <c r="L487" s="9"/>
      <c r="M487" s="10"/>
    </row>
    <row r="488" spans="1:13" s="4" customFormat="1" ht="30" customHeight="1" x14ac:dyDescent="0.25">
      <c r="A488" s="9"/>
      <c r="B488" s="13" t="e">
        <f>VLOOKUP(Table24[[#This Row],[Location 
(drop-down)]],'List source'!D$2:E$59,2,FALSE)</f>
        <v>#N/A</v>
      </c>
      <c r="C488" s="25" t="s">
        <v>796</v>
      </c>
      <c r="D488" s="33" t="e">
        <f t="shared" si="7"/>
        <v>#N/A</v>
      </c>
      <c r="E488" s="11"/>
      <c r="F488" s="148"/>
      <c r="G488" s="12"/>
      <c r="H488" s="12"/>
      <c r="I488" s="12"/>
      <c r="J488" s="10"/>
      <c r="K488" s="9"/>
      <c r="L488" s="9"/>
      <c r="M488" s="10"/>
    </row>
    <row r="489" spans="1:13" s="4" customFormat="1" ht="30" customHeight="1" x14ac:dyDescent="0.25">
      <c r="A489" s="9"/>
      <c r="B489" s="13" t="e">
        <f>VLOOKUP(Table24[[#This Row],[Location 
(drop-down)]],'List source'!D$2:E$59,2,FALSE)</f>
        <v>#N/A</v>
      </c>
      <c r="C489" s="25" t="s">
        <v>797</v>
      </c>
      <c r="D489" s="33" t="e">
        <f t="shared" si="7"/>
        <v>#N/A</v>
      </c>
      <c r="E489" s="11"/>
      <c r="F489" s="148"/>
      <c r="G489" s="12"/>
      <c r="H489" s="12"/>
      <c r="I489" s="12"/>
      <c r="J489" s="10"/>
      <c r="K489" s="9"/>
      <c r="L489" s="9"/>
      <c r="M489" s="10"/>
    </row>
    <row r="490" spans="1:13" s="4" customFormat="1" ht="30" customHeight="1" x14ac:dyDescent="0.25">
      <c r="A490" s="9"/>
      <c r="B490" s="13" t="e">
        <f>VLOOKUP(Table24[[#This Row],[Location 
(drop-down)]],'List source'!D$2:E$59,2,FALSE)</f>
        <v>#N/A</v>
      </c>
      <c r="C490" s="25" t="s">
        <v>798</v>
      </c>
      <c r="D490" s="33" t="e">
        <f t="shared" si="7"/>
        <v>#N/A</v>
      </c>
      <c r="E490" s="11"/>
      <c r="F490" s="148"/>
      <c r="G490" s="12"/>
      <c r="H490" s="12"/>
      <c r="I490" s="12"/>
      <c r="J490" s="10"/>
      <c r="K490" s="9"/>
      <c r="L490" s="9"/>
      <c r="M490" s="10"/>
    </row>
    <row r="491" spans="1:13" s="4" customFormat="1" ht="30" customHeight="1" x14ac:dyDescent="0.25">
      <c r="A491" s="9"/>
      <c r="B491" s="13" t="e">
        <f>VLOOKUP(Table24[[#This Row],[Location 
(drop-down)]],'List source'!D$2:E$59,2,FALSE)</f>
        <v>#N/A</v>
      </c>
      <c r="C491" s="25" t="s">
        <v>799</v>
      </c>
      <c r="D491" s="33" t="e">
        <f t="shared" si="7"/>
        <v>#N/A</v>
      </c>
      <c r="E491" s="11"/>
      <c r="F491" s="148"/>
      <c r="G491" s="12"/>
      <c r="H491" s="12"/>
      <c r="I491" s="12"/>
      <c r="J491" s="10"/>
      <c r="K491" s="9"/>
      <c r="L491" s="9"/>
      <c r="M491" s="10"/>
    </row>
    <row r="492" spans="1:13" s="4" customFormat="1" ht="30" customHeight="1" x14ac:dyDescent="0.25">
      <c r="A492" s="9"/>
      <c r="B492" s="13" t="e">
        <f>VLOOKUP(Table24[[#This Row],[Location 
(drop-down)]],'List source'!D$2:E$59,2,FALSE)</f>
        <v>#N/A</v>
      </c>
      <c r="C492" s="25" t="s">
        <v>800</v>
      </c>
      <c r="D492" s="33" t="e">
        <f t="shared" si="7"/>
        <v>#N/A</v>
      </c>
      <c r="E492" s="11"/>
      <c r="F492" s="148"/>
      <c r="G492" s="12"/>
      <c r="H492" s="12"/>
      <c r="I492" s="12"/>
      <c r="J492" s="10"/>
      <c r="K492" s="9"/>
      <c r="L492" s="9"/>
      <c r="M492" s="10"/>
    </row>
    <row r="493" spans="1:13" s="4" customFormat="1" ht="30" customHeight="1" x14ac:dyDescent="0.25">
      <c r="A493" s="9"/>
      <c r="B493" s="13" t="e">
        <f>VLOOKUP(Table24[[#This Row],[Location 
(drop-down)]],'List source'!D$2:E$59,2,FALSE)</f>
        <v>#N/A</v>
      </c>
      <c r="C493" s="25" t="s">
        <v>801</v>
      </c>
      <c r="D493" s="33" t="e">
        <f t="shared" si="7"/>
        <v>#N/A</v>
      </c>
      <c r="E493" s="11"/>
      <c r="F493" s="148"/>
      <c r="G493" s="12"/>
      <c r="H493" s="12"/>
      <c r="I493" s="12"/>
      <c r="J493" s="10"/>
      <c r="K493" s="9"/>
      <c r="L493" s="9"/>
      <c r="M493" s="10"/>
    </row>
    <row r="494" spans="1:13" s="4" customFormat="1" ht="30" customHeight="1" x14ac:dyDescent="0.25">
      <c r="A494" s="9"/>
      <c r="B494" s="13" t="e">
        <f>VLOOKUP(Table24[[#This Row],[Location 
(drop-down)]],'List source'!D$2:E$59,2,FALSE)</f>
        <v>#N/A</v>
      </c>
      <c r="C494" s="25" t="s">
        <v>802</v>
      </c>
      <c r="D494" s="33" t="e">
        <f t="shared" si="7"/>
        <v>#N/A</v>
      </c>
      <c r="E494" s="11"/>
      <c r="F494" s="148"/>
      <c r="G494" s="12"/>
      <c r="H494" s="12"/>
      <c r="I494" s="12"/>
      <c r="J494" s="10"/>
      <c r="K494" s="9"/>
      <c r="L494" s="9"/>
      <c r="M494" s="10"/>
    </row>
    <row r="495" spans="1:13" s="4" customFormat="1" ht="30" customHeight="1" x14ac:dyDescent="0.25">
      <c r="A495" s="9"/>
      <c r="B495" s="13" t="e">
        <f>VLOOKUP(Table24[[#This Row],[Location 
(drop-down)]],'List source'!D$2:E$59,2,FALSE)</f>
        <v>#N/A</v>
      </c>
      <c r="C495" s="25" t="s">
        <v>803</v>
      </c>
      <c r="D495" s="33" t="e">
        <f t="shared" si="7"/>
        <v>#N/A</v>
      </c>
      <c r="E495" s="11"/>
      <c r="F495" s="148"/>
      <c r="G495" s="12"/>
      <c r="H495" s="12"/>
      <c r="I495" s="12"/>
      <c r="J495" s="10"/>
      <c r="K495" s="9"/>
      <c r="L495" s="9"/>
      <c r="M495" s="10"/>
    </row>
    <row r="496" spans="1:13" s="4" customFormat="1" ht="30" customHeight="1" x14ac:dyDescent="0.25">
      <c r="A496" s="9"/>
      <c r="B496" s="13" t="e">
        <f>VLOOKUP(Table24[[#This Row],[Location 
(drop-down)]],'List source'!D$2:E$59,2,FALSE)</f>
        <v>#N/A</v>
      </c>
      <c r="C496" s="25" t="s">
        <v>804</v>
      </c>
      <c r="D496" s="33" t="e">
        <f t="shared" si="7"/>
        <v>#N/A</v>
      </c>
      <c r="E496" s="11"/>
      <c r="F496" s="148"/>
      <c r="G496" s="12"/>
      <c r="H496" s="12"/>
      <c r="I496" s="12"/>
      <c r="J496" s="10"/>
      <c r="K496" s="9"/>
      <c r="L496" s="9"/>
      <c r="M496" s="10"/>
    </row>
    <row r="497" spans="1:13" s="4" customFormat="1" ht="30" customHeight="1" x14ac:dyDescent="0.25">
      <c r="A497" s="9"/>
      <c r="B497" s="13" t="e">
        <f>VLOOKUP(Table24[[#This Row],[Location 
(drop-down)]],'List source'!D$2:E$59,2,FALSE)</f>
        <v>#N/A</v>
      </c>
      <c r="C497" s="25" t="s">
        <v>805</v>
      </c>
      <c r="D497" s="33" t="e">
        <f t="shared" si="7"/>
        <v>#N/A</v>
      </c>
      <c r="E497" s="11"/>
      <c r="F497" s="148"/>
      <c r="G497" s="12"/>
      <c r="H497" s="12"/>
      <c r="I497" s="12"/>
      <c r="J497" s="10"/>
      <c r="K497" s="9"/>
      <c r="L497" s="9"/>
      <c r="M497" s="10"/>
    </row>
    <row r="498" spans="1:13" s="4" customFormat="1" ht="30" customHeight="1" x14ac:dyDescent="0.25">
      <c r="A498" s="9"/>
      <c r="B498" s="13" t="e">
        <f>VLOOKUP(Table24[[#This Row],[Location 
(drop-down)]],'List source'!D$2:E$59,2,FALSE)</f>
        <v>#N/A</v>
      </c>
      <c r="C498" s="25" t="s">
        <v>806</v>
      </c>
      <c r="D498" s="33" t="e">
        <f t="shared" si="7"/>
        <v>#N/A</v>
      </c>
      <c r="E498" s="11"/>
      <c r="F498" s="148"/>
      <c r="G498" s="12"/>
      <c r="H498" s="12"/>
      <c r="I498" s="12"/>
      <c r="J498" s="10"/>
      <c r="K498" s="9"/>
      <c r="L498" s="9"/>
      <c r="M498" s="10"/>
    </row>
    <row r="499" spans="1:13" s="4" customFormat="1" ht="30" customHeight="1" x14ac:dyDescent="0.25">
      <c r="A499" s="9"/>
      <c r="B499" s="13" t="e">
        <f>VLOOKUP(Table24[[#This Row],[Location 
(drop-down)]],'List source'!D$2:E$59,2,FALSE)</f>
        <v>#N/A</v>
      </c>
      <c r="C499" s="25" t="s">
        <v>807</v>
      </c>
      <c r="D499" s="33" t="e">
        <f t="shared" si="7"/>
        <v>#N/A</v>
      </c>
      <c r="E499" s="11"/>
      <c r="F499" s="148"/>
      <c r="G499" s="12"/>
      <c r="H499" s="12"/>
      <c r="I499" s="12"/>
      <c r="J499" s="10"/>
      <c r="K499" s="9"/>
      <c r="L499" s="9"/>
      <c r="M499" s="10"/>
    </row>
    <row r="500" spans="1:13" s="4" customFormat="1" ht="30" customHeight="1" x14ac:dyDescent="0.25">
      <c r="A500" s="9"/>
      <c r="B500" s="13" t="e">
        <f>VLOOKUP(Table24[[#This Row],[Location 
(drop-down)]],'List source'!D$2:E$59,2,FALSE)</f>
        <v>#N/A</v>
      </c>
      <c r="C500" s="25" t="s">
        <v>808</v>
      </c>
      <c r="D500" s="33" t="e">
        <f t="shared" si="7"/>
        <v>#N/A</v>
      </c>
      <c r="E500" s="11"/>
      <c r="F500" s="148"/>
      <c r="G500" s="12"/>
      <c r="H500" s="12"/>
      <c r="I500" s="12"/>
      <c r="J500" s="10"/>
      <c r="K500" s="9"/>
      <c r="L500" s="9"/>
      <c r="M500" s="10"/>
    </row>
    <row r="501" spans="1:13" s="4" customFormat="1" ht="30" customHeight="1" x14ac:dyDescent="0.25">
      <c r="A501" s="9"/>
      <c r="B501" s="13" t="e">
        <f>VLOOKUP(Table24[[#This Row],[Location 
(drop-down)]],'List source'!D$2:E$59,2,FALSE)</f>
        <v>#N/A</v>
      </c>
      <c r="C501" s="25" t="s">
        <v>809</v>
      </c>
      <c r="D501" s="33" t="e">
        <f t="shared" si="7"/>
        <v>#N/A</v>
      </c>
      <c r="E501" s="11"/>
      <c r="F501" s="148"/>
      <c r="G501" s="12"/>
      <c r="H501" s="12"/>
      <c r="I501" s="12"/>
      <c r="J501" s="10"/>
      <c r="K501" s="9"/>
      <c r="L501" s="9"/>
      <c r="M501" s="10"/>
    </row>
  </sheetData>
  <phoneticPr fontId="4" type="noConversion"/>
  <pageMargins left="0.7" right="0.7" top="0.75" bottom="0.75" header="0.3" footer="0.3"/>
  <pageSetup scale="42"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'List source'!$C$10:$C$14</xm:f>
          </x14:formula1>
          <xm:sqref>J2:J501</xm:sqref>
        </x14:dataValidation>
        <x14:dataValidation type="list" allowBlank="1" showInputMessage="1" showErrorMessage="1" xr:uid="{00000000-0002-0000-0100-000002000000}">
          <x14:formula1>
            <xm:f>'List source'!$A$14:$A$20</xm:f>
          </x14:formula1>
          <xm:sqref>E2:E501</xm:sqref>
        </x14:dataValidation>
        <x14:dataValidation type="list" allowBlank="1" showInputMessage="1" showErrorMessage="1" xr:uid="{00000000-0002-0000-0100-000001000000}">
          <x14:formula1>
            <xm:f>'List source'!$D$2:$D$59</xm:f>
          </x14:formula1>
          <xm:sqref>A2:A501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pageSetUpPr fitToPage="1"/>
  </sheetPr>
  <dimension ref="A1:O1002"/>
  <sheetViews>
    <sheetView showGridLines="0" zoomScale="90" zoomScaleNormal="90" workbookViewId="0">
      <pane ySplit="1" topLeftCell="A2" activePane="bottomLeft" state="frozen"/>
      <selection activeCell="D1" sqref="D1"/>
      <selection pane="bottomLeft" activeCell="F5" sqref="F5"/>
    </sheetView>
  </sheetViews>
  <sheetFormatPr defaultRowHeight="15" x14ac:dyDescent="0.25"/>
  <cols>
    <col min="1" max="1" width="26.5703125" style="5" customWidth="1"/>
    <col min="2" max="2" width="9.5703125" customWidth="1"/>
    <col min="3" max="3" width="7.28515625" customWidth="1"/>
    <col min="4" max="5" width="17.5703125" customWidth="1"/>
    <col min="6" max="6" width="27.5703125" customWidth="1"/>
    <col min="7" max="7" width="46.28515625" style="146" customWidth="1"/>
    <col min="8" max="8" width="16.28515625" style="8" customWidth="1"/>
    <col min="9" max="9" width="14.5703125" style="6" customWidth="1"/>
    <col min="10" max="11" width="13.28515625" style="6" customWidth="1"/>
    <col min="12" max="12" width="22.28515625" style="6" customWidth="1"/>
    <col min="13" max="13" width="35.5703125" style="8" customWidth="1"/>
    <col min="14" max="14" width="25.28515625" style="8" customWidth="1"/>
    <col min="15" max="15" width="27.28515625" customWidth="1"/>
  </cols>
  <sheetData>
    <row r="1" spans="1:15" s="2" customFormat="1" ht="60" x14ac:dyDescent="0.25">
      <c r="A1" s="165" t="s">
        <v>0</v>
      </c>
      <c r="B1" s="166" t="s">
        <v>1</v>
      </c>
      <c r="C1" s="166" t="s">
        <v>2</v>
      </c>
      <c r="D1" s="166" t="s">
        <v>810</v>
      </c>
      <c r="E1" s="166" t="s">
        <v>811</v>
      </c>
      <c r="F1" s="166" t="s">
        <v>812</v>
      </c>
      <c r="G1" s="167" t="s">
        <v>813</v>
      </c>
      <c r="H1" s="167" t="s">
        <v>814</v>
      </c>
      <c r="I1" s="167" t="s">
        <v>7</v>
      </c>
      <c r="J1" s="167" t="s">
        <v>815</v>
      </c>
      <c r="K1" s="167" t="s">
        <v>816</v>
      </c>
      <c r="L1" s="167" t="s">
        <v>817</v>
      </c>
      <c r="M1" s="167" t="s">
        <v>818</v>
      </c>
      <c r="N1" s="167" t="s">
        <v>819</v>
      </c>
      <c r="O1" s="166" t="s">
        <v>12</v>
      </c>
    </row>
    <row r="2" spans="1:15" s="4" customFormat="1" ht="37.5" x14ac:dyDescent="0.25">
      <c r="A2" s="9" t="s">
        <v>13</v>
      </c>
      <c r="B2" s="13">
        <f>VLOOKUP(Table2[[#This Row],[Location 
(drop-down)]],'List source'!D$2:E$59,2,FALSE)</f>
        <v>126</v>
      </c>
      <c r="C2" s="11" t="s">
        <v>14</v>
      </c>
      <c r="D2" s="127" t="str">
        <f t="shared" ref="D2:D33" si="0">"C" &amp; C2 &amp; "-" &amp; B2 &amp; "-" &amp; "23"</f>
        <v>C001-126-23</v>
      </c>
      <c r="E2" s="127" t="str">
        <f>VLOOKUP(Table2[[#This Row],[Location 
(drop-down)]],Table1[#All],3,FALSE)</f>
        <v>SE &amp; Caribbean</v>
      </c>
      <c r="F2" s="11" t="s">
        <v>15</v>
      </c>
      <c r="G2" s="121" t="s">
        <v>820</v>
      </c>
      <c r="H2" s="12">
        <v>44937</v>
      </c>
      <c r="I2" s="12" t="s">
        <v>17</v>
      </c>
      <c r="J2" s="91" t="s">
        <v>821</v>
      </c>
      <c r="K2" s="91">
        <v>45100</v>
      </c>
      <c r="L2" s="10" t="s">
        <v>15</v>
      </c>
      <c r="M2" s="10" t="s">
        <v>15</v>
      </c>
      <c r="N2" s="10" t="s">
        <v>822</v>
      </c>
      <c r="O2" s="10"/>
    </row>
    <row r="3" spans="1:15" s="4" customFormat="1" ht="37.5" x14ac:dyDescent="0.25">
      <c r="A3" s="9" t="s">
        <v>13</v>
      </c>
      <c r="B3" s="13">
        <f>VLOOKUP(Table2[[#This Row],[Location 
(drop-down)]],'List source'!D$2:E$59,2,FALSE)</f>
        <v>126</v>
      </c>
      <c r="C3" s="11" t="s">
        <v>20</v>
      </c>
      <c r="D3" s="127" t="str">
        <f t="shared" si="0"/>
        <v>C002-126-23</v>
      </c>
      <c r="E3" s="127" t="str">
        <f>VLOOKUP(Table2[[#This Row],[Location 
(drop-down)]],Table1[#All],3,FALSE)</f>
        <v>SE &amp; Caribbean</v>
      </c>
      <c r="F3" s="11" t="s">
        <v>15</v>
      </c>
      <c r="G3" s="121" t="s">
        <v>823</v>
      </c>
      <c r="H3" s="12">
        <v>44937</v>
      </c>
      <c r="I3" s="12" t="s">
        <v>17</v>
      </c>
      <c r="J3" s="91" t="s">
        <v>821</v>
      </c>
      <c r="K3" s="91">
        <v>45100</v>
      </c>
      <c r="L3" s="10" t="s">
        <v>15</v>
      </c>
      <c r="M3" s="10" t="s">
        <v>15</v>
      </c>
      <c r="N3" s="10" t="s">
        <v>822</v>
      </c>
      <c r="O3" s="10"/>
    </row>
    <row r="4" spans="1:15" s="4" customFormat="1" ht="30" x14ac:dyDescent="0.25">
      <c r="A4" s="9" t="s">
        <v>27</v>
      </c>
      <c r="B4" s="13">
        <f>VLOOKUP(Table2[[#This Row],[Location 
(drop-down)]],'List source'!D$2:E$59,2,FALSE)</f>
        <v>132</v>
      </c>
      <c r="C4" s="11" t="s">
        <v>23</v>
      </c>
      <c r="D4" s="127" t="str">
        <f t="shared" si="0"/>
        <v>C003-132-23</v>
      </c>
      <c r="E4" s="127" t="str">
        <f>VLOOKUP(Table2[[#This Row],[Location 
(drop-down)]],Table1[#All],3,FALSE)</f>
        <v>USWC</v>
      </c>
      <c r="F4" s="11" t="s">
        <v>15</v>
      </c>
      <c r="G4" s="9" t="s">
        <v>824</v>
      </c>
      <c r="H4" s="12">
        <v>44937</v>
      </c>
      <c r="I4" s="12" t="s">
        <v>17</v>
      </c>
      <c r="J4" s="91" t="s">
        <v>821</v>
      </c>
      <c r="K4" s="91">
        <v>45777</v>
      </c>
      <c r="L4" s="10" t="s">
        <v>15</v>
      </c>
      <c r="M4" s="10" t="s">
        <v>15</v>
      </c>
      <c r="N4" s="10"/>
      <c r="O4" s="100"/>
    </row>
    <row r="5" spans="1:15" s="4" customFormat="1" ht="32.1" customHeight="1" x14ac:dyDescent="0.25">
      <c r="A5" s="9" t="s">
        <v>27</v>
      </c>
      <c r="B5" s="13">
        <f>VLOOKUP(Table2[[#This Row],[Location 
(drop-down)]],'List source'!D$2:E$59,2,FALSE)</f>
        <v>132</v>
      </c>
      <c r="C5" s="11" t="s">
        <v>25</v>
      </c>
      <c r="D5" s="127" t="str">
        <f t="shared" si="0"/>
        <v>C004-132-23</v>
      </c>
      <c r="E5" s="127" t="str">
        <f>VLOOKUP(Table2[[#This Row],[Location 
(drop-down)]],Table1[#All],3,FALSE)</f>
        <v>USWC</v>
      </c>
      <c r="F5" s="11" t="s">
        <v>15</v>
      </c>
      <c r="G5" s="9" t="s">
        <v>825</v>
      </c>
      <c r="H5" s="12">
        <v>44937</v>
      </c>
      <c r="I5" s="12" t="s">
        <v>17</v>
      </c>
      <c r="J5" s="91" t="s">
        <v>821</v>
      </c>
      <c r="K5" s="91">
        <v>45686</v>
      </c>
      <c r="L5" s="10" t="s">
        <v>15</v>
      </c>
      <c r="M5" s="10" t="s">
        <v>15</v>
      </c>
      <c r="N5" s="10"/>
      <c r="O5" s="10"/>
    </row>
    <row r="6" spans="1:15" s="4" customFormat="1" ht="37.5" x14ac:dyDescent="0.25">
      <c r="A6" s="9" t="s">
        <v>826</v>
      </c>
      <c r="B6" s="13">
        <f>VLOOKUP(Table2[[#This Row],[Location 
(drop-down)]],'List source'!D$2:E$59,2,FALSE)</f>
        <v>145</v>
      </c>
      <c r="C6" s="11" t="s">
        <v>28</v>
      </c>
      <c r="D6" s="127" t="str">
        <f t="shared" si="0"/>
        <v>C005-145-23</v>
      </c>
      <c r="E6" s="127" t="str">
        <f>VLOOKUP(Table2[[#This Row],[Location 
(drop-down)]],Table1[#All],3,FALSE)</f>
        <v>USNE, USMW &amp; Canada</v>
      </c>
      <c r="F6" s="11" t="s">
        <v>15</v>
      </c>
      <c r="G6" s="120" t="s">
        <v>827</v>
      </c>
      <c r="H6" s="12">
        <v>44937</v>
      </c>
      <c r="I6" s="12" t="s">
        <v>17</v>
      </c>
      <c r="J6" s="91">
        <v>45001</v>
      </c>
      <c r="K6" s="91">
        <v>45004</v>
      </c>
      <c r="L6" s="10" t="s">
        <v>15</v>
      </c>
      <c r="M6" s="10" t="s">
        <v>15</v>
      </c>
      <c r="N6" s="10" t="s">
        <v>828</v>
      </c>
      <c r="O6" s="10"/>
    </row>
    <row r="7" spans="1:15" s="4" customFormat="1" ht="30" x14ac:dyDescent="0.25">
      <c r="A7" s="9" t="s">
        <v>37</v>
      </c>
      <c r="B7" s="13">
        <f>VLOOKUP(Table2[[#This Row],[Location 
(drop-down)]],'List source'!D$2:E$59,2,FALSE)</f>
        <v>158</v>
      </c>
      <c r="C7" s="11" t="s">
        <v>30</v>
      </c>
      <c r="D7" s="127" t="str">
        <f t="shared" si="0"/>
        <v>C006-158-23</v>
      </c>
      <c r="E7" s="127" t="str">
        <f>VLOOKUP(Table2[[#This Row],[Location 
(drop-down)]],Table1[#All],3,FALSE)</f>
        <v>USGC</v>
      </c>
      <c r="F7" s="11" t="s">
        <v>15</v>
      </c>
      <c r="G7" s="120" t="s">
        <v>829</v>
      </c>
      <c r="H7" s="12">
        <v>44937</v>
      </c>
      <c r="I7" s="12" t="s">
        <v>17</v>
      </c>
      <c r="J7" s="91" t="s">
        <v>821</v>
      </c>
      <c r="K7" s="91">
        <v>45127</v>
      </c>
      <c r="L7" s="10" t="s">
        <v>15</v>
      </c>
      <c r="M7" s="10" t="s">
        <v>15</v>
      </c>
      <c r="N7" s="10"/>
      <c r="O7" s="10"/>
    </row>
    <row r="8" spans="1:15" s="4" customFormat="1" ht="37.5" x14ac:dyDescent="0.25">
      <c r="A8" s="9" t="s">
        <v>42</v>
      </c>
      <c r="B8" s="13">
        <f>VLOOKUP(Table2[[#This Row],[Location 
(drop-down)]],'List source'!D$2:E$59,2,FALSE)</f>
        <v>198</v>
      </c>
      <c r="C8" s="11" t="s">
        <v>33</v>
      </c>
      <c r="D8" s="127" t="str">
        <f t="shared" si="0"/>
        <v>C007-198-23</v>
      </c>
      <c r="E8" s="127" t="str">
        <f>VLOOKUP(Table2[[#This Row],[Location 
(drop-down)]],Table1[#All],3,FALSE)</f>
        <v>USNE, USMW &amp; Canada</v>
      </c>
      <c r="F8" s="11" t="s">
        <v>15</v>
      </c>
      <c r="G8" s="120" t="s">
        <v>830</v>
      </c>
      <c r="H8" s="12">
        <v>44937</v>
      </c>
      <c r="I8" s="12" t="s">
        <v>17</v>
      </c>
      <c r="J8" s="91" t="s">
        <v>821</v>
      </c>
      <c r="K8" s="91">
        <v>45001</v>
      </c>
      <c r="L8" s="10" t="s">
        <v>15</v>
      </c>
      <c r="M8" s="10" t="s">
        <v>15</v>
      </c>
      <c r="N8" s="10" t="s">
        <v>822</v>
      </c>
      <c r="O8" s="10"/>
    </row>
    <row r="9" spans="1:15" s="4" customFormat="1" ht="45" x14ac:dyDescent="0.25">
      <c r="A9" s="9" t="s">
        <v>42</v>
      </c>
      <c r="B9" s="13">
        <f>VLOOKUP(Table2[[#This Row],[Location 
(drop-down)]],'List source'!D$2:E$59,2,FALSE)</f>
        <v>198</v>
      </c>
      <c r="C9" s="11" t="s">
        <v>38</v>
      </c>
      <c r="D9" s="127" t="str">
        <f t="shared" si="0"/>
        <v>C008-198-23</v>
      </c>
      <c r="E9" s="127" t="str">
        <f>VLOOKUP(Table2[[#This Row],[Location 
(drop-down)]],Table1[#All],3,FALSE)</f>
        <v>USNE, USMW &amp; Canada</v>
      </c>
      <c r="F9" s="11" t="s">
        <v>15</v>
      </c>
      <c r="G9" s="120" t="s">
        <v>831</v>
      </c>
      <c r="H9" s="12">
        <v>44937</v>
      </c>
      <c r="I9" s="12" t="s">
        <v>17</v>
      </c>
      <c r="J9" s="91" t="s">
        <v>821</v>
      </c>
      <c r="K9" s="91">
        <v>44998</v>
      </c>
      <c r="L9" s="10" t="s">
        <v>15</v>
      </c>
      <c r="M9" s="10" t="s">
        <v>15</v>
      </c>
      <c r="N9" s="10" t="s">
        <v>832</v>
      </c>
      <c r="O9" s="10"/>
    </row>
    <row r="10" spans="1:15" s="4" customFormat="1" ht="37.5" x14ac:dyDescent="0.25">
      <c r="A10" s="9" t="s">
        <v>42</v>
      </c>
      <c r="B10" s="13">
        <f>VLOOKUP(Table2[[#This Row],[Location 
(drop-down)]],'List source'!D$2:E$59,2,FALSE)</f>
        <v>198</v>
      </c>
      <c r="C10" s="11" t="s">
        <v>40</v>
      </c>
      <c r="D10" s="127" t="str">
        <f t="shared" si="0"/>
        <v>C009-198-23</v>
      </c>
      <c r="E10" s="127" t="str">
        <f>VLOOKUP(Table2[[#This Row],[Location 
(drop-down)]],Table1[#All],3,FALSE)</f>
        <v>USNE, USMW &amp; Canada</v>
      </c>
      <c r="F10" s="11" t="s">
        <v>15</v>
      </c>
      <c r="G10" s="120" t="s">
        <v>833</v>
      </c>
      <c r="H10" s="12">
        <v>44937</v>
      </c>
      <c r="I10" s="12" t="s">
        <v>17</v>
      </c>
      <c r="J10" s="91" t="s">
        <v>821</v>
      </c>
      <c r="K10" s="91">
        <v>45006</v>
      </c>
      <c r="L10" s="10" t="s">
        <v>15</v>
      </c>
      <c r="M10" s="10" t="s">
        <v>15</v>
      </c>
      <c r="N10" s="10" t="s">
        <v>832</v>
      </c>
      <c r="O10" s="10"/>
    </row>
    <row r="11" spans="1:15" s="4" customFormat="1" ht="37.5" x14ac:dyDescent="0.25">
      <c r="A11" s="9" t="s">
        <v>47</v>
      </c>
      <c r="B11" s="13">
        <f>VLOOKUP(Table2[[#This Row],[Location 
(drop-down)]],'List source'!D$2:E$59,2,FALSE)</f>
        <v>215</v>
      </c>
      <c r="C11" s="11" t="s">
        <v>43</v>
      </c>
      <c r="D11" s="127" t="str">
        <f t="shared" si="0"/>
        <v>C010-215-23</v>
      </c>
      <c r="E11" s="127" t="str">
        <f>VLOOKUP(Table2[[#This Row],[Location 
(drop-down)]],Table1[#All],3,FALSE)</f>
        <v>SE &amp; Caribbean</v>
      </c>
      <c r="F11" s="11" t="s">
        <v>15</v>
      </c>
      <c r="G11" s="120" t="s">
        <v>834</v>
      </c>
      <c r="H11" s="12">
        <v>44937</v>
      </c>
      <c r="I11" s="12" t="s">
        <v>17</v>
      </c>
      <c r="J11" s="91" t="s">
        <v>821</v>
      </c>
      <c r="K11" s="91">
        <v>45275</v>
      </c>
      <c r="L11" s="10" t="s">
        <v>15</v>
      </c>
      <c r="M11" s="10" t="s">
        <v>15</v>
      </c>
      <c r="N11" s="10"/>
      <c r="O11" s="10"/>
    </row>
    <row r="12" spans="1:15" s="4" customFormat="1" ht="37.5" x14ac:dyDescent="0.25">
      <c r="A12" s="9" t="s">
        <v>87</v>
      </c>
      <c r="B12" s="13">
        <f>VLOOKUP(Table2[[#This Row],[Location 
(drop-down)]],'List source'!D$2:E$59,2,FALSE)</f>
        <v>210</v>
      </c>
      <c r="C12" s="11" t="s">
        <v>45</v>
      </c>
      <c r="D12" s="127" t="str">
        <f t="shared" si="0"/>
        <v>C011-210-23</v>
      </c>
      <c r="E12" s="127" t="str">
        <f>VLOOKUP(Table2[[#This Row],[Location 
(drop-down)]],Table1[#All],3,FALSE)</f>
        <v>SE &amp; Caribbean</v>
      </c>
      <c r="F12" s="11" t="s">
        <v>15</v>
      </c>
      <c r="G12" s="120" t="s">
        <v>835</v>
      </c>
      <c r="H12" s="12">
        <v>44937</v>
      </c>
      <c r="I12" s="12" t="s">
        <v>17</v>
      </c>
      <c r="J12" s="91" t="s">
        <v>821</v>
      </c>
      <c r="K12" s="91">
        <v>45238</v>
      </c>
      <c r="L12" s="10" t="s">
        <v>15</v>
      </c>
      <c r="M12" s="10" t="s">
        <v>15</v>
      </c>
      <c r="N12" s="10"/>
      <c r="O12" s="61"/>
    </row>
    <row r="13" spans="1:15" s="4" customFormat="1" ht="37.5" x14ac:dyDescent="0.25">
      <c r="A13" s="9" t="s">
        <v>87</v>
      </c>
      <c r="B13" s="13">
        <f>VLOOKUP(Table2[[#This Row],[Location 
(drop-down)]],'List source'!D$2:E$59,2,FALSE)</f>
        <v>210</v>
      </c>
      <c r="C13" s="11" t="s">
        <v>48</v>
      </c>
      <c r="D13" s="127" t="str">
        <f t="shared" si="0"/>
        <v>C012-210-23</v>
      </c>
      <c r="E13" s="127" t="str">
        <f>VLOOKUP(Table2[[#This Row],[Location 
(drop-down)]],Table1[#All],3,FALSE)</f>
        <v>SE &amp; Caribbean</v>
      </c>
      <c r="F13" s="11" t="s">
        <v>15</v>
      </c>
      <c r="G13" s="95" t="s">
        <v>836</v>
      </c>
      <c r="H13" s="12">
        <v>44937</v>
      </c>
      <c r="I13" s="12" t="s">
        <v>17</v>
      </c>
      <c r="J13" s="91">
        <v>45167</v>
      </c>
      <c r="K13" s="91">
        <v>45170</v>
      </c>
      <c r="L13" s="10" t="s">
        <v>15</v>
      </c>
      <c r="M13" s="10" t="s">
        <v>15</v>
      </c>
      <c r="N13" s="10" t="s">
        <v>837</v>
      </c>
      <c r="O13" s="10"/>
    </row>
    <row r="14" spans="1:15" s="4" customFormat="1" ht="37.5" x14ac:dyDescent="0.25">
      <c r="A14" s="9" t="s">
        <v>87</v>
      </c>
      <c r="B14" s="13">
        <f>VLOOKUP(Table2[[#This Row],[Location 
(drop-down)]],'List source'!D$2:E$59,2,FALSE)</f>
        <v>210</v>
      </c>
      <c r="C14" s="11" t="s">
        <v>53</v>
      </c>
      <c r="D14" s="127" t="str">
        <f t="shared" si="0"/>
        <v>C013-210-23</v>
      </c>
      <c r="E14" s="127" t="str">
        <f>VLOOKUP(Table2[[#This Row],[Location 
(drop-down)]],Table1[#All],3,FALSE)</f>
        <v>SE &amp; Caribbean</v>
      </c>
      <c r="F14" s="11" t="s">
        <v>15</v>
      </c>
      <c r="G14" s="95" t="s">
        <v>838</v>
      </c>
      <c r="H14" s="12">
        <v>44937</v>
      </c>
      <c r="I14" s="12" t="s">
        <v>17</v>
      </c>
      <c r="J14" s="91" t="s">
        <v>821</v>
      </c>
      <c r="K14" s="91">
        <v>45100</v>
      </c>
      <c r="L14" s="10" t="s">
        <v>15</v>
      </c>
      <c r="M14" s="10" t="s">
        <v>15</v>
      </c>
      <c r="N14" s="10"/>
      <c r="O14" s="10"/>
    </row>
    <row r="15" spans="1:15" s="4" customFormat="1" ht="37.5" x14ac:dyDescent="0.25">
      <c r="A15" s="9" t="s">
        <v>87</v>
      </c>
      <c r="B15" s="13">
        <f>VLOOKUP(Table2[[#This Row],[Location 
(drop-down)]],'List source'!D$2:E$59,2,FALSE)</f>
        <v>210</v>
      </c>
      <c r="C15" s="11" t="s">
        <v>58</v>
      </c>
      <c r="D15" s="127" t="str">
        <f t="shared" si="0"/>
        <v>C014-210-23</v>
      </c>
      <c r="E15" s="127" t="str">
        <f>VLOOKUP(Table2[[#This Row],[Location 
(drop-down)]],Table1[#All],3,FALSE)</f>
        <v>SE &amp; Caribbean</v>
      </c>
      <c r="F15" s="11" t="s">
        <v>15</v>
      </c>
      <c r="G15" s="9" t="s">
        <v>839</v>
      </c>
      <c r="H15" s="12">
        <v>44937</v>
      </c>
      <c r="I15" s="12" t="s">
        <v>17</v>
      </c>
      <c r="J15" s="91" t="s">
        <v>821</v>
      </c>
      <c r="K15" s="91">
        <v>45239</v>
      </c>
      <c r="L15" s="10" t="s">
        <v>15</v>
      </c>
      <c r="M15" s="10" t="s">
        <v>15</v>
      </c>
      <c r="N15" s="10" t="s">
        <v>822</v>
      </c>
      <c r="O15" s="10"/>
    </row>
    <row r="16" spans="1:15" s="4" customFormat="1" ht="37.5" x14ac:dyDescent="0.25">
      <c r="A16" s="9" t="s">
        <v>87</v>
      </c>
      <c r="B16" s="13">
        <f>VLOOKUP(Table2[[#This Row],[Location 
(drop-down)]],'List source'!D$2:E$59,2,FALSE)</f>
        <v>210</v>
      </c>
      <c r="C16" s="11" t="s">
        <v>62</v>
      </c>
      <c r="D16" s="127" t="str">
        <f t="shared" si="0"/>
        <v>C015-210-23</v>
      </c>
      <c r="E16" s="127" t="str">
        <f>VLOOKUP(Table2[[#This Row],[Location 
(drop-down)]],Table1[#All],3,FALSE)</f>
        <v>SE &amp; Caribbean</v>
      </c>
      <c r="F16" s="11" t="s">
        <v>15</v>
      </c>
      <c r="G16" s="9" t="s">
        <v>840</v>
      </c>
      <c r="H16" s="12">
        <v>44937</v>
      </c>
      <c r="I16" s="12" t="s">
        <v>17</v>
      </c>
      <c r="J16" s="91" t="s">
        <v>821</v>
      </c>
      <c r="K16" s="91">
        <v>45287</v>
      </c>
      <c r="L16" s="10" t="s">
        <v>15</v>
      </c>
      <c r="M16" s="10" t="s">
        <v>15</v>
      </c>
      <c r="N16" s="10" t="s">
        <v>822</v>
      </c>
      <c r="O16" s="10"/>
    </row>
    <row r="17" spans="1:15" s="4" customFormat="1" ht="37.5" x14ac:dyDescent="0.25">
      <c r="A17" s="9" t="s">
        <v>87</v>
      </c>
      <c r="B17" s="13">
        <f>VLOOKUP(Table2[[#This Row],[Location 
(drop-down)]],'List source'!D$2:E$59,2,FALSE)</f>
        <v>210</v>
      </c>
      <c r="C17" s="11" t="s">
        <v>67</v>
      </c>
      <c r="D17" s="222" t="str">
        <f t="shared" si="0"/>
        <v>C016-210-23</v>
      </c>
      <c r="E17" s="33" t="str">
        <f>VLOOKUP(Table2[[#This Row],[Location 
(drop-down)]],Table1[#All],3,FALSE)</f>
        <v>SE &amp; Caribbean</v>
      </c>
      <c r="F17" s="215" t="s">
        <v>15</v>
      </c>
      <c r="G17" s="9" t="s">
        <v>841</v>
      </c>
      <c r="H17" s="12">
        <v>44937</v>
      </c>
      <c r="I17" s="12" t="s">
        <v>17</v>
      </c>
      <c r="J17" s="218" t="s">
        <v>821</v>
      </c>
      <c r="K17" s="218">
        <v>45156</v>
      </c>
      <c r="L17" s="10" t="s">
        <v>15</v>
      </c>
      <c r="M17" s="10" t="s">
        <v>15</v>
      </c>
      <c r="N17" s="10" t="s">
        <v>822</v>
      </c>
      <c r="O17" s="10"/>
    </row>
    <row r="18" spans="1:15" s="4" customFormat="1" ht="37.5" x14ac:dyDescent="0.25">
      <c r="A18" s="9" t="s">
        <v>87</v>
      </c>
      <c r="B18" s="13">
        <f>VLOOKUP(Table2[[#This Row],[Location 
(drop-down)]],'List source'!D$2:E$59,2,FALSE)</f>
        <v>210</v>
      </c>
      <c r="C18" s="11" t="s">
        <v>69</v>
      </c>
      <c r="D18" s="127" t="str">
        <f t="shared" si="0"/>
        <v>C017-210-23</v>
      </c>
      <c r="E18" s="127" t="str">
        <f>VLOOKUP(Table2[[#This Row],[Location 
(drop-down)]],Table1[#All],3,FALSE)</f>
        <v>SE &amp; Caribbean</v>
      </c>
      <c r="F18" s="215" t="s">
        <v>15</v>
      </c>
      <c r="G18" s="9" t="s">
        <v>842</v>
      </c>
      <c r="H18" s="12">
        <v>44937</v>
      </c>
      <c r="I18" s="12" t="s">
        <v>17</v>
      </c>
      <c r="J18" s="91" t="s">
        <v>821</v>
      </c>
      <c r="K18" s="91">
        <v>45184</v>
      </c>
      <c r="L18" s="10" t="s">
        <v>15</v>
      </c>
      <c r="M18" s="10" t="s">
        <v>15</v>
      </c>
      <c r="N18" s="10" t="s">
        <v>832</v>
      </c>
      <c r="O18" s="10"/>
    </row>
    <row r="19" spans="1:15" s="4" customFormat="1" ht="37.5" x14ac:dyDescent="0.25">
      <c r="A19" s="9" t="s">
        <v>87</v>
      </c>
      <c r="B19" s="13">
        <f>VLOOKUP(Table2[[#This Row],[Location 
(drop-down)]],'List source'!D$2:E$59,2,FALSE)</f>
        <v>210</v>
      </c>
      <c r="C19" s="11" t="s">
        <v>73</v>
      </c>
      <c r="D19" s="127" t="str">
        <f t="shared" si="0"/>
        <v>C018-210-23</v>
      </c>
      <c r="E19" s="127" t="str">
        <f>VLOOKUP(Table2[[#This Row],[Location 
(drop-down)]],Table1[#All],3,FALSE)</f>
        <v>SE &amp; Caribbean</v>
      </c>
      <c r="F19" s="11" t="s">
        <v>15</v>
      </c>
      <c r="G19" s="9" t="s">
        <v>843</v>
      </c>
      <c r="H19" s="12">
        <v>44937</v>
      </c>
      <c r="I19" s="12" t="s">
        <v>17</v>
      </c>
      <c r="J19" s="91" t="s">
        <v>821</v>
      </c>
      <c r="K19" s="91">
        <v>45154</v>
      </c>
      <c r="L19" s="10" t="s">
        <v>15</v>
      </c>
      <c r="M19" s="10" t="s">
        <v>15</v>
      </c>
      <c r="N19" s="10" t="s">
        <v>822</v>
      </c>
      <c r="O19" s="10"/>
    </row>
    <row r="20" spans="1:15" s="4" customFormat="1" ht="37.5" x14ac:dyDescent="0.25">
      <c r="A20" s="9" t="s">
        <v>87</v>
      </c>
      <c r="B20" s="13">
        <f>VLOOKUP(Table2[[#This Row],[Location 
(drop-down)]],'List source'!D$2:E$59,2,FALSE)</f>
        <v>210</v>
      </c>
      <c r="C20" s="11" t="s">
        <v>76</v>
      </c>
      <c r="D20" s="127" t="str">
        <f t="shared" si="0"/>
        <v>C019-210-23</v>
      </c>
      <c r="E20" s="33" t="str">
        <f>VLOOKUP(Table2[[#This Row],[Location 
(drop-down)]],Table1[#All],3,FALSE)</f>
        <v>SE &amp; Caribbean</v>
      </c>
      <c r="F20" s="215" t="s">
        <v>15</v>
      </c>
      <c r="G20" s="9" t="s">
        <v>844</v>
      </c>
      <c r="H20" s="12">
        <v>44937</v>
      </c>
      <c r="I20" s="12" t="s">
        <v>17</v>
      </c>
      <c r="J20" s="91" t="s">
        <v>821</v>
      </c>
      <c r="K20" s="91">
        <v>45184</v>
      </c>
      <c r="L20" s="10" t="s">
        <v>15</v>
      </c>
      <c r="M20" s="10" t="s">
        <v>15</v>
      </c>
      <c r="N20" s="10" t="s">
        <v>822</v>
      </c>
      <c r="O20" s="10"/>
    </row>
    <row r="21" spans="1:15" s="4" customFormat="1" ht="45" x14ac:dyDescent="0.25">
      <c r="A21" s="9" t="s">
        <v>57</v>
      </c>
      <c r="B21" s="13">
        <f>VLOOKUP(Table2[[#This Row],[Location 
(drop-down)]],'List source'!D$2:E$59,2,FALSE)</f>
        <v>155</v>
      </c>
      <c r="C21" s="11" t="s">
        <v>80</v>
      </c>
      <c r="D21" s="127" t="str">
        <f t="shared" si="0"/>
        <v>C020-155-23</v>
      </c>
      <c r="E21" s="127" t="str">
        <f>VLOOKUP(Table2[[#This Row],[Location 
(drop-down)]],Table1[#All],3,FALSE)</f>
        <v>USGC</v>
      </c>
      <c r="F21" s="11" t="s">
        <v>15</v>
      </c>
      <c r="G21" s="9" t="s">
        <v>845</v>
      </c>
      <c r="H21" s="12">
        <v>44937</v>
      </c>
      <c r="I21" s="12" t="s">
        <v>17</v>
      </c>
      <c r="J21" s="91" t="s">
        <v>821</v>
      </c>
      <c r="K21" s="91">
        <v>44993</v>
      </c>
      <c r="L21" s="10" t="s">
        <v>15</v>
      </c>
      <c r="M21" s="10" t="s">
        <v>15</v>
      </c>
      <c r="N21" s="10" t="s">
        <v>822</v>
      </c>
      <c r="O21" s="10"/>
    </row>
    <row r="22" spans="1:15" s="4" customFormat="1" ht="37.5" x14ac:dyDescent="0.25">
      <c r="A22" s="9" t="s">
        <v>75</v>
      </c>
      <c r="B22" s="13">
        <f>VLOOKUP(Table2[[#This Row],[Location 
(drop-down)]],'List source'!D$2:E$59,2,FALSE)</f>
        <v>180</v>
      </c>
      <c r="C22" s="11" t="s">
        <v>84</v>
      </c>
      <c r="D22" s="127" t="str">
        <f t="shared" si="0"/>
        <v>C021-180-23</v>
      </c>
      <c r="E22" s="127" t="str">
        <f>VLOOKUP(Table2[[#This Row],[Location 
(drop-down)]],Table1[#All],3,FALSE)</f>
        <v>SE &amp; Caribbean</v>
      </c>
      <c r="F22" s="11" t="s">
        <v>15</v>
      </c>
      <c r="G22" s="9" t="s">
        <v>846</v>
      </c>
      <c r="H22" s="12">
        <v>44937</v>
      </c>
      <c r="I22" s="12" t="s">
        <v>17</v>
      </c>
      <c r="J22" s="91" t="s">
        <v>821</v>
      </c>
      <c r="K22" s="91">
        <v>44957</v>
      </c>
      <c r="L22" s="10" t="s">
        <v>15</v>
      </c>
      <c r="M22" s="10" t="s">
        <v>15</v>
      </c>
      <c r="N22" s="10" t="s">
        <v>828</v>
      </c>
      <c r="O22" s="10"/>
    </row>
    <row r="23" spans="1:15" s="4" customFormat="1" ht="30" x14ac:dyDescent="0.25">
      <c r="A23" s="9" t="s">
        <v>27</v>
      </c>
      <c r="B23" s="13">
        <f>VLOOKUP(Table2[[#This Row],[Location 
(drop-down)]],'List source'!D$2:E$59,2,FALSE)</f>
        <v>132</v>
      </c>
      <c r="C23" s="11" t="s">
        <v>88</v>
      </c>
      <c r="D23" s="127" t="str">
        <f t="shared" si="0"/>
        <v>C022-132-23</v>
      </c>
      <c r="E23" s="127" t="str">
        <f>VLOOKUP(Table2[[#This Row],[Location 
(drop-down)]],Table1[#All],3,FALSE)</f>
        <v>USWC</v>
      </c>
      <c r="F23" s="11" t="s">
        <v>15</v>
      </c>
      <c r="G23" s="9" t="s">
        <v>847</v>
      </c>
      <c r="H23" s="12">
        <v>44938</v>
      </c>
      <c r="I23" s="12" t="s">
        <v>17</v>
      </c>
      <c r="J23" s="91" t="s">
        <v>821</v>
      </c>
      <c r="K23" s="91">
        <v>45302</v>
      </c>
      <c r="L23" s="10" t="s">
        <v>15</v>
      </c>
      <c r="M23" s="10" t="s">
        <v>15</v>
      </c>
      <c r="N23" s="10" t="s">
        <v>837</v>
      </c>
      <c r="O23" s="10"/>
    </row>
    <row r="24" spans="1:15" s="4" customFormat="1" ht="37.5" x14ac:dyDescent="0.25">
      <c r="A24" s="9" t="s">
        <v>108</v>
      </c>
      <c r="B24" s="13">
        <f>VLOOKUP(Table2[[#This Row],[Location 
(drop-down)]],'List source'!D$2:E$59,2,FALSE)</f>
        <v>191</v>
      </c>
      <c r="C24" s="11" t="s">
        <v>91</v>
      </c>
      <c r="D24" s="127" t="str">
        <f t="shared" si="0"/>
        <v>C023-191-23</v>
      </c>
      <c r="E24" s="127" t="str">
        <f>VLOOKUP(Table2[[#This Row],[Location 
(drop-down)]],Table1[#All],3,FALSE)</f>
        <v>SE &amp; Caribbean</v>
      </c>
      <c r="F24" s="11" t="s">
        <v>15</v>
      </c>
      <c r="G24" s="9" t="s">
        <v>848</v>
      </c>
      <c r="H24" s="12">
        <v>44938</v>
      </c>
      <c r="I24" s="12" t="s">
        <v>17</v>
      </c>
      <c r="J24" s="91" t="s">
        <v>821</v>
      </c>
      <c r="K24" s="91">
        <v>45097</v>
      </c>
      <c r="L24" s="10" t="s">
        <v>15</v>
      </c>
      <c r="M24" s="10" t="s">
        <v>15</v>
      </c>
      <c r="N24" s="10"/>
      <c r="O24" s="10"/>
    </row>
    <row r="25" spans="1:15" s="4" customFormat="1" ht="37.5" x14ac:dyDescent="0.25">
      <c r="A25" s="9" t="s">
        <v>42</v>
      </c>
      <c r="B25" s="13">
        <f>VLOOKUP(Table2[[#This Row],[Location 
(drop-down)]],'List source'!D$2:E$59,2,FALSE)</f>
        <v>198</v>
      </c>
      <c r="C25" s="11" t="s">
        <v>93</v>
      </c>
      <c r="D25" s="127" t="str">
        <f t="shared" si="0"/>
        <v>C024-198-23</v>
      </c>
      <c r="E25" s="127" t="str">
        <f>VLOOKUP(Table2[[#This Row],[Location 
(drop-down)]],Table1[#All],3,FALSE)</f>
        <v>USNE, USMW &amp; Canada</v>
      </c>
      <c r="F25" s="11" t="s">
        <v>15</v>
      </c>
      <c r="G25" s="9" t="s">
        <v>849</v>
      </c>
      <c r="H25" s="14">
        <v>44938</v>
      </c>
      <c r="I25" s="12" t="s">
        <v>17</v>
      </c>
      <c r="J25" s="91" t="s">
        <v>821</v>
      </c>
      <c r="K25" s="91">
        <v>45006</v>
      </c>
      <c r="L25" s="10" t="s">
        <v>15</v>
      </c>
      <c r="M25" s="10" t="s">
        <v>15</v>
      </c>
      <c r="N25" s="10" t="s">
        <v>822</v>
      </c>
      <c r="O25" s="10"/>
    </row>
    <row r="26" spans="1:15" s="4" customFormat="1" ht="30" x14ac:dyDescent="0.25">
      <c r="A26" s="9" t="s">
        <v>22</v>
      </c>
      <c r="B26" s="13">
        <f>VLOOKUP(Table2[[#This Row],[Location 
(drop-down)]],'List source'!D$2:E$59,2,FALSE)</f>
        <v>130</v>
      </c>
      <c r="C26" s="11" t="s">
        <v>100</v>
      </c>
      <c r="D26" s="127" t="str">
        <f t="shared" si="0"/>
        <v>C025-130-23</v>
      </c>
      <c r="E26" s="127" t="str">
        <f>VLOOKUP(Table2[[#This Row],[Location 
(drop-down)]],Table1[#All],3,FALSE)</f>
        <v>USWC</v>
      </c>
      <c r="F26" s="11" t="s">
        <v>15</v>
      </c>
      <c r="G26" s="119" t="s">
        <v>850</v>
      </c>
      <c r="H26" s="12">
        <v>44938</v>
      </c>
      <c r="I26" s="12" t="s">
        <v>17</v>
      </c>
      <c r="J26" s="91" t="s">
        <v>821</v>
      </c>
      <c r="K26" s="91">
        <v>45214</v>
      </c>
      <c r="L26" s="10" t="s">
        <v>15</v>
      </c>
      <c r="M26" s="10" t="s">
        <v>15</v>
      </c>
      <c r="N26" s="10" t="s">
        <v>822</v>
      </c>
      <c r="O26" s="10"/>
    </row>
    <row r="27" spans="1:15" s="4" customFormat="1" ht="30" x14ac:dyDescent="0.25">
      <c r="A27" s="9" t="s">
        <v>57</v>
      </c>
      <c r="B27" s="13">
        <f>VLOOKUP(Table2[[#This Row],[Location 
(drop-down)]],'List source'!D$2:E$59,2,FALSE)</f>
        <v>155</v>
      </c>
      <c r="C27" s="11" t="s">
        <v>104</v>
      </c>
      <c r="D27" s="127" t="str">
        <f t="shared" si="0"/>
        <v>C026-155-23</v>
      </c>
      <c r="E27" s="127" t="str">
        <f>VLOOKUP(Table2[[#This Row],[Location 
(drop-down)]],Table1[#All],3,FALSE)</f>
        <v>USGC</v>
      </c>
      <c r="F27" s="11" t="s">
        <v>15</v>
      </c>
      <c r="G27" s="9" t="s">
        <v>851</v>
      </c>
      <c r="H27" s="12">
        <v>44938</v>
      </c>
      <c r="I27" s="12" t="s">
        <v>17</v>
      </c>
      <c r="J27" s="91" t="s">
        <v>821</v>
      </c>
      <c r="K27" s="91">
        <v>44993</v>
      </c>
      <c r="L27" s="10" t="s">
        <v>15</v>
      </c>
      <c r="M27" s="10" t="s">
        <v>15</v>
      </c>
      <c r="N27" s="10" t="s">
        <v>822</v>
      </c>
      <c r="O27" s="10"/>
    </row>
    <row r="28" spans="1:15" s="4" customFormat="1" ht="30" x14ac:dyDescent="0.25">
      <c r="A28" s="9" t="s">
        <v>61</v>
      </c>
      <c r="B28" s="13">
        <f>VLOOKUP(Table2[[#This Row],[Location 
(drop-down)]],'List source'!D$2:E$59,2,FALSE)</f>
        <v>120</v>
      </c>
      <c r="C28" s="11" t="s">
        <v>109</v>
      </c>
      <c r="D28" s="127" t="str">
        <f t="shared" si="0"/>
        <v>C027-120-23</v>
      </c>
      <c r="E28" s="127" t="str">
        <f>VLOOKUP(Table2[[#This Row],[Location 
(drop-down)]],Table1[#All],3,FALSE)</f>
        <v>USGC</v>
      </c>
      <c r="F28" s="11" t="s">
        <v>852</v>
      </c>
      <c r="G28" s="9" t="s">
        <v>853</v>
      </c>
      <c r="H28" s="12">
        <v>44942</v>
      </c>
      <c r="I28" s="12" t="s">
        <v>129</v>
      </c>
      <c r="J28" s="91" t="s">
        <v>821</v>
      </c>
      <c r="K28" s="91">
        <v>44960</v>
      </c>
      <c r="L28" s="10" t="s">
        <v>97</v>
      </c>
      <c r="M28" s="10" t="s">
        <v>854</v>
      </c>
      <c r="N28" s="10" t="s">
        <v>832</v>
      </c>
      <c r="O28" s="105" t="s">
        <v>855</v>
      </c>
    </row>
    <row r="29" spans="1:15" s="4" customFormat="1" ht="30" x14ac:dyDescent="0.25">
      <c r="A29" s="9" t="s">
        <v>57</v>
      </c>
      <c r="B29" s="13">
        <f>VLOOKUP(Table2[[#This Row],[Location 
(drop-down)]],'List source'!D$2:E$59,2,FALSE)</f>
        <v>155</v>
      </c>
      <c r="C29" s="11" t="s">
        <v>113</v>
      </c>
      <c r="D29" s="127" t="str">
        <f t="shared" si="0"/>
        <v>C028-155-23</v>
      </c>
      <c r="E29" s="127" t="str">
        <f>VLOOKUP(Table2[[#This Row],[Location 
(drop-down)]],Table1[#All],3,FALSE)</f>
        <v>USGC</v>
      </c>
      <c r="F29" s="11" t="s">
        <v>94</v>
      </c>
      <c r="G29" s="9" t="s">
        <v>856</v>
      </c>
      <c r="H29" s="12">
        <v>44946</v>
      </c>
      <c r="I29" s="12" t="s">
        <v>129</v>
      </c>
      <c r="J29" s="91" t="s">
        <v>821</v>
      </c>
      <c r="K29" s="91">
        <v>45061</v>
      </c>
      <c r="L29" s="10" t="s">
        <v>97</v>
      </c>
      <c r="M29" s="10" t="s">
        <v>857</v>
      </c>
      <c r="N29" s="10" t="s">
        <v>858</v>
      </c>
      <c r="O29" s="10"/>
    </row>
    <row r="30" spans="1:15" s="4" customFormat="1" ht="30" x14ac:dyDescent="0.25">
      <c r="A30" s="9" t="s">
        <v>57</v>
      </c>
      <c r="B30" s="13">
        <f>VLOOKUP(Table2[[#This Row],[Location 
(drop-down)]],'List source'!D$2:E$59,2,FALSE)</f>
        <v>155</v>
      </c>
      <c r="C30" s="11" t="s">
        <v>115</v>
      </c>
      <c r="D30" s="127" t="str">
        <f t="shared" si="0"/>
        <v>C029-155-23</v>
      </c>
      <c r="E30" s="127" t="str">
        <f>VLOOKUP(Table2[[#This Row],[Location 
(drop-down)]],Table1[#All],3,FALSE)</f>
        <v>USGC</v>
      </c>
      <c r="F30" s="11" t="s">
        <v>94</v>
      </c>
      <c r="G30" s="9" t="s">
        <v>859</v>
      </c>
      <c r="H30" s="12">
        <v>44946</v>
      </c>
      <c r="I30" s="12" t="s">
        <v>129</v>
      </c>
      <c r="J30" s="91" t="s">
        <v>821</v>
      </c>
      <c r="K30" s="91">
        <v>44960</v>
      </c>
      <c r="L30" s="10" t="s">
        <v>147</v>
      </c>
      <c r="M30" s="10" t="s">
        <v>857</v>
      </c>
      <c r="N30" s="10" t="s">
        <v>822</v>
      </c>
      <c r="O30" s="184"/>
    </row>
    <row r="31" spans="1:15" s="4" customFormat="1" ht="30" x14ac:dyDescent="0.25">
      <c r="A31" s="9" t="s">
        <v>57</v>
      </c>
      <c r="B31" s="13">
        <f>VLOOKUP(Table2[[#This Row],[Location 
(drop-down)]],'List source'!D$2:E$59,2,FALSE)</f>
        <v>155</v>
      </c>
      <c r="C31" s="11" t="s">
        <v>117</v>
      </c>
      <c r="D31" s="127" t="str">
        <f t="shared" si="0"/>
        <v>C030-155-23</v>
      </c>
      <c r="E31" s="127" t="str">
        <f>VLOOKUP(Table2[[#This Row],[Location 
(drop-down)]],Table1[#All],3,FALSE)</f>
        <v>USGC</v>
      </c>
      <c r="F31" s="11" t="s">
        <v>94</v>
      </c>
      <c r="G31" s="9" t="s">
        <v>860</v>
      </c>
      <c r="H31" s="12">
        <v>44946</v>
      </c>
      <c r="I31" s="12" t="s">
        <v>129</v>
      </c>
      <c r="J31" s="91" t="s">
        <v>821</v>
      </c>
      <c r="K31" s="91">
        <v>44973</v>
      </c>
      <c r="L31" s="10" t="s">
        <v>97</v>
      </c>
      <c r="M31" s="10" t="s">
        <v>857</v>
      </c>
      <c r="N31" s="10" t="s">
        <v>858</v>
      </c>
      <c r="O31" s="10"/>
    </row>
    <row r="32" spans="1:15" s="4" customFormat="1" ht="30" x14ac:dyDescent="0.25">
      <c r="A32" s="9" t="s">
        <v>57</v>
      </c>
      <c r="B32" s="13">
        <f>VLOOKUP(Table2[[#This Row],[Location 
(drop-down)]],'List source'!D$2:E$59,2,FALSE)</f>
        <v>155</v>
      </c>
      <c r="C32" s="11" t="s">
        <v>119</v>
      </c>
      <c r="D32" s="127" t="str">
        <f t="shared" si="0"/>
        <v>C031-155-23</v>
      </c>
      <c r="E32" s="127" t="str">
        <f>VLOOKUP(Table2[[#This Row],[Location 
(drop-down)]],Table1[#All],3,FALSE)</f>
        <v>USGC</v>
      </c>
      <c r="F32" s="11" t="s">
        <v>94</v>
      </c>
      <c r="G32" s="116" t="s">
        <v>861</v>
      </c>
      <c r="H32" s="12">
        <v>44946</v>
      </c>
      <c r="I32" s="12" t="s">
        <v>129</v>
      </c>
      <c r="J32" s="91" t="s">
        <v>821</v>
      </c>
      <c r="K32" s="91">
        <v>44971</v>
      </c>
      <c r="L32" s="12" t="s">
        <v>97</v>
      </c>
      <c r="M32" s="12" t="s">
        <v>862</v>
      </c>
      <c r="N32" s="12" t="s">
        <v>822</v>
      </c>
      <c r="O32" s="372"/>
    </row>
    <row r="33" spans="1:15" s="4" customFormat="1" ht="30" x14ac:dyDescent="0.25">
      <c r="A33" s="9" t="s">
        <v>57</v>
      </c>
      <c r="B33" s="13">
        <f>VLOOKUP(Table2[[#This Row],[Location 
(drop-down)]],'List source'!D$2:E$59,2,FALSE)</f>
        <v>155</v>
      </c>
      <c r="C33" s="11" t="s">
        <v>121</v>
      </c>
      <c r="D33" s="127" t="str">
        <f t="shared" si="0"/>
        <v>C032-155-23</v>
      </c>
      <c r="E33" s="127" t="str">
        <f>VLOOKUP(Table2[[#This Row],[Location 
(drop-down)]],Table1[#All],3,FALSE)</f>
        <v>USGC</v>
      </c>
      <c r="F33" s="11" t="s">
        <v>94</v>
      </c>
      <c r="G33" s="9" t="s">
        <v>863</v>
      </c>
      <c r="H33" s="12">
        <v>44946</v>
      </c>
      <c r="I33" s="12" t="s">
        <v>129</v>
      </c>
      <c r="J33" s="91" t="s">
        <v>821</v>
      </c>
      <c r="K33" s="91">
        <v>44984</v>
      </c>
      <c r="L33" s="10" t="s">
        <v>97</v>
      </c>
      <c r="M33" s="10" t="s">
        <v>862</v>
      </c>
      <c r="N33" s="10" t="s">
        <v>822</v>
      </c>
      <c r="O33" s="10"/>
    </row>
    <row r="34" spans="1:15" s="4" customFormat="1" ht="60" x14ac:dyDescent="0.25">
      <c r="A34" s="9" t="s">
        <v>57</v>
      </c>
      <c r="B34" s="13">
        <f>VLOOKUP(Table2[[#This Row],[Location 
(drop-down)]],'List source'!D$2:E$59,2,FALSE)</f>
        <v>155</v>
      </c>
      <c r="C34" s="11" t="s">
        <v>124</v>
      </c>
      <c r="D34" s="127" t="str">
        <f t="shared" ref="D34:D65" si="1">"C" &amp; C34 &amp; "-" &amp; B34 &amp; "-" &amp; "23"</f>
        <v>C033-155-23</v>
      </c>
      <c r="E34" s="127" t="str">
        <f>VLOOKUP(Table2[[#This Row],[Location 
(drop-down)]],Table1[#All],3,FALSE)</f>
        <v>USGC</v>
      </c>
      <c r="F34" s="11" t="s">
        <v>94</v>
      </c>
      <c r="G34" s="9" t="s">
        <v>864</v>
      </c>
      <c r="H34" s="12">
        <v>44946</v>
      </c>
      <c r="I34" s="12" t="s">
        <v>129</v>
      </c>
      <c r="J34" s="91" t="s">
        <v>821</v>
      </c>
      <c r="K34" s="91">
        <v>44974</v>
      </c>
      <c r="L34" s="10" t="s">
        <v>97</v>
      </c>
      <c r="M34" s="10" t="s">
        <v>857</v>
      </c>
      <c r="N34" s="10" t="s">
        <v>858</v>
      </c>
      <c r="O34" s="184"/>
    </row>
    <row r="35" spans="1:15" s="4" customFormat="1" ht="30" x14ac:dyDescent="0.25">
      <c r="A35" s="9" t="s">
        <v>57</v>
      </c>
      <c r="B35" s="13">
        <f>VLOOKUP(Table2[[#This Row],[Location 
(drop-down)]],'List source'!D$2:E$59,2,FALSE)</f>
        <v>155</v>
      </c>
      <c r="C35" s="11" t="s">
        <v>127</v>
      </c>
      <c r="D35" s="127" t="str">
        <f t="shared" si="1"/>
        <v>C034-155-23</v>
      </c>
      <c r="E35" s="127" t="str">
        <f>VLOOKUP(Table2[[#This Row],[Location 
(drop-down)]],Table1[#All],3,FALSE)</f>
        <v>USGC</v>
      </c>
      <c r="F35" s="11" t="s">
        <v>94</v>
      </c>
      <c r="G35" s="9" t="s">
        <v>865</v>
      </c>
      <c r="H35" s="12">
        <v>44946</v>
      </c>
      <c r="I35" s="12" t="s">
        <v>129</v>
      </c>
      <c r="J35" s="91" t="s">
        <v>821</v>
      </c>
      <c r="K35" s="91">
        <v>44988</v>
      </c>
      <c r="L35" s="10" t="s">
        <v>97</v>
      </c>
      <c r="M35" s="10" t="s">
        <v>857</v>
      </c>
      <c r="N35" s="10" t="s">
        <v>858</v>
      </c>
      <c r="O35" s="184"/>
    </row>
    <row r="36" spans="1:15" s="4" customFormat="1" ht="30" x14ac:dyDescent="0.25">
      <c r="A36" s="9" t="s">
        <v>57</v>
      </c>
      <c r="B36" s="13">
        <f>VLOOKUP(Table2[[#This Row],[Location 
(drop-down)]],'List source'!D$2:E$59,2,FALSE)</f>
        <v>155</v>
      </c>
      <c r="C36" s="11" t="s">
        <v>132</v>
      </c>
      <c r="D36" s="127" t="str">
        <f t="shared" si="1"/>
        <v>C035-155-23</v>
      </c>
      <c r="E36" s="127" t="str">
        <f>VLOOKUP(Table2[[#This Row],[Location 
(drop-down)]],Table1[#All],3,FALSE)</f>
        <v>USGC</v>
      </c>
      <c r="F36" s="11" t="s">
        <v>94</v>
      </c>
      <c r="G36" s="9" t="s">
        <v>866</v>
      </c>
      <c r="H36" s="12">
        <v>44946</v>
      </c>
      <c r="I36" s="12" t="s">
        <v>129</v>
      </c>
      <c r="J36" s="91" t="s">
        <v>821</v>
      </c>
      <c r="K36" s="91">
        <v>45020</v>
      </c>
      <c r="L36" s="10" t="s">
        <v>97</v>
      </c>
      <c r="M36" s="10" t="s">
        <v>857</v>
      </c>
      <c r="N36" s="10" t="s">
        <v>822</v>
      </c>
      <c r="O36" s="10"/>
    </row>
    <row r="37" spans="1:15" s="4" customFormat="1" ht="30" x14ac:dyDescent="0.25">
      <c r="A37" s="9" t="s">
        <v>57</v>
      </c>
      <c r="B37" s="13">
        <f>VLOOKUP(Table2[[#This Row],[Location 
(drop-down)]],'List source'!D$2:E$59,2,FALSE)</f>
        <v>155</v>
      </c>
      <c r="C37" s="11" t="s">
        <v>134</v>
      </c>
      <c r="D37" s="127" t="str">
        <f t="shared" si="1"/>
        <v>C036-155-23</v>
      </c>
      <c r="E37" s="127" t="str">
        <f>VLOOKUP(Table2[[#This Row],[Location 
(drop-down)]],Table1[#All],3,FALSE)</f>
        <v>USGC</v>
      </c>
      <c r="F37" s="11" t="s">
        <v>94</v>
      </c>
      <c r="G37" s="9" t="s">
        <v>867</v>
      </c>
      <c r="H37" s="12">
        <v>44946</v>
      </c>
      <c r="I37" s="12" t="s">
        <v>129</v>
      </c>
      <c r="J37" s="91" t="s">
        <v>821</v>
      </c>
      <c r="K37" s="91">
        <v>44964</v>
      </c>
      <c r="L37" s="10" t="s">
        <v>97</v>
      </c>
      <c r="M37" s="10" t="s">
        <v>857</v>
      </c>
      <c r="N37" s="10" t="s">
        <v>822</v>
      </c>
      <c r="O37" s="10"/>
    </row>
    <row r="38" spans="1:15" s="4" customFormat="1" ht="30" x14ac:dyDescent="0.25">
      <c r="A38" s="9" t="s">
        <v>57</v>
      </c>
      <c r="B38" s="13">
        <f>VLOOKUP(Table2[[#This Row],[Location 
(drop-down)]],'List source'!D$2:E$59,2,FALSE)</f>
        <v>155</v>
      </c>
      <c r="C38" s="11" t="s">
        <v>137</v>
      </c>
      <c r="D38" s="127" t="str">
        <f t="shared" si="1"/>
        <v>C037-155-23</v>
      </c>
      <c r="E38" s="127" t="str">
        <f>VLOOKUP(Table2[[#This Row],[Location 
(drop-down)]],Table1[#All],3,FALSE)</f>
        <v>USGC</v>
      </c>
      <c r="F38" s="11" t="s">
        <v>94</v>
      </c>
      <c r="G38" s="9" t="s">
        <v>868</v>
      </c>
      <c r="H38" s="12">
        <v>44946</v>
      </c>
      <c r="I38" s="12" t="s">
        <v>129</v>
      </c>
      <c r="J38" s="91" t="s">
        <v>821</v>
      </c>
      <c r="K38" s="91">
        <v>44988</v>
      </c>
      <c r="L38" s="10" t="s">
        <v>97</v>
      </c>
      <c r="M38" s="10" t="s">
        <v>857</v>
      </c>
      <c r="N38" s="10" t="s">
        <v>858</v>
      </c>
      <c r="O38" s="10"/>
    </row>
    <row r="39" spans="1:15" s="4" customFormat="1" ht="37.5" x14ac:dyDescent="0.25">
      <c r="A39" s="9" t="s">
        <v>331</v>
      </c>
      <c r="B39" s="13">
        <f>VLOOKUP(Table2[[#This Row],[Location 
(drop-down)]],'List source'!D$2:E$59,2,FALSE)</f>
        <v>146</v>
      </c>
      <c r="C39" s="11" t="s">
        <v>141</v>
      </c>
      <c r="D39" s="127" t="str">
        <f t="shared" si="1"/>
        <v>C038-146-23</v>
      </c>
      <c r="E39" s="127" t="str">
        <f>VLOOKUP(Table2[[#This Row],[Location 
(drop-down)]],Table1[#All],3,FALSE)</f>
        <v>SE &amp; Caribbean</v>
      </c>
      <c r="F39" s="11" t="s">
        <v>159</v>
      </c>
      <c r="G39" s="9" t="s">
        <v>869</v>
      </c>
      <c r="H39" s="12">
        <v>44943</v>
      </c>
      <c r="I39" s="12" t="s">
        <v>129</v>
      </c>
      <c r="J39" s="91" t="s">
        <v>821</v>
      </c>
      <c r="K39" s="91">
        <v>44960</v>
      </c>
      <c r="L39" s="10" t="s">
        <v>147</v>
      </c>
      <c r="M39" s="10" t="s">
        <v>870</v>
      </c>
      <c r="N39" s="10" t="s">
        <v>822</v>
      </c>
      <c r="O39" s="10" t="s">
        <v>871</v>
      </c>
    </row>
    <row r="40" spans="1:15" s="4" customFormat="1" ht="37.5" x14ac:dyDescent="0.25">
      <c r="A40" s="9" t="s">
        <v>79</v>
      </c>
      <c r="B40" s="13">
        <f>VLOOKUP(Table2[[#This Row],[Location 
(drop-down)]],'List source'!D$2:E$59,2,FALSE)</f>
        <v>141</v>
      </c>
      <c r="C40" s="11" t="s">
        <v>145</v>
      </c>
      <c r="D40" s="127" t="str">
        <f t="shared" si="1"/>
        <v>C039-141-23</v>
      </c>
      <c r="E40" s="127" t="str">
        <f>VLOOKUP(Table2[[#This Row],[Location 
(drop-down)]],Table1[#All],3,FALSE)</f>
        <v>USNE, USMW &amp; Canada</v>
      </c>
      <c r="F40" s="11" t="s">
        <v>269</v>
      </c>
      <c r="G40" s="9" t="s">
        <v>872</v>
      </c>
      <c r="H40" s="12">
        <v>44950</v>
      </c>
      <c r="I40" s="12" t="s">
        <v>96</v>
      </c>
      <c r="J40" s="91">
        <v>44985</v>
      </c>
      <c r="K40" s="91">
        <v>44987</v>
      </c>
      <c r="L40" s="10" t="s">
        <v>97</v>
      </c>
      <c r="M40" s="10" t="s">
        <v>854</v>
      </c>
      <c r="N40" s="10" t="s">
        <v>822</v>
      </c>
      <c r="O40" s="10"/>
    </row>
    <row r="41" spans="1:15" s="4" customFormat="1" ht="37.5" x14ac:dyDescent="0.25">
      <c r="A41" s="9" t="s">
        <v>873</v>
      </c>
      <c r="B41" s="13">
        <f>VLOOKUP(Table2[[#This Row],[Location 
(drop-down)]],'List source'!D$2:E$59,2,FALSE)</f>
        <v>190</v>
      </c>
      <c r="C41" s="11" t="s">
        <v>150</v>
      </c>
      <c r="D41" s="127" t="str">
        <f t="shared" si="1"/>
        <v>C040-190-23</v>
      </c>
      <c r="E41" s="127" t="str">
        <f>VLOOKUP(Table2[[#This Row],[Location 
(drop-down)]],Table1[#All],3,FALSE)</f>
        <v>SE &amp; Caribbean</v>
      </c>
      <c r="F41" s="11" t="s">
        <v>852</v>
      </c>
      <c r="G41" s="9" t="s">
        <v>874</v>
      </c>
      <c r="H41" s="12">
        <v>44945</v>
      </c>
      <c r="I41" s="12" t="s">
        <v>875</v>
      </c>
      <c r="J41" s="91" t="s">
        <v>821</v>
      </c>
      <c r="K41" s="91">
        <v>45019</v>
      </c>
      <c r="L41" s="10" t="s">
        <v>147</v>
      </c>
      <c r="M41" s="10" t="s">
        <v>862</v>
      </c>
      <c r="N41" s="10" t="s">
        <v>858</v>
      </c>
      <c r="O41" s="10"/>
    </row>
    <row r="42" spans="1:15" s="4" customFormat="1" ht="30" x14ac:dyDescent="0.25">
      <c r="A42" s="9" t="s">
        <v>57</v>
      </c>
      <c r="B42" s="13">
        <f>VLOOKUP(Table2[[#This Row],[Location 
(drop-down)]],'List source'!D$2:E$59,2,FALSE)</f>
        <v>155</v>
      </c>
      <c r="C42" s="11" t="s">
        <v>154</v>
      </c>
      <c r="D42" s="127" t="str">
        <f t="shared" si="1"/>
        <v>C041-155-23</v>
      </c>
      <c r="E42" s="127" t="str">
        <f>VLOOKUP(Table2[[#This Row],[Location 
(drop-down)]],Table1[#All],3,FALSE)</f>
        <v>USGC</v>
      </c>
      <c r="F42" s="11" t="s">
        <v>852</v>
      </c>
      <c r="G42" s="107" t="s">
        <v>876</v>
      </c>
      <c r="H42" s="12">
        <v>44953</v>
      </c>
      <c r="I42" s="12" t="s">
        <v>129</v>
      </c>
      <c r="J42" s="91" t="s">
        <v>821</v>
      </c>
      <c r="K42" s="91">
        <v>44960</v>
      </c>
      <c r="L42" s="10" t="s">
        <v>147</v>
      </c>
      <c r="M42" s="10" t="s">
        <v>857</v>
      </c>
      <c r="N42" s="10" t="s">
        <v>822</v>
      </c>
      <c r="O42" s="10" t="s">
        <v>877</v>
      </c>
    </row>
    <row r="43" spans="1:15" s="4" customFormat="1" ht="37.5" x14ac:dyDescent="0.25">
      <c r="A43" s="9" t="s">
        <v>878</v>
      </c>
      <c r="B43" s="13">
        <f>VLOOKUP(Table2[[#This Row],[Location 
(drop-down)]],'List source'!D$2:E$59,2,FALSE)</f>
        <v>178</v>
      </c>
      <c r="C43" s="11" t="s">
        <v>158</v>
      </c>
      <c r="D43" s="127" t="str">
        <f t="shared" si="1"/>
        <v>C042-178-23</v>
      </c>
      <c r="E43" s="127" t="str">
        <f>VLOOKUP(Table2[[#This Row],[Location 
(drop-down)]],Table1[#All],3,FALSE)</f>
        <v>SE &amp; Caribbean</v>
      </c>
      <c r="F43" s="11" t="s">
        <v>94</v>
      </c>
      <c r="G43" s="9" t="s">
        <v>879</v>
      </c>
      <c r="H43" s="12">
        <v>44956</v>
      </c>
      <c r="I43" s="12" t="s">
        <v>129</v>
      </c>
      <c r="J43" s="91" t="s">
        <v>821</v>
      </c>
      <c r="K43" s="91">
        <v>44957</v>
      </c>
      <c r="L43" s="10" t="s">
        <v>97</v>
      </c>
      <c r="M43" s="10" t="s">
        <v>857</v>
      </c>
      <c r="N43" s="10" t="s">
        <v>858</v>
      </c>
      <c r="O43" s="10"/>
    </row>
    <row r="44" spans="1:15" s="4" customFormat="1" ht="37.5" x14ac:dyDescent="0.25">
      <c r="A44" s="9" t="s">
        <v>878</v>
      </c>
      <c r="B44" s="13">
        <f>VLOOKUP(Table2[[#This Row],[Location 
(drop-down)]],'List source'!D$2:E$59,2,FALSE)</f>
        <v>178</v>
      </c>
      <c r="C44" s="11" t="s">
        <v>162</v>
      </c>
      <c r="D44" s="127" t="str">
        <f t="shared" si="1"/>
        <v>C043-178-23</v>
      </c>
      <c r="E44" s="127" t="str">
        <f>VLOOKUP(Table2[[#This Row],[Location 
(drop-down)]],Table1[#All],3,FALSE)</f>
        <v>SE &amp; Caribbean</v>
      </c>
      <c r="F44" s="11" t="s">
        <v>94</v>
      </c>
      <c r="G44" s="9" t="s">
        <v>880</v>
      </c>
      <c r="H44" s="12">
        <v>44956</v>
      </c>
      <c r="I44" s="12" t="s">
        <v>129</v>
      </c>
      <c r="J44" s="91" t="s">
        <v>821</v>
      </c>
      <c r="K44" s="91">
        <v>44985</v>
      </c>
      <c r="L44" s="10" t="s">
        <v>147</v>
      </c>
      <c r="M44" s="10" t="s">
        <v>857</v>
      </c>
      <c r="N44" s="10" t="s">
        <v>881</v>
      </c>
      <c r="O44" s="10"/>
    </row>
    <row r="45" spans="1:15" s="4" customFormat="1" ht="37.5" x14ac:dyDescent="0.25">
      <c r="A45" s="9" t="s">
        <v>331</v>
      </c>
      <c r="B45" s="13">
        <f>VLOOKUP(Table2[[#This Row],[Location 
(drop-down)]],'List source'!D$2:E$59,2,FALSE)</f>
        <v>146</v>
      </c>
      <c r="C45" s="11" t="s">
        <v>164</v>
      </c>
      <c r="D45" s="127" t="str">
        <f t="shared" si="1"/>
        <v>C044-146-23</v>
      </c>
      <c r="E45" s="127" t="str">
        <f>VLOOKUP(Table2[[#This Row],[Location 
(drop-down)]],Table1[#All],3,FALSE)</f>
        <v>SE &amp; Caribbean</v>
      </c>
      <c r="F45" s="11" t="s">
        <v>15</v>
      </c>
      <c r="G45" s="9" t="s">
        <v>882</v>
      </c>
      <c r="H45" s="12">
        <v>44956</v>
      </c>
      <c r="I45" s="12" t="s">
        <v>17</v>
      </c>
      <c r="J45" s="91" t="s">
        <v>821</v>
      </c>
      <c r="K45" s="91">
        <v>45050</v>
      </c>
      <c r="L45" s="10" t="s">
        <v>15</v>
      </c>
      <c r="M45" s="10" t="s">
        <v>15</v>
      </c>
      <c r="N45" s="10" t="s">
        <v>822</v>
      </c>
      <c r="O45" s="10"/>
    </row>
    <row r="46" spans="1:15" s="4" customFormat="1" ht="30" x14ac:dyDescent="0.25">
      <c r="A46" s="9" t="s">
        <v>66</v>
      </c>
      <c r="B46" s="13">
        <f>VLOOKUP(Table2[[#This Row],[Location 
(drop-down)]],'List source'!D$2:E$59,2,FALSE)</f>
        <v>165</v>
      </c>
      <c r="C46" s="11" t="s">
        <v>166</v>
      </c>
      <c r="D46" s="127" t="str">
        <f t="shared" si="1"/>
        <v>C045-165-23</v>
      </c>
      <c r="E46" s="127" t="str">
        <f>VLOOKUP(Table2[[#This Row],[Location 
(drop-down)]],Table1[#All],3,FALSE)</f>
        <v>USGC</v>
      </c>
      <c r="F46" s="11" t="s">
        <v>15</v>
      </c>
      <c r="G46" s="9" t="s">
        <v>883</v>
      </c>
      <c r="H46" s="12">
        <v>44956</v>
      </c>
      <c r="I46" s="12" t="s">
        <v>17</v>
      </c>
      <c r="J46" s="91" t="s">
        <v>821</v>
      </c>
      <c r="K46" s="91">
        <v>44957</v>
      </c>
      <c r="L46" s="10" t="s">
        <v>15</v>
      </c>
      <c r="M46" s="10" t="s">
        <v>15</v>
      </c>
      <c r="N46" s="10" t="s">
        <v>828</v>
      </c>
      <c r="O46" s="10"/>
    </row>
    <row r="47" spans="1:15" s="4" customFormat="1" ht="30" x14ac:dyDescent="0.25">
      <c r="A47" s="9" t="s">
        <v>22</v>
      </c>
      <c r="B47" s="13">
        <f>VLOOKUP(Table2[[#This Row],[Location 
(drop-down)]],'List source'!D$2:E$59,2,FALSE)</f>
        <v>130</v>
      </c>
      <c r="C47" s="11" t="s">
        <v>169</v>
      </c>
      <c r="D47" s="127" t="str">
        <f t="shared" si="1"/>
        <v>C046-130-23</v>
      </c>
      <c r="E47" s="127" t="str">
        <f>VLOOKUP(Table2[[#This Row],[Location 
(drop-down)]],Table1[#All],3,FALSE)</f>
        <v>USWC</v>
      </c>
      <c r="F47" s="11" t="s">
        <v>15</v>
      </c>
      <c r="G47" s="9" t="s">
        <v>884</v>
      </c>
      <c r="H47" s="12">
        <v>44956</v>
      </c>
      <c r="I47" s="12" t="s">
        <v>17</v>
      </c>
      <c r="J47" s="91" t="s">
        <v>821</v>
      </c>
      <c r="K47" s="91">
        <v>45214</v>
      </c>
      <c r="L47" s="10" t="s">
        <v>15</v>
      </c>
      <c r="M47" s="10" t="s">
        <v>15</v>
      </c>
      <c r="N47" s="10" t="s">
        <v>822</v>
      </c>
      <c r="O47" s="10"/>
    </row>
    <row r="48" spans="1:15" s="4" customFormat="1" ht="37.5" x14ac:dyDescent="0.25">
      <c r="A48" s="9" t="s">
        <v>131</v>
      </c>
      <c r="B48" s="13" t="str">
        <f>VLOOKUP(Table2[[#This Row],[Location 
(drop-down)]],'List source'!D$2:E$59,2,FALSE)</f>
        <v>VOID</v>
      </c>
      <c r="C48" s="11" t="s">
        <v>172</v>
      </c>
      <c r="D48" s="127" t="str">
        <f t="shared" si="1"/>
        <v>C047-VOID-23</v>
      </c>
      <c r="E48" s="127" t="str">
        <f>VLOOKUP(Table2[[#This Row],[Location 
(drop-down)]],Table1[#All],3,FALSE)</f>
        <v>VOID</v>
      </c>
      <c r="F48" s="11" t="s">
        <v>50</v>
      </c>
      <c r="G48" s="160" t="s">
        <v>50</v>
      </c>
      <c r="H48" s="12" t="s">
        <v>50</v>
      </c>
      <c r="I48" s="12" t="s">
        <v>50</v>
      </c>
      <c r="J48" s="91" t="s">
        <v>50</v>
      </c>
      <c r="K48" s="91" t="s">
        <v>50</v>
      </c>
      <c r="L48" s="10" t="s">
        <v>50</v>
      </c>
      <c r="M48" s="10" t="s">
        <v>50</v>
      </c>
      <c r="N48" s="10" t="s">
        <v>50</v>
      </c>
      <c r="O48" s="10" t="s">
        <v>885</v>
      </c>
    </row>
    <row r="49" spans="1:15" s="4" customFormat="1" ht="37.5" x14ac:dyDescent="0.25">
      <c r="A49" s="9" t="s">
        <v>886</v>
      </c>
      <c r="B49" s="13">
        <f>VLOOKUP(Table2[[#This Row],[Location 
(drop-down)]],'List source'!D$2:E$59,2,FALSE)</f>
        <v>179</v>
      </c>
      <c r="C49" s="11" t="s">
        <v>175</v>
      </c>
      <c r="D49" s="127" t="str">
        <f t="shared" si="1"/>
        <v>C048-179-23</v>
      </c>
      <c r="E49" s="127" t="str">
        <f>VLOOKUP(Table2[[#This Row],[Location 
(drop-down)]],Table1[#All],3,FALSE)</f>
        <v>SE &amp; Caribbean</v>
      </c>
      <c r="F49" s="11" t="s">
        <v>94</v>
      </c>
      <c r="G49" s="9" t="s">
        <v>887</v>
      </c>
      <c r="H49" s="12">
        <v>44956</v>
      </c>
      <c r="I49" s="12" t="s">
        <v>435</v>
      </c>
      <c r="J49" s="91" t="s">
        <v>821</v>
      </c>
      <c r="K49" s="91">
        <v>45016</v>
      </c>
      <c r="L49" s="10" t="s">
        <v>97</v>
      </c>
      <c r="M49" s="10" t="s">
        <v>857</v>
      </c>
      <c r="N49" s="10"/>
      <c r="O49" s="10"/>
    </row>
    <row r="50" spans="1:15" s="4" customFormat="1" ht="37.5" x14ac:dyDescent="0.25">
      <c r="A50" s="9" t="s">
        <v>886</v>
      </c>
      <c r="B50" s="13">
        <f>VLOOKUP(Table2[[#This Row],[Location 
(drop-down)]],'List source'!D$2:E$59,2,FALSE)</f>
        <v>179</v>
      </c>
      <c r="C50" s="11" t="s">
        <v>179</v>
      </c>
      <c r="D50" s="127" t="str">
        <f t="shared" si="1"/>
        <v>C049-179-23</v>
      </c>
      <c r="E50" s="127" t="str">
        <f>VLOOKUP(Table2[[#This Row],[Location 
(drop-down)]],Table1[#All],3,FALSE)</f>
        <v>SE &amp; Caribbean</v>
      </c>
      <c r="F50" s="11" t="s">
        <v>94</v>
      </c>
      <c r="G50" s="9" t="s">
        <v>888</v>
      </c>
      <c r="H50" s="12">
        <v>44956</v>
      </c>
      <c r="I50" s="12" t="s">
        <v>435</v>
      </c>
      <c r="J50" s="91" t="s">
        <v>821</v>
      </c>
      <c r="K50" s="91">
        <v>45132</v>
      </c>
      <c r="L50" s="10" t="s">
        <v>97</v>
      </c>
      <c r="M50" s="10" t="s">
        <v>862</v>
      </c>
      <c r="N50" s="10" t="s">
        <v>822</v>
      </c>
      <c r="O50" s="10"/>
    </row>
    <row r="51" spans="1:15" s="4" customFormat="1" ht="30" x14ac:dyDescent="0.25">
      <c r="A51" s="9" t="s">
        <v>174</v>
      </c>
      <c r="B51" s="13">
        <f>VLOOKUP(Table2[[#This Row],[Location 
(drop-down)]],'List source'!D$2:E$59,2,FALSE)</f>
        <v>131</v>
      </c>
      <c r="C51" s="11" t="s">
        <v>181</v>
      </c>
      <c r="D51" s="127" t="str">
        <f t="shared" si="1"/>
        <v>C050-131-23</v>
      </c>
      <c r="E51" s="127" t="str">
        <f>VLOOKUP(Table2[[#This Row],[Location 
(drop-down)]],Table1[#All],3,FALSE)</f>
        <v>USWC</v>
      </c>
      <c r="F51" s="11" t="s">
        <v>94</v>
      </c>
      <c r="G51" s="9" t="s">
        <v>889</v>
      </c>
      <c r="H51" s="12">
        <v>44956</v>
      </c>
      <c r="I51" s="12" t="s">
        <v>443</v>
      </c>
      <c r="J51" s="91" t="s">
        <v>821</v>
      </c>
      <c r="K51" s="91">
        <v>45198</v>
      </c>
      <c r="L51" s="10" t="s">
        <v>147</v>
      </c>
      <c r="M51" s="10" t="s">
        <v>857</v>
      </c>
      <c r="N51" s="10" t="s">
        <v>822</v>
      </c>
      <c r="O51" s="10"/>
    </row>
    <row r="52" spans="1:15" s="4" customFormat="1" ht="30" x14ac:dyDescent="0.25">
      <c r="A52" s="9" t="s">
        <v>174</v>
      </c>
      <c r="B52" s="13">
        <f>VLOOKUP(Table2[[#This Row],[Location 
(drop-down)]],'List source'!D$2:E$59,2,FALSE)</f>
        <v>131</v>
      </c>
      <c r="C52" s="11" t="s">
        <v>183</v>
      </c>
      <c r="D52" s="127" t="str">
        <f t="shared" si="1"/>
        <v>C051-131-23</v>
      </c>
      <c r="E52" s="127" t="str">
        <f>VLOOKUP(Table2[[#This Row],[Location 
(drop-down)]],Table1[#All],3,FALSE)</f>
        <v>USWC</v>
      </c>
      <c r="F52" s="11" t="s">
        <v>94</v>
      </c>
      <c r="G52" s="116" t="s">
        <v>890</v>
      </c>
      <c r="H52" s="12">
        <v>44956</v>
      </c>
      <c r="I52" s="12" t="s">
        <v>443</v>
      </c>
      <c r="J52" s="91" t="s">
        <v>821</v>
      </c>
      <c r="K52" s="91">
        <v>45049</v>
      </c>
      <c r="L52" s="10" t="s">
        <v>97</v>
      </c>
      <c r="M52" s="10"/>
      <c r="N52" s="10"/>
      <c r="O52" s="10"/>
    </row>
    <row r="53" spans="1:15" s="4" customFormat="1" ht="30" x14ac:dyDescent="0.25">
      <c r="A53" s="9" t="s">
        <v>174</v>
      </c>
      <c r="B53" s="13">
        <f>VLOOKUP(Table2[[#This Row],[Location 
(drop-down)]],'List source'!D$2:E$59,2,FALSE)</f>
        <v>131</v>
      </c>
      <c r="C53" s="11" t="s">
        <v>187</v>
      </c>
      <c r="D53" s="127" t="str">
        <f t="shared" si="1"/>
        <v>C052-131-23</v>
      </c>
      <c r="E53" s="127" t="str">
        <f>VLOOKUP(Table2[[#This Row],[Location 
(drop-down)]],Table1[#All],3,FALSE)</f>
        <v>USWC</v>
      </c>
      <c r="F53" s="11" t="s">
        <v>94</v>
      </c>
      <c r="G53" s="9" t="s">
        <v>891</v>
      </c>
      <c r="H53" s="12">
        <v>44956</v>
      </c>
      <c r="I53" s="12" t="s">
        <v>443</v>
      </c>
      <c r="J53" s="91" t="s">
        <v>821</v>
      </c>
      <c r="K53" s="91">
        <v>45202</v>
      </c>
      <c r="L53" s="10" t="s">
        <v>147</v>
      </c>
      <c r="M53" s="10" t="s">
        <v>857</v>
      </c>
      <c r="N53" s="10" t="s">
        <v>822</v>
      </c>
      <c r="O53" s="10"/>
    </row>
    <row r="54" spans="1:15" s="4" customFormat="1" ht="30" x14ac:dyDescent="0.25">
      <c r="A54" s="9" t="s">
        <v>174</v>
      </c>
      <c r="B54" s="13">
        <f>VLOOKUP(Table2[[#This Row],[Location 
(drop-down)]],'List source'!D$2:E$59,2,FALSE)</f>
        <v>131</v>
      </c>
      <c r="C54" s="11" t="s">
        <v>191</v>
      </c>
      <c r="D54" s="127" t="str">
        <f t="shared" si="1"/>
        <v>C053-131-23</v>
      </c>
      <c r="E54" s="127" t="str">
        <f>VLOOKUP(Table2[[#This Row],[Location 
(drop-down)]],Table1[#All],3,FALSE)</f>
        <v>USWC</v>
      </c>
      <c r="F54" s="11" t="s">
        <v>94</v>
      </c>
      <c r="G54" s="9" t="s">
        <v>892</v>
      </c>
      <c r="H54" s="12">
        <v>44956</v>
      </c>
      <c r="I54" s="12" t="s">
        <v>443</v>
      </c>
      <c r="J54" s="91" t="s">
        <v>821</v>
      </c>
      <c r="K54" s="91">
        <v>45009</v>
      </c>
      <c r="L54" s="10" t="s">
        <v>97</v>
      </c>
      <c r="M54" s="10"/>
      <c r="N54" s="10"/>
      <c r="O54" s="10"/>
    </row>
    <row r="55" spans="1:15" s="4" customFormat="1" ht="30" x14ac:dyDescent="0.25">
      <c r="A55" s="9" t="s">
        <v>174</v>
      </c>
      <c r="B55" s="13">
        <f>VLOOKUP(Table2[[#This Row],[Location 
(drop-down)]],'List source'!D$2:E$59,2,FALSE)</f>
        <v>131</v>
      </c>
      <c r="C55" s="11" t="s">
        <v>194</v>
      </c>
      <c r="D55" s="127" t="str">
        <f t="shared" si="1"/>
        <v>C054-131-23</v>
      </c>
      <c r="E55" s="127" t="str">
        <f>VLOOKUP(Table2[[#This Row],[Location 
(drop-down)]],Table1[#All],3,FALSE)</f>
        <v>USWC</v>
      </c>
      <c r="F55" s="11" t="s">
        <v>94</v>
      </c>
      <c r="G55" s="9" t="s">
        <v>893</v>
      </c>
      <c r="H55" s="12">
        <v>44956</v>
      </c>
      <c r="I55" s="12" t="s">
        <v>443</v>
      </c>
      <c r="J55" s="91" t="s">
        <v>821</v>
      </c>
      <c r="K55" s="91">
        <v>45121</v>
      </c>
      <c r="L55" s="10" t="s">
        <v>97</v>
      </c>
      <c r="M55" s="10"/>
      <c r="N55" s="10"/>
      <c r="O55" s="10"/>
    </row>
    <row r="56" spans="1:15" s="4" customFormat="1" ht="30" x14ac:dyDescent="0.25">
      <c r="A56" s="9" t="s">
        <v>174</v>
      </c>
      <c r="B56" s="13">
        <f>VLOOKUP(Table2[[#This Row],[Location 
(drop-down)]],'List source'!D$2:E$59,2,FALSE)</f>
        <v>131</v>
      </c>
      <c r="C56" s="11" t="s">
        <v>195</v>
      </c>
      <c r="D56" s="127" t="str">
        <f t="shared" si="1"/>
        <v>C055-131-23</v>
      </c>
      <c r="E56" s="127" t="str">
        <f>VLOOKUP(Table2[[#This Row],[Location 
(drop-down)]],Table1[#All],3,FALSE)</f>
        <v>USWC</v>
      </c>
      <c r="F56" s="11" t="s">
        <v>94</v>
      </c>
      <c r="G56" s="9" t="s">
        <v>894</v>
      </c>
      <c r="H56" s="12">
        <v>44956</v>
      </c>
      <c r="I56" s="12" t="s">
        <v>443</v>
      </c>
      <c r="J56" s="91" t="s">
        <v>821</v>
      </c>
      <c r="K56" s="91">
        <v>45205</v>
      </c>
      <c r="L56" s="10" t="s">
        <v>97</v>
      </c>
      <c r="M56" s="10" t="s">
        <v>857</v>
      </c>
      <c r="N56" s="10" t="s">
        <v>858</v>
      </c>
      <c r="O56" s="10"/>
    </row>
    <row r="57" spans="1:15" s="4" customFormat="1" ht="30" x14ac:dyDescent="0.25">
      <c r="A57" s="9" t="s">
        <v>174</v>
      </c>
      <c r="B57" s="13">
        <f>VLOOKUP(Table2[[#This Row],[Location 
(drop-down)]],'List source'!D$2:E$59,2,FALSE)</f>
        <v>131</v>
      </c>
      <c r="C57" s="11" t="s">
        <v>200</v>
      </c>
      <c r="D57" s="127" t="str">
        <f t="shared" si="1"/>
        <v>C056-131-23</v>
      </c>
      <c r="E57" s="127" t="str">
        <f>VLOOKUP(Table2[[#This Row],[Location 
(drop-down)]],Table1[#All],3,FALSE)</f>
        <v>USWC</v>
      </c>
      <c r="F57" s="11" t="s">
        <v>94</v>
      </c>
      <c r="G57" s="9" t="s">
        <v>895</v>
      </c>
      <c r="H57" s="12">
        <v>44956</v>
      </c>
      <c r="I57" s="12" t="s">
        <v>443</v>
      </c>
      <c r="J57" s="91" t="s">
        <v>821</v>
      </c>
      <c r="K57" s="91">
        <v>45138</v>
      </c>
      <c r="L57" s="10" t="s">
        <v>97</v>
      </c>
      <c r="M57" s="10"/>
      <c r="N57" s="10"/>
      <c r="O57" s="10"/>
    </row>
    <row r="58" spans="1:15" s="4" customFormat="1" ht="30" x14ac:dyDescent="0.25">
      <c r="A58" s="9" t="s">
        <v>174</v>
      </c>
      <c r="B58" s="13">
        <f>VLOOKUP(Table2[[#This Row],[Location 
(drop-down)]],'List source'!D$2:E$59,2,FALSE)</f>
        <v>131</v>
      </c>
      <c r="C58" s="11" t="s">
        <v>203</v>
      </c>
      <c r="D58" s="127" t="str">
        <f t="shared" si="1"/>
        <v>C057-131-23</v>
      </c>
      <c r="E58" s="127" t="str">
        <f>VLOOKUP(Table2[[#This Row],[Location 
(drop-down)]],Table1[#All],3,FALSE)</f>
        <v>USWC</v>
      </c>
      <c r="F58" s="11" t="s">
        <v>94</v>
      </c>
      <c r="G58" s="9" t="s">
        <v>896</v>
      </c>
      <c r="H58" s="12">
        <v>44956</v>
      </c>
      <c r="I58" s="12" t="s">
        <v>443</v>
      </c>
      <c r="J58" s="91" t="s">
        <v>821</v>
      </c>
      <c r="K58" s="91">
        <v>45008</v>
      </c>
      <c r="L58" s="10" t="s">
        <v>97</v>
      </c>
      <c r="M58" s="10"/>
      <c r="N58" s="10"/>
      <c r="O58" s="10"/>
    </row>
    <row r="59" spans="1:15" s="4" customFormat="1" ht="30" x14ac:dyDescent="0.25">
      <c r="A59" s="9" t="s">
        <v>174</v>
      </c>
      <c r="B59" s="13">
        <f>VLOOKUP(Table2[[#This Row],[Location 
(drop-down)]],'List source'!D$2:E$59,2,FALSE)</f>
        <v>131</v>
      </c>
      <c r="C59" s="11" t="s">
        <v>206</v>
      </c>
      <c r="D59" s="127" t="str">
        <f t="shared" si="1"/>
        <v>C058-131-23</v>
      </c>
      <c r="E59" s="127" t="str">
        <f>VLOOKUP(Table2[[#This Row],[Location 
(drop-down)]],Table1[#All],3,FALSE)</f>
        <v>USWC</v>
      </c>
      <c r="F59" s="11" t="s">
        <v>94</v>
      </c>
      <c r="G59" s="9" t="s">
        <v>897</v>
      </c>
      <c r="H59" s="12">
        <v>44956</v>
      </c>
      <c r="I59" s="12" t="s">
        <v>443</v>
      </c>
      <c r="J59" s="91" t="s">
        <v>898</v>
      </c>
      <c r="K59" s="91">
        <v>45271</v>
      </c>
      <c r="L59" s="10" t="s">
        <v>97</v>
      </c>
      <c r="M59" s="10" t="s">
        <v>857</v>
      </c>
      <c r="N59" s="10" t="s">
        <v>858</v>
      </c>
      <c r="O59" s="10"/>
    </row>
    <row r="60" spans="1:15" s="4" customFormat="1" ht="30" x14ac:dyDescent="0.25">
      <c r="A60" s="9" t="s">
        <v>174</v>
      </c>
      <c r="B60" s="13">
        <f>VLOOKUP(Table2[[#This Row],[Location 
(drop-down)]],'List source'!D$2:E$59,2,FALSE)</f>
        <v>131</v>
      </c>
      <c r="C60" s="11" t="s">
        <v>209</v>
      </c>
      <c r="D60" s="127" t="str">
        <f t="shared" si="1"/>
        <v>C059-131-23</v>
      </c>
      <c r="E60" s="127" t="str">
        <f>VLOOKUP(Table2[[#This Row],[Location 
(drop-down)]],Table1[#All],3,FALSE)</f>
        <v>USWC</v>
      </c>
      <c r="F60" s="11" t="s">
        <v>94</v>
      </c>
      <c r="G60" s="9" t="s">
        <v>899</v>
      </c>
      <c r="H60" s="12">
        <v>44956</v>
      </c>
      <c r="I60" s="12" t="s">
        <v>443</v>
      </c>
      <c r="J60" s="91" t="s">
        <v>821</v>
      </c>
      <c r="K60" s="91">
        <v>45089</v>
      </c>
      <c r="L60" s="10" t="s">
        <v>97</v>
      </c>
      <c r="M60" s="10"/>
      <c r="N60" s="10"/>
      <c r="O60" s="10"/>
    </row>
    <row r="61" spans="1:15" s="4" customFormat="1" ht="30" x14ac:dyDescent="0.25">
      <c r="A61" s="9" t="s">
        <v>174</v>
      </c>
      <c r="B61" s="13">
        <f>VLOOKUP(Table2[[#This Row],[Location 
(drop-down)]],'List source'!D$2:E$59,2,FALSE)</f>
        <v>131</v>
      </c>
      <c r="C61" s="11" t="s">
        <v>212</v>
      </c>
      <c r="D61" s="127" t="str">
        <f t="shared" si="1"/>
        <v>C060-131-23</v>
      </c>
      <c r="E61" s="127" t="str">
        <f>VLOOKUP(Table2[[#This Row],[Location 
(drop-down)]],Table1[#All],3,FALSE)</f>
        <v>USWC</v>
      </c>
      <c r="F61" s="11" t="s">
        <v>94</v>
      </c>
      <c r="G61" s="9" t="s">
        <v>900</v>
      </c>
      <c r="H61" s="12">
        <v>44956</v>
      </c>
      <c r="I61" s="12" t="s">
        <v>443</v>
      </c>
      <c r="J61" s="91" t="s">
        <v>821</v>
      </c>
      <c r="K61" s="91">
        <v>45050</v>
      </c>
      <c r="L61" s="10" t="s">
        <v>97</v>
      </c>
      <c r="M61" s="10"/>
      <c r="N61" s="10"/>
      <c r="O61" s="10"/>
    </row>
    <row r="62" spans="1:15" s="4" customFormat="1" ht="37.5" x14ac:dyDescent="0.25">
      <c r="A62" s="9" t="s">
        <v>52</v>
      </c>
      <c r="B62" s="13">
        <f>VLOOKUP(Table2[[#This Row],[Location 
(drop-down)]],'List source'!D$2:E$59,2,FALSE)</f>
        <v>127</v>
      </c>
      <c r="C62" s="11" t="s">
        <v>214</v>
      </c>
      <c r="D62" s="127" t="str">
        <f t="shared" si="1"/>
        <v>C061-127-23</v>
      </c>
      <c r="E62" s="127" t="str">
        <f>VLOOKUP(Table2[[#This Row],[Location 
(drop-down)]],Table1[#All],3,FALSE)</f>
        <v>SE &amp; Caribbean</v>
      </c>
      <c r="F62" s="11" t="s">
        <v>94</v>
      </c>
      <c r="G62" s="9" t="s">
        <v>901</v>
      </c>
      <c r="H62" s="12">
        <v>44957</v>
      </c>
      <c r="I62" s="12" t="s">
        <v>440</v>
      </c>
      <c r="J62" s="91" t="s">
        <v>821</v>
      </c>
      <c r="K62" s="91">
        <v>45062</v>
      </c>
      <c r="L62" s="10" t="s">
        <v>97</v>
      </c>
      <c r="M62" s="10" t="s">
        <v>854</v>
      </c>
      <c r="N62" s="10" t="s">
        <v>822</v>
      </c>
      <c r="O62" s="10"/>
    </row>
    <row r="63" spans="1:15" s="4" customFormat="1" ht="37.5" x14ac:dyDescent="0.25">
      <c r="A63" s="9" t="s">
        <v>52</v>
      </c>
      <c r="B63" s="13">
        <f>VLOOKUP(Table2[[#This Row],[Location 
(drop-down)]],'List source'!D$2:E$59,2,FALSE)</f>
        <v>127</v>
      </c>
      <c r="C63" s="11" t="s">
        <v>217</v>
      </c>
      <c r="D63" s="127" t="str">
        <f t="shared" si="1"/>
        <v>C062-127-23</v>
      </c>
      <c r="E63" s="127" t="str">
        <f>VLOOKUP(Table2[[#This Row],[Location 
(drop-down)]],Table1[#All],3,FALSE)</f>
        <v>SE &amp; Caribbean</v>
      </c>
      <c r="F63" s="11" t="s">
        <v>94</v>
      </c>
      <c r="G63" s="9" t="s">
        <v>902</v>
      </c>
      <c r="H63" s="12">
        <v>44957</v>
      </c>
      <c r="I63" s="12" t="s">
        <v>440</v>
      </c>
      <c r="J63" s="91" t="s">
        <v>821</v>
      </c>
      <c r="K63" s="91">
        <v>45062</v>
      </c>
      <c r="L63" s="10" t="s">
        <v>147</v>
      </c>
      <c r="M63" s="10" t="s">
        <v>903</v>
      </c>
      <c r="N63" s="10" t="s">
        <v>858</v>
      </c>
      <c r="O63" s="10"/>
    </row>
    <row r="64" spans="1:15" s="4" customFormat="1" ht="37.5" x14ac:dyDescent="0.25">
      <c r="A64" s="9" t="s">
        <v>52</v>
      </c>
      <c r="B64" s="13">
        <f>VLOOKUP(Table2[[#This Row],[Location 
(drop-down)]],'List source'!D$2:E$59,2,FALSE)</f>
        <v>127</v>
      </c>
      <c r="C64" s="11" t="s">
        <v>220</v>
      </c>
      <c r="D64" s="127" t="str">
        <f t="shared" si="1"/>
        <v>C063-127-23</v>
      </c>
      <c r="E64" s="127" t="str">
        <f>VLOOKUP(Table2[[#This Row],[Location 
(drop-down)]],Table1[#All],3,FALSE)</f>
        <v>SE &amp; Caribbean</v>
      </c>
      <c r="F64" s="11" t="s">
        <v>94</v>
      </c>
      <c r="G64" s="9" t="s">
        <v>904</v>
      </c>
      <c r="H64" s="12">
        <v>44957</v>
      </c>
      <c r="I64" s="12" t="s">
        <v>440</v>
      </c>
      <c r="J64" s="91" t="s">
        <v>821</v>
      </c>
      <c r="K64" s="91">
        <v>45062</v>
      </c>
      <c r="L64" s="10" t="s">
        <v>97</v>
      </c>
      <c r="M64" s="10" t="s">
        <v>857</v>
      </c>
      <c r="N64" s="10" t="s">
        <v>822</v>
      </c>
      <c r="O64" s="10"/>
    </row>
    <row r="65" spans="1:15" s="4" customFormat="1" ht="30" x14ac:dyDescent="0.25">
      <c r="A65" s="9" t="s">
        <v>22</v>
      </c>
      <c r="B65" s="13">
        <f>VLOOKUP(Table2[[#This Row],[Location 
(drop-down)]],'List source'!D$2:E$59,2,FALSE)</f>
        <v>130</v>
      </c>
      <c r="C65" s="11" t="s">
        <v>222</v>
      </c>
      <c r="D65" s="127" t="str">
        <f t="shared" si="1"/>
        <v>C064-130-23</v>
      </c>
      <c r="E65" s="127" t="str">
        <f>VLOOKUP(Table2[[#This Row],[Location 
(drop-down)]],Table1[#All],3,FALSE)</f>
        <v>USWC</v>
      </c>
      <c r="F65" s="11" t="s">
        <v>15</v>
      </c>
      <c r="G65" s="9" t="s">
        <v>905</v>
      </c>
      <c r="H65" s="12">
        <v>44957</v>
      </c>
      <c r="I65" s="12" t="s">
        <v>17</v>
      </c>
      <c r="J65" s="91" t="s">
        <v>821</v>
      </c>
      <c r="K65" s="91">
        <v>45214</v>
      </c>
      <c r="L65" s="10" t="s">
        <v>15</v>
      </c>
      <c r="M65" s="10" t="s">
        <v>15</v>
      </c>
      <c r="N65" s="10" t="s">
        <v>822</v>
      </c>
      <c r="O65" s="10"/>
    </row>
    <row r="66" spans="1:15" s="4" customFormat="1" ht="30" x14ac:dyDescent="0.25">
      <c r="A66" s="9" t="s">
        <v>22</v>
      </c>
      <c r="B66" s="13">
        <f>VLOOKUP(Table2[[#This Row],[Location 
(drop-down)]],'List source'!D$2:E$59,2,FALSE)</f>
        <v>130</v>
      </c>
      <c r="C66" s="11" t="s">
        <v>224</v>
      </c>
      <c r="D66" s="127" t="str">
        <f t="shared" ref="D66:D97" si="2">"C" &amp; C66 &amp; "-" &amp; B66 &amp; "-" &amp; "23"</f>
        <v>C065-130-23</v>
      </c>
      <c r="E66" s="127" t="str">
        <f>VLOOKUP(Table2[[#This Row],[Location 
(drop-down)]],Table1[#All],3,FALSE)</f>
        <v>USWC</v>
      </c>
      <c r="F66" s="11" t="s">
        <v>15</v>
      </c>
      <c r="G66" s="9" t="s">
        <v>906</v>
      </c>
      <c r="H66" s="12">
        <v>44957</v>
      </c>
      <c r="I66" s="12" t="s">
        <v>17</v>
      </c>
      <c r="J66" s="91" t="s">
        <v>821</v>
      </c>
      <c r="K66" s="91">
        <v>45214</v>
      </c>
      <c r="L66" s="10" t="s">
        <v>15</v>
      </c>
      <c r="M66" s="10" t="s">
        <v>15</v>
      </c>
      <c r="N66" s="10" t="s">
        <v>822</v>
      </c>
      <c r="O66" s="10"/>
    </row>
    <row r="67" spans="1:15" s="4" customFormat="1" ht="37.5" x14ac:dyDescent="0.25">
      <c r="A67" s="9" t="s">
        <v>72</v>
      </c>
      <c r="B67" s="13">
        <f>VLOOKUP(Table2[[#This Row],[Location 
(drop-down)]],'List source'!D$2:E$59,2,FALSE)</f>
        <v>197</v>
      </c>
      <c r="C67" s="11" t="s">
        <v>227</v>
      </c>
      <c r="D67" s="127" t="str">
        <f t="shared" si="2"/>
        <v>C066-197-23</v>
      </c>
      <c r="E67" s="127" t="str">
        <f>VLOOKUP(Table2[[#This Row],[Location 
(drop-down)]],Table1[#All],3,FALSE)</f>
        <v>USNE, USMW &amp; Canada</v>
      </c>
      <c r="F67" s="11" t="s">
        <v>15</v>
      </c>
      <c r="G67" s="9" t="s">
        <v>907</v>
      </c>
      <c r="H67" s="12">
        <v>44957</v>
      </c>
      <c r="I67" s="12" t="s">
        <v>17</v>
      </c>
      <c r="J67" s="91" t="s">
        <v>821</v>
      </c>
      <c r="K67" s="91">
        <v>45036</v>
      </c>
      <c r="L67" s="10" t="s">
        <v>15</v>
      </c>
      <c r="M67" s="10" t="s">
        <v>15</v>
      </c>
      <c r="N67" s="10" t="s">
        <v>837</v>
      </c>
      <c r="O67" s="10"/>
    </row>
    <row r="68" spans="1:15" s="4" customFormat="1" ht="37.5" x14ac:dyDescent="0.25">
      <c r="A68" s="9" t="s">
        <v>72</v>
      </c>
      <c r="B68" s="13">
        <f>VLOOKUP(Table2[[#This Row],[Location 
(drop-down)]],'List source'!D$2:E$59,2,FALSE)</f>
        <v>197</v>
      </c>
      <c r="C68" s="11" t="s">
        <v>229</v>
      </c>
      <c r="D68" s="127" t="str">
        <f t="shared" si="2"/>
        <v>C067-197-23</v>
      </c>
      <c r="E68" s="127" t="str">
        <f>VLOOKUP(Table2[[#This Row],[Location 
(drop-down)]],Table1[#All],3,FALSE)</f>
        <v>USNE, USMW &amp; Canada</v>
      </c>
      <c r="F68" s="11" t="s">
        <v>15</v>
      </c>
      <c r="G68" s="9" t="s">
        <v>908</v>
      </c>
      <c r="H68" s="12">
        <v>44957</v>
      </c>
      <c r="I68" s="12" t="s">
        <v>17</v>
      </c>
      <c r="J68" s="91" t="s">
        <v>821</v>
      </c>
      <c r="K68" s="91">
        <v>45007</v>
      </c>
      <c r="L68" s="10" t="s">
        <v>15</v>
      </c>
      <c r="M68" s="10" t="s">
        <v>15</v>
      </c>
      <c r="N68" s="10" t="s">
        <v>837</v>
      </c>
      <c r="O68" s="10"/>
    </row>
    <row r="69" spans="1:15" s="4" customFormat="1" ht="45" x14ac:dyDescent="0.25">
      <c r="A69" s="9" t="s">
        <v>168</v>
      </c>
      <c r="B69" s="13">
        <f>VLOOKUP(Table2[[#This Row],[Location 
(drop-down)]],'List source'!D$2:E$59,2,FALSE)</f>
        <v>136</v>
      </c>
      <c r="C69" s="11" t="s">
        <v>232</v>
      </c>
      <c r="D69" s="127" t="str">
        <f t="shared" si="2"/>
        <v>C068-136-23</v>
      </c>
      <c r="E69" s="127" t="str">
        <f>VLOOKUP(Table2[[#This Row],[Location 
(drop-down)]],Table1[#All],3,FALSE)</f>
        <v>SE &amp; Caribbean</v>
      </c>
      <c r="F69" s="11" t="s">
        <v>15</v>
      </c>
      <c r="G69" s="9" t="s">
        <v>909</v>
      </c>
      <c r="H69" s="12">
        <v>44958</v>
      </c>
      <c r="I69" s="12" t="s">
        <v>17</v>
      </c>
      <c r="J69" s="91" t="s">
        <v>821</v>
      </c>
      <c r="K69" s="91">
        <v>45533</v>
      </c>
      <c r="L69" s="10" t="s">
        <v>15</v>
      </c>
      <c r="M69" s="10" t="s">
        <v>15</v>
      </c>
      <c r="N69" s="10" t="s">
        <v>910</v>
      </c>
      <c r="O69" s="10"/>
    </row>
    <row r="70" spans="1:15" s="4" customFormat="1" ht="37.5" x14ac:dyDescent="0.25">
      <c r="A70" s="9" t="s">
        <v>79</v>
      </c>
      <c r="B70" s="13">
        <f>VLOOKUP(Table2[[#This Row],[Location 
(drop-down)]],'List source'!D$2:E$59,2,FALSE)</f>
        <v>141</v>
      </c>
      <c r="C70" s="11" t="s">
        <v>234</v>
      </c>
      <c r="D70" s="127" t="str">
        <f t="shared" si="2"/>
        <v>C069-141-23</v>
      </c>
      <c r="E70" s="127" t="str">
        <f>VLOOKUP(Table2[[#This Row],[Location 
(drop-down)]],Table1[#All],3,FALSE)</f>
        <v>USNE, USMW &amp; Canada</v>
      </c>
      <c r="F70" s="11" t="s">
        <v>852</v>
      </c>
      <c r="G70" s="9" t="s">
        <v>911</v>
      </c>
      <c r="H70" s="12">
        <v>44958</v>
      </c>
      <c r="I70" s="12" t="s">
        <v>129</v>
      </c>
      <c r="J70" s="91" t="s">
        <v>821</v>
      </c>
      <c r="K70" s="91">
        <v>44967</v>
      </c>
      <c r="L70" s="10" t="s">
        <v>147</v>
      </c>
      <c r="M70" s="10" t="s">
        <v>862</v>
      </c>
      <c r="N70" s="10" t="s">
        <v>881</v>
      </c>
      <c r="O70" s="10"/>
    </row>
    <row r="71" spans="1:15" s="4" customFormat="1" ht="30" x14ac:dyDescent="0.25">
      <c r="A71" s="9" t="s">
        <v>22</v>
      </c>
      <c r="B71" s="13">
        <f>VLOOKUP(Table2[[#This Row],[Location 
(drop-down)]],'List source'!D$2:E$59,2,FALSE)</f>
        <v>130</v>
      </c>
      <c r="C71" s="11" t="s">
        <v>238</v>
      </c>
      <c r="D71" s="127" t="str">
        <f t="shared" si="2"/>
        <v>C070-130-23</v>
      </c>
      <c r="E71" s="127" t="str">
        <f>VLOOKUP(Table2[[#This Row],[Location 
(drop-down)]],Table1[#All],3,FALSE)</f>
        <v>USWC</v>
      </c>
      <c r="F71" s="11" t="s">
        <v>159</v>
      </c>
      <c r="G71" s="9" t="s">
        <v>912</v>
      </c>
      <c r="H71" s="12">
        <v>44959</v>
      </c>
      <c r="I71" s="12" t="s">
        <v>129</v>
      </c>
      <c r="J71" s="91" t="s">
        <v>821</v>
      </c>
      <c r="K71" s="91">
        <v>45215</v>
      </c>
      <c r="L71" s="10" t="s">
        <v>913</v>
      </c>
      <c r="M71" s="10" t="s">
        <v>914</v>
      </c>
      <c r="N71" s="10" t="s">
        <v>858</v>
      </c>
      <c r="O71" s="10" t="s">
        <v>915</v>
      </c>
    </row>
    <row r="72" spans="1:15" s="4" customFormat="1" ht="45" x14ac:dyDescent="0.25">
      <c r="A72" s="9" t="s">
        <v>57</v>
      </c>
      <c r="B72" s="13">
        <f>VLOOKUP(Table2[[#This Row],[Location 
(drop-down)]],'List source'!D$2:E$59,2,FALSE)</f>
        <v>155</v>
      </c>
      <c r="C72" s="11" t="s">
        <v>240</v>
      </c>
      <c r="D72" s="127" t="str">
        <f t="shared" si="2"/>
        <v>C071-155-23</v>
      </c>
      <c r="E72" s="127" t="str">
        <f>VLOOKUP(Table2[[#This Row],[Location 
(drop-down)]],Table1[#All],3,FALSE)</f>
        <v>USGC</v>
      </c>
      <c r="F72" s="11" t="s">
        <v>852</v>
      </c>
      <c r="G72" s="9" t="s">
        <v>916</v>
      </c>
      <c r="H72" s="12">
        <v>44959</v>
      </c>
      <c r="I72" s="12" t="s">
        <v>129</v>
      </c>
      <c r="J72" s="91" t="s">
        <v>821</v>
      </c>
      <c r="K72" s="91">
        <v>44967</v>
      </c>
      <c r="L72" s="10" t="s">
        <v>147</v>
      </c>
      <c r="M72" s="10" t="s">
        <v>862</v>
      </c>
      <c r="N72" s="10" t="s">
        <v>881</v>
      </c>
      <c r="O72" s="10" t="s">
        <v>917</v>
      </c>
    </row>
    <row r="73" spans="1:15" s="4" customFormat="1" ht="37.5" x14ac:dyDescent="0.25">
      <c r="A73" s="9" t="s">
        <v>79</v>
      </c>
      <c r="B73" s="13">
        <f>VLOOKUP(Table2[[#This Row],[Location 
(drop-down)]],'List source'!D$2:E$59,2,FALSE)</f>
        <v>141</v>
      </c>
      <c r="C73" s="11" t="s">
        <v>244</v>
      </c>
      <c r="D73" s="127" t="str">
        <f t="shared" si="2"/>
        <v>C072-141-23</v>
      </c>
      <c r="E73" s="127" t="str">
        <f>VLOOKUP(Table2[[#This Row],[Location 
(drop-down)]],Table1[#All],3,FALSE)</f>
        <v>USNE, USMW &amp; Canada</v>
      </c>
      <c r="F73" s="11" t="s">
        <v>15</v>
      </c>
      <c r="G73" s="9" t="s">
        <v>918</v>
      </c>
      <c r="H73" s="12">
        <v>44960</v>
      </c>
      <c r="I73" s="12" t="s">
        <v>17</v>
      </c>
      <c r="J73" s="91">
        <v>44965</v>
      </c>
      <c r="K73" s="91">
        <v>44967</v>
      </c>
      <c r="L73" s="10" t="s">
        <v>15</v>
      </c>
      <c r="M73" s="10" t="s">
        <v>15</v>
      </c>
      <c r="N73" s="10" t="s">
        <v>822</v>
      </c>
      <c r="O73" s="10"/>
    </row>
    <row r="74" spans="1:15" s="4" customFormat="1" ht="37.5" x14ac:dyDescent="0.25">
      <c r="A74" s="9" t="s">
        <v>75</v>
      </c>
      <c r="B74" s="13">
        <f>VLOOKUP(Table2[[#This Row],[Location 
(drop-down)]],'List source'!D$2:E$59,2,FALSE)</f>
        <v>180</v>
      </c>
      <c r="C74" s="11" t="s">
        <v>246</v>
      </c>
      <c r="D74" s="127" t="str">
        <f t="shared" si="2"/>
        <v>C073-180-23</v>
      </c>
      <c r="E74" s="127" t="str">
        <f>VLOOKUP(Table2[[#This Row],[Location 
(drop-down)]],Table1[#All],3,FALSE)</f>
        <v>SE &amp; Caribbean</v>
      </c>
      <c r="F74" s="11" t="s">
        <v>15</v>
      </c>
      <c r="G74" s="119" t="s">
        <v>919</v>
      </c>
      <c r="H74" s="12">
        <v>44960</v>
      </c>
      <c r="I74" s="14" t="s">
        <v>17</v>
      </c>
      <c r="J74" s="91" t="s">
        <v>821</v>
      </c>
      <c r="K74" s="91">
        <v>44972</v>
      </c>
      <c r="L74" s="10" t="s">
        <v>15</v>
      </c>
      <c r="M74" s="10" t="s">
        <v>15</v>
      </c>
      <c r="N74" s="10" t="s">
        <v>837</v>
      </c>
      <c r="O74" s="10"/>
    </row>
    <row r="75" spans="1:15" s="4" customFormat="1" ht="37.5" x14ac:dyDescent="0.25">
      <c r="A75" s="9" t="s">
        <v>87</v>
      </c>
      <c r="B75" s="13">
        <f>VLOOKUP(Table2[[#This Row],[Location 
(drop-down)]],'List source'!D$2:E$59,2,FALSE)</f>
        <v>210</v>
      </c>
      <c r="C75" s="11" t="s">
        <v>248</v>
      </c>
      <c r="D75" s="127" t="str">
        <f t="shared" si="2"/>
        <v>C074-210-23</v>
      </c>
      <c r="E75" s="127" t="str">
        <f>VLOOKUP(Table2[[#This Row],[Location 
(drop-down)]],Table1[#All],3,FALSE)</f>
        <v>SE &amp; Caribbean</v>
      </c>
      <c r="F75" s="11" t="s">
        <v>15</v>
      </c>
      <c r="G75" s="119" t="s">
        <v>920</v>
      </c>
      <c r="H75" s="12">
        <v>44960</v>
      </c>
      <c r="I75" s="14" t="s">
        <v>17</v>
      </c>
      <c r="J75" s="91" t="s">
        <v>898</v>
      </c>
      <c r="K75" s="91">
        <v>45239</v>
      </c>
      <c r="L75" s="10" t="s">
        <v>15</v>
      </c>
      <c r="M75" s="10" t="s">
        <v>15</v>
      </c>
      <c r="N75" s="10" t="s">
        <v>822</v>
      </c>
      <c r="O75" s="10"/>
    </row>
    <row r="76" spans="1:15" s="4" customFormat="1" ht="37.5" x14ac:dyDescent="0.25">
      <c r="A76" s="9" t="s">
        <v>87</v>
      </c>
      <c r="B76" s="13">
        <f>VLOOKUP(Table2[[#This Row],[Location 
(drop-down)]],'List source'!D$2:E$59,2,FALSE)</f>
        <v>210</v>
      </c>
      <c r="C76" s="11" t="s">
        <v>250</v>
      </c>
      <c r="D76" s="127" t="str">
        <f t="shared" si="2"/>
        <v>C075-210-23</v>
      </c>
      <c r="E76" s="127" t="str">
        <f>VLOOKUP(Table2[[#This Row],[Location 
(drop-down)]],Table1[#All],3,FALSE)</f>
        <v>SE &amp; Caribbean</v>
      </c>
      <c r="F76" s="11" t="s">
        <v>15</v>
      </c>
      <c r="G76" s="119" t="s">
        <v>921</v>
      </c>
      <c r="H76" s="12">
        <v>44960</v>
      </c>
      <c r="I76" s="14" t="s">
        <v>17</v>
      </c>
      <c r="J76" s="91" t="s">
        <v>821</v>
      </c>
      <c r="K76" s="91">
        <v>45287</v>
      </c>
      <c r="L76" s="10" t="s">
        <v>15</v>
      </c>
      <c r="M76" s="10" t="s">
        <v>15</v>
      </c>
      <c r="N76" s="10" t="s">
        <v>822</v>
      </c>
      <c r="O76" s="10"/>
    </row>
    <row r="77" spans="1:15" s="4" customFormat="1" ht="37.5" x14ac:dyDescent="0.25">
      <c r="A77" s="9" t="s">
        <v>87</v>
      </c>
      <c r="B77" s="13">
        <f>VLOOKUP(Table2[[#This Row],[Location 
(drop-down)]],'List source'!D$2:E$59,2,FALSE)</f>
        <v>210</v>
      </c>
      <c r="C77" s="11" t="s">
        <v>252</v>
      </c>
      <c r="D77" s="127" t="str">
        <f t="shared" si="2"/>
        <v>C076-210-23</v>
      </c>
      <c r="E77" s="127" t="str">
        <f>VLOOKUP(Table2[[#This Row],[Location 
(drop-down)]],Table1[#All],3,FALSE)</f>
        <v>SE &amp; Caribbean</v>
      </c>
      <c r="F77" s="11" t="s">
        <v>15</v>
      </c>
      <c r="G77" s="119" t="s">
        <v>922</v>
      </c>
      <c r="H77" s="12">
        <v>44960</v>
      </c>
      <c r="I77" s="14" t="s">
        <v>17</v>
      </c>
      <c r="J77" s="91" t="s">
        <v>821</v>
      </c>
      <c r="K77" s="91">
        <v>45154</v>
      </c>
      <c r="L77" s="10" t="s">
        <v>15</v>
      </c>
      <c r="M77" s="10" t="s">
        <v>15</v>
      </c>
      <c r="N77" s="10" t="s">
        <v>822</v>
      </c>
      <c r="O77" s="10"/>
    </row>
    <row r="78" spans="1:15" s="4" customFormat="1" ht="30" x14ac:dyDescent="0.25">
      <c r="A78" s="9" t="s">
        <v>66</v>
      </c>
      <c r="B78" s="13">
        <f>VLOOKUP(Table2[[#This Row],[Location 
(drop-down)]],'List source'!D$2:E$59,2,FALSE)</f>
        <v>165</v>
      </c>
      <c r="C78" s="11" t="s">
        <v>256</v>
      </c>
      <c r="D78" s="127" t="str">
        <f t="shared" si="2"/>
        <v>C077-165-23</v>
      </c>
      <c r="E78" s="127" t="str">
        <f>VLOOKUP(Table2[[#This Row],[Location 
(drop-down)]],Table1[#All],3,FALSE)</f>
        <v>USGC</v>
      </c>
      <c r="F78" s="11" t="s">
        <v>15</v>
      </c>
      <c r="G78" s="119" t="s">
        <v>923</v>
      </c>
      <c r="H78" s="12">
        <v>44960</v>
      </c>
      <c r="I78" s="14" t="s">
        <v>17</v>
      </c>
      <c r="J78" s="91" t="s">
        <v>821</v>
      </c>
      <c r="K78" s="91">
        <v>44998</v>
      </c>
      <c r="L78" s="10" t="s">
        <v>15</v>
      </c>
      <c r="M78" s="10" t="s">
        <v>15</v>
      </c>
      <c r="N78" s="10" t="s">
        <v>828</v>
      </c>
      <c r="O78" s="10"/>
    </row>
    <row r="79" spans="1:15" s="4" customFormat="1" ht="37.5" x14ac:dyDescent="0.25">
      <c r="A79" s="9" t="s">
        <v>924</v>
      </c>
      <c r="B79" s="13">
        <f>VLOOKUP(Table2[[#This Row],[Location 
(drop-down)]],'List source'!D$2:E$59,2,FALSE)</f>
        <v>144</v>
      </c>
      <c r="C79" s="11" t="s">
        <v>259</v>
      </c>
      <c r="D79" s="127" t="str">
        <f t="shared" si="2"/>
        <v>C078-144-23</v>
      </c>
      <c r="E79" s="127" t="str">
        <f>VLOOKUP(Table2[[#This Row],[Location 
(drop-down)]],Table1[#All],3,FALSE)</f>
        <v>SE &amp; Caribbean</v>
      </c>
      <c r="F79" s="11" t="s">
        <v>852</v>
      </c>
      <c r="G79" s="119" t="s">
        <v>925</v>
      </c>
      <c r="H79" s="12">
        <v>44960</v>
      </c>
      <c r="I79" s="14" t="s">
        <v>129</v>
      </c>
      <c r="J79" s="91" t="s">
        <v>821</v>
      </c>
      <c r="K79" s="91">
        <v>44967</v>
      </c>
      <c r="L79" s="10" t="s">
        <v>147</v>
      </c>
      <c r="M79" s="10"/>
      <c r="N79" s="10"/>
      <c r="O79" s="10"/>
    </row>
    <row r="80" spans="1:15" s="4" customFormat="1" ht="30" x14ac:dyDescent="0.25">
      <c r="A80" s="9" t="s">
        <v>27</v>
      </c>
      <c r="B80" s="13">
        <f>VLOOKUP(Table2[[#This Row],[Location 
(drop-down)]],'List source'!D$2:E$59,2,FALSE)</f>
        <v>132</v>
      </c>
      <c r="C80" s="11" t="s">
        <v>263</v>
      </c>
      <c r="D80" s="127" t="str">
        <f t="shared" si="2"/>
        <v>C079-132-23</v>
      </c>
      <c r="E80" s="127" t="str">
        <f>VLOOKUP(Table2[[#This Row],[Location 
(drop-down)]],Table1[#All],3,FALSE)</f>
        <v>USWC</v>
      </c>
      <c r="F80" s="11" t="s">
        <v>852</v>
      </c>
      <c r="G80" s="107" t="s">
        <v>926</v>
      </c>
      <c r="H80" s="12">
        <v>44952</v>
      </c>
      <c r="I80" s="14" t="s">
        <v>129</v>
      </c>
      <c r="J80" s="91" t="s">
        <v>821</v>
      </c>
      <c r="K80" s="91">
        <v>44967</v>
      </c>
      <c r="L80" s="10" t="s">
        <v>147</v>
      </c>
      <c r="M80" s="10" t="s">
        <v>857</v>
      </c>
      <c r="N80" s="10" t="s">
        <v>881</v>
      </c>
      <c r="O80" s="10"/>
    </row>
    <row r="81" spans="1:15" s="4" customFormat="1" ht="37.5" x14ac:dyDescent="0.25">
      <c r="A81" s="9" t="s">
        <v>87</v>
      </c>
      <c r="B81" s="13">
        <f>VLOOKUP(Table2[[#This Row],[Location 
(drop-down)]],'List source'!D$2:E$59,2,FALSE)</f>
        <v>210</v>
      </c>
      <c r="C81" s="11" t="s">
        <v>266</v>
      </c>
      <c r="D81" s="127" t="str">
        <f t="shared" si="2"/>
        <v>C080-210-23</v>
      </c>
      <c r="E81" s="127" t="str">
        <f>VLOOKUP(Table2[[#This Row],[Location 
(drop-down)]],Table1[#All],3,FALSE)</f>
        <v>SE &amp; Caribbean</v>
      </c>
      <c r="F81" s="11" t="s">
        <v>15</v>
      </c>
      <c r="G81" s="119" t="s">
        <v>927</v>
      </c>
      <c r="H81" s="12">
        <v>44965</v>
      </c>
      <c r="I81" s="14" t="s">
        <v>17</v>
      </c>
      <c r="J81" s="91" t="s">
        <v>821</v>
      </c>
      <c r="K81" s="91">
        <v>45289</v>
      </c>
      <c r="L81" s="10" t="s">
        <v>15</v>
      </c>
      <c r="M81" s="10" t="s">
        <v>15</v>
      </c>
      <c r="N81" s="10" t="s">
        <v>822</v>
      </c>
      <c r="O81" s="10"/>
    </row>
    <row r="82" spans="1:15" s="4" customFormat="1" ht="45" x14ac:dyDescent="0.25">
      <c r="A82" s="9" t="s">
        <v>87</v>
      </c>
      <c r="B82" s="13">
        <f>VLOOKUP(Table2[[#This Row],[Location 
(drop-down)]],'List source'!D$2:E$59,2,FALSE)</f>
        <v>210</v>
      </c>
      <c r="C82" s="11" t="s">
        <v>267</v>
      </c>
      <c r="D82" s="127" t="str">
        <f t="shared" si="2"/>
        <v>C081-210-23</v>
      </c>
      <c r="E82" s="127" t="str">
        <f>VLOOKUP(Table2[[#This Row],[Location 
(drop-down)]],Table1[#All],3,FALSE)</f>
        <v>SE &amp; Caribbean</v>
      </c>
      <c r="F82" s="11" t="s">
        <v>15</v>
      </c>
      <c r="G82" s="119" t="s">
        <v>928</v>
      </c>
      <c r="H82" s="12">
        <v>44965</v>
      </c>
      <c r="I82" s="14" t="s">
        <v>17</v>
      </c>
      <c r="J82" s="91" t="s">
        <v>821</v>
      </c>
      <c r="K82" s="91">
        <v>45203</v>
      </c>
      <c r="L82" s="10" t="s">
        <v>15</v>
      </c>
      <c r="M82" s="10" t="s">
        <v>15</v>
      </c>
      <c r="N82" s="10" t="s">
        <v>832</v>
      </c>
      <c r="O82" s="10"/>
    </row>
    <row r="83" spans="1:15" s="4" customFormat="1" ht="37.5" x14ac:dyDescent="0.25">
      <c r="A83" s="9" t="s">
        <v>87</v>
      </c>
      <c r="B83" s="13">
        <f>VLOOKUP(Table2[[#This Row],[Location 
(drop-down)]],'List source'!D$2:E$59,2,FALSE)</f>
        <v>210</v>
      </c>
      <c r="C83" s="11" t="s">
        <v>268</v>
      </c>
      <c r="D83" s="127" t="str">
        <f t="shared" si="2"/>
        <v>C082-210-23</v>
      </c>
      <c r="E83" s="127" t="str">
        <f>VLOOKUP(Table2[[#This Row],[Location 
(drop-down)]],Table1[#All],3,FALSE)</f>
        <v>SE &amp; Caribbean</v>
      </c>
      <c r="F83" s="11" t="s">
        <v>15</v>
      </c>
      <c r="G83" s="119" t="s">
        <v>929</v>
      </c>
      <c r="H83" s="12">
        <v>44965</v>
      </c>
      <c r="I83" s="14" t="s">
        <v>17</v>
      </c>
      <c r="J83" s="91" t="s">
        <v>821</v>
      </c>
      <c r="K83" s="91">
        <v>45289</v>
      </c>
      <c r="L83" s="10" t="s">
        <v>15</v>
      </c>
      <c r="M83" s="10" t="s">
        <v>15</v>
      </c>
      <c r="N83" s="10" t="s">
        <v>822</v>
      </c>
      <c r="O83" s="10"/>
    </row>
    <row r="84" spans="1:15" s="4" customFormat="1" ht="37.5" x14ac:dyDescent="0.25">
      <c r="A84" s="9" t="s">
        <v>72</v>
      </c>
      <c r="B84" s="13">
        <f>VLOOKUP(Table2[[#This Row],[Location 
(drop-down)]],'List source'!D$2:E$59,2,FALSE)</f>
        <v>197</v>
      </c>
      <c r="C84" s="11" t="s">
        <v>272</v>
      </c>
      <c r="D84" s="127" t="str">
        <f t="shared" si="2"/>
        <v>C083-197-23</v>
      </c>
      <c r="E84" s="127" t="str">
        <f>VLOOKUP(Table2[[#This Row],[Location 
(drop-down)]],Table1[#All],3,FALSE)</f>
        <v>USNE, USMW &amp; Canada</v>
      </c>
      <c r="F84" s="11" t="s">
        <v>15</v>
      </c>
      <c r="G84" s="9" t="s">
        <v>930</v>
      </c>
      <c r="H84" s="12">
        <v>44965</v>
      </c>
      <c r="I84" s="14" t="s">
        <v>17</v>
      </c>
      <c r="J84" s="91" t="s">
        <v>821</v>
      </c>
      <c r="K84" s="91">
        <v>45036</v>
      </c>
      <c r="L84" s="10" t="s">
        <v>15</v>
      </c>
      <c r="M84" s="10" t="s">
        <v>15</v>
      </c>
      <c r="N84" s="10" t="s">
        <v>822</v>
      </c>
      <c r="O84" s="10"/>
    </row>
    <row r="85" spans="1:15" s="4" customFormat="1" ht="18.75" x14ac:dyDescent="0.25">
      <c r="A85" s="9" t="s">
        <v>61</v>
      </c>
      <c r="B85" s="13">
        <f>VLOOKUP(Table2[[#This Row],[Location 
(drop-down)]],'List source'!D$2:E$59,2,FALSE)</f>
        <v>120</v>
      </c>
      <c r="C85" s="11" t="s">
        <v>276</v>
      </c>
      <c r="D85" s="127" t="str">
        <f t="shared" si="2"/>
        <v>C084-120-23</v>
      </c>
      <c r="E85" s="127" t="str">
        <f>VLOOKUP(Table2[[#This Row],[Location 
(drop-down)]],Table1[#All],3,FALSE)</f>
        <v>USGC</v>
      </c>
      <c r="F85" s="11" t="s">
        <v>15</v>
      </c>
      <c r="G85" s="9" t="s">
        <v>931</v>
      </c>
      <c r="H85" s="12">
        <v>44965</v>
      </c>
      <c r="I85" s="14" t="s">
        <v>17</v>
      </c>
      <c r="J85" s="91" t="s">
        <v>821</v>
      </c>
      <c r="K85" s="92">
        <v>45072</v>
      </c>
      <c r="L85" s="14" t="s">
        <v>15</v>
      </c>
      <c r="M85" s="14" t="s">
        <v>15</v>
      </c>
      <c r="N85" s="14"/>
      <c r="O85" s="10"/>
    </row>
    <row r="86" spans="1:15" s="4" customFormat="1" ht="30" x14ac:dyDescent="0.25">
      <c r="A86" s="9" t="s">
        <v>61</v>
      </c>
      <c r="B86" s="13">
        <f>VLOOKUP(Table2[[#This Row],[Location 
(drop-down)]],'List source'!D$2:E$59,2,FALSE)</f>
        <v>120</v>
      </c>
      <c r="C86" s="11" t="s">
        <v>280</v>
      </c>
      <c r="D86" s="127" t="str">
        <f t="shared" si="2"/>
        <v>C085-120-23</v>
      </c>
      <c r="E86" s="127" t="str">
        <f>VLOOKUP(Table2[[#This Row],[Location 
(drop-down)]],Table1[#All],3,FALSE)</f>
        <v>USGC</v>
      </c>
      <c r="F86" s="11" t="s">
        <v>15</v>
      </c>
      <c r="G86" s="9" t="s">
        <v>932</v>
      </c>
      <c r="H86" s="12">
        <v>44965</v>
      </c>
      <c r="I86" s="12" t="s">
        <v>17</v>
      </c>
      <c r="J86" s="91" t="s">
        <v>821</v>
      </c>
      <c r="K86" s="12">
        <v>45216</v>
      </c>
      <c r="L86" s="10" t="s">
        <v>15</v>
      </c>
      <c r="M86" s="10" t="s">
        <v>15</v>
      </c>
      <c r="N86" s="10"/>
      <c r="O86" s="10"/>
    </row>
    <row r="87" spans="1:15" s="4" customFormat="1" ht="30" x14ac:dyDescent="0.25">
      <c r="A87" s="9" t="s">
        <v>61</v>
      </c>
      <c r="B87" s="13">
        <f>VLOOKUP(Table2[[#This Row],[Location 
(drop-down)]],'List source'!D$2:E$59,2,FALSE)</f>
        <v>120</v>
      </c>
      <c r="C87" s="11" t="s">
        <v>282</v>
      </c>
      <c r="D87" s="127" t="str">
        <f t="shared" si="2"/>
        <v>C086-120-23</v>
      </c>
      <c r="E87" s="127" t="str">
        <f>VLOOKUP(Table2[[#This Row],[Location 
(drop-down)]],Table1[#All],3,FALSE)</f>
        <v>USGC</v>
      </c>
      <c r="F87" s="11" t="s">
        <v>15</v>
      </c>
      <c r="G87" s="9" t="s">
        <v>933</v>
      </c>
      <c r="H87" s="12">
        <v>44965</v>
      </c>
      <c r="I87" s="12" t="s">
        <v>17</v>
      </c>
      <c r="J87" s="91" t="s">
        <v>821</v>
      </c>
      <c r="K87" s="12">
        <v>45097</v>
      </c>
      <c r="L87" s="10" t="s">
        <v>15</v>
      </c>
      <c r="M87" s="10" t="s">
        <v>15</v>
      </c>
      <c r="N87" s="10"/>
      <c r="O87" s="10"/>
    </row>
    <row r="88" spans="1:15" s="4" customFormat="1" ht="37.5" x14ac:dyDescent="0.25">
      <c r="A88" s="9" t="s">
        <v>226</v>
      </c>
      <c r="B88" s="13">
        <f>VLOOKUP(Table2[[#This Row],[Location 
(drop-down)]],'List source'!D$2:E$59,2,FALSE)</f>
        <v>110</v>
      </c>
      <c r="C88" s="11" t="s">
        <v>285</v>
      </c>
      <c r="D88" s="127" t="str">
        <f t="shared" si="2"/>
        <v>C087-110-23</v>
      </c>
      <c r="E88" s="127" t="str">
        <f>VLOOKUP(Table2[[#This Row],[Location 
(drop-down)]],Table1[#All],3,FALSE)</f>
        <v>USNE, USMW &amp; Canada</v>
      </c>
      <c r="F88" s="11" t="s">
        <v>15</v>
      </c>
      <c r="G88" s="9" t="s">
        <v>934</v>
      </c>
      <c r="H88" s="12">
        <v>44965</v>
      </c>
      <c r="I88" s="12" t="s">
        <v>17</v>
      </c>
      <c r="J88" s="91" t="s">
        <v>821</v>
      </c>
      <c r="K88" s="91">
        <v>45425</v>
      </c>
      <c r="L88" s="10" t="s">
        <v>15</v>
      </c>
      <c r="M88" s="10" t="s">
        <v>15</v>
      </c>
      <c r="N88" s="10"/>
      <c r="O88" s="10"/>
    </row>
    <row r="89" spans="1:15" s="4" customFormat="1" ht="37.5" x14ac:dyDescent="0.25">
      <c r="A89" s="9" t="s">
        <v>108</v>
      </c>
      <c r="B89" s="13">
        <f>VLOOKUP(Table2[[#This Row],[Location 
(drop-down)]],'List source'!D$2:E$59,2,FALSE)</f>
        <v>191</v>
      </c>
      <c r="C89" s="11" t="s">
        <v>288</v>
      </c>
      <c r="D89" s="127" t="str">
        <f t="shared" si="2"/>
        <v>C088-191-23</v>
      </c>
      <c r="E89" s="127" t="str">
        <f>VLOOKUP(Table2[[#This Row],[Location 
(drop-down)]],Table1[#All],3,FALSE)</f>
        <v>SE &amp; Caribbean</v>
      </c>
      <c r="F89" s="11" t="s">
        <v>935</v>
      </c>
      <c r="G89" s="9" t="s">
        <v>936</v>
      </c>
      <c r="H89" s="12">
        <v>44966</v>
      </c>
      <c r="I89" s="12" t="s">
        <v>443</v>
      </c>
      <c r="J89" s="91" t="s">
        <v>821</v>
      </c>
      <c r="K89" s="91">
        <v>44972</v>
      </c>
      <c r="L89" s="10" t="s">
        <v>97</v>
      </c>
      <c r="M89" s="10" t="s">
        <v>914</v>
      </c>
      <c r="N89" s="10" t="s">
        <v>822</v>
      </c>
      <c r="O89" s="10"/>
    </row>
    <row r="90" spans="1:15" s="4" customFormat="1" ht="37.5" x14ac:dyDescent="0.25">
      <c r="A90" s="9" t="s">
        <v>108</v>
      </c>
      <c r="B90" s="13">
        <f>VLOOKUP(Table2[[#This Row],[Location 
(drop-down)]],'List source'!D$2:E$59,2,FALSE)</f>
        <v>191</v>
      </c>
      <c r="C90" s="11" t="s">
        <v>292</v>
      </c>
      <c r="D90" s="127" t="str">
        <f t="shared" si="2"/>
        <v>C089-191-23</v>
      </c>
      <c r="E90" s="127" t="str">
        <f>VLOOKUP(Table2[[#This Row],[Location 
(drop-down)]],Table1[#All],3,FALSE)</f>
        <v>SE &amp; Caribbean</v>
      </c>
      <c r="F90" s="11" t="s">
        <v>935</v>
      </c>
      <c r="G90" s="9" t="s">
        <v>937</v>
      </c>
      <c r="H90" s="12">
        <v>44966</v>
      </c>
      <c r="I90" s="12" t="s">
        <v>443</v>
      </c>
      <c r="J90" s="91" t="s">
        <v>821</v>
      </c>
      <c r="K90" s="91">
        <v>45001</v>
      </c>
      <c r="L90" s="10" t="s">
        <v>97</v>
      </c>
      <c r="M90" s="10" t="s">
        <v>854</v>
      </c>
      <c r="N90" s="10" t="s">
        <v>832</v>
      </c>
      <c r="O90" s="10"/>
    </row>
    <row r="91" spans="1:15" s="4" customFormat="1" ht="37.5" x14ac:dyDescent="0.25">
      <c r="A91" s="9" t="s">
        <v>108</v>
      </c>
      <c r="B91" s="13">
        <f>VLOOKUP(Table2[[#This Row],[Location 
(drop-down)]],'List source'!D$2:E$59,2,FALSE)</f>
        <v>191</v>
      </c>
      <c r="C91" s="11" t="s">
        <v>296</v>
      </c>
      <c r="D91" s="127" t="str">
        <f t="shared" si="2"/>
        <v>C090-191-23</v>
      </c>
      <c r="E91" s="127" t="str">
        <f>VLOOKUP(Table2[[#This Row],[Location 
(drop-down)]],Table1[#All],3,FALSE)</f>
        <v>SE &amp; Caribbean</v>
      </c>
      <c r="F91" s="11" t="s">
        <v>935</v>
      </c>
      <c r="G91" s="120" t="s">
        <v>938</v>
      </c>
      <c r="H91" s="12">
        <v>44966</v>
      </c>
      <c r="I91" s="12" t="s">
        <v>443</v>
      </c>
      <c r="J91" s="91" t="s">
        <v>821</v>
      </c>
      <c r="K91" s="91">
        <v>44972</v>
      </c>
      <c r="L91" s="10" t="s">
        <v>97</v>
      </c>
      <c r="M91" s="10" t="s">
        <v>857</v>
      </c>
      <c r="N91" s="10" t="s">
        <v>822</v>
      </c>
      <c r="O91" s="10"/>
    </row>
    <row r="92" spans="1:15" s="4" customFormat="1" ht="37.5" x14ac:dyDescent="0.25">
      <c r="A92" s="9" t="s">
        <v>75</v>
      </c>
      <c r="B92" s="13">
        <f>VLOOKUP(Table2[[#This Row],[Location 
(drop-down)]],'List source'!D$2:E$59,2,FALSE)</f>
        <v>180</v>
      </c>
      <c r="C92" s="11" t="s">
        <v>297</v>
      </c>
      <c r="D92" s="127" t="str">
        <f t="shared" si="2"/>
        <v>C091-180-23</v>
      </c>
      <c r="E92" s="127" t="str">
        <f>VLOOKUP(Table2[[#This Row],[Location 
(drop-down)]],Table1[#All],3,FALSE)</f>
        <v>SE &amp; Caribbean</v>
      </c>
      <c r="F92" s="11" t="s">
        <v>852</v>
      </c>
      <c r="G92" s="9" t="s">
        <v>939</v>
      </c>
      <c r="H92" s="12">
        <v>44967</v>
      </c>
      <c r="I92" s="12" t="s">
        <v>129</v>
      </c>
      <c r="J92" s="91" t="s">
        <v>821</v>
      </c>
      <c r="K92" s="91">
        <v>44995</v>
      </c>
      <c r="L92" s="10" t="s">
        <v>97</v>
      </c>
      <c r="M92" s="10" t="s">
        <v>854</v>
      </c>
      <c r="N92" s="10" t="s">
        <v>822</v>
      </c>
      <c r="O92" s="10"/>
    </row>
    <row r="93" spans="1:15" s="4" customFormat="1" ht="30" x14ac:dyDescent="0.25">
      <c r="A93" s="9" t="s">
        <v>178</v>
      </c>
      <c r="B93" s="13">
        <f>VLOOKUP(Table2[[#This Row],[Location 
(drop-down)]],'List source'!D$2:E$59,2,FALSE)</f>
        <v>150</v>
      </c>
      <c r="C93" s="11" t="s">
        <v>299</v>
      </c>
      <c r="D93" s="127" t="str">
        <f t="shared" si="2"/>
        <v>C092-150-23</v>
      </c>
      <c r="E93" s="127" t="str">
        <f>VLOOKUP(Table2[[#This Row],[Location 
(drop-down)]],Table1[#All],3,FALSE)</f>
        <v>USGC</v>
      </c>
      <c r="F93" s="11" t="s">
        <v>94</v>
      </c>
      <c r="G93" s="9" t="s">
        <v>940</v>
      </c>
      <c r="H93" s="12">
        <v>44981</v>
      </c>
      <c r="I93" s="12" t="s">
        <v>443</v>
      </c>
      <c r="J93" s="91" t="s">
        <v>821</v>
      </c>
      <c r="K93" s="91">
        <v>45029</v>
      </c>
      <c r="L93" s="10" t="s">
        <v>147</v>
      </c>
      <c r="M93" s="10" t="s">
        <v>857</v>
      </c>
      <c r="N93" s="10" t="s">
        <v>858</v>
      </c>
      <c r="O93" s="10"/>
    </row>
    <row r="94" spans="1:15" s="4" customFormat="1" ht="30" x14ac:dyDescent="0.25">
      <c r="A94" s="9" t="s">
        <v>178</v>
      </c>
      <c r="B94" s="13">
        <f>VLOOKUP(Table2[[#This Row],[Location 
(drop-down)]],'List source'!D$2:E$59,2,FALSE)</f>
        <v>150</v>
      </c>
      <c r="C94" s="11" t="s">
        <v>300</v>
      </c>
      <c r="D94" s="127" t="str">
        <f t="shared" si="2"/>
        <v>C093-150-23</v>
      </c>
      <c r="E94" s="127" t="str">
        <f>VLOOKUP(Table2[[#This Row],[Location 
(drop-down)]],Table1[#All],3,FALSE)</f>
        <v>USGC</v>
      </c>
      <c r="F94" s="11" t="s">
        <v>94</v>
      </c>
      <c r="G94" s="9" t="s">
        <v>941</v>
      </c>
      <c r="H94" s="12">
        <v>44981</v>
      </c>
      <c r="I94" s="12" t="s">
        <v>443</v>
      </c>
      <c r="J94" s="91" t="s">
        <v>821</v>
      </c>
      <c r="K94" s="91">
        <v>45239</v>
      </c>
      <c r="L94" s="10" t="s">
        <v>147</v>
      </c>
      <c r="M94" s="10"/>
      <c r="N94" s="10"/>
      <c r="O94" s="10"/>
    </row>
    <row r="95" spans="1:15" s="4" customFormat="1" ht="30" x14ac:dyDescent="0.25">
      <c r="A95" s="9" t="s">
        <v>178</v>
      </c>
      <c r="B95" s="13">
        <f>VLOOKUP(Table2[[#This Row],[Location 
(drop-down)]],'List source'!D$2:E$59,2,FALSE)</f>
        <v>150</v>
      </c>
      <c r="C95" s="11" t="s">
        <v>302</v>
      </c>
      <c r="D95" s="127" t="str">
        <f t="shared" si="2"/>
        <v>C094-150-23</v>
      </c>
      <c r="E95" s="127" t="str">
        <f>VLOOKUP(Table2[[#This Row],[Location 
(drop-down)]],Table1[#All],3,FALSE)</f>
        <v>USGC</v>
      </c>
      <c r="F95" s="11" t="s">
        <v>94</v>
      </c>
      <c r="G95" s="9" t="s">
        <v>942</v>
      </c>
      <c r="H95" s="12">
        <v>44981</v>
      </c>
      <c r="I95" s="12" t="s">
        <v>443</v>
      </c>
      <c r="J95" s="91" t="s">
        <v>821</v>
      </c>
      <c r="K95" s="91">
        <v>45106</v>
      </c>
      <c r="L95" s="10" t="s">
        <v>147</v>
      </c>
      <c r="M95" s="10" t="s">
        <v>857</v>
      </c>
      <c r="N95" s="10" t="s">
        <v>858</v>
      </c>
      <c r="O95" s="10"/>
    </row>
    <row r="96" spans="1:15" s="4" customFormat="1" ht="30" x14ac:dyDescent="0.25">
      <c r="A96" s="9" t="s">
        <v>178</v>
      </c>
      <c r="B96" s="13">
        <f>VLOOKUP(Table2[[#This Row],[Location 
(drop-down)]],'List source'!D$2:E$59,2,FALSE)</f>
        <v>150</v>
      </c>
      <c r="C96" s="11" t="s">
        <v>305</v>
      </c>
      <c r="D96" s="127" t="str">
        <f t="shared" si="2"/>
        <v>C095-150-23</v>
      </c>
      <c r="E96" s="127" t="str">
        <f>VLOOKUP(Table2[[#This Row],[Location 
(drop-down)]],Table1[#All],3,FALSE)</f>
        <v>USGC</v>
      </c>
      <c r="F96" s="11" t="s">
        <v>94</v>
      </c>
      <c r="G96" s="9" t="s">
        <v>943</v>
      </c>
      <c r="H96" s="12">
        <v>44981</v>
      </c>
      <c r="I96" s="12" t="s">
        <v>443</v>
      </c>
      <c r="J96" s="91" t="s">
        <v>821</v>
      </c>
      <c r="K96" s="91">
        <v>45106</v>
      </c>
      <c r="L96" s="10" t="s">
        <v>147</v>
      </c>
      <c r="M96" s="10" t="s">
        <v>857</v>
      </c>
      <c r="N96" s="10" t="s">
        <v>858</v>
      </c>
      <c r="O96" s="100">
        <v>45021</v>
      </c>
    </row>
    <row r="97" spans="1:15" s="4" customFormat="1" ht="30" x14ac:dyDescent="0.25">
      <c r="A97" s="9" t="s">
        <v>178</v>
      </c>
      <c r="B97" s="13">
        <f>VLOOKUP(Table2[[#This Row],[Location 
(drop-down)]],'List source'!D$2:E$59,2,FALSE)</f>
        <v>150</v>
      </c>
      <c r="C97" s="11" t="s">
        <v>307</v>
      </c>
      <c r="D97" s="127" t="str">
        <f t="shared" si="2"/>
        <v>C096-150-23</v>
      </c>
      <c r="E97" s="127" t="str">
        <f>VLOOKUP(Table2[[#This Row],[Location 
(drop-down)]],Table1[#All],3,FALSE)</f>
        <v>USGC</v>
      </c>
      <c r="F97" s="11" t="s">
        <v>94</v>
      </c>
      <c r="G97" s="9" t="s">
        <v>944</v>
      </c>
      <c r="H97" s="12">
        <v>44981</v>
      </c>
      <c r="I97" s="12" t="s">
        <v>443</v>
      </c>
      <c r="J97" s="91" t="s">
        <v>821</v>
      </c>
      <c r="K97" s="91">
        <v>45135</v>
      </c>
      <c r="L97" s="10" t="s">
        <v>97</v>
      </c>
      <c r="M97" s="10" t="s">
        <v>862</v>
      </c>
      <c r="N97" s="10" t="s">
        <v>858</v>
      </c>
      <c r="O97" s="10"/>
    </row>
    <row r="98" spans="1:15" s="4" customFormat="1" ht="30" x14ac:dyDescent="0.25">
      <c r="A98" s="9" t="s">
        <v>178</v>
      </c>
      <c r="B98" s="13">
        <f>VLOOKUP(Table2[[#This Row],[Location 
(drop-down)]],'List source'!D$2:E$59,2,FALSE)</f>
        <v>150</v>
      </c>
      <c r="C98" s="11" t="s">
        <v>311</v>
      </c>
      <c r="D98" s="127" t="str">
        <f t="shared" ref="D98:D129" si="3">"C" &amp; C98 &amp; "-" &amp; B98 &amp; "-" &amp; "23"</f>
        <v>C097-150-23</v>
      </c>
      <c r="E98" s="127" t="str">
        <f>VLOOKUP(Table2[[#This Row],[Location 
(drop-down)]],Table1[#All],3,FALSE)</f>
        <v>USGC</v>
      </c>
      <c r="F98" s="11" t="s">
        <v>94</v>
      </c>
      <c r="G98" s="9" t="s">
        <v>945</v>
      </c>
      <c r="H98" s="12">
        <v>44981</v>
      </c>
      <c r="I98" s="12" t="s">
        <v>443</v>
      </c>
      <c r="J98" s="91" t="s">
        <v>821</v>
      </c>
      <c r="K98" s="91">
        <v>45035</v>
      </c>
      <c r="L98" s="10" t="s">
        <v>97</v>
      </c>
      <c r="M98" s="10" t="s">
        <v>854</v>
      </c>
      <c r="N98" s="10" t="s">
        <v>822</v>
      </c>
      <c r="O98" s="10"/>
    </row>
    <row r="99" spans="1:15" s="4" customFormat="1" ht="30" x14ac:dyDescent="0.25">
      <c r="A99" s="9" t="s">
        <v>178</v>
      </c>
      <c r="B99" s="13">
        <f>VLOOKUP(Table2[[#This Row],[Location 
(drop-down)]],'List source'!D$2:E$59,2,FALSE)</f>
        <v>150</v>
      </c>
      <c r="C99" s="11" t="s">
        <v>313</v>
      </c>
      <c r="D99" s="127" t="str">
        <f t="shared" si="3"/>
        <v>C098-150-23</v>
      </c>
      <c r="E99" s="127" t="str">
        <f>VLOOKUP(Table2[[#This Row],[Location 
(drop-down)]],Table1[#All],3,FALSE)</f>
        <v>USGC</v>
      </c>
      <c r="F99" s="11" t="s">
        <v>94</v>
      </c>
      <c r="G99" s="9" t="s">
        <v>946</v>
      </c>
      <c r="H99" s="12">
        <v>44981</v>
      </c>
      <c r="I99" s="12" t="s">
        <v>443</v>
      </c>
      <c r="J99" s="91" t="s">
        <v>821</v>
      </c>
      <c r="K99" s="91">
        <v>45001</v>
      </c>
      <c r="L99" s="10" t="s">
        <v>97</v>
      </c>
      <c r="M99" s="10" t="s">
        <v>854</v>
      </c>
      <c r="N99" s="10" t="s">
        <v>822</v>
      </c>
      <c r="O99" s="10"/>
    </row>
    <row r="100" spans="1:15" s="4" customFormat="1" ht="30" x14ac:dyDescent="0.25">
      <c r="A100" s="9" t="s">
        <v>178</v>
      </c>
      <c r="B100" s="13">
        <f>VLOOKUP(Table2[[#This Row],[Location 
(drop-down)]],'List source'!D$2:E$59,2,FALSE)</f>
        <v>150</v>
      </c>
      <c r="C100" s="11" t="s">
        <v>314</v>
      </c>
      <c r="D100" s="127" t="str">
        <f t="shared" si="3"/>
        <v>C099-150-23</v>
      </c>
      <c r="E100" s="127" t="str">
        <f>VLOOKUP(Table2[[#This Row],[Location 
(drop-down)]],Table1[#All],3,FALSE)</f>
        <v>USGC</v>
      </c>
      <c r="F100" s="11" t="s">
        <v>94</v>
      </c>
      <c r="G100" s="9" t="s">
        <v>947</v>
      </c>
      <c r="H100" s="12">
        <v>44981</v>
      </c>
      <c r="I100" s="12" t="s">
        <v>443</v>
      </c>
      <c r="J100" s="91" t="s">
        <v>821</v>
      </c>
      <c r="K100" s="91">
        <v>45006</v>
      </c>
      <c r="L100" s="10" t="s">
        <v>97</v>
      </c>
      <c r="M100" s="10" t="s">
        <v>857</v>
      </c>
      <c r="N100" s="10" t="s">
        <v>822</v>
      </c>
      <c r="O100" s="10"/>
    </row>
    <row r="101" spans="1:15" s="4" customFormat="1" ht="30" x14ac:dyDescent="0.25">
      <c r="A101" s="9" t="s">
        <v>178</v>
      </c>
      <c r="B101" s="13">
        <f>VLOOKUP(Table2[[#This Row],[Location 
(drop-down)]],'List source'!D$2:E$59,2,FALSE)</f>
        <v>150</v>
      </c>
      <c r="C101" s="11" t="s">
        <v>316</v>
      </c>
      <c r="D101" s="127" t="str">
        <f t="shared" si="3"/>
        <v>C100-150-23</v>
      </c>
      <c r="E101" s="127" t="str">
        <f>VLOOKUP(Table2[[#This Row],[Location 
(drop-down)]],Table1[#All],3,FALSE)</f>
        <v>USGC</v>
      </c>
      <c r="F101" s="11" t="s">
        <v>94</v>
      </c>
      <c r="G101" s="9" t="s">
        <v>948</v>
      </c>
      <c r="H101" s="12">
        <v>44981</v>
      </c>
      <c r="I101" s="12" t="s">
        <v>443</v>
      </c>
      <c r="J101" s="91" t="s">
        <v>821</v>
      </c>
      <c r="K101" s="91">
        <v>45138</v>
      </c>
      <c r="L101" s="10" t="s">
        <v>97</v>
      </c>
      <c r="M101" s="10" t="s">
        <v>857</v>
      </c>
      <c r="N101" s="10" t="s">
        <v>822</v>
      </c>
      <c r="O101" s="10"/>
    </row>
    <row r="102" spans="1:15" s="4" customFormat="1" ht="30" x14ac:dyDescent="0.25">
      <c r="A102" s="9" t="s">
        <v>178</v>
      </c>
      <c r="B102" s="13">
        <f>VLOOKUP(Table2[[#This Row],[Location 
(drop-down)]],'List source'!D$2:E$59,2,FALSE)</f>
        <v>150</v>
      </c>
      <c r="C102" s="11" t="s">
        <v>318</v>
      </c>
      <c r="D102" s="127" t="str">
        <f t="shared" si="3"/>
        <v>C101-150-23</v>
      </c>
      <c r="E102" s="127" t="str">
        <f>VLOOKUP(Table2[[#This Row],[Location 
(drop-down)]],Table1[#All],3,FALSE)</f>
        <v>USGC</v>
      </c>
      <c r="F102" s="11" t="s">
        <v>94</v>
      </c>
      <c r="G102" s="9" t="s">
        <v>949</v>
      </c>
      <c r="H102" s="12">
        <v>44981</v>
      </c>
      <c r="I102" s="12" t="s">
        <v>443</v>
      </c>
      <c r="J102" s="91" t="s">
        <v>821</v>
      </c>
      <c r="K102" s="91">
        <v>45036</v>
      </c>
      <c r="L102" s="10" t="s">
        <v>97</v>
      </c>
      <c r="M102" s="10" t="s">
        <v>857</v>
      </c>
      <c r="N102" s="10" t="s">
        <v>822</v>
      </c>
      <c r="O102" s="10"/>
    </row>
    <row r="103" spans="1:15" s="4" customFormat="1" ht="30" x14ac:dyDescent="0.25">
      <c r="A103" s="9" t="s">
        <v>178</v>
      </c>
      <c r="B103" s="13">
        <f>VLOOKUP(Table2[[#This Row],[Location 
(drop-down)]],'List source'!D$2:E$59,2,FALSE)</f>
        <v>150</v>
      </c>
      <c r="C103" s="11" t="s">
        <v>320</v>
      </c>
      <c r="D103" s="127" t="str">
        <f t="shared" si="3"/>
        <v>C102-150-23</v>
      </c>
      <c r="E103" s="127" t="str">
        <f>VLOOKUP(Table2[[#This Row],[Location 
(drop-down)]],Table1[#All],3,FALSE)</f>
        <v>USGC</v>
      </c>
      <c r="F103" s="11" t="s">
        <v>94</v>
      </c>
      <c r="G103" s="9" t="s">
        <v>950</v>
      </c>
      <c r="H103" s="12">
        <v>44981</v>
      </c>
      <c r="I103" s="12" t="s">
        <v>443</v>
      </c>
      <c r="J103" s="91" t="s">
        <v>821</v>
      </c>
      <c r="K103" s="91">
        <v>45016</v>
      </c>
      <c r="L103" s="10" t="s">
        <v>97</v>
      </c>
      <c r="M103" s="10" t="s">
        <v>857</v>
      </c>
      <c r="N103" s="10" t="s">
        <v>881</v>
      </c>
      <c r="O103" s="10"/>
    </row>
    <row r="104" spans="1:15" s="4" customFormat="1" ht="45" x14ac:dyDescent="0.25">
      <c r="A104" s="9" t="s">
        <v>27</v>
      </c>
      <c r="B104" s="13">
        <f>VLOOKUP(Table2[[#This Row],[Location 
(drop-down)]],'List source'!D$2:E$59,2,FALSE)</f>
        <v>132</v>
      </c>
      <c r="C104" s="11" t="s">
        <v>322</v>
      </c>
      <c r="D104" s="127" t="str">
        <f t="shared" si="3"/>
        <v>C103-132-23</v>
      </c>
      <c r="E104" s="127" t="str">
        <f>VLOOKUP(Table2[[#This Row],[Location 
(drop-down)]],Table1[#All],3,FALSE)</f>
        <v>USWC</v>
      </c>
      <c r="F104" s="11" t="s">
        <v>852</v>
      </c>
      <c r="G104" s="107" t="s">
        <v>951</v>
      </c>
      <c r="H104" s="12">
        <v>44977</v>
      </c>
      <c r="I104" s="12" t="s">
        <v>129</v>
      </c>
      <c r="J104" s="91" t="s">
        <v>821</v>
      </c>
      <c r="K104" s="91">
        <v>44988</v>
      </c>
      <c r="L104" s="10" t="s">
        <v>147</v>
      </c>
      <c r="M104" s="10" t="s">
        <v>862</v>
      </c>
      <c r="N104" s="10" t="s">
        <v>822</v>
      </c>
      <c r="O104" s="10" t="s">
        <v>952</v>
      </c>
    </row>
    <row r="105" spans="1:15" s="4" customFormat="1" ht="45" x14ac:dyDescent="0.25">
      <c r="A105" s="9" t="s">
        <v>953</v>
      </c>
      <c r="B105" s="13">
        <f>VLOOKUP(Table2[[#This Row],[Location 
(drop-down)]],'List source'!D$2:E$59,2,FALSE)</f>
        <v>121</v>
      </c>
      <c r="C105" s="11" t="s">
        <v>325</v>
      </c>
      <c r="D105" s="127" t="str">
        <f t="shared" si="3"/>
        <v>C104-121-23</v>
      </c>
      <c r="E105" s="127" t="str">
        <f>VLOOKUP(Table2[[#This Row],[Location 
(drop-down)]],Table1[#All],3,FALSE)</f>
        <v>USGC</v>
      </c>
      <c r="F105" s="11" t="s">
        <v>852</v>
      </c>
      <c r="G105" s="9" t="s">
        <v>954</v>
      </c>
      <c r="H105" s="12">
        <v>44979</v>
      </c>
      <c r="I105" s="12" t="s">
        <v>129</v>
      </c>
      <c r="J105" s="91" t="s">
        <v>821</v>
      </c>
      <c r="K105" s="91">
        <v>44985</v>
      </c>
      <c r="L105" s="10" t="s">
        <v>147</v>
      </c>
      <c r="M105" s="10" t="s">
        <v>862</v>
      </c>
      <c r="N105" s="10" t="s">
        <v>822</v>
      </c>
      <c r="O105" s="10" t="s">
        <v>955</v>
      </c>
    </row>
    <row r="106" spans="1:15" s="4" customFormat="1" ht="37.5" x14ac:dyDescent="0.25">
      <c r="A106" s="9" t="s">
        <v>108</v>
      </c>
      <c r="B106" s="13">
        <f>VLOOKUP(Table2[[#This Row],[Location 
(drop-down)]],'List source'!D$2:E$59,2,FALSE)</f>
        <v>191</v>
      </c>
      <c r="C106" s="11" t="s">
        <v>327</v>
      </c>
      <c r="D106" s="127" t="str">
        <f t="shared" si="3"/>
        <v>C105-191-23</v>
      </c>
      <c r="E106" s="127" t="str">
        <f>VLOOKUP(Table2[[#This Row],[Location 
(drop-down)]],Table1[#All],3,FALSE)</f>
        <v>SE &amp; Caribbean</v>
      </c>
      <c r="F106" s="11" t="s">
        <v>852</v>
      </c>
      <c r="G106" s="9" t="s">
        <v>956</v>
      </c>
      <c r="H106" s="12">
        <v>44980</v>
      </c>
      <c r="I106" s="12" t="s">
        <v>875</v>
      </c>
      <c r="J106" s="91" t="s">
        <v>821</v>
      </c>
      <c r="K106" s="91">
        <v>44999</v>
      </c>
      <c r="L106" s="10" t="s">
        <v>97</v>
      </c>
      <c r="M106" s="10" t="s">
        <v>854</v>
      </c>
      <c r="N106" s="10" t="s">
        <v>822</v>
      </c>
      <c r="O106" s="10"/>
    </row>
    <row r="107" spans="1:15" s="4" customFormat="1" ht="37.5" x14ac:dyDescent="0.25">
      <c r="A107" s="9" t="s">
        <v>331</v>
      </c>
      <c r="B107" s="13">
        <f>VLOOKUP(Table2[[#This Row],[Location 
(drop-down)]],'List source'!D$2:E$59,2,FALSE)</f>
        <v>146</v>
      </c>
      <c r="C107" s="11" t="s">
        <v>328</v>
      </c>
      <c r="D107" s="127" t="str">
        <f t="shared" si="3"/>
        <v>C106-146-23</v>
      </c>
      <c r="E107" s="127" t="str">
        <f>VLOOKUP(Table2[[#This Row],[Location 
(drop-down)]],Table1[#All],3,FALSE)</f>
        <v>SE &amp; Caribbean</v>
      </c>
      <c r="F107" s="11" t="s">
        <v>935</v>
      </c>
      <c r="G107" s="9" t="s">
        <v>957</v>
      </c>
      <c r="H107" s="12">
        <v>44982</v>
      </c>
      <c r="I107" s="12" t="s">
        <v>443</v>
      </c>
      <c r="J107" s="91">
        <v>45000</v>
      </c>
      <c r="K107" s="91">
        <v>45117</v>
      </c>
      <c r="L107" s="10" t="s">
        <v>97</v>
      </c>
      <c r="M107" s="10"/>
      <c r="N107" s="10"/>
      <c r="O107" s="10"/>
    </row>
    <row r="108" spans="1:15" s="4" customFormat="1" ht="37.5" x14ac:dyDescent="0.25">
      <c r="A108" s="9" t="s">
        <v>331</v>
      </c>
      <c r="B108" s="13">
        <f>VLOOKUP(Table2[[#This Row],[Location 
(drop-down)]],'List source'!D$2:E$59,2,FALSE)</f>
        <v>146</v>
      </c>
      <c r="C108" s="11" t="s">
        <v>332</v>
      </c>
      <c r="D108" s="127" t="str">
        <f t="shared" si="3"/>
        <v>C107-146-23</v>
      </c>
      <c r="E108" s="127" t="str">
        <f>VLOOKUP(Table2[[#This Row],[Location 
(drop-down)]],Table1[#All],3,FALSE)</f>
        <v>SE &amp; Caribbean</v>
      </c>
      <c r="F108" s="11" t="s">
        <v>935</v>
      </c>
      <c r="G108" s="9" t="s">
        <v>958</v>
      </c>
      <c r="H108" s="12">
        <v>44982</v>
      </c>
      <c r="I108" s="12" t="s">
        <v>443</v>
      </c>
      <c r="J108" s="91" t="s">
        <v>821</v>
      </c>
      <c r="K108" s="91">
        <v>44995</v>
      </c>
      <c r="L108" s="10" t="s">
        <v>97</v>
      </c>
      <c r="M108" s="10" t="s">
        <v>854</v>
      </c>
      <c r="N108" s="10"/>
      <c r="O108" s="10"/>
    </row>
    <row r="109" spans="1:15" s="4" customFormat="1" ht="37.5" x14ac:dyDescent="0.25">
      <c r="A109" s="9" t="s">
        <v>331</v>
      </c>
      <c r="B109" s="13">
        <f>VLOOKUP(Table2[[#This Row],[Location 
(drop-down)]],'List source'!D$2:E$59,2,FALSE)</f>
        <v>146</v>
      </c>
      <c r="C109" s="11" t="s">
        <v>335</v>
      </c>
      <c r="D109" s="127" t="str">
        <f t="shared" si="3"/>
        <v>C108-146-23</v>
      </c>
      <c r="E109" s="127" t="str">
        <f>VLOOKUP(Table2[[#This Row],[Location 
(drop-down)]],Table1[#All],3,FALSE)</f>
        <v>SE &amp; Caribbean</v>
      </c>
      <c r="F109" s="11" t="s">
        <v>935</v>
      </c>
      <c r="G109" s="9" t="s">
        <v>959</v>
      </c>
      <c r="H109" s="12">
        <v>44982</v>
      </c>
      <c r="I109" s="12" t="s">
        <v>443</v>
      </c>
      <c r="J109" s="91" t="s">
        <v>821</v>
      </c>
      <c r="K109" s="91">
        <v>44998</v>
      </c>
      <c r="L109" s="10" t="s">
        <v>97</v>
      </c>
      <c r="M109" s="10" t="s">
        <v>914</v>
      </c>
      <c r="N109" s="10" t="s">
        <v>837</v>
      </c>
      <c r="O109" s="10"/>
    </row>
    <row r="110" spans="1:15" s="4" customFormat="1" ht="37.5" x14ac:dyDescent="0.25">
      <c r="A110" s="9" t="s">
        <v>331</v>
      </c>
      <c r="B110" s="13">
        <f>VLOOKUP(Table2[[#This Row],[Location 
(drop-down)]],'List source'!D$2:E$59,2,FALSE)</f>
        <v>146</v>
      </c>
      <c r="C110" s="11" t="s">
        <v>337</v>
      </c>
      <c r="D110" s="127" t="str">
        <f t="shared" si="3"/>
        <v>C109-146-23</v>
      </c>
      <c r="E110" s="127" t="str">
        <f>VLOOKUP(Table2[[#This Row],[Location 
(drop-down)]],Table1[#All],3,FALSE)</f>
        <v>SE &amp; Caribbean</v>
      </c>
      <c r="F110" s="11" t="s">
        <v>935</v>
      </c>
      <c r="G110" s="9" t="s">
        <v>960</v>
      </c>
      <c r="H110" s="12">
        <v>44982</v>
      </c>
      <c r="I110" s="12" t="s">
        <v>443</v>
      </c>
      <c r="J110" s="91" t="s">
        <v>821</v>
      </c>
      <c r="K110" s="91">
        <v>45007</v>
      </c>
      <c r="L110" s="10" t="s">
        <v>97</v>
      </c>
      <c r="M110" s="10"/>
      <c r="N110" s="10"/>
      <c r="O110" s="10"/>
    </row>
    <row r="111" spans="1:15" s="4" customFormat="1" ht="30" x14ac:dyDescent="0.25">
      <c r="A111" s="9" t="s">
        <v>61</v>
      </c>
      <c r="B111" s="13">
        <f>VLOOKUP(Table2[[#This Row],[Location 
(drop-down)]],'List source'!D$2:E$59,2,FALSE)</f>
        <v>120</v>
      </c>
      <c r="C111" s="11" t="s">
        <v>339</v>
      </c>
      <c r="D111" s="127" t="str">
        <f t="shared" si="3"/>
        <v>C110-120-23</v>
      </c>
      <c r="E111" s="127" t="str">
        <f>VLOOKUP(Table2[[#This Row],[Location 
(drop-down)]],Table1[#All],3,FALSE)</f>
        <v>USGC</v>
      </c>
      <c r="F111" s="11" t="s">
        <v>935</v>
      </c>
      <c r="G111" s="9" t="s">
        <v>961</v>
      </c>
      <c r="H111" s="12">
        <v>44982</v>
      </c>
      <c r="I111" s="12" t="s">
        <v>443</v>
      </c>
      <c r="J111" s="91" t="s">
        <v>821</v>
      </c>
      <c r="K111" s="91">
        <v>44999</v>
      </c>
      <c r="L111" s="10" t="s">
        <v>97</v>
      </c>
      <c r="M111" s="10" t="s">
        <v>914</v>
      </c>
      <c r="N111" s="10" t="s">
        <v>858</v>
      </c>
      <c r="O111" s="10"/>
    </row>
    <row r="112" spans="1:15" s="4" customFormat="1" ht="30" x14ac:dyDescent="0.25">
      <c r="A112" s="9" t="s">
        <v>61</v>
      </c>
      <c r="B112" s="13">
        <f>VLOOKUP(Table2[[#This Row],[Location 
(drop-down)]],'List source'!D$2:E$59,2,FALSE)</f>
        <v>120</v>
      </c>
      <c r="C112" s="11" t="s">
        <v>341</v>
      </c>
      <c r="D112" s="127" t="str">
        <f t="shared" si="3"/>
        <v>C111-120-23</v>
      </c>
      <c r="E112" s="127" t="str">
        <f>VLOOKUP(Table2[[#This Row],[Location 
(drop-down)]],Table1[#All],3,FALSE)</f>
        <v>USGC</v>
      </c>
      <c r="F112" s="11" t="s">
        <v>935</v>
      </c>
      <c r="G112" s="9" t="s">
        <v>959</v>
      </c>
      <c r="H112" s="12">
        <v>44982</v>
      </c>
      <c r="I112" s="12" t="s">
        <v>443</v>
      </c>
      <c r="J112" s="91" t="s">
        <v>821</v>
      </c>
      <c r="K112" s="91">
        <v>44999</v>
      </c>
      <c r="L112" s="10" t="s">
        <v>97</v>
      </c>
      <c r="M112" s="10" t="s">
        <v>857</v>
      </c>
      <c r="N112" s="10"/>
      <c r="O112" s="10"/>
    </row>
    <row r="113" spans="1:15" s="4" customFormat="1" ht="30" x14ac:dyDescent="0.25">
      <c r="A113" s="9" t="s">
        <v>61</v>
      </c>
      <c r="B113" s="13">
        <f>VLOOKUP(Table2[[#This Row],[Location 
(drop-down)]],'List source'!D$2:E$59,2,FALSE)</f>
        <v>120</v>
      </c>
      <c r="C113" s="11" t="s">
        <v>343</v>
      </c>
      <c r="D113" s="127" t="str">
        <f t="shared" si="3"/>
        <v>C112-120-23</v>
      </c>
      <c r="E113" s="127" t="str">
        <f>VLOOKUP(Table2[[#This Row],[Location 
(drop-down)]],Table1[#All],3,FALSE)</f>
        <v>USGC</v>
      </c>
      <c r="F113" s="11" t="s">
        <v>935</v>
      </c>
      <c r="G113" s="168" t="s">
        <v>962</v>
      </c>
      <c r="H113" s="12">
        <v>44982</v>
      </c>
      <c r="I113" s="12" t="s">
        <v>443</v>
      </c>
      <c r="J113" s="91" t="s">
        <v>821</v>
      </c>
      <c r="K113" s="91">
        <v>45070</v>
      </c>
      <c r="L113" s="10" t="s">
        <v>97</v>
      </c>
      <c r="M113" s="10" t="s">
        <v>854</v>
      </c>
      <c r="N113" s="10"/>
      <c r="O113" s="10"/>
    </row>
    <row r="114" spans="1:15" s="4" customFormat="1" ht="30" x14ac:dyDescent="0.25">
      <c r="A114" s="9" t="s">
        <v>61</v>
      </c>
      <c r="B114" s="13">
        <f>VLOOKUP(Table2[[#This Row],[Location 
(drop-down)]],'List source'!D$2:E$59,2,FALSE)</f>
        <v>120</v>
      </c>
      <c r="C114" s="11" t="s">
        <v>345</v>
      </c>
      <c r="D114" s="127" t="str">
        <f t="shared" si="3"/>
        <v>C113-120-23</v>
      </c>
      <c r="E114" s="127" t="str">
        <f>VLOOKUP(Table2[[#This Row],[Location 
(drop-down)]],Table1[#All],3,FALSE)</f>
        <v>USGC</v>
      </c>
      <c r="F114" s="11" t="s">
        <v>935</v>
      </c>
      <c r="G114" s="9" t="s">
        <v>963</v>
      </c>
      <c r="H114" s="12">
        <v>44982</v>
      </c>
      <c r="I114" s="12" t="s">
        <v>443</v>
      </c>
      <c r="J114" s="91" t="s">
        <v>821</v>
      </c>
      <c r="K114" s="91">
        <v>44999</v>
      </c>
      <c r="L114" s="10" t="s">
        <v>97</v>
      </c>
      <c r="M114" s="10" t="s">
        <v>854</v>
      </c>
      <c r="N114" s="10"/>
      <c r="O114" s="10"/>
    </row>
    <row r="115" spans="1:15" s="4" customFormat="1" ht="30" x14ac:dyDescent="0.25">
      <c r="A115" s="9" t="s">
        <v>61</v>
      </c>
      <c r="B115" s="13">
        <f>VLOOKUP(Table2[[#This Row],[Location 
(drop-down)]],'List source'!D$2:E$59,2,FALSE)</f>
        <v>120</v>
      </c>
      <c r="C115" s="11" t="s">
        <v>347</v>
      </c>
      <c r="D115" s="127" t="str">
        <f t="shared" si="3"/>
        <v>C114-120-23</v>
      </c>
      <c r="E115" s="127" t="str">
        <f>VLOOKUP(Table2[[#This Row],[Location 
(drop-down)]],Table1[#All],3,FALSE)</f>
        <v>USGC</v>
      </c>
      <c r="F115" s="11" t="s">
        <v>935</v>
      </c>
      <c r="G115" s="9" t="s">
        <v>964</v>
      </c>
      <c r="H115" s="12">
        <v>44982</v>
      </c>
      <c r="I115" s="12" t="s">
        <v>443</v>
      </c>
      <c r="J115" s="91" t="s">
        <v>821</v>
      </c>
      <c r="K115" s="91">
        <v>45008</v>
      </c>
      <c r="L115" s="10" t="s">
        <v>97</v>
      </c>
      <c r="M115" s="10"/>
      <c r="N115" s="10"/>
      <c r="O115" s="10"/>
    </row>
    <row r="116" spans="1:15" s="4" customFormat="1" ht="30" x14ac:dyDescent="0.25">
      <c r="A116" s="9" t="s">
        <v>37</v>
      </c>
      <c r="B116" s="13">
        <f>VLOOKUP(Table2[[#This Row],[Location 
(drop-down)]],'List source'!D$2:E$59,2,FALSE)</f>
        <v>158</v>
      </c>
      <c r="C116" s="11" t="s">
        <v>348</v>
      </c>
      <c r="D116" s="127" t="str">
        <f t="shared" si="3"/>
        <v>C115-158-23</v>
      </c>
      <c r="E116" s="127" t="str">
        <f>VLOOKUP(Table2[[#This Row],[Location 
(drop-down)]],Table1[#All],3,FALSE)</f>
        <v>USGC</v>
      </c>
      <c r="F116" s="11" t="s">
        <v>94</v>
      </c>
      <c r="G116" s="9" t="s">
        <v>965</v>
      </c>
      <c r="H116" s="12">
        <v>44986</v>
      </c>
      <c r="I116" s="12" t="s">
        <v>443</v>
      </c>
      <c r="J116" s="91" t="s">
        <v>821</v>
      </c>
      <c r="K116" s="91">
        <v>44999</v>
      </c>
      <c r="L116" s="10" t="s">
        <v>97</v>
      </c>
      <c r="M116" s="10" t="s">
        <v>914</v>
      </c>
      <c r="N116" s="10"/>
      <c r="O116" s="10"/>
    </row>
    <row r="117" spans="1:15" s="4" customFormat="1" ht="30" x14ac:dyDescent="0.25">
      <c r="A117" s="9" t="s">
        <v>37</v>
      </c>
      <c r="B117" s="13">
        <f>VLOOKUP(Table2[[#This Row],[Location 
(drop-down)]],'List source'!D$2:E$59,2,FALSE)</f>
        <v>158</v>
      </c>
      <c r="C117" s="11" t="s">
        <v>350</v>
      </c>
      <c r="D117" s="127" t="str">
        <f t="shared" si="3"/>
        <v>C116-158-23</v>
      </c>
      <c r="E117" s="127" t="str">
        <f>VLOOKUP(Table2[[#This Row],[Location 
(drop-down)]],Table1[#All],3,FALSE)</f>
        <v>USGC</v>
      </c>
      <c r="F117" s="11" t="s">
        <v>94</v>
      </c>
      <c r="G117" s="9" t="s">
        <v>966</v>
      </c>
      <c r="H117" s="12">
        <v>44986</v>
      </c>
      <c r="I117" s="12" t="s">
        <v>443</v>
      </c>
      <c r="J117" s="91" t="s">
        <v>821</v>
      </c>
      <c r="K117" s="91">
        <v>44998</v>
      </c>
      <c r="L117" s="10" t="s">
        <v>97</v>
      </c>
      <c r="M117" s="10" t="s">
        <v>857</v>
      </c>
      <c r="N117" s="10"/>
      <c r="O117" s="10"/>
    </row>
    <row r="118" spans="1:15" s="4" customFormat="1" ht="30" x14ac:dyDescent="0.25">
      <c r="A118" s="9" t="s">
        <v>37</v>
      </c>
      <c r="B118" s="13">
        <f>VLOOKUP(Table2[[#This Row],[Location 
(drop-down)]],'List source'!D$2:E$59,2,FALSE)</f>
        <v>158</v>
      </c>
      <c r="C118" s="11" t="s">
        <v>352</v>
      </c>
      <c r="D118" s="127" t="str">
        <f t="shared" si="3"/>
        <v>C117-158-23</v>
      </c>
      <c r="E118" s="127" t="str">
        <f>VLOOKUP(Table2[[#This Row],[Location 
(drop-down)]],Table1[#All],3,FALSE)</f>
        <v>USGC</v>
      </c>
      <c r="F118" s="11" t="s">
        <v>94</v>
      </c>
      <c r="G118" s="9" t="s">
        <v>967</v>
      </c>
      <c r="H118" s="12">
        <v>44986</v>
      </c>
      <c r="I118" s="12" t="s">
        <v>443</v>
      </c>
      <c r="J118" s="91" t="s">
        <v>821</v>
      </c>
      <c r="K118" s="91">
        <v>45020</v>
      </c>
      <c r="L118" s="10" t="s">
        <v>147</v>
      </c>
      <c r="M118" s="10"/>
      <c r="N118" s="10"/>
      <c r="O118" s="10"/>
    </row>
    <row r="119" spans="1:15" s="4" customFormat="1" ht="30" x14ac:dyDescent="0.25">
      <c r="A119" s="9" t="s">
        <v>37</v>
      </c>
      <c r="B119" s="13">
        <f>VLOOKUP(Table2[[#This Row],[Location 
(drop-down)]],'List source'!D$2:E$59,2,FALSE)</f>
        <v>158</v>
      </c>
      <c r="C119" s="11" t="s">
        <v>354</v>
      </c>
      <c r="D119" s="127" t="str">
        <f t="shared" si="3"/>
        <v>C118-158-23</v>
      </c>
      <c r="E119" s="127" t="str">
        <f>VLOOKUP(Table2[[#This Row],[Location 
(drop-down)]],Table1[#All],3,FALSE)</f>
        <v>USGC</v>
      </c>
      <c r="F119" s="11" t="s">
        <v>94</v>
      </c>
      <c r="G119" s="9" t="s">
        <v>968</v>
      </c>
      <c r="H119" s="12">
        <v>44986</v>
      </c>
      <c r="I119" s="12" t="s">
        <v>443</v>
      </c>
      <c r="J119" s="91" t="s">
        <v>821</v>
      </c>
      <c r="K119" s="91">
        <v>45092</v>
      </c>
      <c r="L119" s="10" t="s">
        <v>147</v>
      </c>
      <c r="M119" s="10"/>
      <c r="N119" s="10"/>
      <c r="O119" s="10"/>
    </row>
    <row r="120" spans="1:15" s="4" customFormat="1" ht="30" x14ac:dyDescent="0.25">
      <c r="A120" s="9" t="s">
        <v>37</v>
      </c>
      <c r="B120" s="13">
        <f>VLOOKUP(Table2[[#This Row],[Location 
(drop-down)]],'List source'!D$2:E$59,2,FALSE)</f>
        <v>158</v>
      </c>
      <c r="C120" s="11" t="s">
        <v>356</v>
      </c>
      <c r="D120" s="127" t="str">
        <f t="shared" si="3"/>
        <v>C119-158-23</v>
      </c>
      <c r="E120" s="127" t="str">
        <f>VLOOKUP(Table2[[#This Row],[Location 
(drop-down)]],Table1[#All],3,FALSE)</f>
        <v>USGC</v>
      </c>
      <c r="F120" s="11" t="s">
        <v>94</v>
      </c>
      <c r="G120" s="9" t="s">
        <v>969</v>
      </c>
      <c r="H120" s="12">
        <v>44986</v>
      </c>
      <c r="I120" s="12" t="s">
        <v>443</v>
      </c>
      <c r="J120" s="91" t="s">
        <v>821</v>
      </c>
      <c r="K120" s="91">
        <v>45076</v>
      </c>
      <c r="L120" s="10" t="s">
        <v>147</v>
      </c>
      <c r="M120" s="10" t="s">
        <v>903</v>
      </c>
      <c r="N120" s="10" t="s">
        <v>832</v>
      </c>
      <c r="O120" s="10"/>
    </row>
    <row r="121" spans="1:15" s="4" customFormat="1" ht="30" x14ac:dyDescent="0.25">
      <c r="A121" s="9" t="s">
        <v>37</v>
      </c>
      <c r="B121" s="13">
        <f>VLOOKUP(Table2[[#This Row],[Location 
(drop-down)]],'List source'!D$2:E$59,2,FALSE)</f>
        <v>158</v>
      </c>
      <c r="C121" s="11" t="s">
        <v>358</v>
      </c>
      <c r="D121" s="127" t="str">
        <f t="shared" si="3"/>
        <v>C120-158-23</v>
      </c>
      <c r="E121" s="127" t="str">
        <f>VLOOKUP(Table2[[#This Row],[Location 
(drop-down)]],Table1[#All],3,FALSE)</f>
        <v>USGC</v>
      </c>
      <c r="F121" s="11" t="s">
        <v>94</v>
      </c>
      <c r="G121" s="9" t="s">
        <v>970</v>
      </c>
      <c r="H121" s="12">
        <v>44986</v>
      </c>
      <c r="I121" s="12" t="s">
        <v>443</v>
      </c>
      <c r="J121" s="91" t="s">
        <v>821</v>
      </c>
      <c r="K121" s="91">
        <v>45084</v>
      </c>
      <c r="L121" s="10" t="s">
        <v>97</v>
      </c>
      <c r="M121" s="10"/>
      <c r="N121" s="10"/>
      <c r="O121" s="10"/>
    </row>
    <row r="122" spans="1:15" s="4" customFormat="1" ht="30" x14ac:dyDescent="0.25">
      <c r="A122" s="9" t="s">
        <v>37</v>
      </c>
      <c r="B122" s="13">
        <f>VLOOKUP(Table2[[#This Row],[Location 
(drop-down)]],'List source'!D$2:E$59,2,FALSE)</f>
        <v>158</v>
      </c>
      <c r="C122" s="11" t="s">
        <v>360</v>
      </c>
      <c r="D122" s="127" t="str">
        <f t="shared" si="3"/>
        <v>C121-158-23</v>
      </c>
      <c r="E122" s="127" t="str">
        <f>VLOOKUP(Table2[[#This Row],[Location 
(drop-down)]],Table1[#All],3,FALSE)</f>
        <v>USGC</v>
      </c>
      <c r="F122" s="11" t="s">
        <v>94</v>
      </c>
      <c r="G122" s="9" t="s">
        <v>971</v>
      </c>
      <c r="H122" s="12">
        <v>44986</v>
      </c>
      <c r="I122" s="12" t="s">
        <v>443</v>
      </c>
      <c r="J122" s="91" t="s">
        <v>821</v>
      </c>
      <c r="K122" s="91">
        <v>45105</v>
      </c>
      <c r="L122" s="10" t="s">
        <v>97</v>
      </c>
      <c r="M122" s="10" t="s">
        <v>862</v>
      </c>
      <c r="N122" s="10"/>
      <c r="O122" s="10"/>
    </row>
    <row r="123" spans="1:15" s="4" customFormat="1" ht="30" x14ac:dyDescent="0.25">
      <c r="A123" s="9" t="s">
        <v>37</v>
      </c>
      <c r="B123" s="13">
        <f>VLOOKUP(Table2[[#This Row],[Location 
(drop-down)]],'List source'!D$2:E$59,2,FALSE)</f>
        <v>158</v>
      </c>
      <c r="C123" s="11" t="s">
        <v>363</v>
      </c>
      <c r="D123" s="127" t="str">
        <f t="shared" si="3"/>
        <v>C122-158-23</v>
      </c>
      <c r="E123" s="127" t="str">
        <f>VLOOKUP(Table2[[#This Row],[Location 
(drop-down)]],Table1[#All],3,FALSE)</f>
        <v>USGC</v>
      </c>
      <c r="F123" s="11" t="s">
        <v>94</v>
      </c>
      <c r="G123" s="9" t="s">
        <v>972</v>
      </c>
      <c r="H123" s="12">
        <v>44986</v>
      </c>
      <c r="I123" s="12" t="s">
        <v>443</v>
      </c>
      <c r="J123" s="91" t="s">
        <v>821</v>
      </c>
      <c r="K123" s="91">
        <v>45022</v>
      </c>
      <c r="L123" s="10" t="s">
        <v>97</v>
      </c>
      <c r="M123" s="10"/>
      <c r="N123" s="10"/>
      <c r="O123" s="10"/>
    </row>
    <row r="124" spans="1:15" s="4" customFormat="1" ht="30" x14ac:dyDescent="0.25">
      <c r="A124" s="9" t="s">
        <v>37</v>
      </c>
      <c r="B124" s="13">
        <f>VLOOKUP(Table2[[#This Row],[Location 
(drop-down)]],'List source'!D$2:E$59,2,FALSE)</f>
        <v>158</v>
      </c>
      <c r="C124" s="11" t="s">
        <v>365</v>
      </c>
      <c r="D124" s="127" t="str">
        <f t="shared" si="3"/>
        <v>C123-158-23</v>
      </c>
      <c r="E124" s="127" t="str">
        <f>VLOOKUP(Table2[[#This Row],[Location 
(drop-down)]],Table1[#All],3,FALSE)</f>
        <v>USGC</v>
      </c>
      <c r="F124" s="11" t="s">
        <v>94</v>
      </c>
      <c r="G124" s="9" t="s">
        <v>973</v>
      </c>
      <c r="H124" s="12">
        <v>44986</v>
      </c>
      <c r="I124" s="12" t="s">
        <v>443</v>
      </c>
      <c r="J124" s="91" t="s">
        <v>821</v>
      </c>
      <c r="K124" s="91">
        <v>45093</v>
      </c>
      <c r="L124" s="10" t="s">
        <v>97</v>
      </c>
      <c r="M124" s="10"/>
      <c r="N124" s="10"/>
      <c r="O124" s="10"/>
    </row>
    <row r="125" spans="1:15" s="4" customFormat="1" ht="30" x14ac:dyDescent="0.25">
      <c r="A125" s="9" t="s">
        <v>37</v>
      </c>
      <c r="B125" s="13">
        <f>VLOOKUP(Table2[[#This Row],[Location 
(drop-down)]],'List source'!D$2:E$59,2,FALSE)</f>
        <v>158</v>
      </c>
      <c r="C125" s="11" t="s">
        <v>368</v>
      </c>
      <c r="D125" s="127" t="str">
        <f t="shared" si="3"/>
        <v>C124-158-23</v>
      </c>
      <c r="E125" s="127" t="str">
        <f>VLOOKUP(Table2[[#This Row],[Location 
(drop-down)]],Table1[#All],3,FALSE)</f>
        <v>USGC</v>
      </c>
      <c r="F125" s="11" t="s">
        <v>94</v>
      </c>
      <c r="G125" s="9" t="s">
        <v>974</v>
      </c>
      <c r="H125" s="12">
        <v>44986</v>
      </c>
      <c r="I125" s="12" t="s">
        <v>443</v>
      </c>
      <c r="J125" s="91" t="s">
        <v>821</v>
      </c>
      <c r="K125" s="91">
        <v>45099</v>
      </c>
      <c r="L125" s="10" t="s">
        <v>97</v>
      </c>
      <c r="M125" s="10" t="s">
        <v>903</v>
      </c>
      <c r="N125" s="10" t="s">
        <v>822</v>
      </c>
      <c r="O125" s="10"/>
    </row>
    <row r="126" spans="1:15" s="4" customFormat="1" ht="30" x14ac:dyDescent="0.25">
      <c r="A126" s="9" t="s">
        <v>37</v>
      </c>
      <c r="B126" s="13">
        <f>VLOOKUP(Table2[[#This Row],[Location 
(drop-down)]],'List source'!D$2:E$59,2,FALSE)</f>
        <v>158</v>
      </c>
      <c r="C126" s="11" t="s">
        <v>370</v>
      </c>
      <c r="D126" s="127" t="str">
        <f t="shared" si="3"/>
        <v>C125-158-23</v>
      </c>
      <c r="E126" s="127" t="str">
        <f>VLOOKUP(Table2[[#This Row],[Location 
(drop-down)]],Table1[#All],3,FALSE)</f>
        <v>USGC</v>
      </c>
      <c r="F126" s="11" t="s">
        <v>94</v>
      </c>
      <c r="G126" s="9" t="s">
        <v>975</v>
      </c>
      <c r="H126" s="12">
        <v>44986</v>
      </c>
      <c r="I126" s="12" t="s">
        <v>443</v>
      </c>
      <c r="J126" s="91" t="s">
        <v>821</v>
      </c>
      <c r="K126" s="91">
        <v>44995</v>
      </c>
      <c r="L126" s="10" t="s">
        <v>97</v>
      </c>
      <c r="M126" s="10" t="s">
        <v>857</v>
      </c>
      <c r="N126" s="10" t="s">
        <v>822</v>
      </c>
      <c r="O126" s="10"/>
    </row>
    <row r="127" spans="1:15" s="4" customFormat="1" ht="30" x14ac:dyDescent="0.25">
      <c r="A127" s="9" t="s">
        <v>37</v>
      </c>
      <c r="B127" s="13">
        <f>VLOOKUP(Table2[[#This Row],[Location 
(drop-down)]],'List source'!D$2:E$59,2,FALSE)</f>
        <v>158</v>
      </c>
      <c r="C127" s="11" t="s">
        <v>372</v>
      </c>
      <c r="D127" s="127" t="str">
        <f t="shared" si="3"/>
        <v>C126-158-23</v>
      </c>
      <c r="E127" s="127" t="str">
        <f>VLOOKUP(Table2[[#This Row],[Location 
(drop-down)]],Table1[#All],3,FALSE)</f>
        <v>USGC</v>
      </c>
      <c r="F127" s="11" t="s">
        <v>94</v>
      </c>
      <c r="G127" s="9" t="s">
        <v>896</v>
      </c>
      <c r="H127" s="12">
        <v>44986</v>
      </c>
      <c r="I127" s="12" t="s">
        <v>443</v>
      </c>
      <c r="J127" s="91" t="s">
        <v>821</v>
      </c>
      <c r="K127" s="91">
        <v>45097</v>
      </c>
      <c r="L127" s="10" t="s">
        <v>97</v>
      </c>
      <c r="M127" s="10"/>
      <c r="N127" s="10"/>
      <c r="O127" s="10"/>
    </row>
    <row r="128" spans="1:15" s="4" customFormat="1" ht="30" x14ac:dyDescent="0.25">
      <c r="A128" s="9" t="s">
        <v>37</v>
      </c>
      <c r="B128" s="13">
        <f>VLOOKUP(Table2[[#This Row],[Location 
(drop-down)]],'List source'!D$2:E$59,2,FALSE)</f>
        <v>158</v>
      </c>
      <c r="C128" s="11" t="s">
        <v>374</v>
      </c>
      <c r="D128" s="127" t="str">
        <f t="shared" si="3"/>
        <v>C127-158-23</v>
      </c>
      <c r="E128" s="127" t="str">
        <f>VLOOKUP(Table2[[#This Row],[Location 
(drop-down)]],Table1[#All],3,FALSE)</f>
        <v>USGC</v>
      </c>
      <c r="F128" s="11" t="s">
        <v>94</v>
      </c>
      <c r="G128" s="9" t="s">
        <v>976</v>
      </c>
      <c r="H128" s="12">
        <v>44986</v>
      </c>
      <c r="I128" s="12" t="s">
        <v>443</v>
      </c>
      <c r="J128" s="91" t="s">
        <v>821</v>
      </c>
      <c r="K128" s="91">
        <v>45127</v>
      </c>
      <c r="L128" s="10" t="s">
        <v>97</v>
      </c>
      <c r="M128" s="10"/>
      <c r="N128" s="10"/>
      <c r="O128" s="10"/>
    </row>
    <row r="129" spans="1:15" s="4" customFormat="1" ht="30" x14ac:dyDescent="0.25">
      <c r="A129" s="9" t="s">
        <v>37</v>
      </c>
      <c r="B129" s="13">
        <f>VLOOKUP(Table2[[#This Row],[Location 
(drop-down)]],'List source'!D$2:E$59,2,FALSE)</f>
        <v>158</v>
      </c>
      <c r="C129" s="11" t="s">
        <v>376</v>
      </c>
      <c r="D129" s="127" t="str">
        <f t="shared" si="3"/>
        <v>C128-158-23</v>
      </c>
      <c r="E129" s="127" t="str">
        <f>VLOOKUP(Table2[[#This Row],[Location 
(drop-down)]],Table1[#All],3,FALSE)</f>
        <v>USGC</v>
      </c>
      <c r="F129" s="11" t="s">
        <v>94</v>
      </c>
      <c r="G129" s="9" t="s">
        <v>977</v>
      </c>
      <c r="H129" s="12">
        <v>44986</v>
      </c>
      <c r="I129" s="12" t="s">
        <v>443</v>
      </c>
      <c r="J129" s="91" t="s">
        <v>821</v>
      </c>
      <c r="K129" s="91">
        <v>44998</v>
      </c>
      <c r="L129" s="10" t="s">
        <v>97</v>
      </c>
      <c r="M129" s="10"/>
      <c r="N129" s="10"/>
      <c r="O129" s="10"/>
    </row>
    <row r="130" spans="1:15" s="4" customFormat="1" ht="30" x14ac:dyDescent="0.25">
      <c r="A130" s="9" t="s">
        <v>37</v>
      </c>
      <c r="B130" s="13">
        <f>VLOOKUP(Table2[[#This Row],[Location 
(drop-down)]],'List source'!D$2:E$59,2,FALSE)</f>
        <v>158</v>
      </c>
      <c r="C130" s="11" t="s">
        <v>379</v>
      </c>
      <c r="D130" s="127" t="str">
        <f t="shared" ref="D130:D161" si="4">"C" &amp; C130 &amp; "-" &amp; B130 &amp; "-" &amp; "23"</f>
        <v>C129-158-23</v>
      </c>
      <c r="E130" s="127" t="str">
        <f>VLOOKUP(Table2[[#This Row],[Location 
(drop-down)]],Table1[#All],3,FALSE)</f>
        <v>USGC</v>
      </c>
      <c r="F130" s="11" t="s">
        <v>94</v>
      </c>
      <c r="G130" s="9" t="s">
        <v>978</v>
      </c>
      <c r="H130" s="12">
        <v>44986</v>
      </c>
      <c r="I130" s="12" t="s">
        <v>443</v>
      </c>
      <c r="J130" s="91" t="s">
        <v>821</v>
      </c>
      <c r="K130" s="91">
        <v>45020</v>
      </c>
      <c r="L130" s="10" t="s">
        <v>97</v>
      </c>
      <c r="M130" s="10" t="s">
        <v>857</v>
      </c>
      <c r="N130" s="10" t="s">
        <v>858</v>
      </c>
      <c r="O130" s="10"/>
    </row>
    <row r="131" spans="1:15" s="4" customFormat="1" ht="30" x14ac:dyDescent="0.25">
      <c r="A131" s="9" t="s">
        <v>37</v>
      </c>
      <c r="B131" s="13">
        <f>VLOOKUP(Table2[[#This Row],[Location 
(drop-down)]],'List source'!D$2:E$59,2,FALSE)</f>
        <v>158</v>
      </c>
      <c r="C131" s="11" t="s">
        <v>381</v>
      </c>
      <c r="D131" s="127" t="str">
        <f t="shared" si="4"/>
        <v>C130-158-23</v>
      </c>
      <c r="E131" s="127" t="str">
        <f>VLOOKUP(Table2[[#This Row],[Location 
(drop-down)]],Table1[#All],3,FALSE)</f>
        <v>USGC</v>
      </c>
      <c r="F131" s="11" t="s">
        <v>94</v>
      </c>
      <c r="G131" s="9" t="s">
        <v>979</v>
      </c>
      <c r="H131" s="12">
        <v>44986</v>
      </c>
      <c r="I131" s="12" t="s">
        <v>443</v>
      </c>
      <c r="J131" s="91" t="s">
        <v>821</v>
      </c>
      <c r="K131" s="91">
        <v>45078</v>
      </c>
      <c r="L131" s="10" t="s">
        <v>147</v>
      </c>
      <c r="M131" s="10" t="s">
        <v>857</v>
      </c>
      <c r="N131" s="10"/>
      <c r="O131" s="10"/>
    </row>
    <row r="132" spans="1:15" s="4" customFormat="1" ht="37.5" x14ac:dyDescent="0.25">
      <c r="A132" s="9" t="s">
        <v>79</v>
      </c>
      <c r="B132" s="13">
        <f>VLOOKUP(Table2[[#This Row],[Location 
(drop-down)]],'List source'!D$2:E$59,2,FALSE)</f>
        <v>141</v>
      </c>
      <c r="C132" s="11" t="s">
        <v>384</v>
      </c>
      <c r="D132" s="127" t="str">
        <f t="shared" si="4"/>
        <v>C131-141-23</v>
      </c>
      <c r="E132" s="127" t="str">
        <f>VLOOKUP(Table2[[#This Row],[Location 
(drop-down)]],Table1[#All],3,FALSE)</f>
        <v>USNE, USMW &amp; Canada</v>
      </c>
      <c r="F132" s="11" t="s">
        <v>94</v>
      </c>
      <c r="G132" s="119" t="s">
        <v>980</v>
      </c>
      <c r="H132" s="12">
        <v>44985</v>
      </c>
      <c r="I132" s="12" t="s">
        <v>435</v>
      </c>
      <c r="J132" s="91" t="s">
        <v>821</v>
      </c>
      <c r="K132" s="91">
        <v>45021</v>
      </c>
      <c r="L132" s="10" t="s">
        <v>97</v>
      </c>
      <c r="M132" s="10" t="s">
        <v>857</v>
      </c>
      <c r="N132" s="10" t="s">
        <v>822</v>
      </c>
      <c r="O132" s="10"/>
    </row>
    <row r="133" spans="1:15" s="4" customFormat="1" ht="37.5" x14ac:dyDescent="0.25">
      <c r="A133" s="9" t="s">
        <v>79</v>
      </c>
      <c r="B133" s="13">
        <f>VLOOKUP(Table2[[#This Row],[Location 
(drop-down)]],'List source'!D$2:E$59,2,FALSE)</f>
        <v>141</v>
      </c>
      <c r="C133" s="11" t="s">
        <v>386</v>
      </c>
      <c r="D133" s="127" t="str">
        <f t="shared" si="4"/>
        <v>C132-141-23</v>
      </c>
      <c r="E133" s="127" t="str">
        <f>VLOOKUP(Table2[[#This Row],[Location 
(drop-down)]],Table1[#All],3,FALSE)</f>
        <v>USNE, USMW &amp; Canada</v>
      </c>
      <c r="F133" s="11" t="s">
        <v>94</v>
      </c>
      <c r="G133" s="9" t="s">
        <v>981</v>
      </c>
      <c r="H133" s="12">
        <v>44985</v>
      </c>
      <c r="I133" s="12" t="s">
        <v>435</v>
      </c>
      <c r="J133" s="91" t="s">
        <v>821</v>
      </c>
      <c r="K133" s="91">
        <v>45281</v>
      </c>
      <c r="L133" s="10" t="s">
        <v>147</v>
      </c>
      <c r="M133" s="10" t="s">
        <v>857</v>
      </c>
      <c r="N133" s="10" t="s">
        <v>858</v>
      </c>
      <c r="O133" s="10"/>
    </row>
    <row r="134" spans="1:15" s="4" customFormat="1" ht="37.5" x14ac:dyDescent="0.25">
      <c r="A134" s="9" t="s">
        <v>79</v>
      </c>
      <c r="B134" s="13">
        <f>VLOOKUP(Table2[[#This Row],[Location 
(drop-down)]],'List source'!D$2:E$59,2,FALSE)</f>
        <v>141</v>
      </c>
      <c r="C134" s="11" t="s">
        <v>388</v>
      </c>
      <c r="D134" s="127" t="str">
        <f t="shared" si="4"/>
        <v>C133-141-23</v>
      </c>
      <c r="E134" s="127" t="str">
        <f>VLOOKUP(Table2[[#This Row],[Location 
(drop-down)]],Table1[#All],3,FALSE)</f>
        <v>USNE, USMW &amp; Canada</v>
      </c>
      <c r="F134" s="11" t="s">
        <v>94</v>
      </c>
      <c r="G134" s="9" t="s">
        <v>982</v>
      </c>
      <c r="H134" s="12">
        <v>44985</v>
      </c>
      <c r="I134" s="12" t="s">
        <v>435</v>
      </c>
      <c r="J134" s="91" t="s">
        <v>821</v>
      </c>
      <c r="K134" s="91">
        <v>45051</v>
      </c>
      <c r="L134" s="10" t="s">
        <v>147</v>
      </c>
      <c r="M134" s="10" t="s">
        <v>862</v>
      </c>
      <c r="N134" s="10" t="s">
        <v>822</v>
      </c>
      <c r="O134" s="10"/>
    </row>
    <row r="135" spans="1:15" s="4" customFormat="1" ht="37.5" x14ac:dyDescent="0.25">
      <c r="A135" s="9" t="s">
        <v>79</v>
      </c>
      <c r="B135" s="13">
        <f>VLOOKUP(Table2[[#This Row],[Location 
(drop-down)]],'List source'!D$2:E$59,2,FALSE)</f>
        <v>141</v>
      </c>
      <c r="C135" s="11" t="s">
        <v>390</v>
      </c>
      <c r="D135" s="127" t="str">
        <f t="shared" si="4"/>
        <v>C134-141-23</v>
      </c>
      <c r="E135" s="127" t="str">
        <f>VLOOKUP(Table2[[#This Row],[Location 
(drop-down)]],Table1[#All],3,FALSE)</f>
        <v>USNE, USMW &amp; Canada</v>
      </c>
      <c r="F135" s="11" t="s">
        <v>94</v>
      </c>
      <c r="G135" s="9" t="s">
        <v>983</v>
      </c>
      <c r="H135" s="12">
        <v>44985</v>
      </c>
      <c r="I135" s="12" t="s">
        <v>435</v>
      </c>
      <c r="J135" s="91" t="s">
        <v>821</v>
      </c>
      <c r="K135" s="91">
        <v>45022</v>
      </c>
      <c r="L135" s="10" t="s">
        <v>97</v>
      </c>
      <c r="M135" s="10" t="s">
        <v>854</v>
      </c>
      <c r="N135" s="10" t="s">
        <v>832</v>
      </c>
      <c r="O135" s="10"/>
    </row>
    <row r="136" spans="1:15" s="4" customFormat="1" ht="37.5" x14ac:dyDescent="0.25">
      <c r="A136" s="9" t="s">
        <v>79</v>
      </c>
      <c r="B136" s="13">
        <f>VLOOKUP(Table2[[#This Row],[Location 
(drop-down)]],'List source'!D$2:E$59,2,FALSE)</f>
        <v>141</v>
      </c>
      <c r="C136" s="11" t="s">
        <v>393</v>
      </c>
      <c r="D136" s="127" t="str">
        <f t="shared" si="4"/>
        <v>C135-141-23</v>
      </c>
      <c r="E136" s="127" t="str">
        <f>VLOOKUP(Table2[[#This Row],[Location 
(drop-down)]],Table1[#All],3,FALSE)</f>
        <v>USNE, USMW &amp; Canada</v>
      </c>
      <c r="F136" s="11" t="s">
        <v>94</v>
      </c>
      <c r="G136" s="9" t="s">
        <v>984</v>
      </c>
      <c r="H136" s="12">
        <v>44985</v>
      </c>
      <c r="I136" s="12" t="s">
        <v>435</v>
      </c>
      <c r="J136" s="91" t="s">
        <v>821</v>
      </c>
      <c r="K136" s="91">
        <v>45009</v>
      </c>
      <c r="L136" s="10" t="s">
        <v>97</v>
      </c>
      <c r="M136" s="10" t="s">
        <v>857</v>
      </c>
      <c r="N136" s="10" t="s">
        <v>858</v>
      </c>
      <c r="O136" s="10"/>
    </row>
    <row r="137" spans="1:15" s="4" customFormat="1" ht="37.5" x14ac:dyDescent="0.25">
      <c r="A137" s="9" t="s">
        <v>237</v>
      </c>
      <c r="B137" s="13">
        <f>VLOOKUP(Table2[[#This Row],[Location 
(drop-down)]],'List source'!D$2:E$59,2,FALSE)</f>
        <v>192</v>
      </c>
      <c r="C137" s="11" t="s">
        <v>396</v>
      </c>
      <c r="D137" s="127" t="str">
        <f t="shared" si="4"/>
        <v>C136-192-23</v>
      </c>
      <c r="E137" s="127" t="str">
        <f>VLOOKUP(Table2[[#This Row],[Location 
(drop-down)]],Table1[#All],3,FALSE)</f>
        <v>SE &amp; Caribbean</v>
      </c>
      <c r="F137" s="11" t="s">
        <v>94</v>
      </c>
      <c r="G137" s="9" t="s">
        <v>985</v>
      </c>
      <c r="H137" s="12">
        <v>44985</v>
      </c>
      <c r="I137" s="12" t="s">
        <v>189</v>
      </c>
      <c r="J137" s="91" t="s">
        <v>821</v>
      </c>
      <c r="K137" s="91">
        <v>45070</v>
      </c>
      <c r="L137" s="10" t="s">
        <v>97</v>
      </c>
      <c r="M137" s="10" t="s">
        <v>862</v>
      </c>
      <c r="N137" s="10" t="s">
        <v>858</v>
      </c>
      <c r="O137" s="10"/>
    </row>
    <row r="138" spans="1:15" s="4" customFormat="1" ht="37.5" x14ac:dyDescent="0.25">
      <c r="A138" s="9" t="s">
        <v>131</v>
      </c>
      <c r="B138" s="13" t="str">
        <f>VLOOKUP(Table2[[#This Row],[Location 
(drop-down)]],'List source'!D$2:E$59,2,FALSE)</f>
        <v>VOID</v>
      </c>
      <c r="C138" s="11" t="s">
        <v>398</v>
      </c>
      <c r="D138" s="127" t="str">
        <f t="shared" si="4"/>
        <v>C137-VOID-23</v>
      </c>
      <c r="E138" s="127" t="str">
        <f>VLOOKUP(Table2[[#This Row],[Location 
(drop-down)]],Table1[#All],3,FALSE)</f>
        <v>VOID</v>
      </c>
      <c r="F138" s="11" t="s">
        <v>50</v>
      </c>
      <c r="G138" s="119" t="s">
        <v>986</v>
      </c>
      <c r="H138" s="12" t="s">
        <v>50</v>
      </c>
      <c r="I138" s="12" t="s">
        <v>50</v>
      </c>
      <c r="J138" s="91" t="s">
        <v>50</v>
      </c>
      <c r="K138" s="91" t="s">
        <v>50</v>
      </c>
      <c r="L138" s="10" t="s">
        <v>50</v>
      </c>
      <c r="M138" s="10" t="s">
        <v>50</v>
      </c>
      <c r="N138" s="10" t="s">
        <v>50</v>
      </c>
      <c r="O138" s="10"/>
    </row>
    <row r="139" spans="1:15" s="4" customFormat="1" ht="37.5" x14ac:dyDescent="0.25">
      <c r="A139" s="9" t="s">
        <v>13</v>
      </c>
      <c r="B139" s="13">
        <f>VLOOKUP(Table2[[#This Row],[Location 
(drop-down)]],'List source'!D$2:E$59,2,FALSE)</f>
        <v>126</v>
      </c>
      <c r="C139" s="11" t="s">
        <v>401</v>
      </c>
      <c r="D139" s="127" t="str">
        <f t="shared" si="4"/>
        <v>C138-126-23</v>
      </c>
      <c r="E139" s="127" t="str">
        <f>VLOOKUP(Table2[[#This Row],[Location 
(drop-down)]],Table1[#All],3,FALSE)</f>
        <v>SE &amp; Caribbean</v>
      </c>
      <c r="F139" s="11" t="s">
        <v>94</v>
      </c>
      <c r="G139" s="119" t="s">
        <v>987</v>
      </c>
      <c r="H139" s="12">
        <v>44986</v>
      </c>
      <c r="I139" s="12" t="s">
        <v>129</v>
      </c>
      <c r="J139" s="91" t="s">
        <v>821</v>
      </c>
      <c r="K139" s="91">
        <v>45142</v>
      </c>
      <c r="L139" s="10" t="s">
        <v>913</v>
      </c>
      <c r="M139" s="10" t="s">
        <v>857</v>
      </c>
      <c r="N139" s="10" t="s">
        <v>858</v>
      </c>
      <c r="O139" s="10"/>
    </row>
    <row r="140" spans="1:15" s="4" customFormat="1" ht="37.5" x14ac:dyDescent="0.25">
      <c r="A140" s="9" t="s">
        <v>13</v>
      </c>
      <c r="B140" s="13">
        <f>VLOOKUP(Table2[[#This Row],[Location 
(drop-down)]],'List source'!D$2:E$59,2,FALSE)</f>
        <v>126</v>
      </c>
      <c r="C140" s="11" t="s">
        <v>405</v>
      </c>
      <c r="D140" s="127" t="str">
        <f t="shared" si="4"/>
        <v>C139-126-23</v>
      </c>
      <c r="E140" s="127" t="str">
        <f>VLOOKUP(Table2[[#This Row],[Location 
(drop-down)]],Table1[#All],3,FALSE)</f>
        <v>SE &amp; Caribbean</v>
      </c>
      <c r="F140" s="11" t="s">
        <v>94</v>
      </c>
      <c r="G140" s="119" t="s">
        <v>988</v>
      </c>
      <c r="H140" s="12">
        <v>44986</v>
      </c>
      <c r="I140" s="12" t="s">
        <v>129</v>
      </c>
      <c r="J140" s="91">
        <v>45125</v>
      </c>
      <c r="K140" s="91">
        <v>45126</v>
      </c>
      <c r="L140" s="10" t="s">
        <v>97</v>
      </c>
      <c r="M140" s="10" t="s">
        <v>857</v>
      </c>
      <c r="N140" s="10" t="s">
        <v>858</v>
      </c>
      <c r="O140" s="10"/>
    </row>
    <row r="141" spans="1:15" s="4" customFormat="1" ht="37.5" x14ac:dyDescent="0.25">
      <c r="A141" s="9" t="s">
        <v>13</v>
      </c>
      <c r="B141" s="13">
        <f>VLOOKUP(Table2[[#This Row],[Location 
(drop-down)]],'List source'!D$2:E$59,2,FALSE)</f>
        <v>126</v>
      </c>
      <c r="C141" s="11" t="s">
        <v>406</v>
      </c>
      <c r="D141" s="127" t="str">
        <f t="shared" si="4"/>
        <v>C140-126-23</v>
      </c>
      <c r="E141" s="127" t="str">
        <f>VLOOKUP(Table2[[#This Row],[Location 
(drop-down)]],Table1[#All],3,FALSE)</f>
        <v>SE &amp; Caribbean</v>
      </c>
      <c r="F141" s="11" t="s">
        <v>94</v>
      </c>
      <c r="G141" s="119" t="s">
        <v>989</v>
      </c>
      <c r="H141" s="12">
        <v>44986</v>
      </c>
      <c r="I141" s="12" t="s">
        <v>129</v>
      </c>
      <c r="J141" s="91" t="s">
        <v>898</v>
      </c>
      <c r="K141" s="91">
        <v>45266</v>
      </c>
      <c r="L141" s="10" t="s">
        <v>97</v>
      </c>
      <c r="M141" s="10" t="s">
        <v>862</v>
      </c>
      <c r="N141" s="10" t="s">
        <v>858</v>
      </c>
      <c r="O141" s="10"/>
    </row>
    <row r="142" spans="1:15" s="4" customFormat="1" ht="37.5" x14ac:dyDescent="0.25">
      <c r="A142" s="9" t="s">
        <v>13</v>
      </c>
      <c r="B142" s="13">
        <f>VLOOKUP(Table2[[#This Row],[Location 
(drop-down)]],'List source'!D$2:E$59,2,FALSE)</f>
        <v>126</v>
      </c>
      <c r="C142" s="11" t="s">
        <v>408</v>
      </c>
      <c r="D142" s="127" t="str">
        <f t="shared" si="4"/>
        <v>C141-126-23</v>
      </c>
      <c r="E142" s="127" t="str">
        <f>VLOOKUP(Table2[[#This Row],[Location 
(drop-down)]],Table1[#All],3,FALSE)</f>
        <v>SE &amp; Caribbean</v>
      </c>
      <c r="F142" s="11" t="s">
        <v>94</v>
      </c>
      <c r="G142" s="119" t="s">
        <v>990</v>
      </c>
      <c r="H142" s="23">
        <v>44986</v>
      </c>
      <c r="I142" s="12" t="s">
        <v>129</v>
      </c>
      <c r="J142" s="91" t="s">
        <v>821</v>
      </c>
      <c r="K142" s="91">
        <v>45065</v>
      </c>
      <c r="L142" s="10" t="s">
        <v>97</v>
      </c>
      <c r="M142" s="10" t="s">
        <v>857</v>
      </c>
      <c r="N142" s="10" t="s">
        <v>858</v>
      </c>
      <c r="O142" s="10"/>
    </row>
    <row r="143" spans="1:15" s="4" customFormat="1" ht="37.5" x14ac:dyDescent="0.25">
      <c r="A143" s="9" t="s">
        <v>87</v>
      </c>
      <c r="B143" s="13">
        <f>VLOOKUP(Table2[[#This Row],[Location 
(drop-down)]],'List source'!D$2:E$59,2,FALSE)</f>
        <v>210</v>
      </c>
      <c r="C143" s="11" t="s">
        <v>412</v>
      </c>
      <c r="D143" s="127" t="str">
        <f t="shared" si="4"/>
        <v>C142-210-23</v>
      </c>
      <c r="E143" s="127" t="str">
        <f>VLOOKUP(Table2[[#This Row],[Location 
(drop-down)]],Table1[#All],3,FALSE)</f>
        <v>SE &amp; Caribbean</v>
      </c>
      <c r="F143" s="11" t="s">
        <v>935</v>
      </c>
      <c r="G143" s="119" t="s">
        <v>991</v>
      </c>
      <c r="H143" s="12">
        <v>44986</v>
      </c>
      <c r="I143" s="12" t="s">
        <v>129</v>
      </c>
      <c r="J143" s="91" t="s">
        <v>821</v>
      </c>
      <c r="K143" s="91">
        <v>45000</v>
      </c>
      <c r="L143" s="10" t="s">
        <v>147</v>
      </c>
      <c r="M143" s="10" t="s">
        <v>857</v>
      </c>
      <c r="N143" s="10" t="s">
        <v>858</v>
      </c>
      <c r="O143" s="10"/>
    </row>
    <row r="144" spans="1:15" s="4" customFormat="1" ht="37.5" x14ac:dyDescent="0.25">
      <c r="A144" s="9" t="s">
        <v>87</v>
      </c>
      <c r="B144" s="13">
        <f>VLOOKUP(Table2[[#This Row],[Location 
(drop-down)]],'List source'!D$2:E$59,2,FALSE)</f>
        <v>210</v>
      </c>
      <c r="C144" s="11" t="s">
        <v>414</v>
      </c>
      <c r="D144" s="127" t="str">
        <f t="shared" si="4"/>
        <v>C143-210-23</v>
      </c>
      <c r="E144" s="127" t="str">
        <f>VLOOKUP(Table2[[#This Row],[Location 
(drop-down)]],Table1[#All],3,FALSE)</f>
        <v>SE &amp; Caribbean</v>
      </c>
      <c r="F144" s="11" t="s">
        <v>935</v>
      </c>
      <c r="G144" s="119" t="s">
        <v>992</v>
      </c>
      <c r="H144" s="12">
        <v>44986</v>
      </c>
      <c r="I144" s="12" t="s">
        <v>129</v>
      </c>
      <c r="J144" s="91" t="s">
        <v>821</v>
      </c>
      <c r="K144" s="91">
        <v>45000</v>
      </c>
      <c r="L144" s="10" t="s">
        <v>147</v>
      </c>
      <c r="M144" s="10" t="s">
        <v>857</v>
      </c>
      <c r="N144" s="10" t="s">
        <v>858</v>
      </c>
      <c r="O144" s="10"/>
    </row>
    <row r="145" spans="1:15" s="4" customFormat="1" ht="37.5" x14ac:dyDescent="0.25">
      <c r="A145" s="9" t="s">
        <v>87</v>
      </c>
      <c r="B145" s="13">
        <f>VLOOKUP(Table2[[#This Row],[Location 
(drop-down)]],'List source'!D$2:E$59,2,FALSE)</f>
        <v>210</v>
      </c>
      <c r="C145" s="11" t="s">
        <v>419</v>
      </c>
      <c r="D145" s="127" t="str">
        <f t="shared" si="4"/>
        <v>C144-210-23</v>
      </c>
      <c r="E145" s="127" t="str">
        <f>VLOOKUP(Table2[[#This Row],[Location 
(drop-down)]],Table1[#All],3,FALSE)</f>
        <v>SE &amp; Caribbean</v>
      </c>
      <c r="F145" s="11" t="s">
        <v>935</v>
      </c>
      <c r="G145" s="119" t="s">
        <v>993</v>
      </c>
      <c r="H145" s="12">
        <v>44986</v>
      </c>
      <c r="I145" s="12" t="s">
        <v>129</v>
      </c>
      <c r="J145" s="91" t="s">
        <v>821</v>
      </c>
      <c r="K145" s="91">
        <v>45000</v>
      </c>
      <c r="L145" s="10" t="s">
        <v>147</v>
      </c>
      <c r="M145" s="10" t="s">
        <v>903</v>
      </c>
      <c r="N145" s="10" t="s">
        <v>858</v>
      </c>
      <c r="O145" s="10"/>
    </row>
    <row r="146" spans="1:15" s="4" customFormat="1" ht="37.5" x14ac:dyDescent="0.25">
      <c r="A146" s="9" t="s">
        <v>87</v>
      </c>
      <c r="B146" s="13">
        <f>VLOOKUP(Table2[[#This Row],[Location 
(drop-down)]],'List source'!D$2:E$59,2,FALSE)</f>
        <v>210</v>
      </c>
      <c r="C146" s="11" t="s">
        <v>422</v>
      </c>
      <c r="D146" s="127" t="str">
        <f t="shared" si="4"/>
        <v>C145-210-23</v>
      </c>
      <c r="E146" s="127" t="str">
        <f>VLOOKUP(Table2[[#This Row],[Location 
(drop-down)]],Table1[#All],3,FALSE)</f>
        <v>SE &amp; Caribbean</v>
      </c>
      <c r="F146" s="11" t="s">
        <v>935</v>
      </c>
      <c r="G146" s="119" t="s">
        <v>994</v>
      </c>
      <c r="H146" s="12">
        <v>44986</v>
      </c>
      <c r="I146" s="12" t="s">
        <v>129</v>
      </c>
      <c r="J146" s="91" t="s">
        <v>821</v>
      </c>
      <c r="K146" s="91">
        <v>45001</v>
      </c>
      <c r="L146" s="10" t="s">
        <v>147</v>
      </c>
      <c r="M146" s="10" t="s">
        <v>857</v>
      </c>
      <c r="N146" s="10" t="s">
        <v>858</v>
      </c>
      <c r="O146" s="10"/>
    </row>
    <row r="147" spans="1:15" s="4" customFormat="1" ht="37.5" x14ac:dyDescent="0.25">
      <c r="A147" s="9" t="s">
        <v>87</v>
      </c>
      <c r="B147" s="13">
        <f>VLOOKUP(Table2[[#This Row],[Location 
(drop-down)]],'List source'!D$2:E$59,2,FALSE)</f>
        <v>210</v>
      </c>
      <c r="C147" s="11" t="s">
        <v>426</v>
      </c>
      <c r="D147" s="127" t="str">
        <f t="shared" si="4"/>
        <v>C146-210-23</v>
      </c>
      <c r="E147" s="127" t="str">
        <f>VLOOKUP(Table2[[#This Row],[Location 
(drop-down)]],Table1[#All],3,FALSE)</f>
        <v>SE &amp; Caribbean</v>
      </c>
      <c r="F147" s="11" t="s">
        <v>935</v>
      </c>
      <c r="G147" s="119" t="s">
        <v>995</v>
      </c>
      <c r="H147" s="12">
        <v>44986</v>
      </c>
      <c r="I147" s="12" t="s">
        <v>129</v>
      </c>
      <c r="J147" s="91" t="s">
        <v>821</v>
      </c>
      <c r="K147" s="91">
        <v>45001</v>
      </c>
      <c r="L147" s="10" t="s">
        <v>147</v>
      </c>
      <c r="M147" s="15" t="s">
        <v>857</v>
      </c>
      <c r="N147" s="10" t="s">
        <v>858</v>
      </c>
      <c r="O147" s="10"/>
    </row>
    <row r="148" spans="1:15" s="4" customFormat="1" ht="37.5" x14ac:dyDescent="0.25">
      <c r="A148" s="9" t="s">
        <v>87</v>
      </c>
      <c r="B148" s="13">
        <f>VLOOKUP(Table2[[#This Row],[Location 
(drop-down)]],'List source'!D$2:E$59,2,FALSE)</f>
        <v>210</v>
      </c>
      <c r="C148" s="11" t="s">
        <v>430</v>
      </c>
      <c r="D148" s="127" t="str">
        <f t="shared" si="4"/>
        <v>C147-210-23</v>
      </c>
      <c r="E148" s="127" t="str">
        <f>VLOOKUP(Table2[[#This Row],[Location 
(drop-down)]],Table1[#All],3,FALSE)</f>
        <v>SE &amp; Caribbean</v>
      </c>
      <c r="F148" s="11" t="s">
        <v>935</v>
      </c>
      <c r="G148" s="119" t="s">
        <v>996</v>
      </c>
      <c r="H148" s="12">
        <v>44986</v>
      </c>
      <c r="I148" s="12" t="s">
        <v>129</v>
      </c>
      <c r="J148" s="91" t="s">
        <v>821</v>
      </c>
      <c r="K148" s="91">
        <v>45001</v>
      </c>
      <c r="L148" s="10" t="s">
        <v>147</v>
      </c>
      <c r="M148" s="18" t="s">
        <v>857</v>
      </c>
      <c r="N148" s="10" t="s">
        <v>858</v>
      </c>
      <c r="O148" s="19"/>
    </row>
    <row r="149" spans="1:15" s="4" customFormat="1" ht="37.5" x14ac:dyDescent="0.25">
      <c r="A149" s="9" t="s">
        <v>87</v>
      </c>
      <c r="B149" s="13">
        <f>VLOOKUP(Table2[[#This Row],[Location 
(drop-down)]],'List source'!D$2:E$59,2,FALSE)</f>
        <v>210</v>
      </c>
      <c r="C149" s="11" t="s">
        <v>433</v>
      </c>
      <c r="D149" s="127" t="str">
        <f t="shared" si="4"/>
        <v>C148-210-23</v>
      </c>
      <c r="E149" s="127" t="str">
        <f>VLOOKUP(Table2[[#This Row],[Location 
(drop-down)]],Table1[#All],3,FALSE)</f>
        <v>SE &amp; Caribbean</v>
      </c>
      <c r="F149" s="11" t="s">
        <v>935</v>
      </c>
      <c r="G149" s="119" t="s">
        <v>997</v>
      </c>
      <c r="H149" s="23">
        <v>44986</v>
      </c>
      <c r="I149" s="12" t="s">
        <v>129</v>
      </c>
      <c r="J149" s="91" t="s">
        <v>821</v>
      </c>
      <c r="K149" s="93">
        <v>45001</v>
      </c>
      <c r="L149" s="10" t="s">
        <v>147</v>
      </c>
      <c r="M149" s="15" t="s">
        <v>857</v>
      </c>
      <c r="N149" s="10" t="s">
        <v>858</v>
      </c>
      <c r="O149" s="10"/>
    </row>
    <row r="150" spans="1:15" s="4" customFormat="1" ht="37.5" x14ac:dyDescent="0.25">
      <c r="A150" s="9" t="s">
        <v>87</v>
      </c>
      <c r="B150" s="13">
        <f>VLOOKUP(Table2[[#This Row],[Location 
(drop-down)]],'List source'!D$2:E$59,2,FALSE)</f>
        <v>210</v>
      </c>
      <c r="C150" s="11" t="s">
        <v>438</v>
      </c>
      <c r="D150" s="127" t="str">
        <f t="shared" si="4"/>
        <v>C149-210-23</v>
      </c>
      <c r="E150" s="127" t="str">
        <f>VLOOKUP(Table2[[#This Row],[Location 
(drop-down)]],Table1[#All],3,FALSE)</f>
        <v>SE &amp; Caribbean</v>
      </c>
      <c r="F150" s="11" t="s">
        <v>935</v>
      </c>
      <c r="G150" s="119" t="s">
        <v>998</v>
      </c>
      <c r="H150" s="23">
        <v>44986</v>
      </c>
      <c r="I150" s="12" t="s">
        <v>129</v>
      </c>
      <c r="J150" s="91" t="s">
        <v>821</v>
      </c>
      <c r="K150" s="93">
        <v>45001</v>
      </c>
      <c r="L150" s="13" t="s">
        <v>97</v>
      </c>
      <c r="M150" s="15" t="s">
        <v>857</v>
      </c>
      <c r="N150" s="10" t="s">
        <v>858</v>
      </c>
      <c r="O150" s="10"/>
    </row>
    <row r="151" spans="1:15" s="4" customFormat="1" ht="37.5" x14ac:dyDescent="0.25">
      <c r="A151" s="9" t="s">
        <v>87</v>
      </c>
      <c r="B151" s="13">
        <f>VLOOKUP(Table2[[#This Row],[Location 
(drop-down)]],'List source'!D$2:E$59,2,FALSE)</f>
        <v>210</v>
      </c>
      <c r="C151" s="11" t="s">
        <v>441</v>
      </c>
      <c r="D151" s="127" t="str">
        <f t="shared" si="4"/>
        <v>C150-210-23</v>
      </c>
      <c r="E151" s="127" t="str">
        <f>VLOOKUP(Table2[[#This Row],[Location 
(drop-down)]],Table1[#All],3,FALSE)</f>
        <v>SE &amp; Caribbean</v>
      </c>
      <c r="F151" s="11" t="s">
        <v>935</v>
      </c>
      <c r="G151" s="119" t="s">
        <v>999</v>
      </c>
      <c r="H151" s="23">
        <v>44986</v>
      </c>
      <c r="I151" s="12" t="s">
        <v>129</v>
      </c>
      <c r="J151" s="91" t="s">
        <v>821</v>
      </c>
      <c r="K151" s="93">
        <v>45001</v>
      </c>
      <c r="L151" s="13" t="s">
        <v>97</v>
      </c>
      <c r="M151" s="15" t="s">
        <v>857</v>
      </c>
      <c r="N151" s="10" t="s">
        <v>858</v>
      </c>
      <c r="O151" s="10"/>
    </row>
    <row r="152" spans="1:15" s="4" customFormat="1" ht="30" x14ac:dyDescent="0.25">
      <c r="A152" s="9" t="s">
        <v>37</v>
      </c>
      <c r="B152" s="169">
        <v>158</v>
      </c>
      <c r="C152" s="11" t="s">
        <v>444</v>
      </c>
      <c r="D152" s="127" t="s">
        <v>1000</v>
      </c>
      <c r="E152" s="127"/>
      <c r="F152" s="11" t="s">
        <v>15</v>
      </c>
      <c r="G152" s="119" t="s">
        <v>1001</v>
      </c>
      <c r="H152" s="23">
        <v>44991</v>
      </c>
      <c r="I152" s="14" t="s">
        <v>17</v>
      </c>
      <c r="J152" s="91" t="s">
        <v>821</v>
      </c>
      <c r="K152" s="93">
        <v>45127</v>
      </c>
      <c r="L152" s="13" t="s">
        <v>15</v>
      </c>
      <c r="M152" s="15" t="s">
        <v>15</v>
      </c>
      <c r="N152" s="15"/>
      <c r="O152" s="10"/>
    </row>
    <row r="153" spans="1:15" s="4" customFormat="1" ht="18.75" x14ac:dyDescent="0.25">
      <c r="A153" s="9" t="s">
        <v>171</v>
      </c>
      <c r="B153" s="13">
        <f>VLOOKUP(Table2[[#This Row],[Location 
(drop-down)]],'List source'!D$2:E$59,2,FALSE)</f>
        <v>160</v>
      </c>
      <c r="C153" s="11" t="s">
        <v>447</v>
      </c>
      <c r="D153" s="127" t="str">
        <f t="shared" ref="D153:D216" si="5">"C" &amp; C153 &amp; "-" &amp; B153 &amp; "-" &amp; "23"</f>
        <v>C152-160-23</v>
      </c>
      <c r="E153" s="127" t="str">
        <f>VLOOKUP(Table2[[#This Row],[Location 
(drop-down)]],Table1[#All],3,FALSE)</f>
        <v>USGC</v>
      </c>
      <c r="F153" s="11" t="s">
        <v>15</v>
      </c>
      <c r="G153" s="119" t="s">
        <v>1002</v>
      </c>
      <c r="H153" s="23">
        <v>44991</v>
      </c>
      <c r="I153" s="14" t="s">
        <v>17</v>
      </c>
      <c r="J153" s="93" t="s">
        <v>821</v>
      </c>
      <c r="K153" s="93">
        <v>45097</v>
      </c>
      <c r="L153" s="13" t="s">
        <v>15</v>
      </c>
      <c r="M153" s="15" t="s">
        <v>15</v>
      </c>
      <c r="N153" s="15"/>
      <c r="O153" s="10"/>
    </row>
    <row r="154" spans="1:15" s="4" customFormat="1" ht="18.75" x14ac:dyDescent="0.25">
      <c r="A154" s="9" t="s">
        <v>171</v>
      </c>
      <c r="B154" s="13">
        <f>VLOOKUP(Table2[[#This Row],[Location 
(drop-down)]],'List source'!D$2:E$59,2,FALSE)</f>
        <v>160</v>
      </c>
      <c r="C154" s="11" t="s">
        <v>452</v>
      </c>
      <c r="D154" s="127" t="str">
        <f t="shared" si="5"/>
        <v>C153-160-23</v>
      </c>
      <c r="E154" s="127" t="str">
        <f>VLOOKUP(Table2[[#This Row],[Location 
(drop-down)]],Table1[#All],3,FALSE)</f>
        <v>USGC</v>
      </c>
      <c r="F154" s="11" t="s">
        <v>15</v>
      </c>
      <c r="G154" s="119" t="s">
        <v>1003</v>
      </c>
      <c r="H154" s="23">
        <v>44991</v>
      </c>
      <c r="I154" s="14" t="s">
        <v>17</v>
      </c>
      <c r="J154" s="91" t="s">
        <v>821</v>
      </c>
      <c r="K154" s="93">
        <v>45064</v>
      </c>
      <c r="L154" s="13" t="s">
        <v>15</v>
      </c>
      <c r="M154" s="15" t="s">
        <v>15</v>
      </c>
      <c r="N154" s="15"/>
      <c r="O154" s="10"/>
    </row>
    <row r="155" spans="1:15" s="4" customFormat="1" ht="37.5" x14ac:dyDescent="0.25">
      <c r="A155" s="9" t="s">
        <v>112</v>
      </c>
      <c r="B155" s="13">
        <f>VLOOKUP(Table2[[#This Row],[Location 
(drop-down)]],'List source'!D$2:E$59,2,FALSE)</f>
        <v>115</v>
      </c>
      <c r="C155" s="11" t="s">
        <v>454</v>
      </c>
      <c r="D155" s="127" t="str">
        <f t="shared" si="5"/>
        <v>C154-115-23</v>
      </c>
      <c r="E155" s="127" t="str">
        <f>VLOOKUP(Table2[[#This Row],[Location 
(drop-down)]],Table1[#All],3,FALSE)</f>
        <v>SE &amp; Caribbean</v>
      </c>
      <c r="F155" s="11" t="s">
        <v>15</v>
      </c>
      <c r="G155" s="119" t="s">
        <v>1004</v>
      </c>
      <c r="H155" s="23">
        <v>44991</v>
      </c>
      <c r="I155" s="14" t="s">
        <v>17</v>
      </c>
      <c r="J155" s="91" t="s">
        <v>821</v>
      </c>
      <c r="K155" s="93">
        <v>45042</v>
      </c>
      <c r="L155" s="13" t="s">
        <v>15</v>
      </c>
      <c r="M155" s="15" t="s">
        <v>15</v>
      </c>
      <c r="N155" s="15"/>
      <c r="O155" s="10"/>
    </row>
    <row r="156" spans="1:15" s="4" customFormat="1" ht="37.5" x14ac:dyDescent="0.25">
      <c r="A156" s="9" t="s">
        <v>324</v>
      </c>
      <c r="B156" s="13">
        <f>VLOOKUP(Table2[[#This Row],[Location 
(drop-down)]],'List source'!D$2:E$59,2,FALSE)</f>
        <v>170</v>
      </c>
      <c r="C156" s="11" t="s">
        <v>456</v>
      </c>
      <c r="D156" s="127" t="str">
        <f t="shared" si="5"/>
        <v>C155-170-23</v>
      </c>
      <c r="E156" s="127" t="str">
        <f>VLOOKUP(Table2[[#This Row],[Location 
(drop-down)]],Table1[#All],3,FALSE)</f>
        <v>SE &amp; Caribbean</v>
      </c>
      <c r="F156" s="11" t="s">
        <v>94</v>
      </c>
      <c r="G156" s="170" t="s">
        <v>1005</v>
      </c>
      <c r="H156" s="22">
        <v>45002</v>
      </c>
      <c r="I156" s="21" t="s">
        <v>440</v>
      </c>
      <c r="J156" s="91" t="s">
        <v>821</v>
      </c>
      <c r="K156" s="94">
        <v>45035</v>
      </c>
      <c r="L156" s="17" t="s">
        <v>147</v>
      </c>
      <c r="M156" s="18" t="s">
        <v>862</v>
      </c>
      <c r="N156" s="18" t="s">
        <v>822</v>
      </c>
      <c r="O156" s="19"/>
    </row>
    <row r="157" spans="1:15" s="4" customFormat="1" ht="37.5" x14ac:dyDescent="0.25">
      <c r="A157" s="9" t="s">
        <v>324</v>
      </c>
      <c r="B157" s="13">
        <f>VLOOKUP(Table2[[#This Row],[Location 
(drop-down)]],'List source'!D$2:E$59,2,FALSE)</f>
        <v>170</v>
      </c>
      <c r="C157" s="11" t="s">
        <v>458</v>
      </c>
      <c r="D157" s="127" t="str">
        <f t="shared" si="5"/>
        <v>C156-170-23</v>
      </c>
      <c r="E157" s="127" t="str">
        <f>VLOOKUP(Table2[[#This Row],[Location 
(drop-down)]],Table1[#All],3,FALSE)</f>
        <v>SE &amp; Caribbean</v>
      </c>
      <c r="F157" s="11" t="s">
        <v>94</v>
      </c>
      <c r="G157" s="119" t="s">
        <v>1006</v>
      </c>
      <c r="H157" s="23">
        <v>45002</v>
      </c>
      <c r="I157" s="14" t="s">
        <v>440</v>
      </c>
      <c r="J157" s="91" t="s">
        <v>821</v>
      </c>
      <c r="K157" s="93">
        <v>45035</v>
      </c>
      <c r="L157" s="13" t="s">
        <v>147</v>
      </c>
      <c r="M157" s="15" t="s">
        <v>857</v>
      </c>
      <c r="N157" s="15" t="s">
        <v>822</v>
      </c>
      <c r="O157" s="10"/>
    </row>
    <row r="158" spans="1:15" s="4" customFormat="1" ht="37.5" x14ac:dyDescent="0.25">
      <c r="A158" s="9" t="s">
        <v>324</v>
      </c>
      <c r="B158" s="13">
        <f>VLOOKUP(Table2[[#This Row],[Location 
(drop-down)]],'List source'!D$2:E$59,2,FALSE)</f>
        <v>170</v>
      </c>
      <c r="C158" s="11" t="s">
        <v>460</v>
      </c>
      <c r="D158" s="127" t="str">
        <f t="shared" si="5"/>
        <v>C157-170-23</v>
      </c>
      <c r="E158" s="127" t="str">
        <f>VLOOKUP(Table2[[#This Row],[Location 
(drop-down)]],Table1[#All],3,FALSE)</f>
        <v>SE &amp; Caribbean</v>
      </c>
      <c r="F158" s="11" t="s">
        <v>94</v>
      </c>
      <c r="G158" s="9" t="s">
        <v>1007</v>
      </c>
      <c r="H158" s="22">
        <v>45002</v>
      </c>
      <c r="I158" s="21" t="s">
        <v>440</v>
      </c>
      <c r="J158" s="94" t="s">
        <v>821</v>
      </c>
      <c r="K158" s="94">
        <v>45145</v>
      </c>
      <c r="L158" s="17" t="s">
        <v>97</v>
      </c>
      <c r="M158" s="18" t="s">
        <v>854</v>
      </c>
      <c r="N158" s="15" t="s">
        <v>822</v>
      </c>
      <c r="O158" s="19"/>
    </row>
    <row r="159" spans="1:15" s="4" customFormat="1" ht="37.5" x14ac:dyDescent="0.25">
      <c r="A159" s="9" t="s">
        <v>324</v>
      </c>
      <c r="B159" s="13">
        <f>VLOOKUP(Table2[[#This Row],[Location 
(drop-down)]],'List source'!D$2:E$59,2,FALSE)</f>
        <v>170</v>
      </c>
      <c r="C159" s="11" t="s">
        <v>463</v>
      </c>
      <c r="D159" s="127" t="str">
        <f t="shared" si="5"/>
        <v>C158-170-23</v>
      </c>
      <c r="E159" s="127" t="str">
        <f>VLOOKUP(Table2[[#This Row],[Location 
(drop-down)]],Table1[#All],3,FALSE)</f>
        <v>SE &amp; Caribbean</v>
      </c>
      <c r="F159" s="11" t="s">
        <v>94</v>
      </c>
      <c r="G159" s="119" t="s">
        <v>1008</v>
      </c>
      <c r="H159" s="23">
        <v>45002</v>
      </c>
      <c r="I159" s="14" t="s">
        <v>440</v>
      </c>
      <c r="J159" s="93" t="s">
        <v>821</v>
      </c>
      <c r="K159" s="93">
        <v>45121</v>
      </c>
      <c r="L159" s="13"/>
      <c r="M159" s="15"/>
      <c r="N159" s="15"/>
      <c r="O159" s="10"/>
    </row>
    <row r="160" spans="1:15" s="4" customFormat="1" ht="37.5" x14ac:dyDescent="0.25">
      <c r="A160" s="9" t="s">
        <v>324</v>
      </c>
      <c r="B160" s="13">
        <f>VLOOKUP(Table2[[#This Row],[Location 
(drop-down)]],'List source'!D$2:E$59,2,FALSE)</f>
        <v>170</v>
      </c>
      <c r="C160" s="11" t="s">
        <v>466</v>
      </c>
      <c r="D160" s="127" t="str">
        <f t="shared" si="5"/>
        <v>C159-170-23</v>
      </c>
      <c r="E160" s="127" t="str">
        <f>VLOOKUP(Table2[[#This Row],[Location 
(drop-down)]],Table1[#All],3,FALSE)</f>
        <v>SE &amp; Caribbean</v>
      </c>
      <c r="F160" s="11" t="s">
        <v>94</v>
      </c>
      <c r="G160" s="122" t="s">
        <v>1009</v>
      </c>
      <c r="H160" s="22">
        <v>45002</v>
      </c>
      <c r="I160" s="21" t="s">
        <v>440</v>
      </c>
      <c r="J160" s="93" t="s">
        <v>898</v>
      </c>
      <c r="K160" s="93">
        <v>45148</v>
      </c>
      <c r="L160" s="17" t="s">
        <v>97</v>
      </c>
      <c r="M160" s="18" t="s">
        <v>854</v>
      </c>
      <c r="N160" s="18" t="s">
        <v>822</v>
      </c>
      <c r="O160" s="19"/>
    </row>
    <row r="161" spans="1:15" s="4" customFormat="1" ht="37.5" x14ac:dyDescent="0.25">
      <c r="A161" s="9" t="s">
        <v>324</v>
      </c>
      <c r="B161" s="13">
        <f>VLOOKUP(Table2[[#This Row],[Location 
(drop-down)]],'List source'!D$2:E$59,2,FALSE)</f>
        <v>170</v>
      </c>
      <c r="C161" s="11" t="s">
        <v>469</v>
      </c>
      <c r="D161" s="127" t="str">
        <f t="shared" si="5"/>
        <v>C160-170-23</v>
      </c>
      <c r="E161" s="127" t="str">
        <f>VLOOKUP(Table2[[#This Row],[Location 
(drop-down)]],Table1[#All],3,FALSE)</f>
        <v>SE &amp; Caribbean</v>
      </c>
      <c r="F161" s="11" t="s">
        <v>94</v>
      </c>
      <c r="G161" s="119" t="s">
        <v>1010</v>
      </c>
      <c r="H161" s="23">
        <v>45002</v>
      </c>
      <c r="I161" s="14" t="s">
        <v>440</v>
      </c>
      <c r="J161" s="93" t="s">
        <v>898</v>
      </c>
      <c r="K161" s="93">
        <v>45161</v>
      </c>
      <c r="L161" s="13" t="s">
        <v>97</v>
      </c>
      <c r="M161" s="15" t="s">
        <v>854</v>
      </c>
      <c r="N161" s="15" t="s">
        <v>858</v>
      </c>
      <c r="O161" s="10"/>
    </row>
    <row r="162" spans="1:15" s="4" customFormat="1" ht="30" x14ac:dyDescent="0.25">
      <c r="A162" s="9" t="s">
        <v>324</v>
      </c>
      <c r="B162" s="13">
        <f>VLOOKUP(Table2[[#This Row],[Location 
(drop-down)]],'List source'!D$2:E$59,2,FALSE)</f>
        <v>170</v>
      </c>
      <c r="C162" s="11" t="s">
        <v>470</v>
      </c>
      <c r="D162" s="127" t="str">
        <f t="shared" si="5"/>
        <v>C161-170-23</v>
      </c>
      <c r="E162" s="11" t="str">
        <f>VLOOKUP(Table2[[#This Row],[Location 
(drop-down)]],Table1[#All],3,FALSE)</f>
        <v>SE &amp; Caribbean</v>
      </c>
      <c r="F162" s="9" t="s">
        <v>94</v>
      </c>
      <c r="G162" s="219" t="s">
        <v>1011</v>
      </c>
      <c r="H162" s="12">
        <v>45002</v>
      </c>
      <c r="I162" s="91" t="s">
        <v>440</v>
      </c>
      <c r="J162" s="91" t="s">
        <v>821</v>
      </c>
      <c r="K162" s="93">
        <v>45161</v>
      </c>
      <c r="L162" s="10" t="s">
        <v>97</v>
      </c>
      <c r="M162" s="10" t="s">
        <v>857</v>
      </c>
      <c r="N162" s="10" t="s">
        <v>822</v>
      </c>
      <c r="O162" s="152"/>
    </row>
    <row r="163" spans="1:15" s="4" customFormat="1" ht="30" x14ac:dyDescent="0.25">
      <c r="A163" s="9" t="s">
        <v>324</v>
      </c>
      <c r="B163" s="13">
        <f>VLOOKUP(Table2[[#This Row],[Location 
(drop-down)]],'List source'!D$2:E$59,2,FALSE)</f>
        <v>170</v>
      </c>
      <c r="C163" s="11" t="s">
        <v>471</v>
      </c>
      <c r="D163" s="127" t="str">
        <f t="shared" si="5"/>
        <v>C162-170-23</v>
      </c>
      <c r="E163" s="11" t="str">
        <f>VLOOKUP(Table2[[#This Row],[Location 
(drop-down)]],Table1[#All],3,FALSE)</f>
        <v>SE &amp; Caribbean</v>
      </c>
      <c r="F163" s="9" t="s">
        <v>94</v>
      </c>
      <c r="G163" s="219" t="s">
        <v>1012</v>
      </c>
      <c r="H163" s="12">
        <v>45002</v>
      </c>
      <c r="I163" s="91" t="s">
        <v>440</v>
      </c>
      <c r="J163" s="91" t="s">
        <v>821</v>
      </c>
      <c r="K163" s="93">
        <v>45161</v>
      </c>
      <c r="L163" s="10" t="s">
        <v>97</v>
      </c>
      <c r="M163" s="10"/>
      <c r="N163" s="10"/>
      <c r="O163" s="152"/>
    </row>
    <row r="164" spans="1:15" s="4" customFormat="1" ht="30" x14ac:dyDescent="0.25">
      <c r="A164" s="9" t="s">
        <v>324</v>
      </c>
      <c r="B164" s="13">
        <f>VLOOKUP(Table2[[#This Row],[Location 
(drop-down)]],'List source'!D$2:E$59,2,FALSE)</f>
        <v>170</v>
      </c>
      <c r="C164" s="11" t="s">
        <v>472</v>
      </c>
      <c r="D164" s="127" t="str">
        <f t="shared" si="5"/>
        <v>C163-170-23</v>
      </c>
      <c r="E164" s="11" t="str">
        <f>VLOOKUP(Table2[[#This Row],[Location 
(drop-down)]],Table1[#All],3,FALSE)</f>
        <v>SE &amp; Caribbean</v>
      </c>
      <c r="F164" s="9" t="s">
        <v>94</v>
      </c>
      <c r="G164" s="219" t="s">
        <v>1013</v>
      </c>
      <c r="H164" s="12">
        <v>45002</v>
      </c>
      <c r="I164" s="91" t="s">
        <v>440</v>
      </c>
      <c r="J164" s="91" t="s">
        <v>821</v>
      </c>
      <c r="K164" s="93">
        <v>45161</v>
      </c>
      <c r="L164" s="10" t="s">
        <v>97</v>
      </c>
      <c r="M164" s="10"/>
      <c r="N164" s="10"/>
      <c r="O164" s="152"/>
    </row>
    <row r="165" spans="1:15" s="4" customFormat="1" ht="37.5" x14ac:dyDescent="0.25">
      <c r="A165" s="9" t="s">
        <v>324</v>
      </c>
      <c r="B165" s="13">
        <f>VLOOKUP(Table2[[#This Row],[Location 
(drop-down)]],'List source'!D$2:E$59,2,FALSE)</f>
        <v>170</v>
      </c>
      <c r="C165" s="11" t="s">
        <v>473</v>
      </c>
      <c r="D165" s="127" t="str">
        <f t="shared" si="5"/>
        <v>C164-170-23</v>
      </c>
      <c r="E165" s="127" t="str">
        <f>VLOOKUP(Table2[[#This Row],[Location 
(drop-down)]],Table1[#All],3,FALSE)</f>
        <v>SE &amp; Caribbean</v>
      </c>
      <c r="F165" s="11" t="s">
        <v>94</v>
      </c>
      <c r="G165" s="119" t="s">
        <v>1014</v>
      </c>
      <c r="H165" s="23">
        <v>45002</v>
      </c>
      <c r="I165" s="12" t="s">
        <v>440</v>
      </c>
      <c r="J165" s="91" t="s">
        <v>821</v>
      </c>
      <c r="K165" s="91">
        <v>45162</v>
      </c>
      <c r="L165" s="13" t="s">
        <v>97</v>
      </c>
      <c r="M165" s="15" t="s">
        <v>854</v>
      </c>
      <c r="N165" s="15" t="s">
        <v>858</v>
      </c>
      <c r="O165" s="184"/>
    </row>
    <row r="166" spans="1:15" s="4" customFormat="1" ht="37.5" x14ac:dyDescent="0.25">
      <c r="A166" s="9" t="s">
        <v>324</v>
      </c>
      <c r="B166" s="13">
        <f>VLOOKUP(Table2[[#This Row],[Location 
(drop-down)]],'List source'!D$2:E$59,2,FALSE)</f>
        <v>170</v>
      </c>
      <c r="C166" s="11" t="s">
        <v>474</v>
      </c>
      <c r="D166" s="127" t="str">
        <f t="shared" si="5"/>
        <v>C165-170-23</v>
      </c>
      <c r="E166" s="127" t="str">
        <f>VLOOKUP(Table2[[#This Row],[Location 
(drop-down)]],Table1[#All],3,FALSE)</f>
        <v>SE &amp; Caribbean</v>
      </c>
      <c r="F166" s="11" t="s">
        <v>94</v>
      </c>
      <c r="G166" s="122" t="s">
        <v>1015</v>
      </c>
      <c r="H166" s="22">
        <v>45002</v>
      </c>
      <c r="I166" s="12" t="s">
        <v>440</v>
      </c>
      <c r="J166" s="94" t="s">
        <v>898</v>
      </c>
      <c r="K166" s="94">
        <v>45161</v>
      </c>
      <c r="L166" s="17" t="s">
        <v>97</v>
      </c>
      <c r="M166" s="18" t="s">
        <v>857</v>
      </c>
      <c r="N166" s="18" t="s">
        <v>822</v>
      </c>
      <c r="O166" s="371"/>
    </row>
    <row r="167" spans="1:15" s="4" customFormat="1" ht="37.5" x14ac:dyDescent="0.25">
      <c r="A167" s="9" t="s">
        <v>324</v>
      </c>
      <c r="B167" s="13">
        <f>VLOOKUP(Table2[[#This Row],[Location 
(drop-down)]],'List source'!D$2:E$59,2,FALSE)</f>
        <v>170</v>
      </c>
      <c r="C167" s="11" t="s">
        <v>475</v>
      </c>
      <c r="D167" s="127" t="str">
        <f t="shared" si="5"/>
        <v>C166-170-23</v>
      </c>
      <c r="E167" s="127" t="str">
        <f>VLOOKUP(Table2[[#This Row],[Location 
(drop-down)]],Table1[#All],3,FALSE)</f>
        <v>SE &amp; Caribbean</v>
      </c>
      <c r="F167" s="11" t="s">
        <v>94</v>
      </c>
      <c r="G167" s="119" t="s">
        <v>1016</v>
      </c>
      <c r="H167" s="23">
        <v>45002</v>
      </c>
      <c r="I167" s="12" t="s">
        <v>440</v>
      </c>
      <c r="J167" s="91" t="s">
        <v>898</v>
      </c>
      <c r="K167" s="91">
        <v>45161</v>
      </c>
      <c r="L167" s="13" t="s">
        <v>97</v>
      </c>
      <c r="M167" s="15" t="s">
        <v>854</v>
      </c>
      <c r="N167" s="15" t="s">
        <v>822</v>
      </c>
      <c r="O167" s="184"/>
    </row>
    <row r="168" spans="1:15" s="4" customFormat="1" ht="37.5" x14ac:dyDescent="0.25">
      <c r="A168" s="9" t="s">
        <v>42</v>
      </c>
      <c r="B168" s="13">
        <f>VLOOKUP(Table2[[#This Row],[Location 
(drop-down)]],'List source'!D$2:E$59,2,FALSE)</f>
        <v>198</v>
      </c>
      <c r="C168" s="11" t="s">
        <v>476</v>
      </c>
      <c r="D168" s="127" t="str">
        <f t="shared" si="5"/>
        <v>C167-198-23</v>
      </c>
      <c r="E168" s="127" t="str">
        <f>VLOOKUP(Table2[[#This Row],[Location 
(drop-down)]],Table1[#All],3,FALSE)</f>
        <v>USNE, USMW &amp; Canada</v>
      </c>
      <c r="F168" s="11" t="s">
        <v>159</v>
      </c>
      <c r="G168" s="122" t="s">
        <v>1017</v>
      </c>
      <c r="H168" s="22">
        <v>45000</v>
      </c>
      <c r="I168" s="12" t="s">
        <v>189</v>
      </c>
      <c r="J168" s="91" t="s">
        <v>821</v>
      </c>
      <c r="K168" s="94">
        <v>45022</v>
      </c>
      <c r="L168" s="17" t="s">
        <v>97</v>
      </c>
      <c r="M168" s="18" t="s">
        <v>862</v>
      </c>
      <c r="N168" s="18" t="s">
        <v>822</v>
      </c>
      <c r="O168" s="19"/>
    </row>
    <row r="169" spans="1:15" s="4" customFormat="1" ht="30" x14ac:dyDescent="0.25">
      <c r="A169" s="9" t="s">
        <v>178</v>
      </c>
      <c r="B169" s="13">
        <f>VLOOKUP(Table2[[#This Row],[Location 
(drop-down)]],'List source'!D$2:E$59,2,FALSE)</f>
        <v>150</v>
      </c>
      <c r="C169" s="11" t="s">
        <v>477</v>
      </c>
      <c r="D169" s="127" t="str">
        <f t="shared" si="5"/>
        <v>C168-150-23</v>
      </c>
      <c r="E169" s="127" t="str">
        <f>VLOOKUP(Table2[[#This Row],[Location 
(drop-down)]],Table1[#All],3,FALSE)</f>
        <v>USGC</v>
      </c>
      <c r="F169" s="11" t="s">
        <v>852</v>
      </c>
      <c r="G169" s="9" t="s">
        <v>1018</v>
      </c>
      <c r="H169" s="23">
        <v>45001</v>
      </c>
      <c r="I169" s="12" t="s">
        <v>129</v>
      </c>
      <c r="J169" s="91" t="s">
        <v>821</v>
      </c>
      <c r="K169" s="91">
        <v>45121</v>
      </c>
      <c r="L169" s="10" t="s">
        <v>147</v>
      </c>
      <c r="M169" s="10" t="s">
        <v>857</v>
      </c>
      <c r="N169" s="10" t="s">
        <v>822</v>
      </c>
      <c r="O169" s="10"/>
    </row>
    <row r="170" spans="1:15" s="4" customFormat="1" ht="37.5" x14ac:dyDescent="0.25">
      <c r="A170" s="9" t="s">
        <v>131</v>
      </c>
      <c r="B170" s="13" t="str">
        <f>VLOOKUP(Table2[[#This Row],[Location 
(drop-down)]],'List source'!D$2:E$59,2,FALSE)</f>
        <v>VOID</v>
      </c>
      <c r="C170" s="11" t="s">
        <v>478</v>
      </c>
      <c r="D170" s="127" t="str">
        <f t="shared" si="5"/>
        <v>C169-VOID-23</v>
      </c>
      <c r="E170" s="127" t="str">
        <f>VLOOKUP(Table2[[#This Row],[Location 
(drop-down)]],Table1[#All],3,FALSE)</f>
        <v>VOID</v>
      </c>
      <c r="F170" s="11" t="s">
        <v>50</v>
      </c>
      <c r="G170" s="31" t="s">
        <v>50</v>
      </c>
      <c r="H170" s="11" t="s">
        <v>50</v>
      </c>
      <c r="I170" s="11" t="s">
        <v>50</v>
      </c>
      <c r="J170" s="11" t="s">
        <v>50</v>
      </c>
      <c r="K170" s="11" t="s">
        <v>50</v>
      </c>
      <c r="L170" s="11" t="s">
        <v>50</v>
      </c>
      <c r="M170" s="11" t="s">
        <v>50</v>
      </c>
      <c r="N170" s="11" t="s">
        <v>50</v>
      </c>
      <c r="O170" s="10" t="s">
        <v>1019</v>
      </c>
    </row>
    <row r="171" spans="1:15" s="4" customFormat="1" ht="37.5" x14ac:dyDescent="0.25">
      <c r="A171" s="9" t="s">
        <v>1020</v>
      </c>
      <c r="B171" s="13">
        <f>VLOOKUP(Table2[[#This Row],[Location 
(drop-down)]],'List source'!D$2:E$59,2,FALSE)</f>
        <v>199</v>
      </c>
      <c r="C171" s="11" t="s">
        <v>479</v>
      </c>
      <c r="D171" s="127" t="str">
        <f t="shared" si="5"/>
        <v>C170-199-23</v>
      </c>
      <c r="E171" s="127" t="str">
        <f>VLOOKUP(Table2[[#This Row],[Location 
(drop-down)]],Table1[#All],3,FALSE)</f>
        <v>USNE, USMW &amp; Canada</v>
      </c>
      <c r="F171" s="11" t="s">
        <v>852</v>
      </c>
      <c r="G171" s="107" t="s">
        <v>1021</v>
      </c>
      <c r="H171" s="23">
        <v>45002</v>
      </c>
      <c r="I171" s="12" t="s">
        <v>129</v>
      </c>
      <c r="J171" s="91" t="s">
        <v>821</v>
      </c>
      <c r="K171" s="91">
        <v>45002</v>
      </c>
      <c r="L171" s="10" t="s">
        <v>147</v>
      </c>
      <c r="M171" s="10" t="s">
        <v>857</v>
      </c>
      <c r="N171" s="10"/>
      <c r="O171" s="10"/>
    </row>
    <row r="172" spans="1:15" s="4" customFormat="1" ht="30" x14ac:dyDescent="0.25">
      <c r="A172" s="9" t="s">
        <v>178</v>
      </c>
      <c r="B172" s="13">
        <f>VLOOKUP(Table2[[#This Row],[Location 
(drop-down)]],'List source'!D$2:E$59,2,FALSE)</f>
        <v>150</v>
      </c>
      <c r="C172" s="11" t="s">
        <v>480</v>
      </c>
      <c r="D172" s="127" t="str">
        <f t="shared" si="5"/>
        <v>C171-150-23</v>
      </c>
      <c r="E172" s="127" t="str">
        <f>VLOOKUP(Table2[[#This Row],[Location 
(drop-down)]],Table1[#All],3,FALSE)</f>
        <v>USGC</v>
      </c>
      <c r="F172" s="11" t="s">
        <v>852</v>
      </c>
      <c r="G172" s="9" t="s">
        <v>1022</v>
      </c>
      <c r="H172" s="23">
        <v>45007</v>
      </c>
      <c r="I172" s="14" t="s">
        <v>129</v>
      </c>
      <c r="J172" s="93" t="s">
        <v>898</v>
      </c>
      <c r="K172" s="93">
        <v>45121</v>
      </c>
      <c r="L172" s="10" t="s">
        <v>147</v>
      </c>
      <c r="M172" s="10" t="s">
        <v>857</v>
      </c>
      <c r="N172" s="10" t="s">
        <v>822</v>
      </c>
      <c r="O172" s="10"/>
    </row>
    <row r="173" spans="1:15" s="4" customFormat="1" ht="30" x14ac:dyDescent="0.25">
      <c r="A173" s="9" t="s">
        <v>1023</v>
      </c>
      <c r="B173" s="13">
        <f>VLOOKUP(Table2[[#This Row],[Location 
(drop-down)]],'List source'!D$2:E$59,2,FALSE)</f>
        <v>128</v>
      </c>
      <c r="C173" s="11" t="s">
        <v>481</v>
      </c>
      <c r="D173" s="127" t="str">
        <f t="shared" si="5"/>
        <v>C172-128-23</v>
      </c>
      <c r="E173" s="127" t="str">
        <f>VLOOKUP(Table2[[#This Row],[Location 
(drop-down)]],Table1[#All],3,FALSE)</f>
        <v>USGC</v>
      </c>
      <c r="F173" s="11" t="s">
        <v>94</v>
      </c>
      <c r="G173" s="9" t="s">
        <v>1024</v>
      </c>
      <c r="H173" s="23">
        <v>45019</v>
      </c>
      <c r="I173" s="12" t="s">
        <v>440</v>
      </c>
      <c r="J173" s="91" t="s">
        <v>821</v>
      </c>
      <c r="K173" s="91">
        <v>45051</v>
      </c>
      <c r="L173" s="10" t="s">
        <v>97</v>
      </c>
      <c r="M173" s="10" t="s">
        <v>903</v>
      </c>
      <c r="N173" s="10" t="s">
        <v>837</v>
      </c>
      <c r="O173" s="10"/>
    </row>
    <row r="174" spans="1:15" s="4" customFormat="1" ht="30" x14ac:dyDescent="0.25">
      <c r="A174" s="9" t="s">
        <v>1023</v>
      </c>
      <c r="B174" s="13">
        <f>VLOOKUP(Table2[[#This Row],[Location 
(drop-down)]],'List source'!D$2:E$59,2,FALSE)</f>
        <v>128</v>
      </c>
      <c r="C174" s="11" t="s">
        <v>482</v>
      </c>
      <c r="D174" s="127" t="str">
        <f t="shared" si="5"/>
        <v>C173-128-23</v>
      </c>
      <c r="E174" s="127" t="str">
        <f>VLOOKUP(Table2[[#This Row],[Location 
(drop-down)]],Table1[#All],3,FALSE)</f>
        <v>USGC</v>
      </c>
      <c r="F174" s="11" t="s">
        <v>94</v>
      </c>
      <c r="G174" s="9" t="s">
        <v>1025</v>
      </c>
      <c r="H174" s="23">
        <v>45019</v>
      </c>
      <c r="I174" s="12" t="s">
        <v>440</v>
      </c>
      <c r="J174" s="91">
        <v>45020</v>
      </c>
      <c r="K174" s="91">
        <v>45032</v>
      </c>
      <c r="L174" s="10" t="s">
        <v>97</v>
      </c>
      <c r="M174" s="10" t="s">
        <v>903</v>
      </c>
      <c r="N174" s="10" t="s">
        <v>858</v>
      </c>
      <c r="O174" s="10"/>
    </row>
    <row r="175" spans="1:15" s="4" customFormat="1" ht="30" x14ac:dyDescent="0.25">
      <c r="A175" s="9" t="s">
        <v>1023</v>
      </c>
      <c r="B175" s="13">
        <f>VLOOKUP(Table2[[#This Row],[Location 
(drop-down)]],'List source'!D$2:E$59,2,FALSE)</f>
        <v>128</v>
      </c>
      <c r="C175" s="11" t="s">
        <v>483</v>
      </c>
      <c r="D175" s="127" t="str">
        <f t="shared" si="5"/>
        <v>C174-128-23</v>
      </c>
      <c r="E175" s="127" t="str">
        <f>VLOOKUP(Table2[[#This Row],[Location 
(drop-down)]],Table1[#All],3,FALSE)</f>
        <v>USGC</v>
      </c>
      <c r="F175" s="11" t="s">
        <v>94</v>
      </c>
      <c r="G175" s="9" t="s">
        <v>1026</v>
      </c>
      <c r="H175" s="23">
        <v>45019</v>
      </c>
      <c r="I175" s="12" t="s">
        <v>440</v>
      </c>
      <c r="J175" s="91">
        <v>45036</v>
      </c>
      <c r="K175" s="91">
        <v>45049</v>
      </c>
      <c r="L175" s="10" t="s">
        <v>97</v>
      </c>
      <c r="M175" s="10" t="s">
        <v>857</v>
      </c>
      <c r="N175" s="10" t="s">
        <v>910</v>
      </c>
      <c r="O175" s="10"/>
    </row>
    <row r="176" spans="1:15" s="4" customFormat="1" ht="30" x14ac:dyDescent="0.25">
      <c r="A176" s="9" t="s">
        <v>1023</v>
      </c>
      <c r="B176" s="13">
        <f>VLOOKUP(Table2[[#This Row],[Location 
(drop-down)]],'List source'!D$2:E$59,2,FALSE)</f>
        <v>128</v>
      </c>
      <c r="C176" s="11" t="s">
        <v>484</v>
      </c>
      <c r="D176" s="127" t="str">
        <f t="shared" si="5"/>
        <v>C175-128-23</v>
      </c>
      <c r="E176" s="127" t="str">
        <f>VLOOKUP(Table2[[#This Row],[Location 
(drop-down)]],Table1[#All],3,FALSE)</f>
        <v>USGC</v>
      </c>
      <c r="F176" s="11" t="s">
        <v>94</v>
      </c>
      <c r="G176" s="9" t="s">
        <v>1027</v>
      </c>
      <c r="H176" s="23">
        <v>45019</v>
      </c>
      <c r="I176" s="12" t="s">
        <v>440</v>
      </c>
      <c r="J176" s="91">
        <v>45033</v>
      </c>
      <c r="K176" s="91">
        <v>45051</v>
      </c>
      <c r="L176" s="10" t="s">
        <v>147</v>
      </c>
      <c r="M176" s="10" t="s">
        <v>857</v>
      </c>
      <c r="N176" s="10" t="s">
        <v>858</v>
      </c>
      <c r="O176" s="10" t="s">
        <v>1028</v>
      </c>
    </row>
    <row r="177" spans="1:15" s="4" customFormat="1" ht="37.5" x14ac:dyDescent="0.25">
      <c r="A177" s="9" t="s">
        <v>87</v>
      </c>
      <c r="B177" s="13">
        <f>VLOOKUP(Table2[[#This Row],[Location 
(drop-down)]],'List source'!D$2:E$59,2,FALSE)</f>
        <v>210</v>
      </c>
      <c r="C177" s="11" t="s">
        <v>485</v>
      </c>
      <c r="D177" s="127" t="str">
        <f t="shared" si="5"/>
        <v>C176-210-23</v>
      </c>
      <c r="E177" s="127" t="str">
        <f>VLOOKUP(Table2[[#This Row],[Location 
(drop-down)]],Table1[#All],3,FALSE)</f>
        <v>SE &amp; Caribbean</v>
      </c>
      <c r="F177" s="11" t="s">
        <v>15</v>
      </c>
      <c r="G177" s="9" t="s">
        <v>1029</v>
      </c>
      <c r="H177" s="23">
        <v>45016</v>
      </c>
      <c r="I177" s="12" t="s">
        <v>17</v>
      </c>
      <c r="J177" s="91">
        <v>45149</v>
      </c>
      <c r="K177" s="91">
        <v>45149</v>
      </c>
      <c r="L177" s="10" t="s">
        <v>15</v>
      </c>
      <c r="M177" s="10" t="s">
        <v>15</v>
      </c>
      <c r="N177" s="10" t="s">
        <v>832</v>
      </c>
      <c r="O177" s="10"/>
    </row>
    <row r="178" spans="1:15" s="4" customFormat="1" ht="37.5" x14ac:dyDescent="0.25">
      <c r="A178" s="9" t="s">
        <v>47</v>
      </c>
      <c r="B178" s="13">
        <f>VLOOKUP(Table2[[#This Row],[Location 
(drop-down)]],'List source'!D$2:E$59,2,FALSE)</f>
        <v>215</v>
      </c>
      <c r="C178" s="11" t="s">
        <v>486</v>
      </c>
      <c r="D178" s="127" t="str">
        <f t="shared" si="5"/>
        <v>C177-215-23</v>
      </c>
      <c r="E178" s="127" t="str">
        <f>VLOOKUP(Table2[[#This Row],[Location 
(drop-down)]],Table1[#All],3,FALSE)</f>
        <v>SE &amp; Caribbean</v>
      </c>
      <c r="F178" s="11" t="s">
        <v>15</v>
      </c>
      <c r="G178" s="9" t="s">
        <v>1030</v>
      </c>
      <c r="H178" s="23">
        <v>45016</v>
      </c>
      <c r="I178" s="12" t="s">
        <v>17</v>
      </c>
      <c r="J178" s="91" t="s">
        <v>821</v>
      </c>
      <c r="K178" s="91">
        <v>45180</v>
      </c>
      <c r="L178" s="10" t="s">
        <v>15</v>
      </c>
      <c r="M178" s="10" t="s">
        <v>15</v>
      </c>
      <c r="N178" s="10" t="s">
        <v>822</v>
      </c>
      <c r="O178" s="10"/>
    </row>
    <row r="179" spans="1:15" s="4" customFormat="1" ht="37.5" x14ac:dyDescent="0.25">
      <c r="A179" s="9" t="s">
        <v>226</v>
      </c>
      <c r="B179" s="13">
        <f>VLOOKUP(Table2[[#This Row],[Location 
(drop-down)]],'List source'!D$2:E$59,2,FALSE)</f>
        <v>110</v>
      </c>
      <c r="C179" s="11" t="s">
        <v>487</v>
      </c>
      <c r="D179" s="127" t="str">
        <f t="shared" si="5"/>
        <v>C178-110-23</v>
      </c>
      <c r="E179" s="127" t="str">
        <f>VLOOKUP(Table2[[#This Row],[Location 
(drop-down)]],Table1[#All],3,FALSE)</f>
        <v>USNE, USMW &amp; Canada</v>
      </c>
      <c r="F179" s="11" t="s">
        <v>15</v>
      </c>
      <c r="G179" s="9" t="s">
        <v>1031</v>
      </c>
      <c r="H179" s="23">
        <v>45016</v>
      </c>
      <c r="I179" s="12" t="s">
        <v>17</v>
      </c>
      <c r="J179" s="91" t="s">
        <v>821</v>
      </c>
      <c r="K179" s="91">
        <v>45422</v>
      </c>
      <c r="L179" s="10" t="s">
        <v>15</v>
      </c>
      <c r="M179" s="10" t="s">
        <v>15</v>
      </c>
      <c r="N179" s="10" t="s">
        <v>837</v>
      </c>
      <c r="O179" s="10"/>
    </row>
    <row r="180" spans="1:15" s="4" customFormat="1" ht="37.5" x14ac:dyDescent="0.25">
      <c r="A180" s="9" t="s">
        <v>226</v>
      </c>
      <c r="B180" s="13">
        <f>VLOOKUP(Table2[[#This Row],[Location 
(drop-down)]],'List source'!D$2:E$59,2,FALSE)</f>
        <v>110</v>
      </c>
      <c r="C180" s="11" t="s">
        <v>488</v>
      </c>
      <c r="D180" s="127" t="str">
        <f t="shared" si="5"/>
        <v>C179-110-23</v>
      </c>
      <c r="E180" s="127" t="str">
        <f>VLOOKUP(Table2[[#This Row],[Location 
(drop-down)]],Table1[#All],3,FALSE)</f>
        <v>USNE, USMW &amp; Canada</v>
      </c>
      <c r="F180" s="11" t="s">
        <v>15</v>
      </c>
      <c r="G180" s="9" t="s">
        <v>1032</v>
      </c>
      <c r="H180" s="23">
        <v>45016</v>
      </c>
      <c r="I180" s="12" t="s">
        <v>17</v>
      </c>
      <c r="J180" s="91" t="s">
        <v>821</v>
      </c>
      <c r="K180" s="91">
        <v>45425</v>
      </c>
      <c r="L180" s="10" t="s">
        <v>15</v>
      </c>
      <c r="M180" s="10" t="s">
        <v>15</v>
      </c>
      <c r="N180" s="10"/>
      <c r="O180" s="10"/>
    </row>
    <row r="181" spans="1:15" s="4" customFormat="1" ht="30" x14ac:dyDescent="0.25">
      <c r="A181" s="9" t="s">
        <v>61</v>
      </c>
      <c r="B181" s="13">
        <f>VLOOKUP(Table2[[#This Row],[Location 
(drop-down)]],'List source'!D$2:E$59,2,FALSE)</f>
        <v>120</v>
      </c>
      <c r="C181" s="11" t="s">
        <v>489</v>
      </c>
      <c r="D181" s="127" t="str">
        <f t="shared" si="5"/>
        <v>C180-120-23</v>
      </c>
      <c r="E181" s="127" t="str">
        <f>VLOOKUP(Table2[[#This Row],[Location 
(drop-down)]],Table1[#All],3,FALSE)</f>
        <v>USGC</v>
      </c>
      <c r="F181" s="11" t="s">
        <v>15</v>
      </c>
      <c r="G181" s="9" t="s">
        <v>1033</v>
      </c>
      <c r="H181" s="23">
        <v>45016</v>
      </c>
      <c r="I181" s="12" t="s">
        <v>17</v>
      </c>
      <c r="J181" s="91" t="s">
        <v>821</v>
      </c>
      <c r="K181" s="91">
        <v>45259</v>
      </c>
      <c r="L181" s="10" t="s">
        <v>15</v>
      </c>
      <c r="M181" s="10" t="s">
        <v>15</v>
      </c>
      <c r="N181" s="10"/>
      <c r="O181" s="10"/>
    </row>
    <row r="182" spans="1:15" s="4" customFormat="1" ht="30" x14ac:dyDescent="0.25">
      <c r="A182" s="9" t="s">
        <v>174</v>
      </c>
      <c r="B182" s="13">
        <f>VLOOKUP(Table2[[#This Row],[Location 
(drop-down)]],'List source'!D$2:E$59,2,FALSE)</f>
        <v>131</v>
      </c>
      <c r="C182" s="11" t="s">
        <v>490</v>
      </c>
      <c r="D182" s="127" t="str">
        <f t="shared" si="5"/>
        <v>C181-131-23</v>
      </c>
      <c r="E182" s="127" t="str">
        <f>VLOOKUP(Table2[[#This Row],[Location 
(drop-down)]],Table1[#All],3,FALSE)</f>
        <v>USWC</v>
      </c>
      <c r="F182" s="11" t="s">
        <v>15</v>
      </c>
      <c r="G182" s="9" t="s">
        <v>1034</v>
      </c>
      <c r="H182" s="23">
        <v>45016</v>
      </c>
      <c r="I182" s="12" t="s">
        <v>17</v>
      </c>
      <c r="J182" s="91" t="s">
        <v>821</v>
      </c>
      <c r="K182" s="91">
        <v>45061</v>
      </c>
      <c r="L182" s="10" t="s">
        <v>15</v>
      </c>
      <c r="M182" s="10" t="s">
        <v>15</v>
      </c>
      <c r="N182" s="10" t="s">
        <v>910</v>
      </c>
      <c r="O182" s="10"/>
    </row>
    <row r="183" spans="1:15" s="4" customFormat="1" ht="37.5" x14ac:dyDescent="0.25">
      <c r="A183" s="9" t="s">
        <v>237</v>
      </c>
      <c r="B183" s="13">
        <f>VLOOKUP(Table2[[#This Row],[Location 
(drop-down)]],'List source'!D$2:E$59,2,FALSE)</f>
        <v>192</v>
      </c>
      <c r="C183" s="11" t="s">
        <v>491</v>
      </c>
      <c r="D183" s="127" t="str">
        <f t="shared" si="5"/>
        <v>C182-192-23</v>
      </c>
      <c r="E183" s="127" t="str">
        <f>VLOOKUP(Table2[[#This Row],[Location 
(drop-down)]],Table1[#All],3,FALSE)</f>
        <v>SE &amp; Caribbean</v>
      </c>
      <c r="F183" s="11" t="s">
        <v>15</v>
      </c>
      <c r="G183" s="9" t="s">
        <v>1035</v>
      </c>
      <c r="H183" s="23">
        <v>45016</v>
      </c>
      <c r="I183" s="12" t="s">
        <v>17</v>
      </c>
      <c r="J183" s="91" t="s">
        <v>821</v>
      </c>
      <c r="K183" s="91">
        <v>45043</v>
      </c>
      <c r="L183" s="10" t="s">
        <v>15</v>
      </c>
      <c r="M183" s="10" t="s">
        <v>15</v>
      </c>
      <c r="N183" s="10" t="s">
        <v>822</v>
      </c>
      <c r="O183" s="10"/>
    </row>
    <row r="184" spans="1:15" s="4" customFormat="1" ht="37.5" x14ac:dyDescent="0.25">
      <c r="A184" s="9" t="s">
        <v>237</v>
      </c>
      <c r="B184" s="13">
        <f>VLOOKUP(Table2[[#This Row],[Location 
(drop-down)]],'List source'!D$2:E$59,2,FALSE)</f>
        <v>192</v>
      </c>
      <c r="C184" s="11" t="s">
        <v>492</v>
      </c>
      <c r="D184" s="127" t="str">
        <f t="shared" si="5"/>
        <v>C183-192-23</v>
      </c>
      <c r="E184" s="127" t="str">
        <f>VLOOKUP(Table2[[#This Row],[Location 
(drop-down)]],Table1[#All],3,FALSE)</f>
        <v>SE &amp; Caribbean</v>
      </c>
      <c r="F184" s="11" t="s">
        <v>15</v>
      </c>
      <c r="G184" s="9" t="s">
        <v>1036</v>
      </c>
      <c r="H184" s="23">
        <v>45016</v>
      </c>
      <c r="I184" s="12" t="s">
        <v>17</v>
      </c>
      <c r="J184" s="91" t="s">
        <v>821</v>
      </c>
      <c r="K184" s="91">
        <v>45044</v>
      </c>
      <c r="L184" s="10" t="s">
        <v>15</v>
      </c>
      <c r="M184" s="10" t="s">
        <v>15</v>
      </c>
      <c r="N184" s="10" t="s">
        <v>832</v>
      </c>
      <c r="O184" s="10"/>
    </row>
    <row r="185" spans="1:15" s="4" customFormat="1" ht="37.5" x14ac:dyDescent="0.25">
      <c r="A185" s="9" t="s">
        <v>72</v>
      </c>
      <c r="B185" s="13">
        <f>VLOOKUP(Table2[[#This Row],[Location 
(drop-down)]],'List source'!D$2:E$59,2,FALSE)</f>
        <v>197</v>
      </c>
      <c r="C185" s="11" t="s">
        <v>493</v>
      </c>
      <c r="D185" s="127" t="str">
        <f t="shared" si="5"/>
        <v>C184-197-23</v>
      </c>
      <c r="E185" s="127" t="str">
        <f>VLOOKUP(Table2[[#This Row],[Location 
(drop-down)]],Table1[#All],3,FALSE)</f>
        <v>USNE, USMW &amp; Canada</v>
      </c>
      <c r="F185" s="11" t="s">
        <v>15</v>
      </c>
      <c r="G185" s="9" t="s">
        <v>1037</v>
      </c>
      <c r="H185" s="23">
        <v>45016</v>
      </c>
      <c r="I185" s="12" t="s">
        <v>17</v>
      </c>
      <c r="J185" s="91" t="s">
        <v>821</v>
      </c>
      <c r="K185" s="91">
        <v>45425</v>
      </c>
      <c r="L185" s="10" t="s">
        <v>15</v>
      </c>
      <c r="M185" s="10" t="s">
        <v>15</v>
      </c>
      <c r="N185" s="10" t="s">
        <v>828</v>
      </c>
      <c r="O185" s="10"/>
    </row>
    <row r="186" spans="1:15" s="4" customFormat="1" ht="37.5" x14ac:dyDescent="0.25">
      <c r="A186" s="9" t="s">
        <v>87</v>
      </c>
      <c r="B186" s="13">
        <f>VLOOKUP(Table2[[#This Row],[Location 
(drop-down)]],'List source'!D$2:E$59,2,FALSE)</f>
        <v>210</v>
      </c>
      <c r="C186" s="11" t="s">
        <v>494</v>
      </c>
      <c r="D186" s="127" t="str">
        <f t="shared" si="5"/>
        <v>C185-210-23</v>
      </c>
      <c r="E186" s="127" t="str">
        <f>VLOOKUP(Table2[[#This Row],[Location 
(drop-down)]],Table1[#All],3,FALSE)</f>
        <v>SE &amp; Caribbean</v>
      </c>
      <c r="F186" s="11" t="s">
        <v>15</v>
      </c>
      <c r="G186" s="9" t="s">
        <v>1038</v>
      </c>
      <c r="H186" s="23">
        <v>45016</v>
      </c>
      <c r="I186" s="12" t="s">
        <v>17</v>
      </c>
      <c r="J186" s="91">
        <v>45152</v>
      </c>
      <c r="K186" s="91">
        <v>45153</v>
      </c>
      <c r="L186" s="10" t="s">
        <v>15</v>
      </c>
      <c r="M186" s="10" t="s">
        <v>15</v>
      </c>
      <c r="N186" s="10" t="s">
        <v>822</v>
      </c>
      <c r="O186" s="10"/>
    </row>
    <row r="187" spans="1:15" s="4" customFormat="1" ht="37.5" x14ac:dyDescent="0.25">
      <c r="A187" s="9" t="s">
        <v>87</v>
      </c>
      <c r="B187" s="13">
        <f>VLOOKUP(Table2[[#This Row],[Location 
(drop-down)]],'List source'!D$2:E$59,2,FALSE)</f>
        <v>210</v>
      </c>
      <c r="C187" s="11" t="s">
        <v>495</v>
      </c>
      <c r="D187" s="127" t="str">
        <f t="shared" si="5"/>
        <v>C186-210-23</v>
      </c>
      <c r="E187" s="127" t="str">
        <f>VLOOKUP(Table2[[#This Row],[Location 
(drop-down)]],Table1[#All],3,FALSE)</f>
        <v>SE &amp; Caribbean</v>
      </c>
      <c r="F187" s="11" t="s">
        <v>15</v>
      </c>
      <c r="G187" s="9" t="s">
        <v>1039</v>
      </c>
      <c r="H187" s="23">
        <v>45016</v>
      </c>
      <c r="I187" s="12" t="s">
        <v>17</v>
      </c>
      <c r="J187" s="91">
        <v>45082</v>
      </c>
      <c r="K187" s="91">
        <v>45083</v>
      </c>
      <c r="L187" s="10" t="s">
        <v>15</v>
      </c>
      <c r="M187" s="10" t="s">
        <v>15</v>
      </c>
      <c r="N187" s="10" t="s">
        <v>822</v>
      </c>
      <c r="O187" s="10"/>
    </row>
    <row r="188" spans="1:15" s="4" customFormat="1" ht="37.5" x14ac:dyDescent="0.25">
      <c r="A188" s="9" t="s">
        <v>226</v>
      </c>
      <c r="B188" s="13">
        <f>VLOOKUP(Table2[[#This Row],[Location 
(drop-down)]],'List source'!D$2:E$59,2,FALSE)</f>
        <v>110</v>
      </c>
      <c r="C188" s="11" t="s">
        <v>496</v>
      </c>
      <c r="D188" s="127" t="str">
        <f t="shared" si="5"/>
        <v>C187-110-23</v>
      </c>
      <c r="E188" s="127" t="str">
        <f>VLOOKUP(Table2[[#This Row],[Location 
(drop-down)]],Table1[#All],3,FALSE)</f>
        <v>USNE, USMW &amp; Canada</v>
      </c>
      <c r="F188" s="11" t="s">
        <v>15</v>
      </c>
      <c r="G188" s="9" t="s">
        <v>1040</v>
      </c>
      <c r="H188" s="23">
        <v>45016</v>
      </c>
      <c r="I188" s="12" t="s">
        <v>17</v>
      </c>
      <c r="J188" s="91" t="s">
        <v>821</v>
      </c>
      <c r="K188" s="91">
        <v>45422</v>
      </c>
      <c r="L188" s="10" t="s">
        <v>15</v>
      </c>
      <c r="M188" s="10" t="s">
        <v>15</v>
      </c>
      <c r="N188" s="10" t="s">
        <v>837</v>
      </c>
      <c r="O188" s="10"/>
    </row>
    <row r="189" spans="1:15" s="4" customFormat="1" ht="30" x14ac:dyDescent="0.25">
      <c r="A189" s="9" t="s">
        <v>27</v>
      </c>
      <c r="B189" s="13">
        <f>VLOOKUP(Table2[[#This Row],[Location 
(drop-down)]],'List source'!D$2:E$59,2,FALSE)</f>
        <v>132</v>
      </c>
      <c r="C189" s="11" t="s">
        <v>497</v>
      </c>
      <c r="D189" s="127" t="str">
        <f t="shared" si="5"/>
        <v>C188-132-23</v>
      </c>
      <c r="E189" s="127" t="str">
        <f>VLOOKUP(Table2[[#This Row],[Location 
(drop-down)]],Table1[#All],3,FALSE)</f>
        <v>USWC</v>
      </c>
      <c r="F189" s="11" t="s">
        <v>15</v>
      </c>
      <c r="G189" s="9" t="s">
        <v>1041</v>
      </c>
      <c r="H189" s="23">
        <v>45016</v>
      </c>
      <c r="I189" s="12" t="s">
        <v>17</v>
      </c>
      <c r="J189" s="91" t="s">
        <v>821</v>
      </c>
      <c r="K189" s="91">
        <v>45370</v>
      </c>
      <c r="L189" s="10" t="s">
        <v>15</v>
      </c>
      <c r="M189" s="10" t="s">
        <v>15</v>
      </c>
      <c r="N189" s="10" t="s">
        <v>832</v>
      </c>
      <c r="O189" s="10"/>
    </row>
    <row r="190" spans="1:15" s="4" customFormat="1" ht="37.5" x14ac:dyDescent="0.25">
      <c r="A190" s="9" t="s">
        <v>126</v>
      </c>
      <c r="B190" s="13">
        <f>VLOOKUP(Table2[[#This Row],[Location 
(drop-down)]],'List source'!D$2:E$59,2,FALSE)</f>
        <v>125</v>
      </c>
      <c r="C190" s="11" t="s">
        <v>498</v>
      </c>
      <c r="D190" s="127" t="str">
        <f t="shared" si="5"/>
        <v>C189-125-23</v>
      </c>
      <c r="E190" s="127" t="str">
        <f>VLOOKUP(Table2[[#This Row],[Location 
(drop-down)]],Table1[#All],3,FALSE)</f>
        <v>SE &amp; Caribbean</v>
      </c>
      <c r="F190" s="11" t="s">
        <v>94</v>
      </c>
      <c r="G190" s="9" t="s">
        <v>1042</v>
      </c>
      <c r="H190" s="23">
        <v>45020</v>
      </c>
      <c r="I190" s="12" t="s">
        <v>129</v>
      </c>
      <c r="J190" s="91" t="s">
        <v>821</v>
      </c>
      <c r="K190" s="91">
        <v>45070</v>
      </c>
      <c r="L190" s="10" t="s">
        <v>97</v>
      </c>
      <c r="M190" s="10" t="s">
        <v>857</v>
      </c>
      <c r="N190" s="10" t="s">
        <v>858</v>
      </c>
      <c r="O190" s="10"/>
    </row>
    <row r="191" spans="1:15" s="4" customFormat="1" ht="37.5" x14ac:dyDescent="0.25">
      <c r="A191" s="9" t="s">
        <v>126</v>
      </c>
      <c r="B191" s="13">
        <f>VLOOKUP(Table2[[#This Row],[Location 
(drop-down)]],'List source'!D$2:E$59,2,FALSE)</f>
        <v>125</v>
      </c>
      <c r="C191" s="11" t="s">
        <v>499</v>
      </c>
      <c r="D191" s="127" t="str">
        <f t="shared" si="5"/>
        <v>C190-125-23</v>
      </c>
      <c r="E191" s="127" t="str">
        <f>VLOOKUP(Table2[[#This Row],[Location 
(drop-down)]],Table1[#All],3,FALSE)</f>
        <v>SE &amp; Caribbean</v>
      </c>
      <c r="F191" s="11" t="s">
        <v>94</v>
      </c>
      <c r="G191" s="9" t="s">
        <v>1043</v>
      </c>
      <c r="H191" s="23">
        <v>45020</v>
      </c>
      <c r="I191" s="12" t="s">
        <v>129</v>
      </c>
      <c r="J191" s="91" t="s">
        <v>821</v>
      </c>
      <c r="K191" s="91">
        <v>45070</v>
      </c>
      <c r="L191" s="10" t="s">
        <v>97</v>
      </c>
      <c r="M191" s="10" t="s">
        <v>857</v>
      </c>
      <c r="N191" s="10" t="s">
        <v>858</v>
      </c>
      <c r="O191" s="10"/>
    </row>
    <row r="192" spans="1:15" s="4" customFormat="1" ht="37.5" x14ac:dyDescent="0.25">
      <c r="A192" s="9" t="s">
        <v>126</v>
      </c>
      <c r="B192" s="13">
        <f>VLOOKUP(Table2[[#This Row],[Location 
(drop-down)]],'List source'!D$2:E$59,2,FALSE)</f>
        <v>125</v>
      </c>
      <c r="C192" s="11" t="s">
        <v>500</v>
      </c>
      <c r="D192" s="127" t="str">
        <f t="shared" si="5"/>
        <v>C191-125-23</v>
      </c>
      <c r="E192" s="127" t="str">
        <f>VLOOKUP(Table2[[#This Row],[Location 
(drop-down)]],Table1[#All],3,FALSE)</f>
        <v>SE &amp; Caribbean</v>
      </c>
      <c r="F192" s="11" t="s">
        <v>94</v>
      </c>
      <c r="G192" s="9" t="s">
        <v>128</v>
      </c>
      <c r="H192" s="23">
        <v>45020</v>
      </c>
      <c r="I192" s="12" t="s">
        <v>129</v>
      </c>
      <c r="J192" s="91" t="s">
        <v>821</v>
      </c>
      <c r="K192" s="91">
        <v>45070</v>
      </c>
      <c r="L192" s="10" t="s">
        <v>97</v>
      </c>
      <c r="M192" s="10" t="s">
        <v>854</v>
      </c>
      <c r="N192" s="10" t="s">
        <v>858</v>
      </c>
      <c r="O192" s="10"/>
    </row>
    <row r="193" spans="1:15" s="4" customFormat="1" ht="37.5" x14ac:dyDescent="0.25">
      <c r="A193" s="9" t="s">
        <v>126</v>
      </c>
      <c r="B193" s="13">
        <f>VLOOKUP(Table2[[#This Row],[Location 
(drop-down)]],'List source'!D$2:E$59,2,FALSE)</f>
        <v>125</v>
      </c>
      <c r="C193" s="11" t="s">
        <v>501</v>
      </c>
      <c r="D193" s="127" t="str">
        <f t="shared" si="5"/>
        <v>C192-125-23</v>
      </c>
      <c r="E193" s="127" t="str">
        <f>VLOOKUP(Table2[[#This Row],[Location 
(drop-down)]],Table1[#All],3,FALSE)</f>
        <v>SE &amp; Caribbean</v>
      </c>
      <c r="F193" s="11" t="s">
        <v>94</v>
      </c>
      <c r="G193" s="9" t="s">
        <v>1044</v>
      </c>
      <c r="H193" s="23">
        <v>45020</v>
      </c>
      <c r="I193" s="12" t="s">
        <v>129</v>
      </c>
      <c r="J193" s="91" t="s">
        <v>821</v>
      </c>
      <c r="K193" s="91">
        <v>45070</v>
      </c>
      <c r="L193" s="10" t="s">
        <v>97</v>
      </c>
      <c r="M193" s="10" t="s">
        <v>903</v>
      </c>
      <c r="N193" s="10" t="s">
        <v>858</v>
      </c>
      <c r="O193" s="10"/>
    </row>
    <row r="194" spans="1:15" s="4" customFormat="1" ht="37.5" x14ac:dyDescent="0.25">
      <c r="A194" s="9" t="s">
        <v>226</v>
      </c>
      <c r="B194" s="13">
        <f>VLOOKUP(Table2[[#This Row],[Location 
(drop-down)]],'List source'!D$2:E$59,2,FALSE)</f>
        <v>110</v>
      </c>
      <c r="C194" s="11" t="s">
        <v>502</v>
      </c>
      <c r="D194" s="127" t="str">
        <f t="shared" si="5"/>
        <v>C193-110-23</v>
      </c>
      <c r="E194" s="127" t="str">
        <f>VLOOKUP(Table2[[#This Row],[Location 
(drop-down)]],Table1[#All],3,FALSE)</f>
        <v>USNE, USMW &amp; Canada</v>
      </c>
      <c r="F194" s="11" t="s">
        <v>94</v>
      </c>
      <c r="G194" s="9" t="s">
        <v>1045</v>
      </c>
      <c r="H194" s="23">
        <v>45020</v>
      </c>
      <c r="I194" s="12" t="s">
        <v>129</v>
      </c>
      <c r="J194" s="91" t="s">
        <v>821</v>
      </c>
      <c r="K194" s="91">
        <v>45071</v>
      </c>
      <c r="L194" s="10" t="s">
        <v>97</v>
      </c>
      <c r="M194" s="10" t="s">
        <v>854</v>
      </c>
      <c r="N194" s="10" t="s">
        <v>822</v>
      </c>
      <c r="O194" s="10"/>
    </row>
    <row r="195" spans="1:15" s="4" customFormat="1" ht="37.5" x14ac:dyDescent="0.25">
      <c r="A195" s="9" t="s">
        <v>126</v>
      </c>
      <c r="B195" s="13">
        <f>VLOOKUP(Table2[[#This Row],[Location 
(drop-down)]],'List source'!D$2:E$59,2,FALSE)</f>
        <v>125</v>
      </c>
      <c r="C195" s="11" t="s">
        <v>503</v>
      </c>
      <c r="D195" s="127" t="str">
        <f t="shared" si="5"/>
        <v>C194-125-23</v>
      </c>
      <c r="E195" s="127" t="str">
        <f>VLOOKUP(Table2[[#This Row],[Location 
(drop-down)]],Table1[#All],3,FALSE)</f>
        <v>SE &amp; Caribbean</v>
      </c>
      <c r="F195" s="11" t="s">
        <v>94</v>
      </c>
      <c r="G195" s="9" t="s">
        <v>1046</v>
      </c>
      <c r="H195" s="23">
        <v>45020</v>
      </c>
      <c r="I195" s="12" t="s">
        <v>129</v>
      </c>
      <c r="J195" s="91" t="s">
        <v>821</v>
      </c>
      <c r="K195" s="91">
        <v>45071</v>
      </c>
      <c r="L195" s="10" t="s">
        <v>97</v>
      </c>
      <c r="M195" s="10" t="s">
        <v>857</v>
      </c>
      <c r="N195" s="10" t="s">
        <v>858</v>
      </c>
      <c r="O195" s="10"/>
    </row>
    <row r="196" spans="1:15" s="4" customFormat="1" ht="37.5" x14ac:dyDescent="0.25">
      <c r="A196" s="9" t="s">
        <v>126</v>
      </c>
      <c r="B196" s="13">
        <f>VLOOKUP(Table2[[#This Row],[Location 
(drop-down)]],'List source'!D$2:E$59,2,FALSE)</f>
        <v>125</v>
      </c>
      <c r="C196" s="11" t="s">
        <v>504</v>
      </c>
      <c r="D196" s="127" t="str">
        <f t="shared" si="5"/>
        <v>C195-125-23</v>
      </c>
      <c r="E196" s="127" t="str">
        <f>VLOOKUP(Table2[[#This Row],[Location 
(drop-down)]],Table1[#All],3,FALSE)</f>
        <v>SE &amp; Caribbean</v>
      </c>
      <c r="F196" s="11" t="s">
        <v>94</v>
      </c>
      <c r="G196" s="9" t="s">
        <v>1047</v>
      </c>
      <c r="H196" s="23">
        <v>45020</v>
      </c>
      <c r="I196" s="12" t="s">
        <v>129</v>
      </c>
      <c r="J196" s="91" t="s">
        <v>821</v>
      </c>
      <c r="K196" s="91">
        <v>45071</v>
      </c>
      <c r="L196" s="10" t="s">
        <v>97</v>
      </c>
      <c r="M196" s="10" t="s">
        <v>854</v>
      </c>
      <c r="N196" s="10" t="s">
        <v>822</v>
      </c>
      <c r="O196" s="10"/>
    </row>
    <row r="197" spans="1:15" s="4" customFormat="1" ht="37.5" x14ac:dyDescent="0.25">
      <c r="A197" s="9" t="s">
        <v>126</v>
      </c>
      <c r="B197" s="13">
        <f>VLOOKUP(Table2[[#This Row],[Location 
(drop-down)]],'List source'!D$2:E$59,2,FALSE)</f>
        <v>125</v>
      </c>
      <c r="C197" s="11" t="s">
        <v>505</v>
      </c>
      <c r="D197" s="127" t="str">
        <f t="shared" si="5"/>
        <v>C196-125-23</v>
      </c>
      <c r="E197" s="127" t="str">
        <f>VLOOKUP(Table2[[#This Row],[Location 
(drop-down)]],Table1[#All],3,FALSE)</f>
        <v>SE &amp; Caribbean</v>
      </c>
      <c r="F197" s="11" t="s">
        <v>94</v>
      </c>
      <c r="G197" s="9" t="s">
        <v>1048</v>
      </c>
      <c r="H197" s="23">
        <v>45020</v>
      </c>
      <c r="I197" s="12" t="s">
        <v>129</v>
      </c>
      <c r="J197" s="91" t="s">
        <v>821</v>
      </c>
      <c r="K197" s="91">
        <v>45071</v>
      </c>
      <c r="L197" s="10" t="s">
        <v>97</v>
      </c>
      <c r="M197" s="10" t="s">
        <v>862</v>
      </c>
      <c r="N197" s="10" t="s">
        <v>858</v>
      </c>
      <c r="O197" s="10"/>
    </row>
    <row r="198" spans="1:15" s="4" customFormat="1" ht="37.5" x14ac:dyDescent="0.25">
      <c r="A198" s="9" t="s">
        <v>126</v>
      </c>
      <c r="B198" s="13">
        <f>VLOOKUP(Table2[[#This Row],[Location 
(drop-down)]],'List source'!D$2:E$59,2,FALSE)</f>
        <v>125</v>
      </c>
      <c r="C198" s="11" t="s">
        <v>506</v>
      </c>
      <c r="D198" s="127" t="str">
        <f t="shared" si="5"/>
        <v>C197-125-23</v>
      </c>
      <c r="E198" s="127" t="str">
        <f>VLOOKUP(Table2[[#This Row],[Location 
(drop-down)]],Table1[#All],3,FALSE)</f>
        <v>SE &amp; Caribbean</v>
      </c>
      <c r="F198" s="11" t="s">
        <v>94</v>
      </c>
      <c r="G198" s="9" t="s">
        <v>1049</v>
      </c>
      <c r="H198" s="23">
        <v>45020</v>
      </c>
      <c r="I198" s="12" t="s">
        <v>129</v>
      </c>
      <c r="J198" s="91" t="s">
        <v>821</v>
      </c>
      <c r="K198" s="91">
        <v>45071</v>
      </c>
      <c r="L198" s="10" t="s">
        <v>147</v>
      </c>
      <c r="M198" s="10" t="s">
        <v>857</v>
      </c>
      <c r="N198" s="10" t="s">
        <v>858</v>
      </c>
      <c r="O198" s="10"/>
    </row>
    <row r="199" spans="1:15" s="4" customFormat="1" ht="45" x14ac:dyDescent="0.25">
      <c r="A199" s="9" t="s">
        <v>61</v>
      </c>
      <c r="B199" s="13">
        <f>VLOOKUP(Table2[[#This Row],[Location 
(drop-down)]],'List source'!D$2:E$59,2,FALSE)</f>
        <v>120</v>
      </c>
      <c r="C199" s="11" t="s">
        <v>507</v>
      </c>
      <c r="D199" s="127" t="str">
        <f t="shared" si="5"/>
        <v>C198-120-23</v>
      </c>
      <c r="E199" s="127" t="str">
        <f>VLOOKUP(Table2[[#This Row],[Location 
(drop-down)]],Table1[#All],3,FALSE)</f>
        <v>USGC</v>
      </c>
      <c r="F199" s="11" t="s">
        <v>852</v>
      </c>
      <c r="G199" s="9" t="s">
        <v>1050</v>
      </c>
      <c r="H199" s="23">
        <v>45016</v>
      </c>
      <c r="I199" s="12" t="s">
        <v>129</v>
      </c>
      <c r="J199" s="91" t="s">
        <v>821</v>
      </c>
      <c r="K199" s="91">
        <v>45019</v>
      </c>
      <c r="L199" s="10" t="s">
        <v>147</v>
      </c>
      <c r="M199" s="10" t="s">
        <v>857</v>
      </c>
      <c r="N199" s="10" t="s">
        <v>881</v>
      </c>
      <c r="O199" s="10"/>
    </row>
    <row r="200" spans="1:15" s="4" customFormat="1" ht="18.75" x14ac:dyDescent="0.25">
      <c r="A200" s="9" t="s">
        <v>61</v>
      </c>
      <c r="B200" s="13">
        <f>VLOOKUP(Table2[[#This Row],[Location 
(drop-down)]],'List source'!D$2:E$59,2,FALSE)</f>
        <v>120</v>
      </c>
      <c r="C200" s="11" t="s">
        <v>508</v>
      </c>
      <c r="D200" s="127" t="str">
        <f t="shared" si="5"/>
        <v>C199-120-23</v>
      </c>
      <c r="E200" s="127" t="str">
        <f>VLOOKUP(Table2[[#This Row],[Location 
(drop-down)]],Table1[#All],3,FALSE)</f>
        <v>USGC</v>
      </c>
      <c r="F200" s="11" t="s">
        <v>159</v>
      </c>
      <c r="G200" s="9" t="s">
        <v>1051</v>
      </c>
      <c r="H200" s="23">
        <v>45019</v>
      </c>
      <c r="I200" s="12" t="s">
        <v>161</v>
      </c>
      <c r="J200" s="91" t="s">
        <v>821</v>
      </c>
      <c r="K200" s="91">
        <v>45128</v>
      </c>
      <c r="L200" s="10" t="s">
        <v>97</v>
      </c>
      <c r="M200" s="10"/>
      <c r="N200" s="10"/>
      <c r="O200" s="10"/>
    </row>
    <row r="201" spans="1:15" s="4" customFormat="1" ht="37.5" x14ac:dyDescent="0.25">
      <c r="A201" s="9" t="s">
        <v>1052</v>
      </c>
      <c r="B201" s="13">
        <f>VLOOKUP(Table2[[#This Row],[Location 
(drop-down)]],'List source'!D$2:E$59,2,FALSE)</f>
        <v>138</v>
      </c>
      <c r="C201" s="11" t="s">
        <v>509</v>
      </c>
      <c r="D201" s="127" t="str">
        <f t="shared" si="5"/>
        <v>C200-138-23</v>
      </c>
      <c r="E201" s="127" t="str">
        <f>VLOOKUP(Table2[[#This Row],[Location 
(drop-down)]],Table1[#All],3,FALSE)</f>
        <v>SE &amp; Caribbean</v>
      </c>
      <c r="F201" s="11" t="s">
        <v>94</v>
      </c>
      <c r="G201" s="9" t="s">
        <v>1053</v>
      </c>
      <c r="H201" s="23">
        <v>45020</v>
      </c>
      <c r="I201" s="12" t="s">
        <v>435</v>
      </c>
      <c r="J201" s="91" t="s">
        <v>821</v>
      </c>
      <c r="K201" s="91">
        <v>45050</v>
      </c>
      <c r="L201" s="10" t="s">
        <v>97</v>
      </c>
      <c r="M201" s="10" t="s">
        <v>857</v>
      </c>
      <c r="N201" s="10" t="s">
        <v>822</v>
      </c>
      <c r="O201" s="10"/>
    </row>
    <row r="202" spans="1:15" s="4" customFormat="1" ht="37.5" x14ac:dyDescent="0.25">
      <c r="A202" s="9" t="s">
        <v>1052</v>
      </c>
      <c r="B202" s="13">
        <f>VLOOKUP(Table2[[#This Row],[Location 
(drop-down)]],'List source'!D$2:E$59,2,FALSE)</f>
        <v>138</v>
      </c>
      <c r="C202" s="11" t="s">
        <v>510</v>
      </c>
      <c r="D202" s="127" t="str">
        <f t="shared" si="5"/>
        <v>C201-138-23</v>
      </c>
      <c r="E202" s="127" t="str">
        <f>VLOOKUP(Table2[[#This Row],[Location 
(drop-down)]],Table1[#All],3,FALSE)</f>
        <v>SE &amp; Caribbean</v>
      </c>
      <c r="F202" s="11" t="s">
        <v>94</v>
      </c>
      <c r="G202" s="9" t="s">
        <v>1054</v>
      </c>
      <c r="H202" s="23">
        <v>45020</v>
      </c>
      <c r="I202" s="12" t="s">
        <v>435</v>
      </c>
      <c r="J202" s="91" t="s">
        <v>821</v>
      </c>
      <c r="K202" s="91">
        <v>45050</v>
      </c>
      <c r="L202" s="10" t="s">
        <v>147</v>
      </c>
      <c r="M202" s="10" t="s">
        <v>903</v>
      </c>
      <c r="N202" s="10" t="s">
        <v>832</v>
      </c>
      <c r="O202" s="10"/>
    </row>
    <row r="203" spans="1:15" s="4" customFormat="1" ht="37.5" x14ac:dyDescent="0.25">
      <c r="A203" s="9" t="s">
        <v>1052</v>
      </c>
      <c r="B203" s="13">
        <f>VLOOKUP(Table2[[#This Row],[Location 
(drop-down)]],'List source'!D$2:E$59,2,FALSE)</f>
        <v>138</v>
      </c>
      <c r="C203" s="11" t="s">
        <v>511</v>
      </c>
      <c r="D203" s="127" t="str">
        <f t="shared" si="5"/>
        <v>C202-138-23</v>
      </c>
      <c r="E203" s="127" t="str">
        <f>VLOOKUP(Table2[[#This Row],[Location 
(drop-down)]],Table1[#All],3,FALSE)</f>
        <v>SE &amp; Caribbean</v>
      </c>
      <c r="F203" s="11" t="s">
        <v>94</v>
      </c>
      <c r="G203" s="9" t="s">
        <v>1055</v>
      </c>
      <c r="H203" s="23">
        <v>45020</v>
      </c>
      <c r="I203" s="12" t="s">
        <v>435</v>
      </c>
      <c r="J203" s="91" t="s">
        <v>821</v>
      </c>
      <c r="K203" s="91">
        <v>45083</v>
      </c>
      <c r="L203" s="10" t="s">
        <v>147</v>
      </c>
      <c r="M203" s="10" t="s">
        <v>857</v>
      </c>
      <c r="N203" s="10" t="s">
        <v>822</v>
      </c>
      <c r="O203" s="10"/>
    </row>
    <row r="204" spans="1:15" s="4" customFormat="1" ht="37.5" x14ac:dyDescent="0.25">
      <c r="A204" s="9" t="s">
        <v>87</v>
      </c>
      <c r="B204" s="13">
        <f>VLOOKUP(Table2[[#This Row],[Location 
(drop-down)]],'List source'!D$2:E$59,2,FALSE)</f>
        <v>210</v>
      </c>
      <c r="C204" s="11" t="s">
        <v>512</v>
      </c>
      <c r="D204" s="127" t="str">
        <f t="shared" si="5"/>
        <v>C203-210-23</v>
      </c>
      <c r="E204" s="127" t="str">
        <f>VLOOKUP(Table2[[#This Row],[Location 
(drop-down)]],Table1[#All],3,FALSE)</f>
        <v>SE &amp; Caribbean</v>
      </c>
      <c r="F204" s="11" t="s">
        <v>94</v>
      </c>
      <c r="G204" s="9" t="s">
        <v>1056</v>
      </c>
      <c r="H204" s="23">
        <v>45021</v>
      </c>
      <c r="I204" s="12" t="s">
        <v>189</v>
      </c>
      <c r="J204" s="91" t="s">
        <v>821</v>
      </c>
      <c r="K204" s="91">
        <v>45056</v>
      </c>
      <c r="L204" s="10" t="s">
        <v>147</v>
      </c>
      <c r="M204" s="10" t="s">
        <v>857</v>
      </c>
      <c r="N204" s="10"/>
      <c r="O204" s="10"/>
    </row>
    <row r="205" spans="1:15" s="4" customFormat="1" ht="30" x14ac:dyDescent="0.25">
      <c r="A205" s="9" t="s">
        <v>1057</v>
      </c>
      <c r="B205" s="13">
        <f>VLOOKUP(Table2[[#This Row],[Location 
(drop-down)]],'List source'!D$2:E$59,2,FALSE)</f>
        <v>157</v>
      </c>
      <c r="C205" s="11" t="s">
        <v>513</v>
      </c>
      <c r="D205" s="127" t="str">
        <f t="shared" si="5"/>
        <v>C204-157-23</v>
      </c>
      <c r="E205" s="127" t="str">
        <f>VLOOKUP(Table2[[#This Row],[Location 
(drop-down)]],Table1[#All],3,FALSE)</f>
        <v>USGC</v>
      </c>
      <c r="F205" s="11" t="s">
        <v>94</v>
      </c>
      <c r="G205" s="9" t="s">
        <v>1058</v>
      </c>
      <c r="H205" s="23">
        <v>45026</v>
      </c>
      <c r="I205" s="12" t="s">
        <v>440</v>
      </c>
      <c r="J205" s="91" t="s">
        <v>821</v>
      </c>
      <c r="K205" s="91">
        <v>45070</v>
      </c>
      <c r="L205" s="10" t="s">
        <v>97</v>
      </c>
      <c r="M205" s="10"/>
      <c r="N205" s="10"/>
      <c r="O205" s="10"/>
    </row>
    <row r="206" spans="1:15" s="4" customFormat="1" ht="30" x14ac:dyDescent="0.25">
      <c r="A206" s="9" t="s">
        <v>1057</v>
      </c>
      <c r="B206" s="13">
        <f>VLOOKUP(Table2[[#This Row],[Location 
(drop-down)]],'List source'!D$2:E$59,2,FALSE)</f>
        <v>157</v>
      </c>
      <c r="C206" s="11" t="s">
        <v>514</v>
      </c>
      <c r="D206" s="127" t="str">
        <f t="shared" si="5"/>
        <v>C205-157-23</v>
      </c>
      <c r="E206" s="127" t="str">
        <f>VLOOKUP(Table2[[#This Row],[Location 
(drop-down)]],Table1[#All],3,FALSE)</f>
        <v>USGC</v>
      </c>
      <c r="F206" s="11" t="s">
        <v>94</v>
      </c>
      <c r="G206" s="9" t="s">
        <v>1059</v>
      </c>
      <c r="H206" s="23">
        <v>45026</v>
      </c>
      <c r="I206" s="12" t="s">
        <v>440</v>
      </c>
      <c r="J206" s="91" t="s">
        <v>821</v>
      </c>
      <c r="K206" s="91">
        <v>45070</v>
      </c>
      <c r="L206" s="10" t="s">
        <v>97</v>
      </c>
      <c r="M206" s="10" t="s">
        <v>914</v>
      </c>
      <c r="N206" s="10"/>
      <c r="O206" s="10"/>
    </row>
    <row r="207" spans="1:15" s="4" customFormat="1" ht="30" x14ac:dyDescent="0.25">
      <c r="A207" s="9" t="s">
        <v>1057</v>
      </c>
      <c r="B207" s="13">
        <f>VLOOKUP(Table2[[#This Row],[Location 
(drop-down)]],'List source'!D$2:E$59,2,FALSE)</f>
        <v>157</v>
      </c>
      <c r="C207" s="11" t="s">
        <v>515</v>
      </c>
      <c r="D207" s="127" t="str">
        <f t="shared" si="5"/>
        <v>C206-157-23</v>
      </c>
      <c r="E207" s="127" t="str">
        <f>VLOOKUP(Table2[[#This Row],[Location 
(drop-down)]],Table1[#All],3,FALSE)</f>
        <v>USGC</v>
      </c>
      <c r="F207" s="11" t="s">
        <v>94</v>
      </c>
      <c r="G207" s="9" t="s">
        <v>1060</v>
      </c>
      <c r="H207" s="23">
        <v>45026</v>
      </c>
      <c r="I207" s="12" t="s">
        <v>440</v>
      </c>
      <c r="J207" s="91" t="s">
        <v>821</v>
      </c>
      <c r="K207" s="91">
        <v>45070</v>
      </c>
      <c r="L207" s="10" t="s">
        <v>97</v>
      </c>
      <c r="M207" s="10" t="s">
        <v>854</v>
      </c>
      <c r="N207" s="10"/>
      <c r="O207" s="10"/>
    </row>
    <row r="208" spans="1:15" s="4" customFormat="1" ht="30" x14ac:dyDescent="0.25">
      <c r="A208" s="9" t="s">
        <v>1057</v>
      </c>
      <c r="B208" s="13">
        <f>VLOOKUP(Table2[[#This Row],[Location 
(drop-down)]],'List source'!D$2:E$59,2,FALSE)</f>
        <v>157</v>
      </c>
      <c r="C208" s="11" t="s">
        <v>516</v>
      </c>
      <c r="D208" s="127" t="str">
        <f t="shared" si="5"/>
        <v>C207-157-23</v>
      </c>
      <c r="E208" s="127" t="str">
        <f>VLOOKUP(Table2[[#This Row],[Location 
(drop-down)]],Table1[#All],3,FALSE)</f>
        <v>USGC</v>
      </c>
      <c r="F208" s="11" t="s">
        <v>94</v>
      </c>
      <c r="G208" s="9" t="s">
        <v>1061</v>
      </c>
      <c r="H208" s="23">
        <v>45026</v>
      </c>
      <c r="I208" s="12" t="s">
        <v>440</v>
      </c>
      <c r="J208" s="91" t="s">
        <v>821</v>
      </c>
      <c r="K208" s="91">
        <v>45099</v>
      </c>
      <c r="L208" s="10" t="s">
        <v>97</v>
      </c>
      <c r="M208" s="10" t="s">
        <v>857</v>
      </c>
      <c r="N208" s="10"/>
      <c r="O208" s="10"/>
    </row>
    <row r="209" spans="1:15" s="4" customFormat="1" ht="30" x14ac:dyDescent="0.25">
      <c r="A209" s="9" t="s">
        <v>1057</v>
      </c>
      <c r="B209" s="13">
        <f>VLOOKUP(Table2[[#This Row],[Location 
(drop-down)]],'List source'!D$2:E$59,2,FALSE)</f>
        <v>157</v>
      </c>
      <c r="C209" s="11" t="s">
        <v>517</v>
      </c>
      <c r="D209" s="127" t="str">
        <f t="shared" si="5"/>
        <v>C208-157-23</v>
      </c>
      <c r="E209" s="127" t="str">
        <f>VLOOKUP(Table2[[#This Row],[Location 
(drop-down)]],Table1[#All],3,FALSE)</f>
        <v>USGC</v>
      </c>
      <c r="F209" s="11" t="s">
        <v>94</v>
      </c>
      <c r="G209" s="9" t="s">
        <v>1062</v>
      </c>
      <c r="H209" s="23">
        <v>45026</v>
      </c>
      <c r="I209" s="12" t="s">
        <v>440</v>
      </c>
      <c r="J209" s="91" t="s">
        <v>821</v>
      </c>
      <c r="K209" s="91">
        <v>45099</v>
      </c>
      <c r="L209" s="10" t="s">
        <v>97</v>
      </c>
      <c r="M209" s="10" t="s">
        <v>857</v>
      </c>
      <c r="N209" s="10"/>
      <c r="O209" s="10"/>
    </row>
    <row r="210" spans="1:15" s="4" customFormat="1" ht="30" x14ac:dyDescent="0.25">
      <c r="A210" s="9" t="s">
        <v>1057</v>
      </c>
      <c r="B210" s="13">
        <f>VLOOKUP(Table2[[#This Row],[Location 
(drop-down)]],'List source'!D$2:E$59,2,FALSE)</f>
        <v>157</v>
      </c>
      <c r="C210" s="11" t="s">
        <v>518</v>
      </c>
      <c r="D210" s="127" t="str">
        <f t="shared" si="5"/>
        <v>C209-157-23</v>
      </c>
      <c r="E210" s="127" t="str">
        <f>VLOOKUP(Table2[[#This Row],[Location 
(drop-down)]],Table1[#All],3,FALSE)</f>
        <v>USGC</v>
      </c>
      <c r="F210" s="11" t="s">
        <v>94</v>
      </c>
      <c r="G210" s="9" t="s">
        <v>1063</v>
      </c>
      <c r="H210" s="23">
        <v>45026</v>
      </c>
      <c r="I210" s="12" t="s">
        <v>440</v>
      </c>
      <c r="J210" s="91" t="s">
        <v>821</v>
      </c>
      <c r="K210" s="91">
        <v>45125</v>
      </c>
      <c r="L210" s="10" t="s">
        <v>97</v>
      </c>
      <c r="M210" s="10"/>
      <c r="N210" s="10"/>
      <c r="O210" s="10"/>
    </row>
    <row r="211" spans="1:15" s="4" customFormat="1" ht="30" x14ac:dyDescent="0.25">
      <c r="A211" s="9" t="s">
        <v>1057</v>
      </c>
      <c r="B211" s="13">
        <f>VLOOKUP(Table2[[#This Row],[Location 
(drop-down)]],'List source'!D$2:E$59,2,FALSE)</f>
        <v>157</v>
      </c>
      <c r="C211" s="11" t="s">
        <v>519</v>
      </c>
      <c r="D211" s="127" t="str">
        <f t="shared" si="5"/>
        <v>C210-157-23</v>
      </c>
      <c r="E211" s="127" t="str">
        <f>VLOOKUP(Table2[[#This Row],[Location 
(drop-down)]],Table1[#All],3,FALSE)</f>
        <v>USGC</v>
      </c>
      <c r="F211" s="11" t="s">
        <v>94</v>
      </c>
      <c r="G211" s="9" t="s">
        <v>1064</v>
      </c>
      <c r="H211" s="23">
        <v>45026</v>
      </c>
      <c r="I211" s="12" t="s">
        <v>440</v>
      </c>
      <c r="J211" s="91" t="s">
        <v>821</v>
      </c>
      <c r="K211" s="91">
        <v>45215</v>
      </c>
      <c r="L211" s="10" t="s">
        <v>97</v>
      </c>
      <c r="M211" s="10"/>
      <c r="N211" s="10"/>
      <c r="O211" s="10"/>
    </row>
    <row r="212" spans="1:15" s="4" customFormat="1" ht="30" x14ac:dyDescent="0.25">
      <c r="A212" s="9" t="s">
        <v>1057</v>
      </c>
      <c r="B212" s="13">
        <f>VLOOKUP(Table2[[#This Row],[Location 
(drop-down)]],'List source'!D$2:E$59,2,FALSE)</f>
        <v>157</v>
      </c>
      <c r="C212" s="11" t="s">
        <v>520</v>
      </c>
      <c r="D212" s="127" t="str">
        <f t="shared" si="5"/>
        <v>C211-157-23</v>
      </c>
      <c r="E212" s="127" t="str">
        <f>VLOOKUP(Table2[[#This Row],[Location 
(drop-down)]],Table1[#All],3,FALSE)</f>
        <v>USGC</v>
      </c>
      <c r="F212" s="11" t="s">
        <v>94</v>
      </c>
      <c r="G212" s="144" t="s">
        <v>1065</v>
      </c>
      <c r="H212" s="23">
        <v>45026</v>
      </c>
      <c r="I212" s="12" t="s">
        <v>440</v>
      </c>
      <c r="J212" s="91" t="s">
        <v>821</v>
      </c>
      <c r="K212" s="91">
        <v>45147</v>
      </c>
      <c r="L212" s="10" t="s">
        <v>97</v>
      </c>
      <c r="M212" s="10" t="s">
        <v>854</v>
      </c>
      <c r="N212" s="10"/>
      <c r="O212" s="10"/>
    </row>
    <row r="213" spans="1:15" s="4" customFormat="1" ht="30" x14ac:dyDescent="0.25">
      <c r="A213" s="9" t="s">
        <v>1057</v>
      </c>
      <c r="B213" s="13">
        <f>VLOOKUP(Table2[[#This Row],[Location 
(drop-down)]],'List source'!D$2:E$59,2,FALSE)</f>
        <v>157</v>
      </c>
      <c r="C213" s="11" t="s">
        <v>521</v>
      </c>
      <c r="D213" s="127" t="str">
        <f t="shared" si="5"/>
        <v>C212-157-23</v>
      </c>
      <c r="E213" s="127" t="str">
        <f>VLOOKUP(Table2[[#This Row],[Location 
(drop-down)]],Table1[#All],3,FALSE)</f>
        <v>USGC</v>
      </c>
      <c r="F213" s="11" t="s">
        <v>94</v>
      </c>
      <c r="G213" s="9" t="s">
        <v>1066</v>
      </c>
      <c r="H213" s="23">
        <v>45026</v>
      </c>
      <c r="I213" s="12" t="s">
        <v>440</v>
      </c>
      <c r="J213" s="91" t="s">
        <v>821</v>
      </c>
      <c r="K213" s="91">
        <v>45127</v>
      </c>
      <c r="L213" s="10" t="s">
        <v>97</v>
      </c>
      <c r="M213" s="10"/>
      <c r="N213" s="10"/>
      <c r="O213" s="10"/>
    </row>
    <row r="214" spans="1:15" s="4" customFormat="1" ht="30" x14ac:dyDescent="0.25">
      <c r="A214" s="9" t="s">
        <v>1057</v>
      </c>
      <c r="B214" s="13">
        <f>VLOOKUP(Table2[[#This Row],[Location 
(drop-down)]],'List source'!D$2:E$59,2,FALSE)</f>
        <v>157</v>
      </c>
      <c r="C214" s="11" t="s">
        <v>522</v>
      </c>
      <c r="D214" s="127" t="str">
        <f t="shared" si="5"/>
        <v>C213-157-23</v>
      </c>
      <c r="E214" s="127" t="str">
        <f>VLOOKUP(Table2[[#This Row],[Location 
(drop-down)]],Table1[#All],3,FALSE)</f>
        <v>USGC</v>
      </c>
      <c r="F214" s="11" t="s">
        <v>94</v>
      </c>
      <c r="G214" s="9" t="s">
        <v>1067</v>
      </c>
      <c r="H214" s="23">
        <v>45026</v>
      </c>
      <c r="I214" s="12" t="s">
        <v>440</v>
      </c>
      <c r="J214" s="91" t="s">
        <v>821</v>
      </c>
      <c r="K214" s="91">
        <v>45121</v>
      </c>
      <c r="L214" s="10" t="s">
        <v>97</v>
      </c>
      <c r="M214" s="10" t="s">
        <v>862</v>
      </c>
      <c r="N214" s="10"/>
      <c r="O214" s="10"/>
    </row>
    <row r="215" spans="1:15" s="4" customFormat="1" ht="37.5" x14ac:dyDescent="0.25">
      <c r="A215" s="9" t="s">
        <v>75</v>
      </c>
      <c r="B215" s="13">
        <f>VLOOKUP(Table2[[#This Row],[Location 
(drop-down)]],'List source'!D$2:E$59,2,FALSE)</f>
        <v>180</v>
      </c>
      <c r="C215" s="11" t="s">
        <v>523</v>
      </c>
      <c r="D215" s="127" t="str">
        <f t="shared" si="5"/>
        <v>C214-180-23</v>
      </c>
      <c r="E215" s="127" t="str">
        <f>VLOOKUP(Table2[[#This Row],[Location 
(drop-down)]],Table1[#All],3,FALSE)</f>
        <v>SE &amp; Caribbean</v>
      </c>
      <c r="F215" s="11" t="s">
        <v>269</v>
      </c>
      <c r="G215" s="9" t="s">
        <v>1068</v>
      </c>
      <c r="H215" s="23">
        <v>45029</v>
      </c>
      <c r="I215" s="12" t="s">
        <v>129</v>
      </c>
      <c r="J215" s="91" t="s">
        <v>821</v>
      </c>
      <c r="K215" s="91">
        <v>45036</v>
      </c>
      <c r="L215" s="10" t="s">
        <v>147</v>
      </c>
      <c r="M215" s="10" t="s">
        <v>862</v>
      </c>
      <c r="N215" s="10" t="s">
        <v>822</v>
      </c>
      <c r="O215" s="10" t="s">
        <v>1069</v>
      </c>
    </row>
    <row r="216" spans="1:15" s="4" customFormat="1" ht="30" x14ac:dyDescent="0.25">
      <c r="A216" s="9" t="s">
        <v>1070</v>
      </c>
      <c r="B216" s="13">
        <f>VLOOKUP(Table2[[#This Row],[Location 
(drop-down)]],'List source'!D$2:E$59,2,FALSE)</f>
        <v>119</v>
      </c>
      <c r="C216" s="11" t="s">
        <v>524</v>
      </c>
      <c r="D216" s="127" t="str">
        <f t="shared" si="5"/>
        <v>C215-119-23</v>
      </c>
      <c r="E216" s="127" t="str">
        <f>VLOOKUP(Table2[[#This Row],[Location 
(drop-down)]],Table1[#All],3,FALSE)</f>
        <v>USGC</v>
      </c>
      <c r="F216" s="11" t="s">
        <v>94</v>
      </c>
      <c r="G216" s="9" t="s">
        <v>1071</v>
      </c>
      <c r="H216" s="23">
        <v>45034</v>
      </c>
      <c r="I216" s="12" t="s">
        <v>435</v>
      </c>
      <c r="J216" s="91" t="s">
        <v>821</v>
      </c>
      <c r="K216" s="91">
        <v>45170</v>
      </c>
      <c r="L216" s="10" t="s">
        <v>97</v>
      </c>
      <c r="M216" s="10" t="s">
        <v>914</v>
      </c>
      <c r="N216" s="10" t="s">
        <v>858</v>
      </c>
      <c r="O216" s="10"/>
    </row>
    <row r="217" spans="1:15" s="4" customFormat="1" ht="30" x14ac:dyDescent="0.25">
      <c r="A217" s="9" t="s">
        <v>1070</v>
      </c>
      <c r="B217" s="13">
        <f>VLOOKUP(Table2[[#This Row],[Location 
(drop-down)]],'List source'!D$2:E$59,2,FALSE)</f>
        <v>119</v>
      </c>
      <c r="C217" s="11" t="s">
        <v>525</v>
      </c>
      <c r="D217" s="127" t="str">
        <f t="shared" ref="D217:D280" si="6">"C" &amp; C217 &amp; "-" &amp; B217 &amp; "-" &amp; "23"</f>
        <v>C216-119-23</v>
      </c>
      <c r="E217" s="127" t="str">
        <f>VLOOKUP(Table2[[#This Row],[Location 
(drop-down)]],Table1[#All],3,FALSE)</f>
        <v>USGC</v>
      </c>
      <c r="F217" s="11" t="s">
        <v>94</v>
      </c>
      <c r="G217" s="9" t="s">
        <v>1072</v>
      </c>
      <c r="H217" s="23">
        <v>45034</v>
      </c>
      <c r="I217" s="12" t="s">
        <v>435</v>
      </c>
      <c r="J217" s="91" t="s">
        <v>821</v>
      </c>
      <c r="K217" s="91">
        <v>45170</v>
      </c>
      <c r="L217" s="10" t="s">
        <v>97</v>
      </c>
      <c r="M217" s="10" t="s">
        <v>857</v>
      </c>
      <c r="N217" s="10" t="s">
        <v>822</v>
      </c>
      <c r="O217" s="10"/>
    </row>
    <row r="218" spans="1:15" s="4" customFormat="1" ht="30" x14ac:dyDescent="0.25">
      <c r="A218" s="9" t="s">
        <v>1070</v>
      </c>
      <c r="B218" s="13">
        <f>VLOOKUP(Table2[[#This Row],[Location 
(drop-down)]],'List source'!D$2:E$59,2,FALSE)</f>
        <v>119</v>
      </c>
      <c r="C218" s="11" t="s">
        <v>526</v>
      </c>
      <c r="D218" s="127" t="str">
        <f t="shared" si="6"/>
        <v>C217-119-23</v>
      </c>
      <c r="E218" s="127" t="str">
        <f>VLOOKUP(Table2[[#This Row],[Location 
(drop-down)]],Table1[#All],3,FALSE)</f>
        <v>USGC</v>
      </c>
      <c r="F218" s="11" t="s">
        <v>94</v>
      </c>
      <c r="G218" s="9" t="s">
        <v>1073</v>
      </c>
      <c r="H218" s="23">
        <v>45034</v>
      </c>
      <c r="I218" s="12" t="s">
        <v>435</v>
      </c>
      <c r="J218" s="91" t="s">
        <v>821</v>
      </c>
      <c r="K218" s="91">
        <v>45170</v>
      </c>
      <c r="L218" s="10" t="s">
        <v>97</v>
      </c>
      <c r="M218" s="10" t="s">
        <v>857</v>
      </c>
      <c r="N218" s="10" t="s">
        <v>858</v>
      </c>
      <c r="O218" s="10"/>
    </row>
    <row r="219" spans="1:15" s="4" customFormat="1" ht="30" x14ac:dyDescent="0.25">
      <c r="A219" s="9" t="s">
        <v>1070</v>
      </c>
      <c r="B219" s="13">
        <f>VLOOKUP(Table2[[#This Row],[Location 
(drop-down)]],'List source'!D$2:E$59,2,FALSE)</f>
        <v>119</v>
      </c>
      <c r="C219" s="11" t="s">
        <v>527</v>
      </c>
      <c r="D219" s="127" t="str">
        <f t="shared" si="6"/>
        <v>C218-119-23</v>
      </c>
      <c r="E219" s="127" t="str">
        <f>VLOOKUP(Table2[[#This Row],[Location 
(drop-down)]],Table1[#All],3,FALSE)</f>
        <v>USGC</v>
      </c>
      <c r="F219" s="11" t="s">
        <v>94</v>
      </c>
      <c r="G219" s="9" t="s">
        <v>1074</v>
      </c>
      <c r="H219" s="23">
        <v>45034</v>
      </c>
      <c r="I219" s="12" t="s">
        <v>435</v>
      </c>
      <c r="J219" s="91" t="s">
        <v>821</v>
      </c>
      <c r="K219" s="91">
        <v>45337</v>
      </c>
      <c r="L219" s="10" t="s">
        <v>97</v>
      </c>
      <c r="M219" s="10" t="s">
        <v>857</v>
      </c>
      <c r="N219" s="10" t="s">
        <v>858</v>
      </c>
      <c r="O219" s="10"/>
    </row>
    <row r="220" spans="1:15" s="4" customFormat="1" ht="30" x14ac:dyDescent="0.25">
      <c r="A220" s="9" t="s">
        <v>1070</v>
      </c>
      <c r="B220" s="13">
        <f>VLOOKUP(Table2[[#This Row],[Location 
(drop-down)]],'List source'!D$2:E$59,2,FALSE)</f>
        <v>119</v>
      </c>
      <c r="C220" s="11" t="s">
        <v>528</v>
      </c>
      <c r="D220" s="127" t="str">
        <f t="shared" si="6"/>
        <v>C219-119-23</v>
      </c>
      <c r="E220" s="127" t="str">
        <f>VLOOKUP(Table2[[#This Row],[Location 
(drop-down)]],Table1[#All],3,FALSE)</f>
        <v>USGC</v>
      </c>
      <c r="F220" s="11" t="s">
        <v>94</v>
      </c>
      <c r="G220" s="9" t="s">
        <v>1075</v>
      </c>
      <c r="H220" s="23">
        <v>45034</v>
      </c>
      <c r="I220" s="12" t="s">
        <v>435</v>
      </c>
      <c r="J220" s="91" t="s">
        <v>821</v>
      </c>
      <c r="K220" s="91">
        <v>45337</v>
      </c>
      <c r="L220" s="10" t="s">
        <v>97</v>
      </c>
      <c r="M220" s="10" t="s">
        <v>857</v>
      </c>
      <c r="N220" s="10" t="s">
        <v>822</v>
      </c>
      <c r="O220" s="10"/>
    </row>
    <row r="221" spans="1:15" s="4" customFormat="1" ht="30" x14ac:dyDescent="0.25">
      <c r="A221" s="9" t="s">
        <v>1070</v>
      </c>
      <c r="B221" s="13">
        <f>VLOOKUP(Table2[[#This Row],[Location 
(drop-down)]],'List source'!D$2:E$59,2,FALSE)</f>
        <v>119</v>
      </c>
      <c r="C221" s="11" t="s">
        <v>529</v>
      </c>
      <c r="D221" s="127" t="str">
        <f t="shared" si="6"/>
        <v>C220-119-23</v>
      </c>
      <c r="E221" s="127" t="str">
        <f>VLOOKUP(Table2[[#This Row],[Location 
(drop-down)]],Table1[#All],3,FALSE)</f>
        <v>USGC</v>
      </c>
      <c r="F221" s="11" t="s">
        <v>94</v>
      </c>
      <c r="G221" s="9" t="s">
        <v>1076</v>
      </c>
      <c r="H221" s="23">
        <v>45034</v>
      </c>
      <c r="I221" s="12" t="s">
        <v>435</v>
      </c>
      <c r="J221" s="91" t="s">
        <v>821</v>
      </c>
      <c r="K221" s="91">
        <v>45155</v>
      </c>
      <c r="L221" s="10" t="s">
        <v>97</v>
      </c>
      <c r="M221" s="10" t="s">
        <v>854</v>
      </c>
      <c r="N221" s="10" t="s">
        <v>858</v>
      </c>
      <c r="O221" s="10"/>
    </row>
    <row r="222" spans="1:15" s="4" customFormat="1" ht="30" x14ac:dyDescent="0.25">
      <c r="A222" s="9" t="s">
        <v>1070</v>
      </c>
      <c r="B222" s="13">
        <f>VLOOKUP(Table2[[#This Row],[Location 
(drop-down)]],'List source'!D$2:E$59,2,FALSE)</f>
        <v>119</v>
      </c>
      <c r="C222" s="11" t="s">
        <v>530</v>
      </c>
      <c r="D222" s="127" t="str">
        <f t="shared" si="6"/>
        <v>C221-119-23</v>
      </c>
      <c r="E222" s="127" t="str">
        <f>VLOOKUP(Table2[[#This Row],[Location 
(drop-down)]],Table1[#All],3,FALSE)</f>
        <v>USGC</v>
      </c>
      <c r="F222" s="11" t="s">
        <v>94</v>
      </c>
      <c r="G222" s="9" t="s">
        <v>1077</v>
      </c>
      <c r="H222" s="23">
        <v>45034</v>
      </c>
      <c r="I222" s="12" t="s">
        <v>435</v>
      </c>
      <c r="J222" s="91" t="s">
        <v>821</v>
      </c>
      <c r="K222" s="91">
        <v>45134</v>
      </c>
      <c r="L222" s="10" t="s">
        <v>97</v>
      </c>
      <c r="M222" s="10" t="s">
        <v>903</v>
      </c>
      <c r="N222" s="10" t="s">
        <v>881</v>
      </c>
      <c r="O222" s="10"/>
    </row>
    <row r="223" spans="1:15" s="4" customFormat="1" ht="30" x14ac:dyDescent="0.25">
      <c r="A223" s="9" t="s">
        <v>1070</v>
      </c>
      <c r="B223" s="13">
        <f>VLOOKUP(Table2[[#This Row],[Location 
(drop-down)]],'List source'!D$2:E$59,2,FALSE)</f>
        <v>119</v>
      </c>
      <c r="C223" s="11" t="s">
        <v>531</v>
      </c>
      <c r="D223" s="127" t="str">
        <f t="shared" si="6"/>
        <v>C222-119-23</v>
      </c>
      <c r="E223" s="127" t="str">
        <f>VLOOKUP(Table2[[#This Row],[Location 
(drop-down)]],Table1[#All],3,FALSE)</f>
        <v>USGC</v>
      </c>
      <c r="F223" s="11" t="s">
        <v>94</v>
      </c>
      <c r="G223" s="9" t="s">
        <v>1078</v>
      </c>
      <c r="H223" s="23">
        <v>45034</v>
      </c>
      <c r="I223" s="12" t="s">
        <v>435</v>
      </c>
      <c r="J223" s="91" t="s">
        <v>821</v>
      </c>
      <c r="K223" s="91">
        <v>45337</v>
      </c>
      <c r="L223" s="10" t="s">
        <v>97</v>
      </c>
      <c r="M223" s="10" t="s">
        <v>857</v>
      </c>
      <c r="N223" s="10" t="s">
        <v>858</v>
      </c>
      <c r="O223" s="10"/>
    </row>
    <row r="224" spans="1:15" s="4" customFormat="1" ht="30" x14ac:dyDescent="0.25">
      <c r="A224" s="9" t="s">
        <v>1070</v>
      </c>
      <c r="B224" s="13">
        <f>VLOOKUP(Table2[[#This Row],[Location 
(drop-down)]],'List source'!D$2:E$59,2,FALSE)</f>
        <v>119</v>
      </c>
      <c r="C224" s="11" t="s">
        <v>532</v>
      </c>
      <c r="D224" s="127" t="str">
        <f t="shared" si="6"/>
        <v>C223-119-23</v>
      </c>
      <c r="E224" s="127" t="str">
        <f>VLOOKUP(Table2[[#This Row],[Location 
(drop-down)]],Table1[#All],3,FALSE)</f>
        <v>USGC</v>
      </c>
      <c r="F224" s="11" t="s">
        <v>94</v>
      </c>
      <c r="G224" s="9" t="s">
        <v>1079</v>
      </c>
      <c r="H224" s="23">
        <v>45034</v>
      </c>
      <c r="I224" s="12" t="s">
        <v>435</v>
      </c>
      <c r="J224" s="91" t="s">
        <v>821</v>
      </c>
      <c r="K224" s="91">
        <v>45337</v>
      </c>
      <c r="L224" s="10" t="s">
        <v>147</v>
      </c>
      <c r="M224" s="10" t="s">
        <v>857</v>
      </c>
      <c r="N224" s="10" t="s">
        <v>858</v>
      </c>
      <c r="O224" s="10"/>
    </row>
    <row r="225" spans="1:15" s="4" customFormat="1" ht="30" x14ac:dyDescent="0.25">
      <c r="A225" s="9" t="s">
        <v>1070</v>
      </c>
      <c r="B225" s="13">
        <f>VLOOKUP(Table2[[#This Row],[Location 
(drop-down)]],'List source'!D$2:E$59,2,FALSE)</f>
        <v>119</v>
      </c>
      <c r="C225" s="11" t="s">
        <v>533</v>
      </c>
      <c r="D225" s="127" t="str">
        <f t="shared" si="6"/>
        <v>C224-119-23</v>
      </c>
      <c r="E225" s="127" t="str">
        <f>VLOOKUP(Table2[[#This Row],[Location 
(drop-down)]],Table1[#All],3,FALSE)</f>
        <v>USGC</v>
      </c>
      <c r="F225" s="11" t="s">
        <v>94</v>
      </c>
      <c r="G225" s="9" t="s">
        <v>1080</v>
      </c>
      <c r="H225" s="23">
        <v>45034</v>
      </c>
      <c r="I225" s="12" t="s">
        <v>435</v>
      </c>
      <c r="J225" s="91" t="s">
        <v>821</v>
      </c>
      <c r="K225" s="91">
        <v>45337</v>
      </c>
      <c r="L225" s="10" t="s">
        <v>97</v>
      </c>
      <c r="M225" s="10" t="s">
        <v>857</v>
      </c>
      <c r="N225" s="10" t="s">
        <v>858</v>
      </c>
      <c r="O225" s="10"/>
    </row>
    <row r="226" spans="1:15" s="4" customFormat="1" ht="18.75" x14ac:dyDescent="0.25">
      <c r="A226" s="9" t="s">
        <v>37</v>
      </c>
      <c r="B226" s="13">
        <f>VLOOKUP(Table2[[#This Row],[Location 
(drop-down)]],'List source'!D$2:E$59,2,FALSE)</f>
        <v>158</v>
      </c>
      <c r="C226" s="11" t="s">
        <v>534</v>
      </c>
      <c r="D226" s="127" t="str">
        <f t="shared" si="6"/>
        <v>C225-158-23</v>
      </c>
      <c r="E226" s="127" t="str">
        <f>VLOOKUP(Table2[[#This Row],[Location 
(drop-down)]],Table1[#All],3,FALSE)</f>
        <v>USGC</v>
      </c>
      <c r="F226" s="11" t="s">
        <v>15</v>
      </c>
      <c r="G226" s="9" t="s">
        <v>1081</v>
      </c>
      <c r="H226" s="23">
        <v>45034</v>
      </c>
      <c r="I226" s="12" t="s">
        <v>17</v>
      </c>
      <c r="J226" s="91" t="s">
        <v>821</v>
      </c>
      <c r="K226" s="91">
        <v>45127</v>
      </c>
      <c r="L226" s="10" t="s">
        <v>15</v>
      </c>
      <c r="M226" s="10" t="s">
        <v>15</v>
      </c>
      <c r="N226" s="10"/>
      <c r="O226" s="10"/>
    </row>
    <row r="227" spans="1:15" s="4" customFormat="1" ht="30" x14ac:dyDescent="0.25">
      <c r="A227" s="9" t="s">
        <v>171</v>
      </c>
      <c r="B227" s="13">
        <f>VLOOKUP(Table2[[#This Row],[Location 
(drop-down)]],'List source'!D$2:E$59,2,FALSE)</f>
        <v>160</v>
      </c>
      <c r="C227" s="11" t="s">
        <v>535</v>
      </c>
      <c r="D227" s="127" t="str">
        <f t="shared" si="6"/>
        <v>C226-160-23</v>
      </c>
      <c r="E227" s="127" t="str">
        <f>VLOOKUP(Table2[[#This Row],[Location 
(drop-down)]],Table1[#All],3,FALSE)</f>
        <v>USGC</v>
      </c>
      <c r="F227" s="11" t="s">
        <v>15</v>
      </c>
      <c r="G227" s="9" t="s">
        <v>1082</v>
      </c>
      <c r="H227" s="23">
        <v>45034</v>
      </c>
      <c r="I227" s="12" t="s">
        <v>17</v>
      </c>
      <c r="J227" s="91" t="s">
        <v>821</v>
      </c>
      <c r="K227" s="91">
        <v>45097</v>
      </c>
      <c r="L227" s="10" t="s">
        <v>15</v>
      </c>
      <c r="M227" s="10" t="s">
        <v>15</v>
      </c>
      <c r="N227" s="10"/>
      <c r="O227" s="10"/>
    </row>
    <row r="228" spans="1:15" s="4" customFormat="1" ht="30" x14ac:dyDescent="0.25">
      <c r="A228" s="9" t="s">
        <v>22</v>
      </c>
      <c r="B228" s="13">
        <f>VLOOKUP(Table2[[#This Row],[Location 
(drop-down)]],'List source'!D$2:E$59,2,FALSE)</f>
        <v>130</v>
      </c>
      <c r="C228" s="11" t="s">
        <v>536</v>
      </c>
      <c r="D228" s="127" t="str">
        <f t="shared" si="6"/>
        <v>C227-130-23</v>
      </c>
      <c r="E228" s="127" t="str">
        <f>VLOOKUP(Table2[[#This Row],[Location 
(drop-down)]],Table1[#All],3,FALSE)</f>
        <v>USWC</v>
      </c>
      <c r="F228" s="11" t="s">
        <v>15</v>
      </c>
      <c r="G228" s="9" t="s">
        <v>1083</v>
      </c>
      <c r="H228" s="23">
        <v>45034</v>
      </c>
      <c r="I228" s="12" t="s">
        <v>17</v>
      </c>
      <c r="J228" s="91" t="s">
        <v>821</v>
      </c>
      <c r="K228" s="91">
        <v>45159</v>
      </c>
      <c r="L228" s="10" t="s">
        <v>15</v>
      </c>
      <c r="M228" s="10" t="s">
        <v>15</v>
      </c>
      <c r="N228" s="10"/>
      <c r="O228" s="10"/>
    </row>
    <row r="229" spans="1:15" s="4" customFormat="1" ht="37.5" x14ac:dyDescent="0.25">
      <c r="A229" s="9" t="s">
        <v>378</v>
      </c>
      <c r="B229" s="13">
        <f>VLOOKUP(Table2[[#This Row],[Location 
(drop-down)]],'List source'!D$2:E$59,2,FALSE)</f>
        <v>116</v>
      </c>
      <c r="C229" s="11" t="s">
        <v>537</v>
      </c>
      <c r="D229" s="127" t="str">
        <f t="shared" si="6"/>
        <v>C228-116-23</v>
      </c>
      <c r="E229" s="127" t="str">
        <f>VLOOKUP(Table2[[#This Row],[Location 
(drop-down)]],Table1[#All],3,FALSE)</f>
        <v>SE &amp; Caribbean</v>
      </c>
      <c r="F229" s="11" t="s">
        <v>15</v>
      </c>
      <c r="G229" s="9" t="s">
        <v>1084</v>
      </c>
      <c r="H229" s="23">
        <v>45034</v>
      </c>
      <c r="I229" s="12" t="s">
        <v>17</v>
      </c>
      <c r="J229" s="91">
        <v>45132</v>
      </c>
      <c r="K229" s="91">
        <v>45159</v>
      </c>
      <c r="L229" s="10" t="s">
        <v>15</v>
      </c>
      <c r="M229" s="10" t="s">
        <v>15</v>
      </c>
      <c r="N229" s="10" t="s">
        <v>822</v>
      </c>
      <c r="O229" s="10"/>
    </row>
    <row r="230" spans="1:15" s="4" customFormat="1" ht="30" x14ac:dyDescent="0.25">
      <c r="A230" s="9" t="s">
        <v>22</v>
      </c>
      <c r="B230" s="13">
        <f>VLOOKUP(Table2[[#This Row],[Location 
(drop-down)]],'List source'!D$2:E$59,2,FALSE)</f>
        <v>130</v>
      </c>
      <c r="C230" s="11" t="s">
        <v>538</v>
      </c>
      <c r="D230" s="127" t="str">
        <f t="shared" si="6"/>
        <v>C229-130-23</v>
      </c>
      <c r="E230" s="127" t="str">
        <f>VLOOKUP(Table2[[#This Row],[Location 
(drop-down)]],Table1[#All],3,FALSE)</f>
        <v>USWC</v>
      </c>
      <c r="F230" s="11" t="s">
        <v>15</v>
      </c>
      <c r="G230" s="9" t="s">
        <v>1085</v>
      </c>
      <c r="H230" s="23">
        <v>45034</v>
      </c>
      <c r="I230" s="12" t="s">
        <v>17</v>
      </c>
      <c r="J230" s="91" t="s">
        <v>821</v>
      </c>
      <c r="K230" s="91">
        <v>45281</v>
      </c>
      <c r="L230" s="10" t="s">
        <v>15</v>
      </c>
      <c r="M230" s="10" t="s">
        <v>15</v>
      </c>
      <c r="N230" s="10" t="s">
        <v>858</v>
      </c>
      <c r="O230" s="10"/>
    </row>
    <row r="231" spans="1:15" s="4" customFormat="1" ht="37.5" x14ac:dyDescent="0.25">
      <c r="A231" s="9" t="s">
        <v>168</v>
      </c>
      <c r="B231" s="13">
        <f>VLOOKUP(Table2[[#This Row],[Location 
(drop-down)]],'List source'!D$2:E$59,2,FALSE)</f>
        <v>136</v>
      </c>
      <c r="C231" s="11" t="s">
        <v>539</v>
      </c>
      <c r="D231" s="127" t="str">
        <f t="shared" si="6"/>
        <v>C230-136-23</v>
      </c>
      <c r="E231" s="127" t="str">
        <f>VLOOKUP(Table2[[#This Row],[Location 
(drop-down)]],Table1[#All],3,FALSE)</f>
        <v>SE &amp; Caribbean</v>
      </c>
      <c r="F231" s="11" t="s">
        <v>15</v>
      </c>
      <c r="G231" s="9" t="s">
        <v>1086</v>
      </c>
      <c r="H231" s="23">
        <v>45034</v>
      </c>
      <c r="I231" s="12" t="s">
        <v>17</v>
      </c>
      <c r="J231" s="91" t="s">
        <v>821</v>
      </c>
      <c r="K231" s="91">
        <v>45531</v>
      </c>
      <c r="L231" s="10" t="s">
        <v>15</v>
      </c>
      <c r="M231" s="10" t="s">
        <v>15</v>
      </c>
      <c r="N231" s="10"/>
      <c r="O231" s="10"/>
    </row>
    <row r="232" spans="1:15" s="4" customFormat="1" ht="37.5" x14ac:dyDescent="0.25">
      <c r="A232" s="9" t="s">
        <v>168</v>
      </c>
      <c r="B232" s="13">
        <f>VLOOKUP(Table2[[#This Row],[Location 
(drop-down)]],'List source'!D$2:E$59,2,FALSE)</f>
        <v>136</v>
      </c>
      <c r="C232" s="11" t="s">
        <v>540</v>
      </c>
      <c r="D232" s="117" t="str">
        <f t="shared" si="6"/>
        <v>C231-136-23</v>
      </c>
      <c r="E232" s="117" t="str">
        <f>VLOOKUP(Table2[[#This Row],[Location 
(drop-down)]],Table1[#All],3,FALSE)</f>
        <v>SE &amp; Caribbean</v>
      </c>
      <c r="F232" s="11" t="s">
        <v>15</v>
      </c>
      <c r="G232" s="9" t="s">
        <v>1087</v>
      </c>
      <c r="H232" s="23">
        <v>45034</v>
      </c>
      <c r="I232" s="10" t="s">
        <v>17</v>
      </c>
      <c r="J232" s="100">
        <v>45435</v>
      </c>
      <c r="K232" s="100">
        <v>45435</v>
      </c>
      <c r="L232" s="10" t="s">
        <v>15</v>
      </c>
      <c r="M232" s="10" t="s">
        <v>15</v>
      </c>
      <c r="N232" s="10" t="s">
        <v>822</v>
      </c>
      <c r="O232" s="10"/>
    </row>
    <row r="233" spans="1:15" s="4" customFormat="1" ht="30" x14ac:dyDescent="0.25">
      <c r="A233" s="9" t="s">
        <v>178</v>
      </c>
      <c r="B233" s="13">
        <f>VLOOKUP(Table2[[#This Row],[Location 
(drop-down)]],'List source'!D$2:E$59,2,FALSE)</f>
        <v>150</v>
      </c>
      <c r="C233" s="11" t="s">
        <v>541</v>
      </c>
      <c r="D233" s="127" t="str">
        <f t="shared" si="6"/>
        <v>C232-150-23</v>
      </c>
      <c r="E233" s="127" t="str">
        <f>VLOOKUP(Table2[[#This Row],[Location 
(drop-down)]],Table1[#All],3,FALSE)</f>
        <v>USGC</v>
      </c>
      <c r="F233" s="11" t="s">
        <v>15</v>
      </c>
      <c r="G233" s="9" t="s">
        <v>1088</v>
      </c>
      <c r="H233" s="23">
        <v>45034</v>
      </c>
      <c r="I233" s="12" t="s">
        <v>17</v>
      </c>
      <c r="J233" s="91" t="s">
        <v>821</v>
      </c>
      <c r="K233" s="91">
        <v>45180</v>
      </c>
      <c r="L233" s="10" t="s">
        <v>15</v>
      </c>
      <c r="M233" s="10" t="s">
        <v>15</v>
      </c>
      <c r="N233" s="10"/>
      <c r="O233" s="10"/>
    </row>
    <row r="234" spans="1:15" s="4" customFormat="1" ht="30" x14ac:dyDescent="0.25">
      <c r="A234" s="9" t="s">
        <v>178</v>
      </c>
      <c r="B234" s="13">
        <f>VLOOKUP(Table2[[#This Row],[Location 
(drop-down)]],'List source'!D$2:E$59,2,FALSE)</f>
        <v>150</v>
      </c>
      <c r="C234" s="11" t="s">
        <v>542</v>
      </c>
      <c r="D234" s="127" t="str">
        <f t="shared" si="6"/>
        <v>C233-150-23</v>
      </c>
      <c r="E234" s="127" t="str">
        <f>VLOOKUP(Table2[[#This Row],[Location 
(drop-down)]],Table1[#All],3,FALSE)</f>
        <v>USGC</v>
      </c>
      <c r="F234" s="11" t="s">
        <v>15</v>
      </c>
      <c r="G234" s="9" t="s">
        <v>1089</v>
      </c>
      <c r="H234" s="23">
        <v>45034</v>
      </c>
      <c r="I234" s="12" t="s">
        <v>17</v>
      </c>
      <c r="J234" s="91" t="s">
        <v>821</v>
      </c>
      <c r="K234" s="91">
        <v>45132</v>
      </c>
      <c r="L234" s="10" t="s">
        <v>15</v>
      </c>
      <c r="M234" s="10" t="s">
        <v>15</v>
      </c>
      <c r="N234" s="10" t="s">
        <v>832</v>
      </c>
      <c r="O234" s="10"/>
    </row>
    <row r="235" spans="1:15" s="4" customFormat="1" ht="30" x14ac:dyDescent="0.25">
      <c r="A235" s="9" t="s">
        <v>37</v>
      </c>
      <c r="B235" s="13">
        <f>VLOOKUP(Table2[[#This Row],[Location 
(drop-down)]],'List source'!D$2:E$59,2,FALSE)</f>
        <v>158</v>
      </c>
      <c r="C235" s="11" t="s">
        <v>543</v>
      </c>
      <c r="D235" s="127" t="str">
        <f t="shared" si="6"/>
        <v>C234-158-23</v>
      </c>
      <c r="E235" s="127" t="str">
        <f>VLOOKUP(Table2[[#This Row],[Location 
(drop-down)]],Table1[#All],3,FALSE)</f>
        <v>USGC</v>
      </c>
      <c r="F235" s="11" t="s">
        <v>15</v>
      </c>
      <c r="G235" s="9" t="s">
        <v>1090</v>
      </c>
      <c r="H235" s="23">
        <v>45034</v>
      </c>
      <c r="I235" s="10" t="s">
        <v>17</v>
      </c>
      <c r="J235" s="91" t="s">
        <v>821</v>
      </c>
      <c r="K235" s="100">
        <v>45128</v>
      </c>
      <c r="L235" s="10" t="s">
        <v>15</v>
      </c>
      <c r="M235" s="10" t="s">
        <v>15</v>
      </c>
      <c r="N235" s="10"/>
      <c r="O235" s="10"/>
    </row>
    <row r="236" spans="1:15" s="4" customFormat="1" ht="30" x14ac:dyDescent="0.25">
      <c r="A236" s="9" t="s">
        <v>37</v>
      </c>
      <c r="B236" s="13">
        <f>VLOOKUP(Table2[[#This Row],[Location 
(drop-down)]],'List source'!D$2:E$59,2,FALSE)</f>
        <v>158</v>
      </c>
      <c r="C236" s="11" t="s">
        <v>544</v>
      </c>
      <c r="D236" s="127" t="str">
        <f t="shared" si="6"/>
        <v>C235-158-23</v>
      </c>
      <c r="E236" s="127" t="str">
        <f>VLOOKUP(Table2[[#This Row],[Location 
(drop-down)]],Table1[#All],3,FALSE)</f>
        <v>USGC</v>
      </c>
      <c r="F236" s="11" t="s">
        <v>15</v>
      </c>
      <c r="G236" s="9" t="s">
        <v>1091</v>
      </c>
      <c r="H236" s="23">
        <v>45034</v>
      </c>
      <c r="I236" s="12" t="s">
        <v>17</v>
      </c>
      <c r="J236" s="91" t="s">
        <v>821</v>
      </c>
      <c r="K236" s="91">
        <v>45128</v>
      </c>
      <c r="L236" s="10" t="s">
        <v>15</v>
      </c>
      <c r="M236" s="10" t="s">
        <v>15</v>
      </c>
      <c r="N236" s="10"/>
      <c r="O236" s="10"/>
    </row>
    <row r="237" spans="1:15" s="4" customFormat="1" ht="30" x14ac:dyDescent="0.25">
      <c r="A237" s="9" t="s">
        <v>37</v>
      </c>
      <c r="B237" s="13">
        <f>VLOOKUP(Table2[[#This Row],[Location 
(drop-down)]],'List source'!D$2:E$59,2,FALSE)</f>
        <v>158</v>
      </c>
      <c r="C237" s="11" t="s">
        <v>545</v>
      </c>
      <c r="D237" s="127" t="str">
        <f t="shared" si="6"/>
        <v>C236-158-23</v>
      </c>
      <c r="E237" s="127" t="str">
        <f>VLOOKUP(Table2[[#This Row],[Location 
(drop-down)]],Table1[#All],3,FALSE)</f>
        <v>USGC</v>
      </c>
      <c r="F237" s="11" t="s">
        <v>15</v>
      </c>
      <c r="G237" s="9" t="s">
        <v>1092</v>
      </c>
      <c r="H237" s="23">
        <v>45034</v>
      </c>
      <c r="I237" s="12" t="s">
        <v>17</v>
      </c>
      <c r="J237" s="91" t="s">
        <v>821</v>
      </c>
      <c r="K237" s="91">
        <v>45128</v>
      </c>
      <c r="L237" s="10" t="s">
        <v>15</v>
      </c>
      <c r="M237" s="10" t="s">
        <v>15</v>
      </c>
      <c r="N237" s="10"/>
      <c r="O237" s="10"/>
    </row>
    <row r="238" spans="1:15" s="4" customFormat="1" ht="30" x14ac:dyDescent="0.25">
      <c r="A238" s="9" t="s">
        <v>37</v>
      </c>
      <c r="B238" s="13">
        <f>VLOOKUP(Table2[[#This Row],[Location 
(drop-down)]],'List source'!D$2:E$59,2,FALSE)</f>
        <v>158</v>
      </c>
      <c r="C238" s="11" t="s">
        <v>546</v>
      </c>
      <c r="D238" s="127" t="str">
        <f t="shared" si="6"/>
        <v>C237-158-23</v>
      </c>
      <c r="E238" s="127" t="str">
        <f>VLOOKUP(Table2[[#This Row],[Location 
(drop-down)]],Table1[#All],3,FALSE)</f>
        <v>USGC</v>
      </c>
      <c r="F238" s="11" t="s">
        <v>15</v>
      </c>
      <c r="G238" s="9" t="s">
        <v>1093</v>
      </c>
      <c r="H238" s="23">
        <v>45034</v>
      </c>
      <c r="I238" s="12" t="s">
        <v>17</v>
      </c>
      <c r="J238" s="91" t="s">
        <v>821</v>
      </c>
      <c r="K238" s="91">
        <v>45128</v>
      </c>
      <c r="L238" s="10" t="s">
        <v>15</v>
      </c>
      <c r="M238" s="10" t="s">
        <v>15</v>
      </c>
      <c r="N238" s="10"/>
      <c r="O238" s="10"/>
    </row>
    <row r="239" spans="1:15" s="4" customFormat="1" ht="37.5" x14ac:dyDescent="0.25">
      <c r="A239" s="9" t="s">
        <v>1094</v>
      </c>
      <c r="B239" s="13">
        <f>VLOOKUP(Table2[[#This Row],[Location 
(drop-down)]],'List source'!D$2:E$59,2,FALSE)</f>
        <v>189</v>
      </c>
      <c r="C239" s="11" t="s">
        <v>547</v>
      </c>
      <c r="D239" s="127" t="str">
        <f t="shared" si="6"/>
        <v>C238-189-23</v>
      </c>
      <c r="E239" s="127" t="str">
        <f>VLOOKUP(Table2[[#This Row],[Location 
(drop-down)]],Table1[#All],3,FALSE)</f>
        <v>USNE, USMW &amp; Canada</v>
      </c>
      <c r="F239" s="11" t="s">
        <v>15</v>
      </c>
      <c r="G239" s="9" t="s">
        <v>1095</v>
      </c>
      <c r="H239" s="23">
        <v>45034</v>
      </c>
      <c r="I239" s="12" t="s">
        <v>17</v>
      </c>
      <c r="J239" s="91" t="s">
        <v>821</v>
      </c>
      <c r="K239" s="91">
        <v>45097</v>
      </c>
      <c r="L239" s="10" t="s">
        <v>15</v>
      </c>
      <c r="M239" s="10" t="s">
        <v>15</v>
      </c>
      <c r="N239" s="10"/>
      <c r="O239" s="10"/>
    </row>
    <row r="240" spans="1:15" s="4" customFormat="1" ht="30" x14ac:dyDescent="0.25">
      <c r="A240" s="9" t="s">
        <v>22</v>
      </c>
      <c r="B240" s="13">
        <f>VLOOKUP(Table2[[#This Row],[Location 
(drop-down)]],'List source'!D$2:E$59,2,FALSE)</f>
        <v>130</v>
      </c>
      <c r="C240" s="11" t="s">
        <v>548</v>
      </c>
      <c r="D240" s="127" t="str">
        <f t="shared" si="6"/>
        <v>C239-130-23</v>
      </c>
      <c r="E240" s="127" t="str">
        <f>VLOOKUP(Table2[[#This Row],[Location 
(drop-down)]],Table1[#All],3,FALSE)</f>
        <v>USWC</v>
      </c>
      <c r="F240" s="11" t="s">
        <v>15</v>
      </c>
      <c r="G240" s="9" t="s">
        <v>1096</v>
      </c>
      <c r="H240" s="23">
        <v>45034</v>
      </c>
      <c r="I240" s="12" t="s">
        <v>17</v>
      </c>
      <c r="J240" s="91" t="s">
        <v>821</v>
      </c>
      <c r="K240" s="91">
        <v>45278</v>
      </c>
      <c r="L240" s="10" t="s">
        <v>15</v>
      </c>
      <c r="M240" s="10" t="s">
        <v>15</v>
      </c>
      <c r="N240" s="10" t="s">
        <v>858</v>
      </c>
      <c r="O240" s="10"/>
    </row>
    <row r="241" spans="1:15" s="4" customFormat="1" ht="30" x14ac:dyDescent="0.25">
      <c r="A241" s="9" t="s">
        <v>22</v>
      </c>
      <c r="B241" s="13">
        <f>VLOOKUP(Table2[[#This Row],[Location 
(drop-down)]],'List source'!D$2:E$59,2,FALSE)</f>
        <v>130</v>
      </c>
      <c r="C241" s="11" t="s">
        <v>549</v>
      </c>
      <c r="D241" s="127" t="str">
        <f t="shared" si="6"/>
        <v>C240-130-23</v>
      </c>
      <c r="E241" s="127" t="str">
        <f>VLOOKUP(Table2[[#This Row],[Location 
(drop-down)]],Table1[#All],3,FALSE)</f>
        <v>USWC</v>
      </c>
      <c r="F241" s="11" t="s">
        <v>15</v>
      </c>
      <c r="G241" s="9" t="s">
        <v>1097</v>
      </c>
      <c r="H241" s="23">
        <v>45034</v>
      </c>
      <c r="I241" s="12" t="s">
        <v>17</v>
      </c>
      <c r="J241" s="91" t="s">
        <v>821</v>
      </c>
      <c r="K241" s="91">
        <v>45282</v>
      </c>
      <c r="L241" s="10" t="s">
        <v>15</v>
      </c>
      <c r="M241" s="10" t="s">
        <v>15</v>
      </c>
      <c r="N241" s="10" t="s">
        <v>858</v>
      </c>
      <c r="O241" s="10" t="s">
        <v>1098</v>
      </c>
    </row>
    <row r="242" spans="1:15" s="4" customFormat="1" ht="30" x14ac:dyDescent="0.25">
      <c r="A242" s="9" t="s">
        <v>66</v>
      </c>
      <c r="B242" s="13">
        <f>VLOOKUP(Table2[[#This Row],[Location 
(drop-down)]],'List source'!D$2:E$59,2,FALSE)</f>
        <v>165</v>
      </c>
      <c r="C242" s="11" t="s">
        <v>550</v>
      </c>
      <c r="D242" s="127" t="str">
        <f t="shared" si="6"/>
        <v>C241-165-23</v>
      </c>
      <c r="E242" s="127" t="str">
        <f>VLOOKUP(Table2[[#This Row],[Location 
(drop-down)]],Table1[#All],3,FALSE)</f>
        <v>USGC</v>
      </c>
      <c r="F242" s="11" t="s">
        <v>15</v>
      </c>
      <c r="G242" s="9" t="s">
        <v>1099</v>
      </c>
      <c r="H242" s="23">
        <v>45034</v>
      </c>
      <c r="I242" s="12" t="s">
        <v>17</v>
      </c>
      <c r="J242" s="91" t="s">
        <v>821</v>
      </c>
      <c r="K242" s="93">
        <v>45068</v>
      </c>
      <c r="L242" s="10" t="s">
        <v>15</v>
      </c>
      <c r="M242" s="14" t="s">
        <v>15</v>
      </c>
      <c r="N242" s="14"/>
      <c r="O242" s="9"/>
    </row>
    <row r="243" spans="1:15" s="4" customFormat="1" ht="45" x14ac:dyDescent="0.25">
      <c r="A243" s="9" t="s">
        <v>87</v>
      </c>
      <c r="B243" s="13">
        <f>VLOOKUP(Table2[[#This Row],[Location 
(drop-down)]],'List source'!D$2:E$59,2,FALSE)</f>
        <v>210</v>
      </c>
      <c r="C243" s="11" t="s">
        <v>551</v>
      </c>
      <c r="D243" s="127" t="str">
        <f t="shared" si="6"/>
        <v>C242-210-23</v>
      </c>
      <c r="E243" s="127" t="str">
        <f>VLOOKUP(Table2[[#This Row],[Location 
(drop-down)]],Table1[#All],3,FALSE)</f>
        <v>SE &amp; Caribbean</v>
      </c>
      <c r="F243" s="11" t="s">
        <v>15</v>
      </c>
      <c r="G243" s="9" t="s">
        <v>1100</v>
      </c>
      <c r="H243" s="23">
        <v>45034</v>
      </c>
      <c r="I243" s="12" t="s">
        <v>17</v>
      </c>
      <c r="J243" s="92" t="s">
        <v>821</v>
      </c>
      <c r="K243" s="92">
        <v>45100</v>
      </c>
      <c r="L243" s="10" t="s">
        <v>15</v>
      </c>
      <c r="M243" s="14" t="s">
        <v>15</v>
      </c>
      <c r="N243" s="14"/>
      <c r="O243" s="9"/>
    </row>
    <row r="244" spans="1:15" s="4" customFormat="1" ht="37.5" x14ac:dyDescent="0.25">
      <c r="A244" s="9" t="s">
        <v>873</v>
      </c>
      <c r="B244" s="13">
        <f>VLOOKUP(Table2[[#This Row],[Location 
(drop-down)]],'List source'!D$2:E$59,2,FALSE)</f>
        <v>190</v>
      </c>
      <c r="C244" s="11" t="s">
        <v>552</v>
      </c>
      <c r="D244" s="127" t="str">
        <f t="shared" si="6"/>
        <v>C243-190-23</v>
      </c>
      <c r="E244" s="127" t="str">
        <f>VLOOKUP(Table2[[#This Row],[Location 
(drop-down)]],Table1[#All],3,FALSE)</f>
        <v>SE &amp; Caribbean</v>
      </c>
      <c r="F244" s="11" t="s">
        <v>15</v>
      </c>
      <c r="G244" s="9" t="s">
        <v>1101</v>
      </c>
      <c r="H244" s="23">
        <v>45034</v>
      </c>
      <c r="I244" s="12" t="s">
        <v>17</v>
      </c>
      <c r="J244" s="92" t="s">
        <v>821</v>
      </c>
      <c r="K244" s="93">
        <v>45327</v>
      </c>
      <c r="L244" s="10" t="s">
        <v>15</v>
      </c>
      <c r="M244" s="14" t="s">
        <v>15</v>
      </c>
      <c r="N244" s="14" t="s">
        <v>822</v>
      </c>
      <c r="O244" s="9"/>
    </row>
    <row r="245" spans="1:15" s="4" customFormat="1" ht="30" x14ac:dyDescent="0.25">
      <c r="A245" s="9" t="s">
        <v>61</v>
      </c>
      <c r="B245" s="13">
        <f>VLOOKUP(Table2[[#This Row],[Location 
(drop-down)]],'List source'!D$2:E$59,2,FALSE)</f>
        <v>120</v>
      </c>
      <c r="C245" s="11" t="s">
        <v>553</v>
      </c>
      <c r="D245" s="127" t="str">
        <f t="shared" si="6"/>
        <v>C244-120-23</v>
      </c>
      <c r="E245" s="127" t="str">
        <f>VLOOKUP(Table2[[#This Row],[Location 
(drop-down)]],Table1[#All],3,FALSE)</f>
        <v>USGC</v>
      </c>
      <c r="F245" s="11" t="s">
        <v>15</v>
      </c>
      <c r="G245" s="9" t="s">
        <v>1102</v>
      </c>
      <c r="H245" s="23">
        <v>45034</v>
      </c>
      <c r="I245" s="14" t="s">
        <v>17</v>
      </c>
      <c r="J245" s="91" t="s">
        <v>821</v>
      </c>
      <c r="K245" s="92">
        <v>45072</v>
      </c>
      <c r="L245" s="14" t="s">
        <v>15</v>
      </c>
      <c r="M245" s="14" t="s">
        <v>15</v>
      </c>
      <c r="N245" s="14"/>
      <c r="O245" s="9"/>
    </row>
    <row r="246" spans="1:15" s="4" customFormat="1" ht="30" x14ac:dyDescent="0.25">
      <c r="A246" s="9" t="s">
        <v>57</v>
      </c>
      <c r="B246" s="13">
        <f>VLOOKUP(Table2[[#This Row],[Location 
(drop-down)]],'List source'!D$2:E$59,2,FALSE)</f>
        <v>155</v>
      </c>
      <c r="C246" s="11" t="s">
        <v>554</v>
      </c>
      <c r="D246" s="127" t="str">
        <f t="shared" si="6"/>
        <v>C245-155-23</v>
      </c>
      <c r="E246" s="127" t="str">
        <f>VLOOKUP(Table2[[#This Row],[Location 
(drop-down)]],Table1[#All],3,FALSE)</f>
        <v>USGC</v>
      </c>
      <c r="F246" s="11" t="s">
        <v>15</v>
      </c>
      <c r="G246" s="9" t="s">
        <v>1103</v>
      </c>
      <c r="H246" s="23">
        <v>45034</v>
      </c>
      <c r="I246" s="12" t="s">
        <v>17</v>
      </c>
      <c r="J246" s="91" t="s">
        <v>821</v>
      </c>
      <c r="K246" s="91">
        <v>45099</v>
      </c>
      <c r="L246" s="10" t="s">
        <v>15</v>
      </c>
      <c r="M246" s="10" t="s">
        <v>15</v>
      </c>
      <c r="N246" s="10"/>
      <c r="O246" s="10"/>
    </row>
    <row r="247" spans="1:15" s="4" customFormat="1" ht="30" x14ac:dyDescent="0.25">
      <c r="A247" s="9" t="s">
        <v>66</v>
      </c>
      <c r="B247" s="13">
        <f>VLOOKUP(Table2[[#This Row],[Location 
(drop-down)]],'List source'!D$2:E$59,2,FALSE)</f>
        <v>165</v>
      </c>
      <c r="C247" s="11" t="s">
        <v>555</v>
      </c>
      <c r="D247" s="127" t="str">
        <f t="shared" si="6"/>
        <v>C246-165-23</v>
      </c>
      <c r="E247" s="127" t="str">
        <f>VLOOKUP(Table2[[#This Row],[Location 
(drop-down)]],Table1[#All],3,FALSE)</f>
        <v>USGC</v>
      </c>
      <c r="F247" s="11" t="s">
        <v>15</v>
      </c>
      <c r="G247" s="9" t="s">
        <v>1104</v>
      </c>
      <c r="H247" s="23">
        <v>45034</v>
      </c>
      <c r="I247" s="12" t="s">
        <v>17</v>
      </c>
      <c r="J247" s="91" t="s">
        <v>821</v>
      </c>
      <c r="K247" s="91">
        <v>45145</v>
      </c>
      <c r="L247" s="10" t="s">
        <v>15</v>
      </c>
      <c r="M247" s="10" t="s">
        <v>15</v>
      </c>
      <c r="N247" s="10"/>
      <c r="O247" s="10"/>
    </row>
    <row r="248" spans="1:15" s="4" customFormat="1" ht="30" x14ac:dyDescent="0.25">
      <c r="A248" s="9" t="s">
        <v>61</v>
      </c>
      <c r="B248" s="13">
        <f>VLOOKUP(Table2[[#This Row],[Location 
(drop-down)]],'List source'!D$2:E$59,2,FALSE)</f>
        <v>120</v>
      </c>
      <c r="C248" s="11" t="s">
        <v>556</v>
      </c>
      <c r="D248" s="127" t="str">
        <f t="shared" si="6"/>
        <v>C247-120-23</v>
      </c>
      <c r="E248" s="127" t="str">
        <f>VLOOKUP(Table2[[#This Row],[Location 
(drop-down)]],Table1[#All],3,FALSE)</f>
        <v>USGC</v>
      </c>
      <c r="F248" s="11" t="s">
        <v>15</v>
      </c>
      <c r="G248" s="9" t="s">
        <v>1105</v>
      </c>
      <c r="H248" s="12">
        <v>45034</v>
      </c>
      <c r="I248" s="12" t="s">
        <v>17</v>
      </c>
      <c r="J248" s="91" t="s">
        <v>821</v>
      </c>
      <c r="K248" s="91">
        <v>45093</v>
      </c>
      <c r="L248" s="10" t="s">
        <v>15</v>
      </c>
      <c r="M248" s="10" t="s">
        <v>15</v>
      </c>
      <c r="N248" s="10"/>
      <c r="O248" s="10"/>
    </row>
    <row r="249" spans="1:15" s="4" customFormat="1" ht="30" x14ac:dyDescent="0.25">
      <c r="A249" s="9" t="s">
        <v>66</v>
      </c>
      <c r="B249" s="13">
        <f>VLOOKUP(Table2[[#This Row],[Location 
(drop-down)]],'List source'!D$2:E$59,2,FALSE)</f>
        <v>165</v>
      </c>
      <c r="C249" s="11" t="s">
        <v>557</v>
      </c>
      <c r="D249" s="127" t="str">
        <f t="shared" si="6"/>
        <v>C248-165-23</v>
      </c>
      <c r="E249" s="127" t="str">
        <f>VLOOKUP(Table2[[#This Row],[Location 
(drop-down)]],Table1[#All],3,FALSE)</f>
        <v>USGC</v>
      </c>
      <c r="F249" s="11" t="s">
        <v>15</v>
      </c>
      <c r="G249" s="9" t="s">
        <v>1106</v>
      </c>
      <c r="H249" s="12">
        <v>45034</v>
      </c>
      <c r="I249" s="12" t="s">
        <v>17</v>
      </c>
      <c r="J249" s="91" t="s">
        <v>821</v>
      </c>
      <c r="K249" s="91">
        <v>45132</v>
      </c>
      <c r="L249" s="10" t="s">
        <v>15</v>
      </c>
      <c r="M249" s="10" t="s">
        <v>15</v>
      </c>
      <c r="N249" s="10" t="s">
        <v>822</v>
      </c>
      <c r="O249" s="10"/>
    </row>
    <row r="250" spans="1:15" s="4" customFormat="1" ht="30" x14ac:dyDescent="0.25">
      <c r="A250" s="9" t="s">
        <v>66</v>
      </c>
      <c r="B250" s="13">
        <f>VLOOKUP(Table2[[#This Row],[Location 
(drop-down)]],'List source'!D$2:E$59,2,FALSE)</f>
        <v>165</v>
      </c>
      <c r="C250" s="11" t="s">
        <v>558</v>
      </c>
      <c r="D250" s="127" t="str">
        <f t="shared" si="6"/>
        <v>C249-165-23</v>
      </c>
      <c r="E250" s="127" t="str">
        <f>VLOOKUP(Table2[[#This Row],[Location 
(drop-down)]],Table1[#All],3,FALSE)</f>
        <v>USGC</v>
      </c>
      <c r="F250" s="11" t="s">
        <v>15</v>
      </c>
      <c r="G250" s="9" t="s">
        <v>1107</v>
      </c>
      <c r="H250" s="12">
        <v>45034</v>
      </c>
      <c r="I250" s="12" t="s">
        <v>17</v>
      </c>
      <c r="J250" s="91" t="s">
        <v>821</v>
      </c>
      <c r="K250" s="91">
        <v>45064</v>
      </c>
      <c r="L250" s="10" t="s">
        <v>15</v>
      </c>
      <c r="M250" s="10" t="s">
        <v>15</v>
      </c>
      <c r="N250" s="10" t="s">
        <v>828</v>
      </c>
      <c r="O250" s="10"/>
    </row>
    <row r="251" spans="1:15" s="4" customFormat="1" ht="37.5" x14ac:dyDescent="0.25">
      <c r="A251" s="9" t="s">
        <v>411</v>
      </c>
      <c r="B251" s="13">
        <f>VLOOKUP(Table2[[#This Row],[Location 
(drop-down)]],'List source'!D$2:E$59,2,FALSE)</f>
        <v>185</v>
      </c>
      <c r="C251" s="11" t="s">
        <v>559</v>
      </c>
      <c r="D251" s="127" t="str">
        <f t="shared" si="6"/>
        <v>C250-185-23</v>
      </c>
      <c r="E251" s="127" t="str">
        <f>VLOOKUP(Table2[[#This Row],[Location 
(drop-down)]],Table1[#All],3,FALSE)</f>
        <v>SE &amp; Caribbean</v>
      </c>
      <c r="F251" s="11" t="s">
        <v>94</v>
      </c>
      <c r="G251" s="9" t="s">
        <v>1108</v>
      </c>
      <c r="H251" s="12">
        <v>45034</v>
      </c>
      <c r="I251" s="12" t="s">
        <v>443</v>
      </c>
      <c r="J251" s="91" t="s">
        <v>821</v>
      </c>
      <c r="K251" s="91">
        <v>45062</v>
      </c>
      <c r="L251" s="10" t="s">
        <v>97</v>
      </c>
      <c r="M251" s="10" t="s">
        <v>903</v>
      </c>
      <c r="N251" s="10" t="s">
        <v>858</v>
      </c>
      <c r="O251" s="10"/>
    </row>
    <row r="252" spans="1:15" s="4" customFormat="1" ht="37.5" x14ac:dyDescent="0.25">
      <c r="A252" s="9" t="s">
        <v>411</v>
      </c>
      <c r="B252" s="13">
        <f>VLOOKUP(Table2[[#This Row],[Location 
(drop-down)]],'List source'!D$2:E$59,2,FALSE)</f>
        <v>185</v>
      </c>
      <c r="C252" s="11" t="s">
        <v>560</v>
      </c>
      <c r="D252" s="127" t="str">
        <f t="shared" si="6"/>
        <v>C251-185-23</v>
      </c>
      <c r="E252" s="127" t="str">
        <f>VLOOKUP(Table2[[#This Row],[Location 
(drop-down)]],Table1[#All],3,FALSE)</f>
        <v>SE &amp; Caribbean</v>
      </c>
      <c r="F252" s="11" t="s">
        <v>94</v>
      </c>
      <c r="G252" s="9" t="s">
        <v>1109</v>
      </c>
      <c r="H252" s="12">
        <v>45034</v>
      </c>
      <c r="I252" s="12" t="s">
        <v>443</v>
      </c>
      <c r="J252" s="91" t="s">
        <v>821</v>
      </c>
      <c r="K252" s="91">
        <v>45068</v>
      </c>
      <c r="L252" s="10" t="s">
        <v>97</v>
      </c>
      <c r="M252" s="10"/>
      <c r="N252" s="10"/>
      <c r="O252" s="10"/>
    </row>
    <row r="253" spans="1:15" s="4" customFormat="1" ht="37.5" x14ac:dyDescent="0.25">
      <c r="A253" s="9" t="s">
        <v>411</v>
      </c>
      <c r="B253" s="13">
        <f>VLOOKUP(Table2[[#This Row],[Location 
(drop-down)]],'List source'!D$2:E$59,2,FALSE)</f>
        <v>185</v>
      </c>
      <c r="C253" s="11" t="s">
        <v>561</v>
      </c>
      <c r="D253" s="127" t="str">
        <f t="shared" si="6"/>
        <v>C252-185-23</v>
      </c>
      <c r="E253" s="127" t="str">
        <f>VLOOKUP(Table2[[#This Row],[Location 
(drop-down)]],Table1[#All],3,FALSE)</f>
        <v>SE &amp; Caribbean</v>
      </c>
      <c r="F253" s="11" t="s">
        <v>94</v>
      </c>
      <c r="G253" s="9" t="s">
        <v>1110</v>
      </c>
      <c r="H253" s="12">
        <v>45034</v>
      </c>
      <c r="I253" s="12" t="s">
        <v>443</v>
      </c>
      <c r="J253" s="91" t="s">
        <v>821</v>
      </c>
      <c r="K253" s="91">
        <v>45062</v>
      </c>
      <c r="L253" s="10" t="s">
        <v>97</v>
      </c>
      <c r="M253" s="10" t="s">
        <v>857</v>
      </c>
      <c r="N253" s="10" t="s">
        <v>858</v>
      </c>
      <c r="O253" s="10"/>
    </row>
    <row r="254" spans="1:15" s="4" customFormat="1" ht="37.5" x14ac:dyDescent="0.25">
      <c r="A254" s="9" t="s">
        <v>411</v>
      </c>
      <c r="B254" s="13">
        <f>VLOOKUP(Table2[[#This Row],[Location 
(drop-down)]],'List source'!D$2:E$59,2,FALSE)</f>
        <v>185</v>
      </c>
      <c r="C254" s="11" t="s">
        <v>562</v>
      </c>
      <c r="D254" s="127" t="str">
        <f t="shared" si="6"/>
        <v>C253-185-23</v>
      </c>
      <c r="E254" s="127" t="str">
        <f>VLOOKUP(Table2[[#This Row],[Location 
(drop-down)]],Table1[#All],3,FALSE)</f>
        <v>SE &amp; Caribbean</v>
      </c>
      <c r="F254" s="11" t="s">
        <v>94</v>
      </c>
      <c r="G254" s="108" t="s">
        <v>1111</v>
      </c>
      <c r="H254" s="12">
        <v>45034</v>
      </c>
      <c r="I254" s="12" t="s">
        <v>443</v>
      </c>
      <c r="J254" s="91" t="s">
        <v>821</v>
      </c>
      <c r="K254" s="91">
        <v>45062</v>
      </c>
      <c r="L254" s="10" t="s">
        <v>97</v>
      </c>
      <c r="M254" s="10" t="s">
        <v>854</v>
      </c>
      <c r="N254" s="10" t="s">
        <v>822</v>
      </c>
      <c r="O254" s="10"/>
    </row>
    <row r="255" spans="1:15" s="4" customFormat="1" ht="37.5" x14ac:dyDescent="0.25">
      <c r="A255" s="9" t="s">
        <v>411</v>
      </c>
      <c r="B255" s="13">
        <f>VLOOKUP(Table2[[#This Row],[Location 
(drop-down)]],'List source'!D$2:E$59,2,FALSE)</f>
        <v>185</v>
      </c>
      <c r="C255" s="11" t="s">
        <v>563</v>
      </c>
      <c r="D255" s="127" t="str">
        <f t="shared" si="6"/>
        <v>C254-185-23</v>
      </c>
      <c r="E255" s="127" t="str">
        <f>VLOOKUP(Table2[[#This Row],[Location 
(drop-down)]],Table1[#All],3,FALSE)</f>
        <v>SE &amp; Caribbean</v>
      </c>
      <c r="F255" s="11" t="s">
        <v>94</v>
      </c>
      <c r="G255" s="108" t="s">
        <v>1112</v>
      </c>
      <c r="H255" s="12">
        <v>45034</v>
      </c>
      <c r="I255" s="12" t="s">
        <v>443</v>
      </c>
      <c r="J255" s="91" t="s">
        <v>821</v>
      </c>
      <c r="K255" s="91">
        <v>45071</v>
      </c>
      <c r="L255" s="10" t="s">
        <v>97</v>
      </c>
      <c r="M255" s="10" t="s">
        <v>854</v>
      </c>
      <c r="N255" s="10" t="s">
        <v>858</v>
      </c>
      <c r="O255" s="10"/>
    </row>
    <row r="256" spans="1:15" s="4" customFormat="1" ht="37.5" x14ac:dyDescent="0.25">
      <c r="A256" s="9" t="s">
        <v>87</v>
      </c>
      <c r="B256" s="13">
        <f>VLOOKUP(Table2[[#This Row],[Location 
(drop-down)]],'List source'!D$2:E$59,2,FALSE)</f>
        <v>210</v>
      </c>
      <c r="C256" s="11" t="s">
        <v>564</v>
      </c>
      <c r="D256" s="127" t="str">
        <f t="shared" si="6"/>
        <v>C255-210-23</v>
      </c>
      <c r="E256" s="127" t="str">
        <f>VLOOKUP(Table2[[#This Row],[Location 
(drop-down)]],Table1[#All],3,FALSE)</f>
        <v>SE &amp; Caribbean</v>
      </c>
      <c r="F256" s="11" t="s">
        <v>15</v>
      </c>
      <c r="G256" s="123" t="s">
        <v>1113</v>
      </c>
      <c r="H256" s="12">
        <v>45044</v>
      </c>
      <c r="I256" s="12" t="s">
        <v>17</v>
      </c>
      <c r="J256" s="91" t="s">
        <v>821</v>
      </c>
      <c r="K256" s="91">
        <v>45078</v>
      </c>
      <c r="L256" s="10" t="s">
        <v>15</v>
      </c>
      <c r="M256" s="10" t="s">
        <v>15</v>
      </c>
      <c r="N256" s="10"/>
      <c r="O256" s="10"/>
    </row>
    <row r="257" spans="1:15" s="4" customFormat="1" ht="37.5" x14ac:dyDescent="0.25">
      <c r="A257" s="9" t="s">
        <v>79</v>
      </c>
      <c r="B257" s="13">
        <f>VLOOKUP(Table2[[#This Row],[Location 
(drop-down)]],'List source'!D$2:E$59,2,FALSE)</f>
        <v>141</v>
      </c>
      <c r="C257" s="11" t="s">
        <v>565</v>
      </c>
      <c r="D257" s="127" t="str">
        <f t="shared" si="6"/>
        <v>C256-141-23</v>
      </c>
      <c r="E257" s="127" t="str">
        <f>VLOOKUP(Table2[[#This Row],[Location 
(drop-down)]],Table1[#All],3,FALSE)</f>
        <v>USNE, USMW &amp; Canada</v>
      </c>
      <c r="F257" s="11" t="s">
        <v>15</v>
      </c>
      <c r="G257" s="123" t="s">
        <v>1114</v>
      </c>
      <c r="H257" s="12">
        <v>45044</v>
      </c>
      <c r="I257" s="12" t="s">
        <v>17</v>
      </c>
      <c r="J257" s="91" t="s">
        <v>821</v>
      </c>
      <c r="K257" s="91">
        <v>45070</v>
      </c>
      <c r="L257" s="10" t="s">
        <v>15</v>
      </c>
      <c r="M257" s="10" t="s">
        <v>15</v>
      </c>
      <c r="N257" s="10" t="s">
        <v>910</v>
      </c>
      <c r="O257" s="10"/>
    </row>
    <row r="258" spans="1:15" s="4" customFormat="1" ht="37.5" x14ac:dyDescent="0.25">
      <c r="A258" s="9" t="s">
        <v>72</v>
      </c>
      <c r="B258" s="13">
        <f>VLOOKUP(Table2[[#This Row],[Location 
(drop-down)]],'List source'!D$2:E$59,2,FALSE)</f>
        <v>197</v>
      </c>
      <c r="C258" s="11" t="s">
        <v>566</v>
      </c>
      <c r="D258" s="127" t="str">
        <f t="shared" si="6"/>
        <v>C257-197-23</v>
      </c>
      <c r="E258" s="127" t="str">
        <f>VLOOKUP(Table2[[#This Row],[Location 
(drop-down)]],Table1[#All],3,FALSE)</f>
        <v>USNE, USMW &amp; Canada</v>
      </c>
      <c r="F258" s="11" t="s">
        <v>15</v>
      </c>
      <c r="G258" s="9" t="s">
        <v>1115</v>
      </c>
      <c r="H258" s="12">
        <v>45044</v>
      </c>
      <c r="I258" s="12" t="s">
        <v>17</v>
      </c>
      <c r="J258" s="91" t="s">
        <v>821</v>
      </c>
      <c r="K258" s="91">
        <v>45587</v>
      </c>
      <c r="L258" s="10" t="s">
        <v>15</v>
      </c>
      <c r="M258" s="10" t="s">
        <v>15</v>
      </c>
      <c r="N258" s="10"/>
      <c r="O258" s="10"/>
    </row>
    <row r="259" spans="1:15" s="4" customFormat="1" ht="37.5" x14ac:dyDescent="0.25">
      <c r="A259" s="9" t="s">
        <v>324</v>
      </c>
      <c r="B259" s="13">
        <f>VLOOKUP(Table2[[#This Row],[Location 
(drop-down)]],'List source'!D$2:E$59,2,FALSE)</f>
        <v>170</v>
      </c>
      <c r="C259" s="11" t="s">
        <v>567</v>
      </c>
      <c r="D259" s="127" t="str">
        <f t="shared" si="6"/>
        <v>C258-170-23</v>
      </c>
      <c r="E259" s="127" t="str">
        <f>VLOOKUP(Table2[[#This Row],[Location 
(drop-down)]],Table1[#All],3,FALSE)</f>
        <v>SE &amp; Caribbean</v>
      </c>
      <c r="F259" s="11" t="s">
        <v>852</v>
      </c>
      <c r="G259" s="185" t="s">
        <v>1116</v>
      </c>
      <c r="H259" s="12">
        <v>45044</v>
      </c>
      <c r="I259" s="12" t="s">
        <v>129</v>
      </c>
      <c r="J259" s="91" t="s">
        <v>821</v>
      </c>
      <c r="K259" s="91">
        <v>45110</v>
      </c>
      <c r="L259" s="10" t="s">
        <v>97</v>
      </c>
      <c r="M259" s="10" t="s">
        <v>857</v>
      </c>
      <c r="N259" s="10" t="s">
        <v>822</v>
      </c>
      <c r="O259" s="10"/>
    </row>
    <row r="260" spans="1:15" s="4" customFormat="1" ht="45" x14ac:dyDescent="0.25">
      <c r="A260" s="9" t="s">
        <v>1117</v>
      </c>
      <c r="B260" s="13">
        <f>VLOOKUP(Table2[[#This Row],[Location 
(drop-down)]],'List source'!D$2:E$59,2,FALSE)</f>
        <v>154</v>
      </c>
      <c r="C260" s="11" t="s">
        <v>568</v>
      </c>
      <c r="D260" s="127" t="str">
        <f t="shared" si="6"/>
        <v>C259-154-23</v>
      </c>
      <c r="E260" s="127" t="str">
        <f>VLOOKUP(Table2[[#This Row],[Location 
(drop-down)]],Table1[#All],3,FALSE)</f>
        <v>USGC</v>
      </c>
      <c r="F260" s="11" t="s">
        <v>269</v>
      </c>
      <c r="G260" s="9" t="s">
        <v>1118</v>
      </c>
      <c r="H260" s="12">
        <v>45047</v>
      </c>
      <c r="I260" s="12" t="s">
        <v>129</v>
      </c>
      <c r="J260" s="91" t="s">
        <v>821</v>
      </c>
      <c r="K260" s="91">
        <v>45047</v>
      </c>
      <c r="L260" s="10" t="s">
        <v>97</v>
      </c>
      <c r="M260" s="10" t="s">
        <v>857</v>
      </c>
      <c r="N260" s="10" t="s">
        <v>858</v>
      </c>
      <c r="O260" s="10" t="s">
        <v>1119</v>
      </c>
    </row>
    <row r="261" spans="1:15" s="4" customFormat="1" ht="37.5" x14ac:dyDescent="0.25">
      <c r="A261" s="9" t="s">
        <v>52</v>
      </c>
      <c r="B261" s="13">
        <f>VLOOKUP(Table2[[#This Row],[Location 
(drop-down)]],'List source'!D$2:E$59,2,FALSE)</f>
        <v>127</v>
      </c>
      <c r="C261" s="11" t="s">
        <v>569</v>
      </c>
      <c r="D261" s="127" t="str">
        <f t="shared" si="6"/>
        <v>C260-127-23</v>
      </c>
      <c r="E261" s="127" t="str">
        <f>VLOOKUP(Table2[[#This Row],[Location 
(drop-down)]],Table1[#All],3,FALSE)</f>
        <v>SE &amp; Caribbean</v>
      </c>
      <c r="F261" s="11" t="s">
        <v>15</v>
      </c>
      <c r="G261" s="120" t="s">
        <v>1120</v>
      </c>
      <c r="H261" s="12">
        <v>45048</v>
      </c>
      <c r="I261" s="12" t="s">
        <v>17</v>
      </c>
      <c r="J261" s="91" t="s">
        <v>821</v>
      </c>
      <c r="K261" s="91">
        <v>45100</v>
      </c>
      <c r="L261" s="10" t="s">
        <v>15</v>
      </c>
      <c r="M261" s="10" t="s">
        <v>15</v>
      </c>
      <c r="N261" s="10" t="s">
        <v>910</v>
      </c>
      <c r="O261" s="10"/>
    </row>
    <row r="262" spans="1:15" s="4" customFormat="1" ht="30" x14ac:dyDescent="0.25">
      <c r="A262" s="9" t="s">
        <v>22</v>
      </c>
      <c r="B262" s="13">
        <f>VLOOKUP(Table2[[#This Row],[Location 
(drop-down)]],'List source'!D$2:E$59,2,FALSE)</f>
        <v>130</v>
      </c>
      <c r="C262" s="11" t="s">
        <v>570</v>
      </c>
      <c r="D262" s="127" t="str">
        <f t="shared" si="6"/>
        <v>C261-130-23</v>
      </c>
      <c r="E262" s="127" t="str">
        <f>VLOOKUP(Table2[[#This Row],[Location 
(drop-down)]],Table1[#All],3,FALSE)</f>
        <v>USWC</v>
      </c>
      <c r="F262" s="11" t="s">
        <v>94</v>
      </c>
      <c r="G262" s="120" t="s">
        <v>1121</v>
      </c>
      <c r="H262" s="12">
        <v>45049</v>
      </c>
      <c r="I262" s="12" t="s">
        <v>435</v>
      </c>
      <c r="J262" s="91" t="s">
        <v>821</v>
      </c>
      <c r="K262" s="91">
        <v>45245</v>
      </c>
      <c r="L262" s="10" t="s">
        <v>147</v>
      </c>
      <c r="M262" s="10" t="s">
        <v>857</v>
      </c>
      <c r="N262" s="10" t="s">
        <v>822</v>
      </c>
      <c r="O262" s="10"/>
    </row>
    <row r="263" spans="1:15" s="4" customFormat="1" ht="30" x14ac:dyDescent="0.25">
      <c r="A263" s="9" t="s">
        <v>22</v>
      </c>
      <c r="B263" s="13">
        <f>VLOOKUP(Table2[[#This Row],[Location 
(drop-down)]],'List source'!D$2:E$59,2,FALSE)</f>
        <v>130</v>
      </c>
      <c r="C263" s="11" t="s">
        <v>571</v>
      </c>
      <c r="D263" s="127" t="str">
        <f t="shared" si="6"/>
        <v>C262-130-23</v>
      </c>
      <c r="E263" s="127" t="str">
        <f>VLOOKUP(Table2[[#This Row],[Location 
(drop-down)]],Table1[#All],3,FALSE)</f>
        <v>USWC</v>
      </c>
      <c r="F263" s="11" t="s">
        <v>94</v>
      </c>
      <c r="G263" s="120" t="s">
        <v>1122</v>
      </c>
      <c r="H263" s="12">
        <v>45049</v>
      </c>
      <c r="I263" s="12" t="s">
        <v>435</v>
      </c>
      <c r="J263" s="91" t="s">
        <v>821</v>
      </c>
      <c r="K263" s="91">
        <v>45385</v>
      </c>
      <c r="L263" s="10" t="s">
        <v>147</v>
      </c>
      <c r="M263" s="10" t="s">
        <v>862</v>
      </c>
      <c r="N263" s="10" t="s">
        <v>822</v>
      </c>
      <c r="O263" s="10"/>
    </row>
    <row r="264" spans="1:15" s="4" customFormat="1" ht="30" x14ac:dyDescent="0.25">
      <c r="A264" s="9" t="s">
        <v>22</v>
      </c>
      <c r="B264" s="13">
        <f>VLOOKUP(Table2[[#This Row],[Location 
(drop-down)]],'List source'!D$2:E$59,2,FALSE)</f>
        <v>130</v>
      </c>
      <c r="C264" s="11" t="s">
        <v>572</v>
      </c>
      <c r="D264" s="127" t="str">
        <f t="shared" si="6"/>
        <v>C263-130-23</v>
      </c>
      <c r="E264" s="127" t="str">
        <f>VLOOKUP(Table2[[#This Row],[Location 
(drop-down)]],Table1[#All],3,FALSE)</f>
        <v>USWC</v>
      </c>
      <c r="F264" s="11" t="s">
        <v>94</v>
      </c>
      <c r="G264" s="120" t="s">
        <v>870</v>
      </c>
      <c r="H264" s="12">
        <v>45049</v>
      </c>
      <c r="I264" s="12" t="s">
        <v>435</v>
      </c>
      <c r="J264" s="91" t="s">
        <v>821</v>
      </c>
      <c r="K264" s="91">
        <v>45436</v>
      </c>
      <c r="L264" s="10" t="s">
        <v>147</v>
      </c>
      <c r="M264" s="10"/>
      <c r="N264" s="10"/>
      <c r="O264" s="10"/>
    </row>
    <row r="265" spans="1:15" s="4" customFormat="1" ht="30" x14ac:dyDescent="0.25">
      <c r="A265" s="9" t="s">
        <v>22</v>
      </c>
      <c r="B265" s="13">
        <f>VLOOKUP(Table2[[#This Row],[Location 
(drop-down)]],'List source'!D$2:E$59,2,FALSE)</f>
        <v>130</v>
      </c>
      <c r="C265" s="11" t="s">
        <v>573</v>
      </c>
      <c r="D265" s="127" t="str">
        <f t="shared" si="6"/>
        <v>C264-130-23</v>
      </c>
      <c r="E265" s="127" t="str">
        <f>VLOOKUP(Table2[[#This Row],[Location 
(drop-down)]],Table1[#All],3,FALSE)</f>
        <v>USWC</v>
      </c>
      <c r="F265" s="11" t="s">
        <v>94</v>
      </c>
      <c r="G265" s="120" t="s">
        <v>1123</v>
      </c>
      <c r="H265" s="12">
        <v>45049</v>
      </c>
      <c r="I265" s="12" t="s">
        <v>435</v>
      </c>
      <c r="J265" s="91" t="s">
        <v>821</v>
      </c>
      <c r="K265" s="91">
        <v>45327</v>
      </c>
      <c r="L265" s="10" t="s">
        <v>913</v>
      </c>
      <c r="M265" s="10" t="s">
        <v>857</v>
      </c>
      <c r="N265" s="10" t="s">
        <v>822</v>
      </c>
      <c r="O265" s="10"/>
    </row>
    <row r="266" spans="1:15" s="4" customFormat="1" ht="37.5" x14ac:dyDescent="0.25">
      <c r="A266" s="9" t="s">
        <v>131</v>
      </c>
      <c r="B266" s="13" t="str">
        <f>VLOOKUP(Table2[[#This Row],[Location 
(drop-down)]],'List source'!D$2:E$59,2,FALSE)</f>
        <v>VOID</v>
      </c>
      <c r="C266" s="11" t="s">
        <v>574</v>
      </c>
      <c r="D266" s="127" t="str">
        <f t="shared" si="6"/>
        <v>C265-VOID-23</v>
      </c>
      <c r="E266" s="127" t="str">
        <f>VLOOKUP(Table2[[#This Row],[Location 
(drop-down)]],Table1[#All],3,FALSE)</f>
        <v>VOID</v>
      </c>
      <c r="F266" s="11" t="s">
        <v>50</v>
      </c>
      <c r="G266" s="120" t="s">
        <v>1124</v>
      </c>
      <c r="H266" s="12" t="s">
        <v>50</v>
      </c>
      <c r="I266" s="12" t="s">
        <v>50</v>
      </c>
      <c r="J266" s="91" t="s">
        <v>50</v>
      </c>
      <c r="K266" s="91" t="s">
        <v>50</v>
      </c>
      <c r="L266" s="10" t="s">
        <v>50</v>
      </c>
      <c r="M266" s="10" t="s">
        <v>50</v>
      </c>
      <c r="N266" s="10" t="s">
        <v>50</v>
      </c>
      <c r="O266" s="10"/>
    </row>
    <row r="267" spans="1:15" s="4" customFormat="1" ht="30" x14ac:dyDescent="0.25">
      <c r="A267" s="9" t="s">
        <v>22</v>
      </c>
      <c r="B267" s="13">
        <f>VLOOKUP(Table2[[#This Row],[Location 
(drop-down)]],'List source'!D$2:E$59,2,FALSE)</f>
        <v>130</v>
      </c>
      <c r="C267" s="11" t="s">
        <v>575</v>
      </c>
      <c r="D267" s="127" t="str">
        <f t="shared" si="6"/>
        <v>C266-130-23</v>
      </c>
      <c r="E267" s="127" t="str">
        <f>VLOOKUP(Table2[[#This Row],[Location 
(drop-down)]],Table1[#All],3,FALSE)</f>
        <v>USWC</v>
      </c>
      <c r="F267" s="11" t="s">
        <v>94</v>
      </c>
      <c r="G267" s="120" t="s">
        <v>1125</v>
      </c>
      <c r="H267" s="12">
        <v>45049</v>
      </c>
      <c r="I267" s="12" t="s">
        <v>435</v>
      </c>
      <c r="J267" s="91" t="s">
        <v>821</v>
      </c>
      <c r="K267" s="91">
        <v>45327</v>
      </c>
      <c r="L267" s="10" t="s">
        <v>147</v>
      </c>
      <c r="M267" s="10" t="s">
        <v>914</v>
      </c>
      <c r="N267" s="10" t="s">
        <v>858</v>
      </c>
      <c r="O267" s="10"/>
    </row>
    <row r="268" spans="1:15" s="4" customFormat="1" ht="30" x14ac:dyDescent="0.25">
      <c r="A268" s="9" t="s">
        <v>22</v>
      </c>
      <c r="B268" s="13">
        <f>VLOOKUP(Table2[[#This Row],[Location 
(drop-down)]],'List source'!D$2:E$59,2,FALSE)</f>
        <v>130</v>
      </c>
      <c r="C268" s="11" t="s">
        <v>576</v>
      </c>
      <c r="D268" s="127" t="str">
        <f t="shared" si="6"/>
        <v>C267-130-23</v>
      </c>
      <c r="E268" s="127" t="str">
        <f>VLOOKUP(Table2[[#This Row],[Location 
(drop-down)]],Table1[#All],3,FALSE)</f>
        <v>USWC</v>
      </c>
      <c r="F268" s="11" t="s">
        <v>94</v>
      </c>
      <c r="G268" s="120" t="s">
        <v>1126</v>
      </c>
      <c r="H268" s="12">
        <v>45049</v>
      </c>
      <c r="I268" s="12" t="s">
        <v>435</v>
      </c>
      <c r="J268" s="91" t="s">
        <v>821</v>
      </c>
      <c r="K268" s="91">
        <v>45203</v>
      </c>
      <c r="L268" s="10" t="s">
        <v>97</v>
      </c>
      <c r="M268" s="10" t="s">
        <v>857</v>
      </c>
      <c r="N268" s="10" t="s">
        <v>881</v>
      </c>
      <c r="O268" s="10"/>
    </row>
    <row r="269" spans="1:15" s="4" customFormat="1" ht="30" x14ac:dyDescent="0.25">
      <c r="A269" s="9" t="s">
        <v>22</v>
      </c>
      <c r="B269" s="13">
        <f>VLOOKUP(Table2[[#This Row],[Location 
(drop-down)]],'List source'!D$2:E$59,2,FALSE)</f>
        <v>130</v>
      </c>
      <c r="C269" s="11" t="s">
        <v>577</v>
      </c>
      <c r="D269" s="127" t="str">
        <f t="shared" si="6"/>
        <v>C268-130-23</v>
      </c>
      <c r="E269" s="127" t="str">
        <f>VLOOKUP(Table2[[#This Row],[Location 
(drop-down)]],Table1[#All],3,FALSE)</f>
        <v>USWC</v>
      </c>
      <c r="F269" s="11" t="s">
        <v>94</v>
      </c>
      <c r="G269" s="120" t="s">
        <v>1127</v>
      </c>
      <c r="H269" s="12">
        <v>45049</v>
      </c>
      <c r="I269" s="12" t="s">
        <v>435</v>
      </c>
      <c r="J269" s="91" t="s">
        <v>821</v>
      </c>
      <c r="K269" s="91">
        <v>45267</v>
      </c>
      <c r="L269" s="10" t="s">
        <v>97</v>
      </c>
      <c r="M269" s="10" t="s">
        <v>862</v>
      </c>
      <c r="N269" s="10" t="s">
        <v>822</v>
      </c>
      <c r="O269" s="10"/>
    </row>
    <row r="270" spans="1:15" s="4" customFormat="1" ht="30" x14ac:dyDescent="0.25">
      <c r="A270" s="9" t="s">
        <v>22</v>
      </c>
      <c r="B270" s="13">
        <f>VLOOKUP(Table2[[#This Row],[Location 
(drop-down)]],'List source'!D$2:E$59,2,FALSE)</f>
        <v>130</v>
      </c>
      <c r="C270" s="11" t="s">
        <v>578</v>
      </c>
      <c r="D270" s="127" t="str">
        <f t="shared" si="6"/>
        <v>C269-130-23</v>
      </c>
      <c r="E270" s="127" t="str">
        <f>VLOOKUP(Table2[[#This Row],[Location 
(drop-down)]],Table1[#All],3,FALSE)</f>
        <v>USWC</v>
      </c>
      <c r="F270" s="11" t="s">
        <v>94</v>
      </c>
      <c r="G270" s="120" t="s">
        <v>1128</v>
      </c>
      <c r="H270" s="12">
        <v>45049</v>
      </c>
      <c r="I270" s="12" t="s">
        <v>435</v>
      </c>
      <c r="J270" s="91" t="s">
        <v>821</v>
      </c>
      <c r="K270" s="91">
        <v>45267</v>
      </c>
      <c r="L270" s="10" t="s">
        <v>97</v>
      </c>
      <c r="M270" s="10" t="s">
        <v>862</v>
      </c>
      <c r="N270" s="10" t="s">
        <v>858</v>
      </c>
      <c r="O270" s="10"/>
    </row>
    <row r="271" spans="1:15" s="4" customFormat="1" ht="30" x14ac:dyDescent="0.25">
      <c r="A271" s="9" t="s">
        <v>22</v>
      </c>
      <c r="B271" s="13">
        <f>VLOOKUP(Table2[[#This Row],[Location 
(drop-down)]],'List source'!D$2:E$59,2,FALSE)</f>
        <v>130</v>
      </c>
      <c r="C271" s="11" t="s">
        <v>579</v>
      </c>
      <c r="D271" s="127" t="str">
        <f t="shared" si="6"/>
        <v>C270-130-23</v>
      </c>
      <c r="E271" s="127" t="str">
        <f>VLOOKUP(Table2[[#This Row],[Location 
(drop-down)]],Table1[#All],3,FALSE)</f>
        <v>USWC</v>
      </c>
      <c r="F271" s="11" t="s">
        <v>94</v>
      </c>
      <c r="G271" s="120" t="s">
        <v>1129</v>
      </c>
      <c r="H271" s="12">
        <v>45049</v>
      </c>
      <c r="I271" s="12" t="s">
        <v>435</v>
      </c>
      <c r="J271" s="91" t="s">
        <v>821</v>
      </c>
      <c r="K271" s="91">
        <v>45267</v>
      </c>
      <c r="L271" s="10" t="s">
        <v>97</v>
      </c>
      <c r="M271" s="10" t="s">
        <v>903</v>
      </c>
      <c r="N271" s="10" t="s">
        <v>832</v>
      </c>
      <c r="O271" s="10"/>
    </row>
    <row r="272" spans="1:15" s="4" customFormat="1" ht="30" x14ac:dyDescent="0.25">
      <c r="A272" s="9" t="s">
        <v>22</v>
      </c>
      <c r="B272" s="13">
        <f>VLOOKUP(Table2[[#This Row],[Location 
(drop-down)]],'List source'!D$2:E$59,2,FALSE)</f>
        <v>130</v>
      </c>
      <c r="C272" s="11" t="s">
        <v>580</v>
      </c>
      <c r="D272" s="127" t="str">
        <f t="shared" si="6"/>
        <v>C271-130-23</v>
      </c>
      <c r="E272" s="127" t="str">
        <f>VLOOKUP(Table2[[#This Row],[Location 
(drop-down)]],Table1[#All],3,FALSE)</f>
        <v>USWC</v>
      </c>
      <c r="F272" s="11" t="s">
        <v>94</v>
      </c>
      <c r="G272" s="120" t="s">
        <v>1130</v>
      </c>
      <c r="H272" s="12">
        <v>45049</v>
      </c>
      <c r="I272" s="12" t="s">
        <v>435</v>
      </c>
      <c r="J272" s="91" t="s">
        <v>821</v>
      </c>
      <c r="K272" s="91">
        <v>45267</v>
      </c>
      <c r="L272" s="10" t="s">
        <v>97</v>
      </c>
      <c r="M272" s="10" t="s">
        <v>857</v>
      </c>
      <c r="N272" s="10" t="s">
        <v>858</v>
      </c>
      <c r="O272" s="10"/>
    </row>
    <row r="273" spans="1:15" s="4" customFormat="1" ht="30" x14ac:dyDescent="0.25">
      <c r="A273" s="9" t="s">
        <v>22</v>
      </c>
      <c r="B273" s="13">
        <f>VLOOKUP(Table2[[#This Row],[Location 
(drop-down)]],'List source'!D$2:E$59,2,FALSE)</f>
        <v>130</v>
      </c>
      <c r="C273" s="11" t="s">
        <v>581</v>
      </c>
      <c r="D273" s="127" t="str">
        <f t="shared" si="6"/>
        <v>C272-130-23</v>
      </c>
      <c r="E273" s="127" t="str">
        <f>VLOOKUP(Table2[[#This Row],[Location 
(drop-down)]],Table1[#All],3,FALSE)</f>
        <v>USWC</v>
      </c>
      <c r="F273" s="11" t="s">
        <v>94</v>
      </c>
      <c r="G273" s="120" t="s">
        <v>1131</v>
      </c>
      <c r="H273" s="12">
        <v>45049</v>
      </c>
      <c r="I273" s="12" t="s">
        <v>435</v>
      </c>
      <c r="J273" s="91" t="s">
        <v>821</v>
      </c>
      <c r="K273" s="91">
        <v>45337</v>
      </c>
      <c r="L273" s="10" t="s">
        <v>97</v>
      </c>
      <c r="M273" s="10" t="s">
        <v>857</v>
      </c>
      <c r="N273" s="10" t="s">
        <v>822</v>
      </c>
      <c r="O273" s="10"/>
    </row>
    <row r="274" spans="1:15" s="4" customFormat="1" ht="30" x14ac:dyDescent="0.25">
      <c r="A274" s="9" t="s">
        <v>22</v>
      </c>
      <c r="B274" s="13">
        <f>VLOOKUP(Table2[[#This Row],[Location 
(drop-down)]],'List source'!D$2:E$59,2,FALSE)</f>
        <v>130</v>
      </c>
      <c r="C274" s="11" t="s">
        <v>582</v>
      </c>
      <c r="D274" s="357" t="str">
        <f t="shared" si="6"/>
        <v>C273-130-23</v>
      </c>
      <c r="E274" s="127" t="str">
        <f>VLOOKUP(Table2[[#This Row],[Location 
(drop-down)]],Table1[#All],3,FALSE)</f>
        <v>USWC</v>
      </c>
      <c r="F274" s="351" t="s">
        <v>94</v>
      </c>
      <c r="G274" s="358" t="s">
        <v>1132</v>
      </c>
      <c r="H274" s="352">
        <v>45049</v>
      </c>
      <c r="I274" s="352" t="s">
        <v>435</v>
      </c>
      <c r="J274" s="318" t="s">
        <v>821</v>
      </c>
      <c r="K274" s="318">
        <v>45562</v>
      </c>
      <c r="L274" s="359" t="s">
        <v>97</v>
      </c>
      <c r="M274" s="10" t="s">
        <v>857</v>
      </c>
      <c r="N274" s="10" t="s">
        <v>822</v>
      </c>
      <c r="O274" s="10"/>
    </row>
    <row r="275" spans="1:15" s="4" customFormat="1" ht="30" x14ac:dyDescent="0.25">
      <c r="A275" s="9" t="s">
        <v>22</v>
      </c>
      <c r="B275" s="13">
        <f>VLOOKUP(Table2[[#This Row],[Location 
(drop-down)]],'List source'!D$2:E$59,2,FALSE)</f>
        <v>130</v>
      </c>
      <c r="C275" s="11" t="s">
        <v>583</v>
      </c>
      <c r="D275" s="127" t="str">
        <f t="shared" si="6"/>
        <v>C274-130-23</v>
      </c>
      <c r="E275" s="127" t="str">
        <f>VLOOKUP(Table2[[#This Row],[Location 
(drop-down)]],Table1[#All],3,FALSE)</f>
        <v>USWC</v>
      </c>
      <c r="F275" s="11" t="s">
        <v>94</v>
      </c>
      <c r="G275" s="107" t="s">
        <v>1133</v>
      </c>
      <c r="H275" s="12">
        <v>45049</v>
      </c>
      <c r="I275" s="12" t="s">
        <v>435</v>
      </c>
      <c r="J275" s="91" t="s">
        <v>821</v>
      </c>
      <c r="K275" s="91">
        <v>45260</v>
      </c>
      <c r="L275" s="10" t="s">
        <v>97</v>
      </c>
      <c r="M275" s="10" t="s">
        <v>857</v>
      </c>
      <c r="N275" s="10" t="s">
        <v>837</v>
      </c>
      <c r="O275" s="10"/>
    </row>
    <row r="276" spans="1:15" s="4" customFormat="1" ht="30" x14ac:dyDescent="0.25">
      <c r="A276" s="9" t="s">
        <v>22</v>
      </c>
      <c r="B276" s="13">
        <f>VLOOKUP(Table2[[#This Row],[Location 
(drop-down)]],'List source'!D$2:E$59,2,FALSE)</f>
        <v>130</v>
      </c>
      <c r="C276" s="11" t="s">
        <v>584</v>
      </c>
      <c r="D276" s="127" t="str">
        <f t="shared" si="6"/>
        <v>C275-130-23</v>
      </c>
      <c r="E276" s="127" t="str">
        <f>VLOOKUP(Table2[[#This Row],[Location 
(drop-down)]],Table1[#All],3,FALSE)</f>
        <v>USWC</v>
      </c>
      <c r="F276" s="11" t="s">
        <v>94</v>
      </c>
      <c r="G276" s="9" t="s">
        <v>1134</v>
      </c>
      <c r="H276" s="12">
        <v>45049</v>
      </c>
      <c r="I276" s="12" t="s">
        <v>435</v>
      </c>
      <c r="J276" s="11" t="s">
        <v>821</v>
      </c>
      <c r="K276" s="91">
        <v>45210</v>
      </c>
      <c r="L276" s="10" t="s">
        <v>97</v>
      </c>
      <c r="M276" s="10" t="s">
        <v>857</v>
      </c>
      <c r="N276" s="10" t="s">
        <v>837</v>
      </c>
      <c r="O276" s="10"/>
    </row>
    <row r="277" spans="1:15" s="4" customFormat="1" ht="37.5" x14ac:dyDescent="0.25">
      <c r="A277" s="9" t="s">
        <v>131</v>
      </c>
      <c r="B277" s="13" t="str">
        <f>VLOOKUP(Table2[[#This Row],[Location 
(drop-down)]],'List source'!D$2:E$59,2,FALSE)</f>
        <v>VOID</v>
      </c>
      <c r="C277" s="11" t="s">
        <v>585</v>
      </c>
      <c r="D277" s="127" t="str">
        <f t="shared" si="6"/>
        <v>C276-VOID-23</v>
      </c>
      <c r="E277" s="127" t="str">
        <f>VLOOKUP(Table2[[#This Row],[Location 
(drop-down)]],Table1[#All],3,FALSE)</f>
        <v>VOID</v>
      </c>
      <c r="F277" s="11" t="s">
        <v>50</v>
      </c>
      <c r="G277" s="31" t="s">
        <v>50</v>
      </c>
      <c r="H277" s="11" t="s">
        <v>50</v>
      </c>
      <c r="I277" s="11" t="s">
        <v>50</v>
      </c>
      <c r="J277" s="11" t="s">
        <v>50</v>
      </c>
      <c r="K277" s="11" t="s">
        <v>50</v>
      </c>
      <c r="L277" s="10" t="s">
        <v>50</v>
      </c>
      <c r="M277" s="11" t="s">
        <v>50</v>
      </c>
      <c r="N277" s="11" t="s">
        <v>50</v>
      </c>
      <c r="O277" s="10"/>
    </row>
    <row r="278" spans="1:15" s="4" customFormat="1" ht="37.5" x14ac:dyDescent="0.25">
      <c r="A278" s="9" t="s">
        <v>87</v>
      </c>
      <c r="B278" s="13">
        <f>VLOOKUP(Table2[[#This Row],[Location 
(drop-down)]],'List source'!D$2:E$59,2,FALSE)</f>
        <v>210</v>
      </c>
      <c r="C278" s="11" t="s">
        <v>586</v>
      </c>
      <c r="D278" s="127" t="str">
        <f t="shared" si="6"/>
        <v>C277-210-23</v>
      </c>
      <c r="E278" s="127" t="str">
        <f>VLOOKUP(Table2[[#This Row],[Location 
(drop-down)]],Table1[#All],3,FALSE)</f>
        <v>SE &amp; Caribbean</v>
      </c>
      <c r="F278" s="11" t="s">
        <v>15</v>
      </c>
      <c r="G278" s="9" t="s">
        <v>1135</v>
      </c>
      <c r="H278" s="12">
        <v>45049</v>
      </c>
      <c r="I278" s="12" t="s">
        <v>17</v>
      </c>
      <c r="J278" s="91" t="s">
        <v>821</v>
      </c>
      <c r="K278" s="91">
        <v>45100</v>
      </c>
      <c r="L278" s="10" t="s">
        <v>15</v>
      </c>
      <c r="M278" s="10" t="s">
        <v>15</v>
      </c>
      <c r="N278" s="10"/>
      <c r="O278" s="10"/>
    </row>
    <row r="279" spans="1:15" s="4" customFormat="1" ht="45" x14ac:dyDescent="0.25">
      <c r="A279" s="9" t="s">
        <v>87</v>
      </c>
      <c r="B279" s="13">
        <f>VLOOKUP(Table2[[#This Row],[Location 
(drop-down)]],'List source'!D$2:E$59,2,FALSE)</f>
        <v>210</v>
      </c>
      <c r="C279" s="11" t="s">
        <v>587</v>
      </c>
      <c r="D279" s="127" t="str">
        <f t="shared" si="6"/>
        <v>C278-210-23</v>
      </c>
      <c r="E279" s="127" t="str">
        <f>VLOOKUP(Table2[[#This Row],[Location 
(drop-down)]],Table1[#All],3,FALSE)</f>
        <v>SE &amp; Caribbean</v>
      </c>
      <c r="F279" s="11" t="s">
        <v>15</v>
      </c>
      <c r="G279" s="9" t="s">
        <v>1136</v>
      </c>
      <c r="H279" s="12">
        <v>45049</v>
      </c>
      <c r="I279" s="12" t="s">
        <v>17</v>
      </c>
      <c r="J279" s="91">
        <v>45274</v>
      </c>
      <c r="K279" s="91">
        <v>45275</v>
      </c>
      <c r="L279" s="10" t="s">
        <v>15</v>
      </c>
      <c r="M279" s="10" t="s">
        <v>15</v>
      </c>
      <c r="N279" s="10" t="s">
        <v>822</v>
      </c>
      <c r="O279" s="10"/>
    </row>
    <row r="280" spans="1:15" s="4" customFormat="1" ht="37.5" x14ac:dyDescent="0.25">
      <c r="A280" s="9" t="s">
        <v>87</v>
      </c>
      <c r="B280" s="13">
        <f>VLOOKUP(Table2[[#This Row],[Location 
(drop-down)]],'List source'!D$2:E$59,2,FALSE)</f>
        <v>210</v>
      </c>
      <c r="C280" s="11" t="s">
        <v>588</v>
      </c>
      <c r="D280" s="127" t="str">
        <f t="shared" si="6"/>
        <v>C279-210-23</v>
      </c>
      <c r="E280" s="127" t="str">
        <f>VLOOKUP(Table2[[#This Row],[Location 
(drop-down)]],Table1[#All],3,FALSE)</f>
        <v>SE &amp; Caribbean</v>
      </c>
      <c r="F280" s="11" t="s">
        <v>15</v>
      </c>
      <c r="G280" s="9" t="s">
        <v>1137</v>
      </c>
      <c r="H280" s="12">
        <v>45049</v>
      </c>
      <c r="I280" s="12" t="s">
        <v>17</v>
      </c>
      <c r="J280" s="91" t="s">
        <v>821</v>
      </c>
      <c r="K280" s="91">
        <v>45083</v>
      </c>
      <c r="L280" s="10" t="s">
        <v>15</v>
      </c>
      <c r="M280" s="10" t="s">
        <v>15</v>
      </c>
      <c r="N280" s="10" t="s">
        <v>822</v>
      </c>
      <c r="O280" s="10"/>
    </row>
    <row r="281" spans="1:15" s="4" customFormat="1" ht="37.5" x14ac:dyDescent="0.25">
      <c r="A281" s="9" t="s">
        <v>87</v>
      </c>
      <c r="B281" s="13">
        <f>VLOOKUP(Table2[[#This Row],[Location 
(drop-down)]],'List source'!D$2:E$59,2,FALSE)</f>
        <v>210</v>
      </c>
      <c r="C281" s="11" t="s">
        <v>589</v>
      </c>
      <c r="D281" s="127" t="str">
        <f t="shared" ref="D281:D344" si="7">"C" &amp; C281 &amp; "-" &amp; B281 &amp; "-" &amp; "23"</f>
        <v>C280-210-23</v>
      </c>
      <c r="E281" s="127" t="str">
        <f>VLOOKUP(Table2[[#This Row],[Location 
(drop-down)]],Table1[#All],3,FALSE)</f>
        <v>SE &amp; Caribbean</v>
      </c>
      <c r="F281" s="11" t="s">
        <v>15</v>
      </c>
      <c r="G281" s="9" t="s">
        <v>1138</v>
      </c>
      <c r="H281" s="12">
        <v>45049</v>
      </c>
      <c r="I281" s="12" t="s">
        <v>17</v>
      </c>
      <c r="J281" s="91">
        <v>45086</v>
      </c>
      <c r="K281" s="91">
        <v>45093</v>
      </c>
      <c r="L281" s="10" t="s">
        <v>15</v>
      </c>
      <c r="M281" s="10" t="s">
        <v>15</v>
      </c>
      <c r="N281" s="10" t="s">
        <v>822</v>
      </c>
      <c r="O281" s="10"/>
    </row>
    <row r="282" spans="1:15" s="4" customFormat="1" ht="37.5" x14ac:dyDescent="0.25">
      <c r="A282" s="9" t="s">
        <v>87</v>
      </c>
      <c r="B282" s="13">
        <f>VLOOKUP(Table2[[#This Row],[Location 
(drop-down)]],'List source'!D$2:E$59,2,FALSE)</f>
        <v>210</v>
      </c>
      <c r="C282" s="11" t="s">
        <v>590</v>
      </c>
      <c r="D282" s="127" t="str">
        <f t="shared" si="7"/>
        <v>C281-210-23</v>
      </c>
      <c r="E282" s="127" t="str">
        <f>VLOOKUP(Table2[[#This Row],[Location 
(drop-down)]],Table1[#All],3,FALSE)</f>
        <v>SE &amp; Caribbean</v>
      </c>
      <c r="F282" s="11" t="s">
        <v>15</v>
      </c>
      <c r="G282" s="9" t="s">
        <v>1139</v>
      </c>
      <c r="H282" s="12">
        <v>45049</v>
      </c>
      <c r="I282" s="12" t="s">
        <v>17</v>
      </c>
      <c r="J282" s="91">
        <v>45086</v>
      </c>
      <c r="K282" s="91">
        <v>45093</v>
      </c>
      <c r="L282" s="10" t="s">
        <v>15</v>
      </c>
      <c r="M282" s="10" t="s">
        <v>15</v>
      </c>
      <c r="N282" s="10" t="s">
        <v>822</v>
      </c>
      <c r="O282" s="10"/>
    </row>
    <row r="283" spans="1:15" s="4" customFormat="1" ht="37.5" x14ac:dyDescent="0.25">
      <c r="A283" s="9" t="s">
        <v>226</v>
      </c>
      <c r="B283" s="13">
        <f>VLOOKUP(Table2[[#This Row],[Location 
(drop-down)]],'List source'!D$2:E$59,2,FALSE)</f>
        <v>110</v>
      </c>
      <c r="C283" s="11" t="s">
        <v>591</v>
      </c>
      <c r="D283" s="127" t="str">
        <f t="shared" si="7"/>
        <v>C282-110-23</v>
      </c>
      <c r="E283" s="127" t="str">
        <f>VLOOKUP(Table2[[#This Row],[Location 
(drop-down)]],Table1[#All],3,FALSE)</f>
        <v>USNE, USMW &amp; Canada</v>
      </c>
      <c r="F283" s="11" t="s">
        <v>15</v>
      </c>
      <c r="G283" s="9" t="s">
        <v>1140</v>
      </c>
      <c r="H283" s="12">
        <v>45049</v>
      </c>
      <c r="I283" s="12" t="s">
        <v>17</v>
      </c>
      <c r="J283" s="91" t="s">
        <v>821</v>
      </c>
      <c r="K283" s="91">
        <v>45425</v>
      </c>
      <c r="L283" s="10" t="s">
        <v>15</v>
      </c>
      <c r="M283" s="10" t="s">
        <v>15</v>
      </c>
      <c r="N283" s="10"/>
      <c r="O283" s="10"/>
    </row>
    <row r="284" spans="1:15" s="4" customFormat="1" ht="37.5" x14ac:dyDescent="0.25">
      <c r="A284" s="9" t="s">
        <v>47</v>
      </c>
      <c r="B284" s="13">
        <f>VLOOKUP(Table2[[#This Row],[Location 
(drop-down)]],'List source'!D$2:E$59,2,FALSE)</f>
        <v>215</v>
      </c>
      <c r="C284" s="11" t="s">
        <v>592</v>
      </c>
      <c r="D284" s="127" t="str">
        <f t="shared" si="7"/>
        <v>C283-215-23</v>
      </c>
      <c r="E284" s="127" t="str">
        <f>VLOOKUP(Table2[[#This Row],[Location 
(drop-down)]],Table1[#All],3,FALSE)</f>
        <v>SE &amp; Caribbean</v>
      </c>
      <c r="F284" s="11" t="s">
        <v>15</v>
      </c>
      <c r="G284" s="9" t="s">
        <v>1141</v>
      </c>
      <c r="H284" s="12">
        <v>45050</v>
      </c>
      <c r="I284" s="12" t="s">
        <v>17</v>
      </c>
      <c r="J284" s="91" t="s">
        <v>821</v>
      </c>
      <c r="K284" s="91">
        <v>45275</v>
      </c>
      <c r="L284" s="10" t="s">
        <v>15</v>
      </c>
      <c r="M284" s="10" t="s">
        <v>15</v>
      </c>
      <c r="N284" s="10" t="s">
        <v>822</v>
      </c>
      <c r="O284" s="10"/>
    </row>
    <row r="285" spans="1:15" s="4" customFormat="1" ht="37.5" x14ac:dyDescent="0.25">
      <c r="A285" s="9" t="s">
        <v>72</v>
      </c>
      <c r="B285" s="13">
        <f>VLOOKUP(Table2[[#This Row],[Location 
(drop-down)]],'List source'!D$2:E$59,2,FALSE)</f>
        <v>197</v>
      </c>
      <c r="C285" s="11" t="s">
        <v>593</v>
      </c>
      <c r="D285" s="127" t="str">
        <f t="shared" si="7"/>
        <v>C284-197-23</v>
      </c>
      <c r="E285" s="127" t="str">
        <f>VLOOKUP(Table2[[#This Row],[Location 
(drop-down)]],Table1[#All],3,FALSE)</f>
        <v>USNE, USMW &amp; Canada</v>
      </c>
      <c r="F285" s="11" t="s">
        <v>15</v>
      </c>
      <c r="G285" s="9" t="s">
        <v>1142</v>
      </c>
      <c r="H285" s="12">
        <v>45050</v>
      </c>
      <c r="I285" s="12" t="s">
        <v>17</v>
      </c>
      <c r="J285" s="91" t="s">
        <v>821</v>
      </c>
      <c r="K285" s="91">
        <v>45643</v>
      </c>
      <c r="L285" s="10" t="s">
        <v>15</v>
      </c>
      <c r="M285" s="10" t="s">
        <v>15</v>
      </c>
      <c r="N285" s="10"/>
      <c r="O285" s="10"/>
    </row>
    <row r="286" spans="1:15" s="4" customFormat="1" ht="37.5" x14ac:dyDescent="0.25">
      <c r="A286" s="9" t="s">
        <v>168</v>
      </c>
      <c r="B286" s="13">
        <f>VLOOKUP(Table2[[#This Row],[Location 
(drop-down)]],'List source'!D$2:E$59,2,FALSE)</f>
        <v>136</v>
      </c>
      <c r="C286" s="11" t="s">
        <v>594</v>
      </c>
      <c r="D286" s="127" t="str">
        <f t="shared" si="7"/>
        <v>C285-136-23</v>
      </c>
      <c r="E286" s="127" t="str">
        <f>VLOOKUP(Table2[[#This Row],[Location 
(drop-down)]],Table1[#All],3,FALSE)</f>
        <v>SE &amp; Caribbean</v>
      </c>
      <c r="F286" s="11" t="s">
        <v>15</v>
      </c>
      <c r="G286" s="9" t="s">
        <v>1143</v>
      </c>
      <c r="H286" s="12">
        <v>45050</v>
      </c>
      <c r="I286" s="12" t="s">
        <v>17</v>
      </c>
      <c r="J286" s="91" t="s">
        <v>821</v>
      </c>
      <c r="K286" s="91">
        <v>45097</v>
      </c>
      <c r="L286" s="10" t="s">
        <v>15</v>
      </c>
      <c r="M286" s="10" t="s">
        <v>15</v>
      </c>
      <c r="N286" s="10"/>
      <c r="O286" s="10"/>
    </row>
    <row r="287" spans="1:15" s="4" customFormat="1" ht="37.5" x14ac:dyDescent="0.25">
      <c r="A287" s="9" t="s">
        <v>331</v>
      </c>
      <c r="B287" s="13">
        <f>VLOOKUP(Table2[[#This Row],[Location 
(drop-down)]],'List source'!D$2:E$59,2,FALSE)</f>
        <v>146</v>
      </c>
      <c r="C287" s="11" t="s">
        <v>595</v>
      </c>
      <c r="D287" s="127" t="str">
        <f t="shared" si="7"/>
        <v>C286-146-23</v>
      </c>
      <c r="E287" s="127" t="str">
        <f>VLOOKUP(Table2[[#This Row],[Location 
(drop-down)]],Table1[#All],3,FALSE)</f>
        <v>SE &amp; Caribbean</v>
      </c>
      <c r="F287" s="11" t="s">
        <v>15</v>
      </c>
      <c r="G287" s="9" t="s">
        <v>1144</v>
      </c>
      <c r="H287" s="12">
        <v>45050</v>
      </c>
      <c r="I287" s="12" t="s">
        <v>17</v>
      </c>
      <c r="J287" s="91" t="s">
        <v>821</v>
      </c>
      <c r="K287" s="91">
        <v>45309</v>
      </c>
      <c r="L287" s="10" t="s">
        <v>15</v>
      </c>
      <c r="M287" s="10" t="s">
        <v>15</v>
      </c>
      <c r="N287" s="10"/>
      <c r="O287" s="10"/>
    </row>
    <row r="288" spans="1:15" s="4" customFormat="1" ht="37.5" x14ac:dyDescent="0.25">
      <c r="A288" s="9" t="s">
        <v>331</v>
      </c>
      <c r="B288" s="13">
        <f>VLOOKUP(Table2[[#This Row],[Location 
(drop-down)]],'List source'!D$2:E$59,2,FALSE)</f>
        <v>146</v>
      </c>
      <c r="C288" s="11" t="s">
        <v>596</v>
      </c>
      <c r="D288" s="127" t="str">
        <f t="shared" si="7"/>
        <v>C287-146-23</v>
      </c>
      <c r="E288" s="127" t="str">
        <f>VLOOKUP(Table2[[#This Row],[Location 
(drop-down)]],Table1[#All],3,FALSE)</f>
        <v>SE &amp; Caribbean</v>
      </c>
      <c r="F288" s="11" t="s">
        <v>15</v>
      </c>
      <c r="G288" s="9" t="s">
        <v>1145</v>
      </c>
      <c r="H288" s="12">
        <v>45050</v>
      </c>
      <c r="I288" s="12" t="s">
        <v>17</v>
      </c>
      <c r="J288" s="91" t="s">
        <v>821</v>
      </c>
      <c r="K288" s="91">
        <v>45121</v>
      </c>
      <c r="L288" s="10" t="s">
        <v>15</v>
      </c>
      <c r="M288" s="10" t="s">
        <v>15</v>
      </c>
      <c r="N288" s="10" t="s">
        <v>858</v>
      </c>
      <c r="O288" s="10"/>
    </row>
    <row r="289" spans="1:15" s="4" customFormat="1" ht="37.5" x14ac:dyDescent="0.25">
      <c r="A289" s="9" t="s">
        <v>924</v>
      </c>
      <c r="B289" s="13">
        <f>VLOOKUP(Table2[[#This Row],[Location 
(drop-down)]],'List source'!D$2:E$59,2,FALSE)</f>
        <v>144</v>
      </c>
      <c r="C289" s="11" t="s">
        <v>597</v>
      </c>
      <c r="D289" s="127" t="str">
        <f t="shared" si="7"/>
        <v>C288-144-23</v>
      </c>
      <c r="E289" s="127" t="str">
        <f>VLOOKUP(Table2[[#This Row],[Location 
(drop-down)]],Table1[#All],3,FALSE)</f>
        <v>SE &amp; Caribbean</v>
      </c>
      <c r="F289" s="11" t="s">
        <v>15</v>
      </c>
      <c r="G289" s="9" t="s">
        <v>1146</v>
      </c>
      <c r="H289" s="12">
        <v>45051</v>
      </c>
      <c r="I289" s="12" t="s">
        <v>17</v>
      </c>
      <c r="J289" s="91" t="s">
        <v>821</v>
      </c>
      <c r="K289" s="91">
        <v>45079</v>
      </c>
      <c r="L289" s="10" t="s">
        <v>15</v>
      </c>
      <c r="M289" s="10" t="s">
        <v>15</v>
      </c>
      <c r="N289" s="10" t="s">
        <v>858</v>
      </c>
      <c r="O289" s="10"/>
    </row>
    <row r="290" spans="1:15" s="4" customFormat="1" ht="30" x14ac:dyDescent="0.25">
      <c r="A290" s="9" t="s">
        <v>61</v>
      </c>
      <c r="B290" s="13">
        <f>VLOOKUP(Table2[[#This Row],[Location 
(drop-down)]],'List source'!D$2:E$59,2,FALSE)</f>
        <v>120</v>
      </c>
      <c r="C290" s="11" t="s">
        <v>598</v>
      </c>
      <c r="D290" s="127" t="str">
        <f t="shared" si="7"/>
        <v>C289-120-23</v>
      </c>
      <c r="E290" s="127" t="str">
        <f>VLOOKUP(Table2[[#This Row],[Location 
(drop-down)]],Table1[#All],3,FALSE)</f>
        <v>USGC</v>
      </c>
      <c r="F290" s="11" t="s">
        <v>852</v>
      </c>
      <c r="G290" s="9" t="s">
        <v>1147</v>
      </c>
      <c r="H290" s="12">
        <v>45019</v>
      </c>
      <c r="I290" s="12" t="s">
        <v>129</v>
      </c>
      <c r="J290" s="91" t="s">
        <v>821</v>
      </c>
      <c r="K290" s="91">
        <v>45058</v>
      </c>
      <c r="L290" s="10" t="s">
        <v>97</v>
      </c>
      <c r="M290" s="10" t="s">
        <v>862</v>
      </c>
      <c r="N290" s="10" t="s">
        <v>858</v>
      </c>
      <c r="O290" s="10" t="s">
        <v>1148</v>
      </c>
    </row>
    <row r="291" spans="1:15" s="4" customFormat="1" ht="30" x14ac:dyDescent="0.25">
      <c r="A291" s="9" t="s">
        <v>174</v>
      </c>
      <c r="B291" s="13">
        <f>VLOOKUP(Table2[[#This Row],[Location 
(drop-down)]],'List source'!D$2:E$59,2,FALSE)</f>
        <v>131</v>
      </c>
      <c r="C291" s="11" t="s">
        <v>599</v>
      </c>
      <c r="D291" s="127" t="str">
        <f t="shared" si="7"/>
        <v>C290-131-23</v>
      </c>
      <c r="E291" s="127" t="str">
        <f>VLOOKUP(Table2[[#This Row],[Location 
(drop-down)]],Table1[#All],3,FALSE)</f>
        <v>USWC</v>
      </c>
      <c r="F291" s="11" t="s">
        <v>15</v>
      </c>
      <c r="G291" s="9" t="s">
        <v>1149</v>
      </c>
      <c r="H291" s="12">
        <v>45055</v>
      </c>
      <c r="I291" s="12" t="s">
        <v>17</v>
      </c>
      <c r="J291" s="91" t="s">
        <v>821</v>
      </c>
      <c r="K291" s="91">
        <v>45156</v>
      </c>
      <c r="L291" s="10" t="s">
        <v>15</v>
      </c>
      <c r="M291" s="10" t="s">
        <v>15</v>
      </c>
      <c r="N291" s="10" t="s">
        <v>832</v>
      </c>
      <c r="O291" s="10"/>
    </row>
    <row r="292" spans="1:15" s="4" customFormat="1" ht="45" x14ac:dyDescent="0.25">
      <c r="A292" s="9" t="s">
        <v>79</v>
      </c>
      <c r="B292" s="13">
        <f>VLOOKUP(Table2[[#This Row],[Location 
(drop-down)]],'List source'!D$2:E$59,2,FALSE)</f>
        <v>141</v>
      </c>
      <c r="C292" s="11" t="s">
        <v>600</v>
      </c>
      <c r="D292" s="127" t="str">
        <f t="shared" si="7"/>
        <v>C291-141-23</v>
      </c>
      <c r="E292" s="127" t="str">
        <f>VLOOKUP(Table2[[#This Row],[Location 
(drop-down)]],Table1[#All],3,FALSE)</f>
        <v>USNE, USMW &amp; Canada</v>
      </c>
      <c r="F292" s="11" t="s">
        <v>15</v>
      </c>
      <c r="G292" s="9" t="s">
        <v>1150</v>
      </c>
      <c r="H292" s="12">
        <v>45055</v>
      </c>
      <c r="I292" s="12" t="s">
        <v>17</v>
      </c>
      <c r="J292" s="91" t="s">
        <v>821</v>
      </c>
      <c r="K292" s="91">
        <v>45070</v>
      </c>
      <c r="L292" s="10" t="s">
        <v>15</v>
      </c>
      <c r="M292" s="10" t="s">
        <v>15</v>
      </c>
      <c r="N292" s="10" t="s">
        <v>822</v>
      </c>
      <c r="O292" s="10"/>
    </row>
    <row r="293" spans="1:15" s="4" customFormat="1" ht="37.5" x14ac:dyDescent="0.25">
      <c r="A293" s="9" t="s">
        <v>75</v>
      </c>
      <c r="B293" s="13">
        <f>VLOOKUP(Table2[[#This Row],[Location 
(drop-down)]],'List source'!D$2:E$59,2,FALSE)</f>
        <v>180</v>
      </c>
      <c r="C293" s="11" t="s">
        <v>601</v>
      </c>
      <c r="D293" s="127" t="str">
        <f t="shared" si="7"/>
        <v>C292-180-23</v>
      </c>
      <c r="E293" s="127" t="str">
        <f>VLOOKUP(Table2[[#This Row],[Location 
(drop-down)]],Table1[#All],3,FALSE)</f>
        <v>SE &amp; Caribbean</v>
      </c>
      <c r="F293" s="11" t="s">
        <v>15</v>
      </c>
      <c r="G293" s="9" t="s">
        <v>1151</v>
      </c>
      <c r="H293" s="12">
        <v>45055</v>
      </c>
      <c r="I293" s="12" t="s">
        <v>17</v>
      </c>
      <c r="J293" s="91" t="s">
        <v>821</v>
      </c>
      <c r="K293" s="91">
        <v>45063</v>
      </c>
      <c r="L293" s="10" t="s">
        <v>15</v>
      </c>
      <c r="M293" s="10" t="s">
        <v>15</v>
      </c>
      <c r="N293" s="10" t="s">
        <v>822</v>
      </c>
      <c r="O293" s="10"/>
    </row>
    <row r="294" spans="1:15" ht="37.5" x14ac:dyDescent="0.25">
      <c r="A294" s="9" t="s">
        <v>1020</v>
      </c>
      <c r="B294" s="13">
        <f>VLOOKUP(Table2[[#This Row],[Location 
(drop-down)]],'List source'!D$2:E$59,2,FALSE)</f>
        <v>199</v>
      </c>
      <c r="C294" s="11" t="s">
        <v>602</v>
      </c>
      <c r="D294" s="127" t="str">
        <f t="shared" si="7"/>
        <v>C293-199-23</v>
      </c>
      <c r="E294" s="127" t="str">
        <f>VLOOKUP(Table2[[#This Row],[Location 
(drop-down)]],Table1[#All],3,FALSE)</f>
        <v>USNE, USMW &amp; Canada</v>
      </c>
      <c r="F294" s="11" t="s">
        <v>852</v>
      </c>
      <c r="G294" s="9" t="s">
        <v>1152</v>
      </c>
      <c r="H294" s="12">
        <v>45056</v>
      </c>
      <c r="I294" s="12" t="s">
        <v>449</v>
      </c>
      <c r="J294" s="91" t="s">
        <v>821</v>
      </c>
      <c r="K294" s="91">
        <v>45084</v>
      </c>
      <c r="L294" s="10" t="s">
        <v>147</v>
      </c>
      <c r="M294" s="10" t="s">
        <v>857</v>
      </c>
      <c r="N294" s="10" t="s">
        <v>881</v>
      </c>
      <c r="O294" s="10"/>
    </row>
    <row r="295" spans="1:15" ht="37.5" x14ac:dyDescent="0.25">
      <c r="A295" s="9" t="s">
        <v>87</v>
      </c>
      <c r="B295" s="13">
        <f>VLOOKUP(Table2[[#This Row],[Location 
(drop-down)]],'List source'!D$2:E$59,2,FALSE)</f>
        <v>210</v>
      </c>
      <c r="C295" s="11" t="s">
        <v>603</v>
      </c>
      <c r="D295" s="127" t="str">
        <f t="shared" si="7"/>
        <v>C294-210-23</v>
      </c>
      <c r="E295" s="127" t="str">
        <f>VLOOKUP(Table2[[#This Row],[Location 
(drop-down)]],Table1[#All],3,FALSE)</f>
        <v>SE &amp; Caribbean</v>
      </c>
      <c r="F295" s="11" t="s">
        <v>15</v>
      </c>
      <c r="G295" s="9" t="s">
        <v>1153</v>
      </c>
      <c r="H295" s="12">
        <v>45057</v>
      </c>
      <c r="I295" s="12" t="s">
        <v>17</v>
      </c>
      <c r="J295" s="91" t="s">
        <v>821</v>
      </c>
      <c r="K295" s="91">
        <v>45100</v>
      </c>
      <c r="L295" s="10" t="s">
        <v>15</v>
      </c>
      <c r="M295" s="10" t="s">
        <v>15</v>
      </c>
      <c r="N295" s="10"/>
      <c r="O295" s="10"/>
    </row>
    <row r="296" spans="1:15" ht="37.5" x14ac:dyDescent="0.25">
      <c r="A296" s="9" t="s">
        <v>87</v>
      </c>
      <c r="B296" s="13">
        <f>VLOOKUP(Table2[[#This Row],[Location 
(drop-down)]],'List source'!D$2:E$59,2,FALSE)</f>
        <v>210</v>
      </c>
      <c r="C296" s="11" t="s">
        <v>604</v>
      </c>
      <c r="D296" s="127" t="str">
        <f t="shared" si="7"/>
        <v>C295-210-23</v>
      </c>
      <c r="E296" s="127" t="str">
        <f>VLOOKUP(Table2[[#This Row],[Location 
(drop-down)]],Table1[#All],3,FALSE)</f>
        <v>SE &amp; Caribbean</v>
      </c>
      <c r="F296" s="11" t="s">
        <v>15</v>
      </c>
      <c r="G296" s="9" t="s">
        <v>1154</v>
      </c>
      <c r="H296" s="12">
        <v>45057</v>
      </c>
      <c r="I296" s="12" t="s">
        <v>17</v>
      </c>
      <c r="J296" s="91" t="s">
        <v>821</v>
      </c>
      <c r="K296" s="91">
        <v>45112</v>
      </c>
      <c r="L296" s="10" t="s">
        <v>15</v>
      </c>
      <c r="M296" s="10" t="s">
        <v>15</v>
      </c>
      <c r="N296" s="10" t="s">
        <v>832</v>
      </c>
      <c r="O296" s="10"/>
    </row>
    <row r="297" spans="1:15" ht="30" x14ac:dyDescent="0.25">
      <c r="A297" s="9" t="s">
        <v>57</v>
      </c>
      <c r="B297" s="13">
        <f>VLOOKUP(Table2[[#This Row],[Location 
(drop-down)]],'List source'!D$2:E$59,2,FALSE)</f>
        <v>155</v>
      </c>
      <c r="C297" s="11" t="s">
        <v>605</v>
      </c>
      <c r="D297" s="127" t="str">
        <f t="shared" si="7"/>
        <v>C296-155-23</v>
      </c>
      <c r="E297" s="127" t="str">
        <f>VLOOKUP(Table2[[#This Row],[Location 
(drop-down)]],Table1[#All],3,FALSE)</f>
        <v>USGC</v>
      </c>
      <c r="F297" s="11" t="s">
        <v>15</v>
      </c>
      <c r="G297" s="9" t="s">
        <v>1155</v>
      </c>
      <c r="H297" s="12">
        <v>45057</v>
      </c>
      <c r="I297" s="12" t="s">
        <v>17</v>
      </c>
      <c r="J297" s="91" t="s">
        <v>821</v>
      </c>
      <c r="K297" s="91">
        <v>45180</v>
      </c>
      <c r="L297" s="10" t="s">
        <v>15</v>
      </c>
      <c r="M297" s="10" t="s">
        <v>15</v>
      </c>
      <c r="N297" s="10" t="s">
        <v>822</v>
      </c>
      <c r="O297" s="10"/>
    </row>
    <row r="298" spans="1:15" ht="37.5" x14ac:dyDescent="0.25">
      <c r="A298" s="9" t="s">
        <v>1020</v>
      </c>
      <c r="B298" s="13">
        <f>VLOOKUP(Table2[[#This Row],[Location 
(drop-down)]],'List source'!D$2:E$59,2,FALSE)</f>
        <v>199</v>
      </c>
      <c r="C298" s="11" t="s">
        <v>606</v>
      </c>
      <c r="D298" s="127" t="str">
        <f t="shared" si="7"/>
        <v>C297-199-23</v>
      </c>
      <c r="E298" s="127" t="str">
        <f>VLOOKUP(Table2[[#This Row],[Location 
(drop-down)]],Table1[#All],3,FALSE)</f>
        <v>USNE, USMW &amp; Canada</v>
      </c>
      <c r="F298" s="11" t="s">
        <v>852</v>
      </c>
      <c r="G298" s="9" t="s">
        <v>1156</v>
      </c>
      <c r="H298" s="12">
        <v>45057</v>
      </c>
      <c r="I298" s="12" t="s">
        <v>449</v>
      </c>
      <c r="J298" s="91" t="s">
        <v>821</v>
      </c>
      <c r="K298" s="91">
        <v>45070</v>
      </c>
      <c r="L298" s="10" t="s">
        <v>147</v>
      </c>
      <c r="M298" s="10" t="s">
        <v>870</v>
      </c>
      <c r="N298" s="10" t="s">
        <v>822</v>
      </c>
      <c r="O298" s="10"/>
    </row>
    <row r="299" spans="1:15" ht="37.5" x14ac:dyDescent="0.25">
      <c r="A299" s="9" t="s">
        <v>112</v>
      </c>
      <c r="B299" s="13">
        <f>VLOOKUP(Table2[[#This Row],[Location 
(drop-down)]],'List source'!D$2:E$59,2,FALSE)</f>
        <v>115</v>
      </c>
      <c r="C299" s="11" t="s">
        <v>607</v>
      </c>
      <c r="D299" s="127" t="str">
        <f t="shared" si="7"/>
        <v>C298-115-23</v>
      </c>
      <c r="E299" s="127" t="str">
        <f>VLOOKUP(Table2[[#This Row],[Location 
(drop-down)]],Table1[#All],3,FALSE)</f>
        <v>SE &amp; Caribbean</v>
      </c>
      <c r="F299" s="11" t="s">
        <v>15</v>
      </c>
      <c r="G299" s="9" t="s">
        <v>1157</v>
      </c>
      <c r="H299" s="12">
        <v>45058</v>
      </c>
      <c r="I299" s="12" t="s">
        <v>17</v>
      </c>
      <c r="J299" s="91" t="s">
        <v>821</v>
      </c>
      <c r="K299" s="91">
        <v>45134</v>
      </c>
      <c r="L299" s="10" t="s">
        <v>15</v>
      </c>
      <c r="M299" s="10" t="s">
        <v>15</v>
      </c>
      <c r="N299" s="10"/>
      <c r="O299" s="10"/>
    </row>
    <row r="300" spans="1:15" ht="37.5" x14ac:dyDescent="0.25">
      <c r="A300" s="9" t="s">
        <v>112</v>
      </c>
      <c r="B300" s="13">
        <f>VLOOKUP(Table2[[#This Row],[Location 
(drop-down)]],'List source'!D$2:E$59,2,FALSE)</f>
        <v>115</v>
      </c>
      <c r="C300" s="11" t="s">
        <v>608</v>
      </c>
      <c r="D300" s="127" t="str">
        <f t="shared" si="7"/>
        <v>C299-115-23</v>
      </c>
      <c r="E300" s="127" t="str">
        <f>VLOOKUP(Table2[[#This Row],[Location 
(drop-down)]],Table1[#All],3,FALSE)</f>
        <v>SE &amp; Caribbean</v>
      </c>
      <c r="F300" s="11" t="s">
        <v>15</v>
      </c>
      <c r="G300" s="9" t="s">
        <v>1158</v>
      </c>
      <c r="H300" s="12">
        <v>45058</v>
      </c>
      <c r="I300" s="12" t="s">
        <v>17</v>
      </c>
      <c r="J300" s="91" t="s">
        <v>821</v>
      </c>
      <c r="K300" s="91">
        <v>45134</v>
      </c>
      <c r="L300" s="10" t="s">
        <v>15</v>
      </c>
      <c r="M300" s="10" t="s">
        <v>15</v>
      </c>
      <c r="N300" s="10"/>
      <c r="O300" s="10"/>
    </row>
    <row r="301" spans="1:15" ht="37.5" x14ac:dyDescent="0.25">
      <c r="A301" s="9" t="s">
        <v>826</v>
      </c>
      <c r="B301" s="13">
        <f>VLOOKUP(Table2[[#This Row],[Location 
(drop-down)]],'List source'!D$2:E$59,2,FALSE)</f>
        <v>145</v>
      </c>
      <c r="C301" s="11" t="s">
        <v>609</v>
      </c>
      <c r="D301" s="127" t="str">
        <f t="shared" si="7"/>
        <v>C300-145-23</v>
      </c>
      <c r="E301" s="127" t="str">
        <f>VLOOKUP(Table2[[#This Row],[Location 
(drop-down)]],Table1[#All],3,FALSE)</f>
        <v>USNE, USMW &amp; Canada</v>
      </c>
      <c r="F301" s="11" t="s">
        <v>94</v>
      </c>
      <c r="G301" s="9" t="s">
        <v>1159</v>
      </c>
      <c r="H301" s="12">
        <v>45062</v>
      </c>
      <c r="I301" s="12" t="s">
        <v>443</v>
      </c>
      <c r="J301" s="91" t="s">
        <v>821</v>
      </c>
      <c r="K301" s="91">
        <v>45097</v>
      </c>
      <c r="L301" s="10" t="s">
        <v>97</v>
      </c>
      <c r="M301" s="10"/>
      <c r="N301" s="10"/>
      <c r="O301" s="10"/>
    </row>
    <row r="302" spans="1:15" ht="37.5" x14ac:dyDescent="0.25">
      <c r="A302" s="9" t="s">
        <v>826</v>
      </c>
      <c r="B302" s="13">
        <f>VLOOKUP(Table2[[#This Row],[Location 
(drop-down)]],'List source'!D$2:E$59,2,FALSE)</f>
        <v>145</v>
      </c>
      <c r="C302" s="11" t="s">
        <v>610</v>
      </c>
      <c r="D302" s="127" t="str">
        <f t="shared" si="7"/>
        <v>C301-145-23</v>
      </c>
      <c r="E302" s="127" t="str">
        <f>VLOOKUP(Table2[[#This Row],[Location 
(drop-down)]],Table1[#All],3,FALSE)</f>
        <v>USNE, USMW &amp; Canada</v>
      </c>
      <c r="F302" s="11" t="s">
        <v>94</v>
      </c>
      <c r="G302" s="9" t="s">
        <v>1160</v>
      </c>
      <c r="H302" s="12">
        <v>45062</v>
      </c>
      <c r="I302" s="12" t="s">
        <v>443</v>
      </c>
      <c r="J302" s="91" t="s">
        <v>821</v>
      </c>
      <c r="K302" s="91">
        <v>45106</v>
      </c>
      <c r="L302" s="10" t="s">
        <v>97</v>
      </c>
      <c r="M302" s="10"/>
      <c r="N302" s="10"/>
      <c r="O302" s="10"/>
    </row>
    <row r="303" spans="1:15" ht="37.5" x14ac:dyDescent="0.25">
      <c r="A303" s="9" t="s">
        <v>826</v>
      </c>
      <c r="B303" s="13">
        <f>VLOOKUP(Table2[[#This Row],[Location 
(drop-down)]],'List source'!D$2:E$59,2,FALSE)</f>
        <v>145</v>
      </c>
      <c r="C303" s="11" t="s">
        <v>611</v>
      </c>
      <c r="D303" s="127" t="str">
        <f t="shared" si="7"/>
        <v>C302-145-23</v>
      </c>
      <c r="E303" s="127" t="str">
        <f>VLOOKUP(Table2[[#This Row],[Location 
(drop-down)]],Table1[#All],3,FALSE)</f>
        <v>USNE, USMW &amp; Canada</v>
      </c>
      <c r="F303" s="11" t="s">
        <v>94</v>
      </c>
      <c r="G303" s="9" t="s">
        <v>1161</v>
      </c>
      <c r="H303" s="12">
        <v>45062</v>
      </c>
      <c r="I303" s="12" t="s">
        <v>443</v>
      </c>
      <c r="J303" s="91" t="s">
        <v>821</v>
      </c>
      <c r="K303" s="91">
        <v>45387</v>
      </c>
      <c r="L303" s="10" t="s">
        <v>147</v>
      </c>
      <c r="M303" s="10"/>
      <c r="N303" s="10"/>
      <c r="O303" s="10"/>
    </row>
    <row r="304" spans="1:15" ht="37.5" x14ac:dyDescent="0.25">
      <c r="A304" s="9" t="s">
        <v>826</v>
      </c>
      <c r="B304" s="13">
        <f>VLOOKUP(Table2[[#This Row],[Location 
(drop-down)]],'List source'!D$2:E$59,2,FALSE)</f>
        <v>145</v>
      </c>
      <c r="C304" s="11" t="s">
        <v>612</v>
      </c>
      <c r="D304" s="127" t="str">
        <f t="shared" si="7"/>
        <v>C303-145-23</v>
      </c>
      <c r="E304" s="127" t="str">
        <f>VLOOKUP(Table2[[#This Row],[Location 
(drop-down)]],Table1[#All],3,FALSE)</f>
        <v>USNE, USMW &amp; Canada</v>
      </c>
      <c r="F304" s="11" t="s">
        <v>94</v>
      </c>
      <c r="G304" s="9" t="s">
        <v>1162</v>
      </c>
      <c r="H304" s="12">
        <v>45062</v>
      </c>
      <c r="I304" s="12" t="s">
        <v>443</v>
      </c>
      <c r="J304" s="91" t="s">
        <v>821</v>
      </c>
      <c r="K304" s="91">
        <v>45097</v>
      </c>
      <c r="L304" s="10" t="s">
        <v>97</v>
      </c>
      <c r="M304" s="10"/>
      <c r="N304" s="10"/>
      <c r="O304" s="10"/>
    </row>
    <row r="305" spans="1:15" ht="37.5" x14ac:dyDescent="0.25">
      <c r="A305" s="9" t="s">
        <v>826</v>
      </c>
      <c r="B305" s="13">
        <f>VLOOKUP(Table2[[#This Row],[Location 
(drop-down)]],'List source'!D$2:E$59,2,FALSE)</f>
        <v>145</v>
      </c>
      <c r="C305" s="11" t="s">
        <v>613</v>
      </c>
      <c r="D305" s="127" t="str">
        <f t="shared" si="7"/>
        <v>C304-145-23</v>
      </c>
      <c r="E305" s="127" t="str">
        <f>VLOOKUP(Table2[[#This Row],[Location 
(drop-down)]],Table1[#All],3,FALSE)</f>
        <v>USNE, USMW &amp; Canada</v>
      </c>
      <c r="F305" s="11" t="s">
        <v>94</v>
      </c>
      <c r="G305" s="9" t="s">
        <v>1122</v>
      </c>
      <c r="H305" s="12">
        <v>45062</v>
      </c>
      <c r="I305" s="12" t="s">
        <v>443</v>
      </c>
      <c r="J305" s="91" t="s">
        <v>821</v>
      </c>
      <c r="K305" s="91">
        <v>45299</v>
      </c>
      <c r="L305" s="10" t="s">
        <v>147</v>
      </c>
      <c r="M305" s="10"/>
      <c r="N305" s="10"/>
      <c r="O305" s="10"/>
    </row>
    <row r="306" spans="1:15" ht="37.5" x14ac:dyDescent="0.25">
      <c r="A306" s="9" t="s">
        <v>826</v>
      </c>
      <c r="B306" s="13">
        <f>VLOOKUP(Table2[[#This Row],[Location 
(drop-down)]],'List source'!D$2:E$59,2,FALSE)</f>
        <v>145</v>
      </c>
      <c r="C306" s="11" t="s">
        <v>614</v>
      </c>
      <c r="D306" s="127" t="str">
        <f t="shared" si="7"/>
        <v>C305-145-23</v>
      </c>
      <c r="E306" s="127" t="str">
        <f>VLOOKUP(Table2[[#This Row],[Location 
(drop-down)]],Table1[#All],3,FALSE)</f>
        <v>USNE, USMW &amp; Canada</v>
      </c>
      <c r="F306" s="11" t="s">
        <v>94</v>
      </c>
      <c r="G306" s="9" t="s">
        <v>1163</v>
      </c>
      <c r="H306" s="12">
        <v>45062</v>
      </c>
      <c r="I306" s="12" t="s">
        <v>443</v>
      </c>
      <c r="J306" s="91" t="s">
        <v>821</v>
      </c>
      <c r="K306" s="91">
        <v>45099</v>
      </c>
      <c r="L306" s="10" t="s">
        <v>97</v>
      </c>
      <c r="M306" s="10"/>
      <c r="N306" s="10"/>
      <c r="O306" s="10"/>
    </row>
    <row r="307" spans="1:15" ht="37.5" x14ac:dyDescent="0.25">
      <c r="A307" s="9" t="s">
        <v>168</v>
      </c>
      <c r="B307" s="13">
        <f>VLOOKUP(Table2[[#This Row],[Location 
(drop-down)]],'List source'!D$2:E$59,2,FALSE)</f>
        <v>136</v>
      </c>
      <c r="C307" s="11" t="s">
        <v>615</v>
      </c>
      <c r="D307" s="127" t="str">
        <f t="shared" si="7"/>
        <v>C306-136-23</v>
      </c>
      <c r="E307" s="127" t="str">
        <f>VLOOKUP(Table2[[#This Row],[Location 
(drop-down)]],Table1[#All],3,FALSE)</f>
        <v>SE &amp; Caribbean</v>
      </c>
      <c r="F307" s="11" t="s">
        <v>94</v>
      </c>
      <c r="G307" s="9" t="s">
        <v>1164</v>
      </c>
      <c r="H307" s="12">
        <v>45062</v>
      </c>
      <c r="I307" s="12" t="s">
        <v>129</v>
      </c>
      <c r="J307" s="91" t="s">
        <v>821</v>
      </c>
      <c r="K307" s="91">
        <v>45117</v>
      </c>
      <c r="L307" s="10" t="s">
        <v>97</v>
      </c>
      <c r="M307" s="10" t="s">
        <v>870</v>
      </c>
      <c r="N307" s="10" t="s">
        <v>858</v>
      </c>
      <c r="O307" s="10"/>
    </row>
    <row r="308" spans="1:15" ht="37.5" x14ac:dyDescent="0.25">
      <c r="A308" s="9" t="s">
        <v>168</v>
      </c>
      <c r="B308" s="13">
        <f>VLOOKUP(Table2[[#This Row],[Location 
(drop-down)]],'List source'!D$2:E$59,2,FALSE)</f>
        <v>136</v>
      </c>
      <c r="C308" s="11" t="s">
        <v>616</v>
      </c>
      <c r="D308" s="127" t="str">
        <f t="shared" si="7"/>
        <v>C307-136-23</v>
      </c>
      <c r="E308" s="127" t="str">
        <f>VLOOKUP(Table2[[#This Row],[Location 
(drop-down)]],Table1[#All],3,FALSE)</f>
        <v>SE &amp; Caribbean</v>
      </c>
      <c r="F308" s="11" t="s">
        <v>94</v>
      </c>
      <c r="G308" s="9" t="s">
        <v>1165</v>
      </c>
      <c r="H308" s="12">
        <v>45062</v>
      </c>
      <c r="I308" s="12" t="s">
        <v>129</v>
      </c>
      <c r="J308" s="91" t="s">
        <v>821</v>
      </c>
      <c r="K308" s="91">
        <v>45093</v>
      </c>
      <c r="L308" s="10" t="s">
        <v>97</v>
      </c>
      <c r="M308" s="10" t="s">
        <v>857</v>
      </c>
      <c r="N308" s="10" t="s">
        <v>881</v>
      </c>
      <c r="O308" s="10"/>
    </row>
    <row r="309" spans="1:15" ht="37.5" x14ac:dyDescent="0.25">
      <c r="A309" s="9" t="s">
        <v>168</v>
      </c>
      <c r="B309" s="13">
        <f>VLOOKUP(Table2[[#This Row],[Location 
(drop-down)]],'List source'!D$2:E$59,2,FALSE)</f>
        <v>136</v>
      </c>
      <c r="C309" s="11" t="s">
        <v>617</v>
      </c>
      <c r="D309" s="127" t="str">
        <f t="shared" si="7"/>
        <v>C308-136-23</v>
      </c>
      <c r="E309" s="127" t="str">
        <f>VLOOKUP(Table2[[#This Row],[Location 
(drop-down)]],Table1[#All],3,FALSE)</f>
        <v>SE &amp; Caribbean</v>
      </c>
      <c r="F309" s="11" t="s">
        <v>94</v>
      </c>
      <c r="G309" s="9" t="s">
        <v>1166</v>
      </c>
      <c r="H309" s="12">
        <v>45062</v>
      </c>
      <c r="I309" s="12" t="s">
        <v>129</v>
      </c>
      <c r="J309" s="91" t="s">
        <v>821</v>
      </c>
      <c r="K309" s="91">
        <v>45198</v>
      </c>
      <c r="L309" s="10" t="s">
        <v>147</v>
      </c>
      <c r="M309" s="10" t="s">
        <v>857</v>
      </c>
      <c r="N309" s="10" t="s">
        <v>822</v>
      </c>
      <c r="O309" s="10"/>
    </row>
    <row r="310" spans="1:15" ht="37.5" x14ac:dyDescent="0.25">
      <c r="A310" s="9" t="s">
        <v>168</v>
      </c>
      <c r="B310" s="13">
        <f>VLOOKUP(Table2[[#This Row],[Location 
(drop-down)]],'List source'!D$2:E$59,2,FALSE)</f>
        <v>136</v>
      </c>
      <c r="C310" s="11" t="s">
        <v>618</v>
      </c>
      <c r="D310" s="127" t="str">
        <f t="shared" si="7"/>
        <v>C309-136-23</v>
      </c>
      <c r="E310" s="127" t="str">
        <f>VLOOKUP(Table2[[#This Row],[Location 
(drop-down)]],Table1[#All],3,FALSE)</f>
        <v>SE &amp; Caribbean</v>
      </c>
      <c r="F310" s="11" t="s">
        <v>94</v>
      </c>
      <c r="G310" s="9" t="s">
        <v>1167</v>
      </c>
      <c r="H310" s="12">
        <v>45062</v>
      </c>
      <c r="I310" s="12" t="s">
        <v>129</v>
      </c>
      <c r="J310" s="91" t="s">
        <v>821</v>
      </c>
      <c r="K310" s="91">
        <v>45127</v>
      </c>
      <c r="L310" s="10" t="s">
        <v>97</v>
      </c>
      <c r="M310" s="10" t="s">
        <v>862</v>
      </c>
      <c r="N310" s="10" t="s">
        <v>858</v>
      </c>
      <c r="O310" s="10"/>
    </row>
    <row r="311" spans="1:15" ht="37.5" x14ac:dyDescent="0.25">
      <c r="A311" s="9" t="s">
        <v>168</v>
      </c>
      <c r="B311" s="13">
        <f>VLOOKUP(Table2[[#This Row],[Location 
(drop-down)]],'List source'!D$2:E$59,2,FALSE)</f>
        <v>136</v>
      </c>
      <c r="C311" s="11" t="s">
        <v>619</v>
      </c>
      <c r="D311" s="127" t="str">
        <f t="shared" si="7"/>
        <v>C310-136-23</v>
      </c>
      <c r="E311" s="127" t="str">
        <f>VLOOKUP(Table2[[#This Row],[Location 
(drop-down)]],Table1[#All],3,FALSE)</f>
        <v>SE &amp; Caribbean</v>
      </c>
      <c r="F311" s="11" t="s">
        <v>94</v>
      </c>
      <c r="G311" s="9" t="s">
        <v>1168</v>
      </c>
      <c r="H311" s="12">
        <v>45062</v>
      </c>
      <c r="I311" s="12" t="s">
        <v>129</v>
      </c>
      <c r="J311" s="91" t="s">
        <v>821</v>
      </c>
      <c r="K311" s="91">
        <v>45109</v>
      </c>
      <c r="L311" s="10" t="s">
        <v>97</v>
      </c>
      <c r="M311" s="10" t="s">
        <v>914</v>
      </c>
      <c r="N311" s="10" t="s">
        <v>881</v>
      </c>
      <c r="O311" s="10"/>
    </row>
    <row r="312" spans="1:15" ht="45" x14ac:dyDescent="0.25">
      <c r="A312" s="9" t="s">
        <v>131</v>
      </c>
      <c r="B312" s="13" t="str">
        <f>VLOOKUP(Table2[[#This Row],[Location 
(drop-down)]],'List source'!D$2:E$59,2,FALSE)</f>
        <v>VOID</v>
      </c>
      <c r="C312" s="11" t="s">
        <v>620</v>
      </c>
      <c r="D312" s="127" t="str">
        <f t="shared" si="7"/>
        <v>C311-VOID-23</v>
      </c>
      <c r="E312" s="127" t="str">
        <f>VLOOKUP(Table2[[#This Row],[Location 
(drop-down)]],Table1[#All],3,FALSE)</f>
        <v>VOID</v>
      </c>
      <c r="F312" s="11" t="s">
        <v>50</v>
      </c>
      <c r="G312" s="9" t="s">
        <v>1169</v>
      </c>
      <c r="H312" s="12" t="s">
        <v>50</v>
      </c>
      <c r="I312" s="12" t="s">
        <v>50</v>
      </c>
      <c r="J312" s="91" t="s">
        <v>50</v>
      </c>
      <c r="K312" s="91" t="s">
        <v>50</v>
      </c>
      <c r="L312" s="10" t="s">
        <v>50</v>
      </c>
      <c r="M312" s="10" t="s">
        <v>50</v>
      </c>
      <c r="N312" s="10" t="s">
        <v>50</v>
      </c>
      <c r="O312" s="10"/>
    </row>
    <row r="313" spans="1:15" ht="37.5" x14ac:dyDescent="0.25">
      <c r="A313" s="9" t="s">
        <v>168</v>
      </c>
      <c r="B313" s="13">
        <f>VLOOKUP(Table2[[#This Row],[Location 
(drop-down)]],'List source'!D$2:E$59,2,FALSE)</f>
        <v>136</v>
      </c>
      <c r="C313" s="11" t="s">
        <v>621</v>
      </c>
      <c r="D313" s="127" t="str">
        <f t="shared" si="7"/>
        <v>C312-136-23</v>
      </c>
      <c r="E313" s="127" t="str">
        <f>VLOOKUP(Table2[[#This Row],[Location 
(drop-down)]],Table1[#All],3,FALSE)</f>
        <v>SE &amp; Caribbean</v>
      </c>
      <c r="F313" s="11" t="s">
        <v>94</v>
      </c>
      <c r="G313" s="9" t="s">
        <v>1170</v>
      </c>
      <c r="H313" s="12">
        <v>45062</v>
      </c>
      <c r="I313" s="12" t="s">
        <v>129</v>
      </c>
      <c r="J313" s="91" t="s">
        <v>821</v>
      </c>
      <c r="K313" s="91">
        <v>45117</v>
      </c>
      <c r="L313" s="10" t="s">
        <v>97</v>
      </c>
      <c r="M313" s="10" t="s">
        <v>857</v>
      </c>
      <c r="N313" s="10" t="s">
        <v>858</v>
      </c>
      <c r="O313" s="10"/>
    </row>
    <row r="314" spans="1:15" ht="37.5" x14ac:dyDescent="0.25">
      <c r="A314" s="9" t="s">
        <v>168</v>
      </c>
      <c r="B314" s="13">
        <f>VLOOKUP(Table2[[#This Row],[Location 
(drop-down)]],'List source'!D$2:E$59,2,FALSE)</f>
        <v>136</v>
      </c>
      <c r="C314" s="11" t="s">
        <v>622</v>
      </c>
      <c r="D314" s="127" t="str">
        <f t="shared" si="7"/>
        <v>C313-136-23</v>
      </c>
      <c r="E314" s="127" t="str">
        <f>VLOOKUP(Table2[[#This Row],[Location 
(drop-down)]],Table1[#All],3,FALSE)</f>
        <v>SE &amp; Caribbean</v>
      </c>
      <c r="F314" s="11" t="s">
        <v>94</v>
      </c>
      <c r="G314" s="9" t="s">
        <v>1171</v>
      </c>
      <c r="H314" s="12">
        <v>45062</v>
      </c>
      <c r="I314" s="12" t="s">
        <v>129</v>
      </c>
      <c r="J314" s="91" t="s">
        <v>821</v>
      </c>
      <c r="K314" s="91">
        <v>45117</v>
      </c>
      <c r="L314" s="10" t="s">
        <v>147</v>
      </c>
      <c r="M314" s="10" t="s">
        <v>857</v>
      </c>
      <c r="N314" s="10" t="s">
        <v>858</v>
      </c>
      <c r="O314" s="10"/>
    </row>
    <row r="315" spans="1:15" ht="37.5" x14ac:dyDescent="0.25">
      <c r="A315" s="9" t="s">
        <v>168</v>
      </c>
      <c r="B315" s="13">
        <f>VLOOKUP(Table2[[#This Row],[Location 
(drop-down)]],'List source'!D$2:E$59,2,FALSE)</f>
        <v>136</v>
      </c>
      <c r="C315" s="11" t="s">
        <v>623</v>
      </c>
      <c r="D315" s="127" t="str">
        <f t="shared" si="7"/>
        <v>C314-136-23</v>
      </c>
      <c r="E315" s="127" t="str">
        <f>VLOOKUP(Table2[[#This Row],[Location 
(drop-down)]],Table1[#All],3,FALSE)</f>
        <v>SE &amp; Caribbean</v>
      </c>
      <c r="F315" s="11" t="s">
        <v>94</v>
      </c>
      <c r="G315" s="9" t="s">
        <v>1172</v>
      </c>
      <c r="H315" s="12">
        <v>45062</v>
      </c>
      <c r="I315" s="12" t="s">
        <v>129</v>
      </c>
      <c r="J315" s="91" t="s">
        <v>821</v>
      </c>
      <c r="K315" s="91">
        <v>45127</v>
      </c>
      <c r="L315" s="10" t="s">
        <v>97</v>
      </c>
      <c r="M315" s="10" t="s">
        <v>857</v>
      </c>
      <c r="N315" s="10" t="s">
        <v>858</v>
      </c>
      <c r="O315" s="10"/>
    </row>
    <row r="316" spans="1:15" ht="37.5" x14ac:dyDescent="0.25">
      <c r="A316" s="9" t="s">
        <v>13</v>
      </c>
      <c r="B316" s="13">
        <f>VLOOKUP(Table2[[#This Row],[Location 
(drop-down)]],'List source'!D$2:E$59,2,FALSE)</f>
        <v>126</v>
      </c>
      <c r="C316" s="11" t="s">
        <v>624</v>
      </c>
      <c r="D316" s="127" t="str">
        <f t="shared" si="7"/>
        <v>C315-126-23</v>
      </c>
      <c r="E316" s="127" t="str">
        <f>VLOOKUP(Table2[[#This Row],[Location 
(drop-down)]],Table1[#All],3,FALSE)</f>
        <v>SE &amp; Caribbean</v>
      </c>
      <c r="F316" s="11" t="s">
        <v>15</v>
      </c>
      <c r="G316" s="9" t="s">
        <v>1173</v>
      </c>
      <c r="H316" s="12">
        <v>45062</v>
      </c>
      <c r="I316" s="12" t="s">
        <v>17</v>
      </c>
      <c r="J316" s="91" t="s">
        <v>821</v>
      </c>
      <c r="K316" s="91">
        <v>45100</v>
      </c>
      <c r="L316" s="10" t="s">
        <v>15</v>
      </c>
      <c r="M316" s="10" t="s">
        <v>15</v>
      </c>
      <c r="N316" s="10" t="s">
        <v>822</v>
      </c>
      <c r="O316" s="10"/>
    </row>
    <row r="317" spans="1:15" ht="30" x14ac:dyDescent="0.25">
      <c r="A317" s="9" t="s">
        <v>174</v>
      </c>
      <c r="B317" s="13">
        <f>VLOOKUP(Table2[[#This Row],[Location 
(drop-down)]],'List source'!D$2:E$59,2,FALSE)</f>
        <v>131</v>
      </c>
      <c r="C317" s="11" t="s">
        <v>625</v>
      </c>
      <c r="D317" s="127" t="str">
        <f t="shared" si="7"/>
        <v>C316-131-23</v>
      </c>
      <c r="E317" s="127" t="str">
        <f>VLOOKUP(Table2[[#This Row],[Location 
(drop-down)]],Table1[#All],3,FALSE)</f>
        <v>USWC</v>
      </c>
      <c r="F317" s="11" t="s">
        <v>15</v>
      </c>
      <c r="G317" s="9" t="s">
        <v>1174</v>
      </c>
      <c r="H317" s="12">
        <v>45062</v>
      </c>
      <c r="I317" s="12" t="s">
        <v>17</v>
      </c>
      <c r="J317" s="91" t="s">
        <v>821</v>
      </c>
      <c r="K317" s="91">
        <v>45156</v>
      </c>
      <c r="L317" s="10" t="s">
        <v>15</v>
      </c>
      <c r="M317" s="10" t="s">
        <v>15</v>
      </c>
      <c r="N317" s="10" t="s">
        <v>832</v>
      </c>
      <c r="O317" s="10"/>
    </row>
    <row r="318" spans="1:15" ht="37.5" x14ac:dyDescent="0.25">
      <c r="A318" s="9" t="s">
        <v>108</v>
      </c>
      <c r="B318" s="13">
        <f>VLOOKUP(Table2[[#This Row],[Location 
(drop-down)]],'List source'!D$2:E$59,2,FALSE)</f>
        <v>191</v>
      </c>
      <c r="C318" s="11" t="s">
        <v>626</v>
      </c>
      <c r="D318" s="127" t="str">
        <f t="shared" si="7"/>
        <v>C317-191-23</v>
      </c>
      <c r="E318" s="127" t="str">
        <f>VLOOKUP(Table2[[#This Row],[Location 
(drop-down)]],Table1[#All],3,FALSE)</f>
        <v>SE &amp; Caribbean</v>
      </c>
      <c r="F318" s="11" t="s">
        <v>15</v>
      </c>
      <c r="G318" s="9" t="s">
        <v>1175</v>
      </c>
      <c r="H318" s="12">
        <v>45063</v>
      </c>
      <c r="I318" s="12" t="s">
        <v>17</v>
      </c>
      <c r="J318" s="91" t="s">
        <v>821</v>
      </c>
      <c r="K318" s="91">
        <v>45501</v>
      </c>
      <c r="L318" s="10" t="s">
        <v>15</v>
      </c>
      <c r="M318" s="10" t="s">
        <v>15</v>
      </c>
      <c r="N318" s="10"/>
      <c r="O318" s="10"/>
    </row>
    <row r="319" spans="1:15" ht="37.5" x14ac:dyDescent="0.25">
      <c r="A319" s="9" t="s">
        <v>324</v>
      </c>
      <c r="B319" s="13">
        <f>VLOOKUP(Table2[[#This Row],[Location 
(drop-down)]],'List source'!D$2:E$59,2,FALSE)</f>
        <v>170</v>
      </c>
      <c r="C319" s="11" t="s">
        <v>627</v>
      </c>
      <c r="D319" s="127" t="str">
        <f t="shared" si="7"/>
        <v>C318-170-23</v>
      </c>
      <c r="E319" s="127" t="str">
        <f>VLOOKUP(Table2[[#This Row],[Location 
(drop-down)]],Table1[#All],3,FALSE)</f>
        <v>SE &amp; Caribbean</v>
      </c>
      <c r="F319" s="11" t="s">
        <v>269</v>
      </c>
      <c r="G319" s="9" t="s">
        <v>1176</v>
      </c>
      <c r="H319" s="12">
        <v>45063</v>
      </c>
      <c r="I319" s="12" t="s">
        <v>129</v>
      </c>
      <c r="J319" s="91" t="s">
        <v>821</v>
      </c>
      <c r="K319" s="91">
        <v>45127</v>
      </c>
      <c r="L319" s="10" t="s">
        <v>97</v>
      </c>
      <c r="M319" s="10" t="s">
        <v>862</v>
      </c>
      <c r="N319" s="10" t="s">
        <v>858</v>
      </c>
      <c r="O319" s="10" t="s">
        <v>1177</v>
      </c>
    </row>
    <row r="320" spans="1:15" ht="45" x14ac:dyDescent="0.25">
      <c r="A320" s="9" t="s">
        <v>87</v>
      </c>
      <c r="B320" s="13">
        <f>VLOOKUP(Table2[[#This Row],[Location 
(drop-down)]],'List source'!D$2:E$59,2,FALSE)</f>
        <v>210</v>
      </c>
      <c r="C320" s="11" t="s">
        <v>628</v>
      </c>
      <c r="D320" s="127" t="str">
        <f t="shared" si="7"/>
        <v>C319-210-23</v>
      </c>
      <c r="E320" s="127" t="str">
        <f>VLOOKUP(Table2[[#This Row],[Location 
(drop-down)]],Table1[#All],3,FALSE)</f>
        <v>SE &amp; Caribbean</v>
      </c>
      <c r="F320" s="11" t="s">
        <v>852</v>
      </c>
      <c r="G320" s="107" t="s">
        <v>1178</v>
      </c>
      <c r="H320" s="12">
        <v>45065</v>
      </c>
      <c r="I320" s="12" t="s">
        <v>129</v>
      </c>
      <c r="J320" s="91" t="s">
        <v>821</v>
      </c>
      <c r="K320" s="91">
        <v>45081</v>
      </c>
      <c r="L320" s="10" t="s">
        <v>147</v>
      </c>
      <c r="M320" s="10" t="s">
        <v>862</v>
      </c>
      <c r="N320" s="10" t="s">
        <v>910</v>
      </c>
      <c r="O320" s="10" t="s">
        <v>1179</v>
      </c>
    </row>
    <row r="321" spans="1:15" ht="30" x14ac:dyDescent="0.25">
      <c r="A321" s="9" t="s">
        <v>1023</v>
      </c>
      <c r="B321" s="13">
        <f>VLOOKUP(Table2[[#This Row],[Location 
(drop-down)]],'List source'!D$2:E$59,2,FALSE)</f>
        <v>128</v>
      </c>
      <c r="C321" s="11" t="s">
        <v>629</v>
      </c>
      <c r="D321" s="127" t="str">
        <f t="shared" si="7"/>
        <v>C320-128-23</v>
      </c>
      <c r="E321" s="127" t="str">
        <f>VLOOKUP(Table2[[#This Row],[Location 
(drop-down)]],Table1[#All],3,FALSE)</f>
        <v>USGC</v>
      </c>
      <c r="F321" s="11" t="s">
        <v>269</v>
      </c>
      <c r="G321" s="116" t="s">
        <v>1180</v>
      </c>
      <c r="H321" s="12">
        <v>45068</v>
      </c>
      <c r="I321" s="12" t="s">
        <v>129</v>
      </c>
      <c r="J321" s="91" t="s">
        <v>821</v>
      </c>
      <c r="K321" s="91">
        <v>45077</v>
      </c>
      <c r="L321" s="10" t="s">
        <v>147</v>
      </c>
      <c r="M321" s="10" t="s">
        <v>870</v>
      </c>
      <c r="N321" s="10" t="s">
        <v>910</v>
      </c>
      <c r="O321" s="10" t="s">
        <v>1181</v>
      </c>
    </row>
    <row r="322" spans="1:15" ht="44.25" customHeight="1" x14ac:dyDescent="0.25">
      <c r="A322" s="9" t="s">
        <v>112</v>
      </c>
      <c r="B322" s="13">
        <f>VLOOKUP(Table2[[#This Row],[Location 
(drop-down)]],'List source'!D$2:E$59,2,FALSE)</f>
        <v>115</v>
      </c>
      <c r="C322" s="11" t="s">
        <v>630</v>
      </c>
      <c r="D322" s="127" t="str">
        <f t="shared" si="7"/>
        <v>C321-115-23</v>
      </c>
      <c r="E322" s="127" t="str">
        <f>VLOOKUP(Table2[[#This Row],[Location 
(drop-down)]],Table1[#All],3,FALSE)</f>
        <v>SE &amp; Caribbean</v>
      </c>
      <c r="F322" s="11" t="s">
        <v>159</v>
      </c>
      <c r="G322" s="9" t="s">
        <v>1182</v>
      </c>
      <c r="H322" s="12">
        <v>45068</v>
      </c>
      <c r="I322" s="12" t="s">
        <v>129</v>
      </c>
      <c r="J322" s="91" t="s">
        <v>821</v>
      </c>
      <c r="K322" s="91">
        <v>45079</v>
      </c>
      <c r="L322" s="10" t="s">
        <v>97</v>
      </c>
      <c r="M322" s="10" t="s">
        <v>903</v>
      </c>
      <c r="N322" s="10" t="s">
        <v>858</v>
      </c>
      <c r="O322" s="10"/>
    </row>
    <row r="323" spans="1:15" ht="45" x14ac:dyDescent="0.25">
      <c r="A323" s="9" t="s">
        <v>171</v>
      </c>
      <c r="B323" s="13">
        <f>VLOOKUP(Table2[[#This Row],[Location 
(drop-down)]],'List source'!D$2:E$59,2,FALSE)</f>
        <v>160</v>
      </c>
      <c r="C323" s="11" t="s">
        <v>631</v>
      </c>
      <c r="D323" s="127" t="str">
        <f t="shared" si="7"/>
        <v>C322-160-23</v>
      </c>
      <c r="E323" s="127" t="str">
        <f>VLOOKUP(Table2[[#This Row],[Location 
(drop-down)]],Table1[#All],3,FALSE)</f>
        <v>USGC</v>
      </c>
      <c r="F323" s="11" t="s">
        <v>94</v>
      </c>
      <c r="G323" s="9" t="s">
        <v>1183</v>
      </c>
      <c r="H323" s="12">
        <v>45071</v>
      </c>
      <c r="I323" s="12" t="s">
        <v>440</v>
      </c>
      <c r="J323" s="91" t="s">
        <v>821</v>
      </c>
      <c r="K323" s="91">
        <v>45126</v>
      </c>
      <c r="L323" s="10" t="s">
        <v>97</v>
      </c>
      <c r="M323" s="10" t="s">
        <v>857</v>
      </c>
      <c r="N323" s="10"/>
      <c r="O323" s="10"/>
    </row>
    <row r="324" spans="1:15" ht="30" x14ac:dyDescent="0.25">
      <c r="A324" s="9" t="s">
        <v>171</v>
      </c>
      <c r="B324" s="13">
        <f>VLOOKUP(Table2[[#This Row],[Location 
(drop-down)]],'List source'!D$2:E$59,2,FALSE)</f>
        <v>160</v>
      </c>
      <c r="C324" s="11" t="s">
        <v>632</v>
      </c>
      <c r="D324" s="127" t="str">
        <f t="shared" si="7"/>
        <v>C323-160-23</v>
      </c>
      <c r="E324" s="127" t="str">
        <f>VLOOKUP(Table2[[#This Row],[Location 
(drop-down)]],Table1[#All],3,FALSE)</f>
        <v>USGC</v>
      </c>
      <c r="F324" s="11" t="s">
        <v>94</v>
      </c>
      <c r="G324" s="9" t="s">
        <v>1184</v>
      </c>
      <c r="H324" s="12">
        <v>45071</v>
      </c>
      <c r="I324" s="12" t="s">
        <v>440</v>
      </c>
      <c r="J324" s="91" t="s">
        <v>821</v>
      </c>
      <c r="K324" s="91">
        <v>45128</v>
      </c>
      <c r="L324" s="10" t="s">
        <v>97</v>
      </c>
      <c r="M324" s="10" t="s">
        <v>857</v>
      </c>
      <c r="N324" s="10" t="s">
        <v>822</v>
      </c>
      <c r="O324" s="10"/>
    </row>
    <row r="325" spans="1:15" ht="32.25" customHeight="1" x14ac:dyDescent="0.25">
      <c r="A325" s="9" t="s">
        <v>171</v>
      </c>
      <c r="B325" s="13">
        <f>VLOOKUP(Table2[[#This Row],[Location 
(drop-down)]],'List source'!D$2:E$59,2,FALSE)</f>
        <v>160</v>
      </c>
      <c r="C325" s="11" t="s">
        <v>633</v>
      </c>
      <c r="D325" s="127" t="str">
        <f t="shared" si="7"/>
        <v>C324-160-23</v>
      </c>
      <c r="E325" s="127" t="str">
        <f>VLOOKUP(Table2[[#This Row],[Location 
(drop-down)]],Table1[#All],3,FALSE)</f>
        <v>USGC</v>
      </c>
      <c r="F325" s="11" t="s">
        <v>94</v>
      </c>
      <c r="G325" s="9" t="s">
        <v>1185</v>
      </c>
      <c r="H325" s="12">
        <v>45071</v>
      </c>
      <c r="I325" s="12" t="s">
        <v>440</v>
      </c>
      <c r="J325" s="91" t="s">
        <v>821</v>
      </c>
      <c r="K325" s="91">
        <v>45128</v>
      </c>
      <c r="L325" s="10" t="s">
        <v>97</v>
      </c>
      <c r="M325" s="10"/>
      <c r="N325" s="10"/>
      <c r="O325" s="10"/>
    </row>
    <row r="326" spans="1:15" ht="30" x14ac:dyDescent="0.25">
      <c r="A326" s="9" t="s">
        <v>171</v>
      </c>
      <c r="B326" s="13">
        <f>VLOOKUP(Table2[[#This Row],[Location 
(drop-down)]],'List source'!D$2:E$59,2,FALSE)</f>
        <v>160</v>
      </c>
      <c r="C326" s="11" t="s">
        <v>634</v>
      </c>
      <c r="D326" s="127" t="str">
        <f t="shared" si="7"/>
        <v>C325-160-23</v>
      </c>
      <c r="E326" s="127" t="str">
        <f>VLOOKUP(Table2[[#This Row],[Location 
(drop-down)]],Table1[#All],3,FALSE)</f>
        <v>USGC</v>
      </c>
      <c r="F326" s="11" t="s">
        <v>94</v>
      </c>
      <c r="G326" s="9" t="s">
        <v>1186</v>
      </c>
      <c r="H326" s="12">
        <v>45071</v>
      </c>
      <c r="I326" s="12" t="s">
        <v>440</v>
      </c>
      <c r="J326" s="91" t="s">
        <v>821</v>
      </c>
      <c r="K326" s="91">
        <v>45127</v>
      </c>
      <c r="L326" s="10" t="s">
        <v>97</v>
      </c>
      <c r="M326" s="10"/>
      <c r="N326" s="10"/>
      <c r="O326" s="10"/>
    </row>
    <row r="327" spans="1:15" ht="30" x14ac:dyDescent="0.25">
      <c r="A327" s="9" t="s">
        <v>171</v>
      </c>
      <c r="B327" s="13">
        <f>VLOOKUP(Table2[[#This Row],[Location 
(drop-down)]],'List source'!D$2:E$59,2,FALSE)</f>
        <v>160</v>
      </c>
      <c r="C327" s="11" t="s">
        <v>635</v>
      </c>
      <c r="D327" s="127" t="str">
        <f t="shared" si="7"/>
        <v>C326-160-23</v>
      </c>
      <c r="E327" s="127" t="str">
        <f>VLOOKUP(Table2[[#This Row],[Location 
(drop-down)]],Table1[#All],3,FALSE)</f>
        <v>USGC</v>
      </c>
      <c r="F327" s="11" t="s">
        <v>94</v>
      </c>
      <c r="G327" s="9" t="s">
        <v>1187</v>
      </c>
      <c r="H327" s="12">
        <v>45071</v>
      </c>
      <c r="I327" s="12" t="s">
        <v>440</v>
      </c>
      <c r="J327" s="91" t="s">
        <v>821</v>
      </c>
      <c r="K327" s="91">
        <v>45127</v>
      </c>
      <c r="L327" s="10" t="s">
        <v>97</v>
      </c>
      <c r="M327" s="10"/>
      <c r="N327" s="10"/>
      <c r="O327" s="10"/>
    </row>
    <row r="328" spans="1:15" ht="30" x14ac:dyDescent="0.25">
      <c r="A328" s="9" t="s">
        <v>171</v>
      </c>
      <c r="B328" s="13">
        <f>VLOOKUP(Table2[[#This Row],[Location 
(drop-down)]],'List source'!D$2:E$59,2,FALSE)</f>
        <v>160</v>
      </c>
      <c r="C328" s="11" t="s">
        <v>636</v>
      </c>
      <c r="D328" s="127" t="str">
        <f t="shared" si="7"/>
        <v>C327-160-23</v>
      </c>
      <c r="E328" s="127" t="str">
        <f>VLOOKUP(Table2[[#This Row],[Location 
(drop-down)]],Table1[#All],3,FALSE)</f>
        <v>USGC</v>
      </c>
      <c r="F328" s="11" t="s">
        <v>94</v>
      </c>
      <c r="G328" s="9" t="s">
        <v>1188</v>
      </c>
      <c r="H328" s="12">
        <v>45071</v>
      </c>
      <c r="I328" s="12" t="s">
        <v>440</v>
      </c>
      <c r="J328" s="91" t="s">
        <v>821</v>
      </c>
      <c r="K328" s="91">
        <v>45259</v>
      </c>
      <c r="L328" s="10" t="s">
        <v>97</v>
      </c>
      <c r="M328" s="10"/>
      <c r="N328" s="10"/>
      <c r="O328" s="10"/>
    </row>
    <row r="329" spans="1:15" ht="30" x14ac:dyDescent="0.25">
      <c r="A329" s="9" t="s">
        <v>171</v>
      </c>
      <c r="B329" s="13">
        <f>VLOOKUP(Table2[[#This Row],[Location 
(drop-down)]],'List source'!D$2:E$59,2,FALSE)</f>
        <v>160</v>
      </c>
      <c r="C329" s="11" t="s">
        <v>637</v>
      </c>
      <c r="D329" s="127" t="str">
        <f t="shared" si="7"/>
        <v>C328-160-23</v>
      </c>
      <c r="E329" s="127" t="str">
        <f>VLOOKUP(Table2[[#This Row],[Location 
(drop-down)]],Table1[#All],3,FALSE)</f>
        <v>USGC</v>
      </c>
      <c r="F329" s="11" t="s">
        <v>94</v>
      </c>
      <c r="G329" s="9" t="s">
        <v>1189</v>
      </c>
      <c r="H329" s="12">
        <v>45071</v>
      </c>
      <c r="I329" s="12" t="s">
        <v>440</v>
      </c>
      <c r="J329" s="91" t="s">
        <v>821</v>
      </c>
      <c r="K329" s="91">
        <v>45127</v>
      </c>
      <c r="L329" s="10" t="s">
        <v>97</v>
      </c>
      <c r="M329" s="10"/>
      <c r="N329" s="10"/>
      <c r="O329" s="10"/>
    </row>
    <row r="330" spans="1:15" ht="30" x14ac:dyDescent="0.25">
      <c r="A330" s="9" t="s">
        <v>171</v>
      </c>
      <c r="B330" s="13">
        <f>VLOOKUP(Table2[[#This Row],[Location 
(drop-down)]],'List source'!D$2:E$59,2,FALSE)</f>
        <v>160</v>
      </c>
      <c r="C330" s="11" t="s">
        <v>638</v>
      </c>
      <c r="D330" s="127" t="str">
        <f t="shared" si="7"/>
        <v>C329-160-23</v>
      </c>
      <c r="E330" s="127" t="str">
        <f>VLOOKUP(Table2[[#This Row],[Location 
(drop-down)]],Table1[#All],3,FALSE)</f>
        <v>USGC</v>
      </c>
      <c r="F330" s="11" t="s">
        <v>94</v>
      </c>
      <c r="G330" s="9" t="s">
        <v>1190</v>
      </c>
      <c r="H330" s="12">
        <v>45071</v>
      </c>
      <c r="I330" s="12" t="s">
        <v>440</v>
      </c>
      <c r="J330" s="91" t="s">
        <v>821</v>
      </c>
      <c r="K330" s="91">
        <v>45209</v>
      </c>
      <c r="L330" s="10" t="s">
        <v>97</v>
      </c>
      <c r="M330" s="10"/>
      <c r="N330" s="10"/>
      <c r="O330" s="10"/>
    </row>
    <row r="331" spans="1:15" ht="30" x14ac:dyDescent="0.25">
      <c r="A331" s="9" t="s">
        <v>171</v>
      </c>
      <c r="B331" s="13">
        <f>VLOOKUP(Table2[[#This Row],[Location 
(drop-down)]],'List source'!D$2:E$59,2,FALSE)</f>
        <v>160</v>
      </c>
      <c r="C331" s="11" t="s">
        <v>639</v>
      </c>
      <c r="D331" s="127" t="str">
        <f t="shared" si="7"/>
        <v>C330-160-23</v>
      </c>
      <c r="E331" s="127" t="str">
        <f>VLOOKUP(Table2[[#This Row],[Location 
(drop-down)]],Table1[#All],3,FALSE)</f>
        <v>USGC</v>
      </c>
      <c r="F331" s="11" t="s">
        <v>94</v>
      </c>
      <c r="G331" s="9" t="s">
        <v>1191</v>
      </c>
      <c r="H331" s="12">
        <v>45071</v>
      </c>
      <c r="I331" s="12" t="s">
        <v>440</v>
      </c>
      <c r="J331" s="91" t="s">
        <v>821</v>
      </c>
      <c r="K331" s="91">
        <v>45127</v>
      </c>
      <c r="L331" s="10" t="s">
        <v>97</v>
      </c>
      <c r="M331" s="10"/>
      <c r="N331" s="10"/>
      <c r="O331" s="10"/>
    </row>
    <row r="332" spans="1:15" ht="30" x14ac:dyDescent="0.25">
      <c r="A332" s="9" t="s">
        <v>178</v>
      </c>
      <c r="B332" s="13">
        <f>VLOOKUP(Table2[[#This Row],[Location 
(drop-down)]],'List source'!D$2:E$59,2,FALSE)</f>
        <v>150</v>
      </c>
      <c r="C332" s="11" t="s">
        <v>640</v>
      </c>
      <c r="D332" s="127" t="str">
        <f t="shared" si="7"/>
        <v>C331-150-23</v>
      </c>
      <c r="E332" s="127" t="str">
        <f>VLOOKUP(Table2[[#This Row],[Location 
(drop-down)]],Table1[#All],3,FALSE)</f>
        <v>USGC</v>
      </c>
      <c r="F332" s="11" t="s">
        <v>269</v>
      </c>
      <c r="G332" s="9" t="s">
        <v>1192</v>
      </c>
      <c r="H332" s="12">
        <v>45069</v>
      </c>
      <c r="I332" s="12" t="s">
        <v>129</v>
      </c>
      <c r="J332" s="91" t="s">
        <v>821</v>
      </c>
      <c r="K332" s="91">
        <v>45081</v>
      </c>
      <c r="L332" s="10" t="s">
        <v>147</v>
      </c>
      <c r="M332" s="10" t="s">
        <v>857</v>
      </c>
      <c r="N332" s="10" t="s">
        <v>822</v>
      </c>
      <c r="O332" s="10"/>
    </row>
    <row r="333" spans="1:15" ht="37.5" x14ac:dyDescent="0.25">
      <c r="A333" s="9" t="s">
        <v>378</v>
      </c>
      <c r="B333" s="13">
        <f>VLOOKUP(Table2[[#This Row],[Location 
(drop-down)]],'List source'!D$2:E$59,2,FALSE)</f>
        <v>116</v>
      </c>
      <c r="C333" s="11" t="s">
        <v>641</v>
      </c>
      <c r="D333" s="127" t="str">
        <f t="shared" si="7"/>
        <v>C332-116-23</v>
      </c>
      <c r="E333" s="127" t="str">
        <f>VLOOKUP(Table2[[#This Row],[Location 
(drop-down)]],Table1[#All],3,FALSE)</f>
        <v>SE &amp; Caribbean</v>
      </c>
      <c r="F333" s="11" t="s">
        <v>15</v>
      </c>
      <c r="G333" s="9" t="s">
        <v>1193</v>
      </c>
      <c r="H333" s="12">
        <v>45072</v>
      </c>
      <c r="I333" s="12" t="s">
        <v>17</v>
      </c>
      <c r="J333" s="91" t="s">
        <v>821</v>
      </c>
      <c r="K333" s="91">
        <v>45229</v>
      </c>
      <c r="L333" s="10" t="s">
        <v>15</v>
      </c>
      <c r="M333" s="10" t="s">
        <v>15</v>
      </c>
      <c r="N333" s="10"/>
      <c r="O333" s="10"/>
    </row>
    <row r="334" spans="1:15" ht="30" x14ac:dyDescent="0.25">
      <c r="A334" s="9" t="s">
        <v>37</v>
      </c>
      <c r="B334" s="13">
        <f>VLOOKUP(Table2[[#This Row],[Location 
(drop-down)]],'List source'!D$2:E$59,2,FALSE)</f>
        <v>158</v>
      </c>
      <c r="C334" s="11" t="s">
        <v>642</v>
      </c>
      <c r="D334" s="127" t="str">
        <f t="shared" si="7"/>
        <v>C333-158-23</v>
      </c>
      <c r="E334" s="127" t="str">
        <f>VLOOKUP(Table2[[#This Row],[Location 
(drop-down)]],Table1[#All],3,FALSE)</f>
        <v>USGC</v>
      </c>
      <c r="F334" s="11" t="s">
        <v>15</v>
      </c>
      <c r="G334" s="9" t="s">
        <v>1194</v>
      </c>
      <c r="H334" s="12">
        <v>45072</v>
      </c>
      <c r="I334" s="12" t="s">
        <v>17</v>
      </c>
      <c r="J334" s="91" t="s">
        <v>821</v>
      </c>
      <c r="K334" s="91">
        <v>45316</v>
      </c>
      <c r="L334" s="10" t="s">
        <v>15</v>
      </c>
      <c r="M334" s="10" t="s">
        <v>15</v>
      </c>
      <c r="N334" s="10"/>
      <c r="O334" s="10"/>
    </row>
    <row r="335" spans="1:15" ht="30" x14ac:dyDescent="0.25">
      <c r="A335" s="9" t="s">
        <v>27</v>
      </c>
      <c r="B335" s="13">
        <f>VLOOKUP(Table2[[#This Row],[Location 
(drop-down)]],'List source'!D$2:E$59,2,FALSE)</f>
        <v>132</v>
      </c>
      <c r="C335" s="11" t="s">
        <v>643</v>
      </c>
      <c r="D335" s="127" t="str">
        <f t="shared" si="7"/>
        <v>C334-132-23</v>
      </c>
      <c r="E335" s="127" t="str">
        <f>VLOOKUP(Table2[[#This Row],[Location 
(drop-down)]],Table1[#All],3,FALSE)</f>
        <v>USWC</v>
      </c>
      <c r="F335" s="11" t="s">
        <v>15</v>
      </c>
      <c r="G335" s="9" t="s">
        <v>1195</v>
      </c>
      <c r="H335" s="12">
        <v>45072</v>
      </c>
      <c r="I335" s="12" t="s">
        <v>17</v>
      </c>
      <c r="J335" s="91" t="s">
        <v>821</v>
      </c>
      <c r="K335" s="91">
        <v>45300</v>
      </c>
      <c r="L335" s="10" t="s">
        <v>15</v>
      </c>
      <c r="M335" s="10" t="s">
        <v>15</v>
      </c>
      <c r="N335" s="10"/>
      <c r="O335" s="10"/>
    </row>
    <row r="336" spans="1:15" ht="30" x14ac:dyDescent="0.25">
      <c r="A336" s="9" t="s">
        <v>22</v>
      </c>
      <c r="B336" s="13">
        <f>VLOOKUP(Table2[[#This Row],[Location 
(drop-down)]],'List source'!D$2:E$59,2,FALSE)</f>
        <v>130</v>
      </c>
      <c r="C336" s="11" t="s">
        <v>644</v>
      </c>
      <c r="D336" s="127" t="str">
        <f t="shared" si="7"/>
        <v>C335-130-23</v>
      </c>
      <c r="E336" s="127" t="str">
        <f>VLOOKUP(Table2[[#This Row],[Location 
(drop-down)]],Table1[#All],3,FALSE)</f>
        <v>USWC</v>
      </c>
      <c r="F336" s="11" t="s">
        <v>15</v>
      </c>
      <c r="G336" s="9" t="s">
        <v>1196</v>
      </c>
      <c r="H336" s="12">
        <v>45083</v>
      </c>
      <c r="I336" s="12" t="s">
        <v>17</v>
      </c>
      <c r="J336" s="91" t="s">
        <v>821</v>
      </c>
      <c r="K336" s="91">
        <v>45293</v>
      </c>
      <c r="L336" s="10" t="s">
        <v>15</v>
      </c>
      <c r="M336" s="10" t="s">
        <v>15</v>
      </c>
      <c r="N336" s="10"/>
      <c r="O336" s="10"/>
    </row>
    <row r="337" spans="1:15" ht="37.5" x14ac:dyDescent="0.25">
      <c r="A337" s="9" t="s">
        <v>126</v>
      </c>
      <c r="B337" s="13">
        <f>VLOOKUP(Table2[[#This Row],[Location 
(drop-down)]],'List source'!D$2:E$59,2,FALSE)</f>
        <v>125</v>
      </c>
      <c r="C337" s="11" t="s">
        <v>645</v>
      </c>
      <c r="D337" s="127" t="str">
        <f t="shared" si="7"/>
        <v>C336-125-23</v>
      </c>
      <c r="E337" s="127" t="str">
        <f>VLOOKUP(Table2[[#This Row],[Location 
(drop-down)]],Table1[#All],3,FALSE)</f>
        <v>SE &amp; Caribbean</v>
      </c>
      <c r="F337" s="11" t="s">
        <v>15</v>
      </c>
      <c r="G337" s="9" t="s">
        <v>1197</v>
      </c>
      <c r="H337" s="12">
        <v>45083</v>
      </c>
      <c r="I337" s="12" t="s">
        <v>17</v>
      </c>
      <c r="J337" s="91" t="s">
        <v>821</v>
      </c>
      <c r="K337" s="91">
        <v>45134</v>
      </c>
      <c r="L337" s="10" t="s">
        <v>15</v>
      </c>
      <c r="M337" s="10" t="s">
        <v>15</v>
      </c>
      <c r="N337" s="10" t="s">
        <v>822</v>
      </c>
      <c r="O337" s="10"/>
    </row>
    <row r="338" spans="1:15" ht="37.5" x14ac:dyDescent="0.25">
      <c r="A338" s="9" t="s">
        <v>126</v>
      </c>
      <c r="B338" s="13">
        <f>VLOOKUP(Table2[[#This Row],[Location 
(drop-down)]],'List source'!D$2:E$59,2,FALSE)</f>
        <v>125</v>
      </c>
      <c r="C338" s="11" t="s">
        <v>646</v>
      </c>
      <c r="D338" s="127" t="str">
        <f t="shared" si="7"/>
        <v>C337-125-23</v>
      </c>
      <c r="E338" s="127" t="str">
        <f>VLOOKUP(Table2[[#This Row],[Location 
(drop-down)]],Table1[#All],3,FALSE)</f>
        <v>SE &amp; Caribbean</v>
      </c>
      <c r="F338" s="11" t="s">
        <v>15</v>
      </c>
      <c r="G338" s="9" t="s">
        <v>1198</v>
      </c>
      <c r="H338" s="12">
        <v>45083</v>
      </c>
      <c r="I338" s="12" t="s">
        <v>17</v>
      </c>
      <c r="J338" s="91" t="s">
        <v>821</v>
      </c>
      <c r="K338" s="91">
        <v>45134</v>
      </c>
      <c r="L338" s="10" t="s">
        <v>15</v>
      </c>
      <c r="M338" s="10" t="s">
        <v>15</v>
      </c>
      <c r="N338" s="10" t="s">
        <v>837</v>
      </c>
      <c r="O338" s="10"/>
    </row>
    <row r="339" spans="1:15" ht="30" x14ac:dyDescent="0.25">
      <c r="A339" s="9" t="s">
        <v>171</v>
      </c>
      <c r="B339" s="13">
        <f>VLOOKUP(Table2[[#This Row],[Location 
(drop-down)]],'List source'!D$2:E$59,2,FALSE)</f>
        <v>160</v>
      </c>
      <c r="C339" s="11" t="s">
        <v>647</v>
      </c>
      <c r="D339" s="127" t="str">
        <f t="shared" si="7"/>
        <v>C338-160-23</v>
      </c>
      <c r="E339" s="127" t="str">
        <f>VLOOKUP(Table2[[#This Row],[Location 
(drop-down)]],Table1[#All],3,FALSE)</f>
        <v>USGC</v>
      </c>
      <c r="F339" s="11" t="s">
        <v>269</v>
      </c>
      <c r="G339" s="9" t="s">
        <v>1199</v>
      </c>
      <c r="H339" s="12">
        <v>45084</v>
      </c>
      <c r="I339" s="12" t="s">
        <v>129</v>
      </c>
      <c r="J339" s="91" t="s">
        <v>821</v>
      </c>
      <c r="K339" s="91">
        <v>45091</v>
      </c>
      <c r="L339" s="10" t="s">
        <v>97</v>
      </c>
      <c r="M339" s="10" t="s">
        <v>862</v>
      </c>
      <c r="N339" s="10" t="s">
        <v>858</v>
      </c>
      <c r="O339" s="10"/>
    </row>
    <row r="340" spans="1:15" ht="37.5" x14ac:dyDescent="0.25">
      <c r="A340" s="9" t="s">
        <v>826</v>
      </c>
      <c r="B340" s="13">
        <f>VLOOKUP(Table2[[#This Row],[Location 
(drop-down)]],'List source'!D$2:E$59,2,FALSE)</f>
        <v>145</v>
      </c>
      <c r="C340" s="11" t="s">
        <v>648</v>
      </c>
      <c r="D340" s="127" t="str">
        <f t="shared" si="7"/>
        <v>C339-145-23</v>
      </c>
      <c r="E340" s="127" t="str">
        <f>VLOOKUP(Table2[[#This Row],[Location 
(drop-down)]],Table1[#All],3,FALSE)</f>
        <v>USNE, USMW &amp; Canada</v>
      </c>
      <c r="F340" s="11" t="s">
        <v>935</v>
      </c>
      <c r="G340" s="9" t="s">
        <v>1200</v>
      </c>
      <c r="H340" s="12">
        <v>45085</v>
      </c>
      <c r="I340" s="12" t="s">
        <v>129</v>
      </c>
      <c r="J340" s="91" t="s">
        <v>821</v>
      </c>
      <c r="K340" s="91">
        <v>45098</v>
      </c>
      <c r="L340" s="10" t="s">
        <v>97</v>
      </c>
      <c r="M340" s="10" t="s">
        <v>857</v>
      </c>
      <c r="N340" s="10" t="s">
        <v>858</v>
      </c>
      <c r="O340" s="10"/>
    </row>
    <row r="341" spans="1:15" ht="37.5" x14ac:dyDescent="0.25">
      <c r="A341" s="9" t="s">
        <v>826</v>
      </c>
      <c r="B341" s="13">
        <f>VLOOKUP(Table2[[#This Row],[Location 
(drop-down)]],'List source'!D$2:E$59,2,FALSE)</f>
        <v>145</v>
      </c>
      <c r="C341" s="11" t="s">
        <v>649</v>
      </c>
      <c r="D341" s="127" t="str">
        <f t="shared" si="7"/>
        <v>C340-145-23</v>
      </c>
      <c r="E341" s="127" t="str">
        <f>VLOOKUP(Table2[[#This Row],[Location 
(drop-down)]],Table1[#All],3,FALSE)</f>
        <v>USNE, USMW &amp; Canada</v>
      </c>
      <c r="F341" s="11" t="s">
        <v>935</v>
      </c>
      <c r="G341" s="9" t="s">
        <v>1201</v>
      </c>
      <c r="H341" s="12">
        <v>45085</v>
      </c>
      <c r="I341" s="12" t="s">
        <v>129</v>
      </c>
      <c r="J341" s="91" t="s">
        <v>821</v>
      </c>
      <c r="K341" s="91">
        <v>45098</v>
      </c>
      <c r="L341" s="10" t="s">
        <v>97</v>
      </c>
      <c r="M341" s="10" t="s">
        <v>857</v>
      </c>
      <c r="N341" s="10" t="s">
        <v>858</v>
      </c>
      <c r="O341" s="10"/>
    </row>
    <row r="342" spans="1:15" ht="37.5" x14ac:dyDescent="0.25">
      <c r="A342" s="9" t="s">
        <v>131</v>
      </c>
      <c r="B342" s="13" t="str">
        <f>VLOOKUP(Table2[[#This Row],[Location 
(drop-down)]],'List source'!D$2:E$59,2,FALSE)</f>
        <v>VOID</v>
      </c>
      <c r="C342" s="11" t="s">
        <v>650</v>
      </c>
      <c r="D342" s="127" t="str">
        <f t="shared" si="7"/>
        <v>C341-VOID-23</v>
      </c>
      <c r="E342" s="127" t="str">
        <f>VLOOKUP(Table2[[#This Row],[Location 
(drop-down)]],Table1[#All],3,FALSE)</f>
        <v>VOID</v>
      </c>
      <c r="F342" s="11" t="s">
        <v>50</v>
      </c>
      <c r="G342" s="9" t="s">
        <v>1202</v>
      </c>
      <c r="H342" s="12" t="s">
        <v>50</v>
      </c>
      <c r="I342" s="12" t="s">
        <v>50</v>
      </c>
      <c r="J342" s="91" t="s">
        <v>50</v>
      </c>
      <c r="K342" s="91" t="s">
        <v>50</v>
      </c>
      <c r="L342" s="10" t="s">
        <v>50</v>
      </c>
      <c r="M342" s="10" t="s">
        <v>50</v>
      </c>
      <c r="N342" s="10" t="s">
        <v>50</v>
      </c>
      <c r="O342" s="10" t="s">
        <v>1203</v>
      </c>
    </row>
    <row r="343" spans="1:15" ht="30" x14ac:dyDescent="0.25">
      <c r="A343" s="9" t="s">
        <v>1057</v>
      </c>
      <c r="B343" s="13">
        <f>VLOOKUP(Table2[[#This Row],[Location 
(drop-down)]],'List source'!D$2:E$59,2,FALSE)</f>
        <v>157</v>
      </c>
      <c r="C343" s="11" t="s">
        <v>651</v>
      </c>
      <c r="D343" s="127" t="str">
        <f t="shared" si="7"/>
        <v>C342-157-23</v>
      </c>
      <c r="E343" s="127" t="str">
        <f>VLOOKUP(Table2[[#This Row],[Location 
(drop-down)]],Table1[#All],3,FALSE)</f>
        <v>USGC</v>
      </c>
      <c r="F343" s="11" t="s">
        <v>15</v>
      </c>
      <c r="G343" s="9" t="s">
        <v>1204</v>
      </c>
      <c r="H343" s="12">
        <v>45086</v>
      </c>
      <c r="I343" s="12" t="s">
        <v>17</v>
      </c>
      <c r="J343" s="91" t="s">
        <v>821</v>
      </c>
      <c r="K343" s="91">
        <v>45215</v>
      </c>
      <c r="L343" s="10" t="s">
        <v>15</v>
      </c>
      <c r="M343" s="10" t="s">
        <v>15</v>
      </c>
      <c r="N343" s="10"/>
      <c r="O343" s="10"/>
    </row>
    <row r="344" spans="1:15" ht="37.5" x14ac:dyDescent="0.25">
      <c r="A344" s="9" t="s">
        <v>324</v>
      </c>
      <c r="B344" s="13">
        <f>VLOOKUP(Table2[[#This Row],[Location 
(drop-down)]],'List source'!D$2:E$59,2,FALSE)</f>
        <v>170</v>
      </c>
      <c r="C344" s="11" t="s">
        <v>652</v>
      </c>
      <c r="D344" s="127" t="str">
        <f t="shared" si="7"/>
        <v>C343-170-23</v>
      </c>
      <c r="E344" s="127" t="str">
        <f>VLOOKUP(Table2[[#This Row],[Location 
(drop-down)]],Table1[#All],3,FALSE)</f>
        <v>SE &amp; Caribbean</v>
      </c>
      <c r="F344" s="11" t="s">
        <v>15</v>
      </c>
      <c r="G344" s="9" t="s">
        <v>1205</v>
      </c>
      <c r="H344" s="12">
        <v>45086</v>
      </c>
      <c r="I344" s="12" t="s">
        <v>17</v>
      </c>
      <c r="J344" s="91" t="s">
        <v>821</v>
      </c>
      <c r="K344" s="91">
        <v>45163</v>
      </c>
      <c r="L344" s="10" t="s">
        <v>15</v>
      </c>
      <c r="M344" s="10" t="s">
        <v>15</v>
      </c>
      <c r="N344" s="10"/>
      <c r="O344" s="10"/>
    </row>
    <row r="345" spans="1:15" ht="36.75" customHeight="1" x14ac:dyDescent="0.25">
      <c r="A345" s="9" t="s">
        <v>126</v>
      </c>
      <c r="B345" s="13">
        <f>VLOOKUP(Table2[[#This Row],[Location 
(drop-down)]],'List source'!D$2:E$59,2,FALSE)</f>
        <v>125</v>
      </c>
      <c r="C345" s="11" t="s">
        <v>653</v>
      </c>
      <c r="D345" s="127" t="str">
        <f t="shared" ref="D345:D408" si="8">"C" &amp; C345 &amp; "-" &amp; B345 &amp; "-" &amp; "23"</f>
        <v>C344-125-23</v>
      </c>
      <c r="E345" s="127" t="str">
        <f>VLOOKUP(Table2[[#This Row],[Location 
(drop-down)]],Table1[#All],3,FALSE)</f>
        <v>SE &amp; Caribbean</v>
      </c>
      <c r="F345" s="11" t="s">
        <v>15</v>
      </c>
      <c r="G345" s="9" t="s">
        <v>1206</v>
      </c>
      <c r="H345" s="12">
        <v>45086</v>
      </c>
      <c r="I345" s="12" t="s">
        <v>17</v>
      </c>
      <c r="J345" s="91" t="s">
        <v>821</v>
      </c>
      <c r="K345" s="91">
        <v>45134</v>
      </c>
      <c r="L345" s="10" t="s">
        <v>15</v>
      </c>
      <c r="M345" s="10" t="s">
        <v>15</v>
      </c>
      <c r="N345" s="10" t="s">
        <v>822</v>
      </c>
      <c r="O345" s="10"/>
    </row>
    <row r="346" spans="1:15" ht="18.75" x14ac:dyDescent="0.25">
      <c r="A346" s="9" t="s">
        <v>22</v>
      </c>
      <c r="B346" s="13">
        <f>VLOOKUP(Table2[[#This Row],[Location 
(drop-down)]],'List source'!D$2:E$59,2,FALSE)</f>
        <v>130</v>
      </c>
      <c r="C346" s="11" t="s">
        <v>654</v>
      </c>
      <c r="D346" s="127" t="str">
        <f t="shared" si="8"/>
        <v>C345-130-23</v>
      </c>
      <c r="E346" s="127" t="str">
        <f>VLOOKUP(Table2[[#This Row],[Location 
(drop-down)]],Table1[#All],3,FALSE)</f>
        <v>USWC</v>
      </c>
      <c r="F346" s="11" t="s">
        <v>15</v>
      </c>
      <c r="G346" s="9" t="s">
        <v>1207</v>
      </c>
      <c r="H346" s="12">
        <v>45086</v>
      </c>
      <c r="I346" s="12" t="s">
        <v>17</v>
      </c>
      <c r="J346" s="91" t="s">
        <v>821</v>
      </c>
      <c r="K346" s="91">
        <v>45295</v>
      </c>
      <c r="L346" s="10" t="s">
        <v>15</v>
      </c>
      <c r="M346" s="10" t="s">
        <v>15</v>
      </c>
      <c r="N346" s="10"/>
      <c r="O346" s="10"/>
    </row>
    <row r="347" spans="1:15" ht="37.5" x14ac:dyDescent="0.25">
      <c r="A347" s="9" t="s">
        <v>324</v>
      </c>
      <c r="B347" s="13">
        <f>VLOOKUP(Table2[[#This Row],[Location 
(drop-down)]],'List source'!D$2:E$59,2,FALSE)</f>
        <v>170</v>
      </c>
      <c r="C347" s="11" t="s">
        <v>655</v>
      </c>
      <c r="D347" s="127" t="str">
        <f t="shared" si="8"/>
        <v>C346-170-23</v>
      </c>
      <c r="E347" s="127" t="str">
        <f>VLOOKUP(Table2[[#This Row],[Location 
(drop-down)]],Table1[#All],3,FALSE)</f>
        <v>SE &amp; Caribbean</v>
      </c>
      <c r="F347" s="11" t="s">
        <v>15</v>
      </c>
      <c r="G347" s="9" t="s">
        <v>1208</v>
      </c>
      <c r="H347" s="12">
        <v>45086</v>
      </c>
      <c r="I347" s="12" t="s">
        <v>17</v>
      </c>
      <c r="J347" s="91" t="s">
        <v>821</v>
      </c>
      <c r="K347" s="91">
        <v>45169</v>
      </c>
      <c r="L347" s="10" t="s">
        <v>15</v>
      </c>
      <c r="M347" s="10" t="s">
        <v>15</v>
      </c>
      <c r="N347" s="10"/>
      <c r="O347" s="10"/>
    </row>
    <row r="348" spans="1:15" ht="37.5" x14ac:dyDescent="0.25">
      <c r="A348" s="9" t="s">
        <v>47</v>
      </c>
      <c r="B348" s="13">
        <f>VLOOKUP(Table2[[#This Row],[Location 
(drop-down)]],'List source'!D$2:E$59,2,FALSE)</f>
        <v>215</v>
      </c>
      <c r="C348" s="11" t="s">
        <v>656</v>
      </c>
      <c r="D348" s="127" t="str">
        <f t="shared" si="8"/>
        <v>C347-215-23</v>
      </c>
      <c r="E348" s="127" t="str">
        <f>VLOOKUP(Table2[[#This Row],[Location 
(drop-down)]],Table1[#All],3,FALSE)</f>
        <v>SE &amp; Caribbean</v>
      </c>
      <c r="F348" s="11" t="s">
        <v>15</v>
      </c>
      <c r="G348" s="9" t="s">
        <v>1209</v>
      </c>
      <c r="H348" s="12">
        <v>45086</v>
      </c>
      <c r="I348" s="12" t="s">
        <v>17</v>
      </c>
      <c r="J348" s="91" t="s">
        <v>821</v>
      </c>
      <c r="K348" s="91">
        <v>45188</v>
      </c>
      <c r="L348" s="10" t="s">
        <v>15</v>
      </c>
      <c r="M348" s="10" t="s">
        <v>15</v>
      </c>
      <c r="N348" s="10" t="s">
        <v>858</v>
      </c>
      <c r="O348" s="10"/>
    </row>
    <row r="349" spans="1:15" ht="37.5" x14ac:dyDescent="0.25">
      <c r="A349" s="9" t="s">
        <v>47</v>
      </c>
      <c r="B349" s="13">
        <f>VLOOKUP(Table2[[#This Row],[Location 
(drop-down)]],'List source'!D$2:E$59,2,FALSE)</f>
        <v>215</v>
      </c>
      <c r="C349" s="11" t="s">
        <v>657</v>
      </c>
      <c r="D349" s="222" t="str">
        <f t="shared" si="8"/>
        <v>C348-215-23</v>
      </c>
      <c r="E349" s="127" t="str">
        <f>VLOOKUP(Table2[[#This Row],[Location 
(drop-down)]],Table1[#All],3,FALSE)</f>
        <v>SE &amp; Caribbean</v>
      </c>
      <c r="F349" s="11" t="s">
        <v>15</v>
      </c>
      <c r="G349" s="9" t="s">
        <v>1210</v>
      </c>
      <c r="H349" s="12">
        <v>45086</v>
      </c>
      <c r="I349" s="12" t="s">
        <v>17</v>
      </c>
      <c r="J349" s="218" t="s">
        <v>50</v>
      </c>
      <c r="K349" s="218" t="s">
        <v>50</v>
      </c>
      <c r="L349" s="10" t="s">
        <v>15</v>
      </c>
      <c r="M349" s="10" t="s">
        <v>15</v>
      </c>
      <c r="N349" s="10"/>
      <c r="O349" s="370" t="s">
        <v>51</v>
      </c>
    </row>
    <row r="350" spans="1:15" ht="37.5" x14ac:dyDescent="0.25">
      <c r="A350" s="9" t="s">
        <v>47</v>
      </c>
      <c r="B350" s="13">
        <f>VLOOKUP(Table2[[#This Row],[Location 
(drop-down)]],'List source'!D$2:E$59,2,FALSE)</f>
        <v>215</v>
      </c>
      <c r="C350" s="11" t="s">
        <v>658</v>
      </c>
      <c r="D350" s="127" t="str">
        <f t="shared" si="8"/>
        <v>C349-215-23</v>
      </c>
      <c r="E350" s="127" t="str">
        <f>VLOOKUP(Table2[[#This Row],[Location 
(drop-down)]],Table1[#All],3,FALSE)</f>
        <v>SE &amp; Caribbean</v>
      </c>
      <c r="F350" s="11" t="s">
        <v>15</v>
      </c>
      <c r="G350" s="9" t="s">
        <v>1211</v>
      </c>
      <c r="H350" s="12">
        <v>45086</v>
      </c>
      <c r="I350" s="12" t="s">
        <v>17</v>
      </c>
      <c r="J350" s="91" t="s">
        <v>821</v>
      </c>
      <c r="K350" s="91">
        <v>45180</v>
      </c>
      <c r="L350" s="10" t="s">
        <v>15</v>
      </c>
      <c r="M350" s="10" t="s">
        <v>15</v>
      </c>
      <c r="N350" s="10" t="s">
        <v>822</v>
      </c>
      <c r="O350" s="10"/>
    </row>
    <row r="351" spans="1:15" ht="37.5" x14ac:dyDescent="0.25">
      <c r="A351" s="9" t="s">
        <v>126</v>
      </c>
      <c r="B351" s="13">
        <f>VLOOKUP(Table2[[#This Row],[Location 
(drop-down)]],'List source'!D$2:E$59,2,FALSE)</f>
        <v>125</v>
      </c>
      <c r="C351" s="11" t="s">
        <v>659</v>
      </c>
      <c r="D351" s="127" t="str">
        <f t="shared" si="8"/>
        <v>C350-125-23</v>
      </c>
      <c r="E351" s="127" t="str">
        <f>VLOOKUP(Table2[[#This Row],[Location 
(drop-down)]],Table1[#All],3,FALSE)</f>
        <v>SE &amp; Caribbean</v>
      </c>
      <c r="F351" s="11" t="s">
        <v>15</v>
      </c>
      <c r="G351" s="116" t="s">
        <v>1212</v>
      </c>
      <c r="H351" s="12">
        <v>45086</v>
      </c>
      <c r="I351" s="12" t="s">
        <v>17</v>
      </c>
      <c r="J351" s="91" t="s">
        <v>821</v>
      </c>
      <c r="K351" s="91">
        <v>45140</v>
      </c>
      <c r="L351" s="10" t="s">
        <v>15</v>
      </c>
      <c r="M351" s="10" t="s">
        <v>15</v>
      </c>
      <c r="N351" s="10" t="s">
        <v>822</v>
      </c>
      <c r="O351" s="10"/>
    </row>
    <row r="352" spans="1:15" ht="37.5" x14ac:dyDescent="0.25">
      <c r="A352" s="9" t="s">
        <v>126</v>
      </c>
      <c r="B352" s="13">
        <f>VLOOKUP(Table2[[#This Row],[Location 
(drop-down)]],'List source'!D$2:E$59,2,FALSE)</f>
        <v>125</v>
      </c>
      <c r="C352" s="11" t="s">
        <v>660</v>
      </c>
      <c r="D352" s="127" t="str">
        <f t="shared" si="8"/>
        <v>C351-125-23</v>
      </c>
      <c r="E352" s="127" t="str">
        <f>VLOOKUP(Table2[[#This Row],[Location 
(drop-down)]],Table1[#All],3,FALSE)</f>
        <v>SE &amp; Caribbean</v>
      </c>
      <c r="F352" s="11" t="s">
        <v>15</v>
      </c>
      <c r="G352" s="116" t="s">
        <v>1213</v>
      </c>
      <c r="H352" s="12">
        <v>45086</v>
      </c>
      <c r="I352" s="12" t="s">
        <v>17</v>
      </c>
      <c r="J352" s="91" t="s">
        <v>821</v>
      </c>
      <c r="K352" s="91">
        <v>45134</v>
      </c>
      <c r="L352" s="10" t="s">
        <v>15</v>
      </c>
      <c r="M352" s="10" t="s">
        <v>15</v>
      </c>
      <c r="N352" s="10" t="s">
        <v>837</v>
      </c>
      <c r="O352" s="10"/>
    </row>
    <row r="353" spans="1:15" ht="37.5" x14ac:dyDescent="0.25">
      <c r="A353" s="9" t="s">
        <v>126</v>
      </c>
      <c r="B353" s="13">
        <f>VLOOKUP(Table2[[#This Row],[Location 
(drop-down)]],'List source'!D$2:E$59,2,FALSE)</f>
        <v>125</v>
      </c>
      <c r="C353" s="11" t="s">
        <v>661</v>
      </c>
      <c r="D353" s="127" t="str">
        <f t="shared" si="8"/>
        <v>C352-125-23</v>
      </c>
      <c r="E353" s="127" t="str">
        <f>VLOOKUP(Table2[[#This Row],[Location 
(drop-down)]],Table1[#All],3,FALSE)</f>
        <v>SE &amp; Caribbean</v>
      </c>
      <c r="F353" s="11" t="s">
        <v>15</v>
      </c>
      <c r="G353" s="116" t="s">
        <v>1214</v>
      </c>
      <c r="H353" s="12">
        <v>45086</v>
      </c>
      <c r="I353" s="12" t="s">
        <v>17</v>
      </c>
      <c r="J353" s="91" t="s">
        <v>821</v>
      </c>
      <c r="K353" s="91">
        <v>45134</v>
      </c>
      <c r="L353" s="10" t="s">
        <v>15</v>
      </c>
      <c r="M353" s="10" t="s">
        <v>15</v>
      </c>
      <c r="N353" s="10" t="s">
        <v>822</v>
      </c>
      <c r="O353" s="10"/>
    </row>
    <row r="354" spans="1:15" ht="30" x14ac:dyDescent="0.25">
      <c r="A354" s="9" t="s">
        <v>27</v>
      </c>
      <c r="B354" s="13">
        <f>VLOOKUP(Table2[[#This Row],[Location 
(drop-down)]],'List source'!D$2:E$59,2,FALSE)</f>
        <v>132</v>
      </c>
      <c r="C354" s="11" t="s">
        <v>662</v>
      </c>
      <c r="D354" s="127" t="str">
        <f t="shared" si="8"/>
        <v>C353-132-23</v>
      </c>
      <c r="E354" s="127" t="str">
        <f>VLOOKUP(Table2[[#This Row],[Location 
(drop-down)]],Table1[#All],3,FALSE)</f>
        <v>USWC</v>
      </c>
      <c r="F354" s="11" t="s">
        <v>15</v>
      </c>
      <c r="G354" s="116" t="s">
        <v>1215</v>
      </c>
      <c r="H354" s="12">
        <v>45086</v>
      </c>
      <c r="I354" s="12" t="s">
        <v>17</v>
      </c>
      <c r="J354" s="91" t="s">
        <v>821</v>
      </c>
      <c r="K354" s="91">
        <v>45299</v>
      </c>
      <c r="L354" s="10" t="s">
        <v>15</v>
      </c>
      <c r="M354" s="10" t="s">
        <v>15</v>
      </c>
      <c r="N354" s="10" t="s">
        <v>832</v>
      </c>
      <c r="O354" s="10"/>
    </row>
    <row r="355" spans="1:15" ht="37.5" x14ac:dyDescent="0.25">
      <c r="A355" s="9" t="s">
        <v>324</v>
      </c>
      <c r="B355" s="13">
        <f>VLOOKUP(Table2[[#This Row],[Location 
(drop-down)]],'List source'!D$2:E$59,2,FALSE)</f>
        <v>170</v>
      </c>
      <c r="C355" s="11" t="s">
        <v>663</v>
      </c>
      <c r="D355" s="127" t="str">
        <f t="shared" si="8"/>
        <v>C354-170-23</v>
      </c>
      <c r="E355" s="127" t="str">
        <f>VLOOKUP(Table2[[#This Row],[Location 
(drop-down)]],Table1[#All],3,FALSE)</f>
        <v>SE &amp; Caribbean</v>
      </c>
      <c r="F355" s="11" t="s">
        <v>15</v>
      </c>
      <c r="G355" s="116" t="s">
        <v>1216</v>
      </c>
      <c r="H355" s="12">
        <v>45086</v>
      </c>
      <c r="I355" s="12" t="s">
        <v>17</v>
      </c>
      <c r="J355" s="91" t="s">
        <v>821</v>
      </c>
      <c r="K355" s="91">
        <v>45167</v>
      </c>
      <c r="L355" s="10" t="s">
        <v>15</v>
      </c>
      <c r="M355" s="10" t="s">
        <v>15</v>
      </c>
      <c r="N355" s="10"/>
      <c r="O355" s="10"/>
    </row>
    <row r="356" spans="1:15" ht="45" x14ac:dyDescent="0.25">
      <c r="A356" s="9" t="s">
        <v>57</v>
      </c>
      <c r="B356" s="13">
        <f>VLOOKUP(Table2[[#This Row],[Location 
(drop-down)]],'List source'!D$2:E$59,2,FALSE)</f>
        <v>155</v>
      </c>
      <c r="C356" s="11" t="s">
        <v>664</v>
      </c>
      <c r="D356" s="127" t="str">
        <f t="shared" si="8"/>
        <v>C355-155-23</v>
      </c>
      <c r="E356" s="127" t="str">
        <f>VLOOKUP(Table2[[#This Row],[Location 
(drop-down)]],Table1[#All],3,FALSE)</f>
        <v>USGC</v>
      </c>
      <c r="F356" s="11" t="s">
        <v>15</v>
      </c>
      <c r="G356" s="9" t="s">
        <v>1217</v>
      </c>
      <c r="H356" s="12">
        <v>45086</v>
      </c>
      <c r="I356" s="12" t="s">
        <v>17</v>
      </c>
      <c r="J356" s="91" t="s">
        <v>821</v>
      </c>
      <c r="K356" s="91">
        <v>45266</v>
      </c>
      <c r="L356" s="10" t="s">
        <v>15</v>
      </c>
      <c r="M356" s="10" t="s">
        <v>15</v>
      </c>
      <c r="N356" s="10"/>
      <c r="O356" s="10"/>
    </row>
    <row r="357" spans="1:15" ht="30" x14ac:dyDescent="0.25">
      <c r="A357" s="9" t="s">
        <v>66</v>
      </c>
      <c r="B357" s="13">
        <f>VLOOKUP(Table2[[#This Row],[Location 
(drop-down)]],'List source'!D$2:E$59,2,FALSE)</f>
        <v>165</v>
      </c>
      <c r="C357" s="11" t="s">
        <v>665</v>
      </c>
      <c r="D357" s="127" t="str">
        <f t="shared" si="8"/>
        <v>C356-165-23</v>
      </c>
      <c r="E357" s="127" t="str">
        <f>VLOOKUP(Table2[[#This Row],[Location 
(drop-down)]],Table1[#All],3,FALSE)</f>
        <v>USGC</v>
      </c>
      <c r="F357" s="11" t="s">
        <v>15</v>
      </c>
      <c r="G357" s="9" t="s">
        <v>1218</v>
      </c>
      <c r="H357" s="12">
        <v>45086</v>
      </c>
      <c r="I357" s="12" t="s">
        <v>17</v>
      </c>
      <c r="J357" s="91" t="s">
        <v>821</v>
      </c>
      <c r="K357" s="91">
        <v>45127</v>
      </c>
      <c r="L357" s="10" t="s">
        <v>15</v>
      </c>
      <c r="M357" s="10" t="s">
        <v>15</v>
      </c>
      <c r="N357" s="10"/>
      <c r="O357" s="10"/>
    </row>
    <row r="358" spans="1:15" ht="30" x14ac:dyDescent="0.25">
      <c r="A358" s="9" t="s">
        <v>178</v>
      </c>
      <c r="B358" s="13">
        <f>VLOOKUP(Table2[[#This Row],[Location 
(drop-down)]],'List source'!D$2:E$59,2,FALSE)</f>
        <v>150</v>
      </c>
      <c r="C358" s="11" t="s">
        <v>666</v>
      </c>
      <c r="D358" s="127" t="str">
        <f t="shared" si="8"/>
        <v>C357-150-23</v>
      </c>
      <c r="E358" s="127" t="str">
        <f>VLOOKUP(Table2[[#This Row],[Location 
(drop-down)]],Table1[#All],3,FALSE)</f>
        <v>USGC</v>
      </c>
      <c r="F358" s="11" t="s">
        <v>15</v>
      </c>
      <c r="G358" s="9" t="s">
        <v>1219</v>
      </c>
      <c r="H358" s="12">
        <v>45086</v>
      </c>
      <c r="I358" s="12" t="s">
        <v>17</v>
      </c>
      <c r="J358" s="91" t="s">
        <v>821</v>
      </c>
      <c r="K358" s="91">
        <v>45180</v>
      </c>
      <c r="L358" s="10" t="s">
        <v>15</v>
      </c>
      <c r="M358" s="10" t="s">
        <v>15</v>
      </c>
      <c r="N358" s="10"/>
      <c r="O358" s="10"/>
    </row>
    <row r="359" spans="1:15" ht="45" x14ac:dyDescent="0.25">
      <c r="A359" s="9" t="s">
        <v>57</v>
      </c>
      <c r="B359" s="13">
        <f>VLOOKUP(Table2[[#This Row],[Location 
(drop-down)]],'List source'!D$2:E$59,2,FALSE)</f>
        <v>155</v>
      </c>
      <c r="C359" s="11" t="s">
        <v>667</v>
      </c>
      <c r="D359" s="127" t="str">
        <f t="shared" si="8"/>
        <v>C358-155-23</v>
      </c>
      <c r="E359" s="127" t="str">
        <f>VLOOKUP(Table2[[#This Row],[Location 
(drop-down)]],Table1[#All],3,FALSE)</f>
        <v>USGC</v>
      </c>
      <c r="F359" s="11" t="s">
        <v>15</v>
      </c>
      <c r="G359" s="9" t="s">
        <v>1220</v>
      </c>
      <c r="H359" s="12">
        <v>45086</v>
      </c>
      <c r="I359" s="12" t="s">
        <v>17</v>
      </c>
      <c r="J359" s="91" t="s">
        <v>821</v>
      </c>
      <c r="K359" s="91">
        <v>45162</v>
      </c>
      <c r="L359" s="10" t="s">
        <v>15</v>
      </c>
      <c r="M359" s="10" t="s">
        <v>15</v>
      </c>
      <c r="N359" s="10"/>
      <c r="O359" s="10"/>
    </row>
    <row r="360" spans="1:15" ht="18.75" x14ac:dyDescent="0.25">
      <c r="A360" s="9" t="s">
        <v>57</v>
      </c>
      <c r="B360" s="13">
        <f>VLOOKUP(Table2[[#This Row],[Location 
(drop-down)]],'List source'!D$2:E$59,2,FALSE)</f>
        <v>155</v>
      </c>
      <c r="C360" s="11" t="s">
        <v>668</v>
      </c>
      <c r="D360" s="127" t="str">
        <f t="shared" si="8"/>
        <v>C359-155-23</v>
      </c>
      <c r="E360" s="127" t="str">
        <f>VLOOKUP(Table2[[#This Row],[Location 
(drop-down)]],Table1[#All],3,FALSE)</f>
        <v>USGC</v>
      </c>
      <c r="F360" s="11" t="s">
        <v>15</v>
      </c>
      <c r="G360" s="116" t="s">
        <v>1221</v>
      </c>
      <c r="H360" s="12">
        <v>45086</v>
      </c>
      <c r="I360" s="12" t="s">
        <v>17</v>
      </c>
      <c r="J360" s="91" t="s">
        <v>821</v>
      </c>
      <c r="K360" s="91">
        <v>45138</v>
      </c>
      <c r="L360" s="10" t="s">
        <v>15</v>
      </c>
      <c r="M360" s="10" t="s">
        <v>15</v>
      </c>
      <c r="N360" s="10" t="s">
        <v>822</v>
      </c>
      <c r="O360" s="10"/>
    </row>
    <row r="361" spans="1:15" ht="30" x14ac:dyDescent="0.25">
      <c r="A361" s="9" t="s">
        <v>57</v>
      </c>
      <c r="B361" s="13">
        <f>VLOOKUP(Table2[[#This Row],[Location 
(drop-down)]],'List source'!D$2:E$59,2,FALSE)</f>
        <v>155</v>
      </c>
      <c r="C361" s="11" t="s">
        <v>669</v>
      </c>
      <c r="D361" s="127" t="str">
        <f t="shared" si="8"/>
        <v>C360-155-23</v>
      </c>
      <c r="E361" s="127" t="str">
        <f>VLOOKUP(Table2[[#This Row],[Location 
(drop-down)]],Table1[#All],3,FALSE)</f>
        <v>USGC</v>
      </c>
      <c r="F361" s="11" t="s">
        <v>15</v>
      </c>
      <c r="G361" s="116" t="s">
        <v>1222</v>
      </c>
      <c r="H361" s="12">
        <v>45086</v>
      </c>
      <c r="I361" s="12" t="s">
        <v>17</v>
      </c>
      <c r="J361" s="91" t="s">
        <v>821</v>
      </c>
      <c r="K361" s="91">
        <v>45162</v>
      </c>
      <c r="L361" s="10" t="s">
        <v>15</v>
      </c>
      <c r="M361" s="10" t="s">
        <v>15</v>
      </c>
      <c r="N361" s="10"/>
      <c r="O361" s="10"/>
    </row>
    <row r="362" spans="1:15" ht="30" x14ac:dyDescent="0.25">
      <c r="A362" s="9" t="s">
        <v>57</v>
      </c>
      <c r="B362" s="13">
        <f>VLOOKUP(Table2[[#This Row],[Location 
(drop-down)]],'List source'!D$2:E$59,2,FALSE)</f>
        <v>155</v>
      </c>
      <c r="C362" s="11" t="s">
        <v>670</v>
      </c>
      <c r="D362" s="127" t="str">
        <f t="shared" si="8"/>
        <v>C361-155-23</v>
      </c>
      <c r="E362" s="127" t="str">
        <f>VLOOKUP(Table2[[#This Row],[Location 
(drop-down)]],Table1[#All],3,FALSE)</f>
        <v>USGC</v>
      </c>
      <c r="F362" s="11" t="s">
        <v>15</v>
      </c>
      <c r="G362" s="9" t="s">
        <v>1223</v>
      </c>
      <c r="H362" s="12">
        <v>45086</v>
      </c>
      <c r="I362" s="12" t="s">
        <v>17</v>
      </c>
      <c r="J362" s="91" t="s">
        <v>821</v>
      </c>
      <c r="K362" s="91">
        <v>45127</v>
      </c>
      <c r="L362" s="10" t="s">
        <v>15</v>
      </c>
      <c r="M362" s="10" t="s">
        <v>15</v>
      </c>
      <c r="N362" s="10"/>
      <c r="O362" s="10"/>
    </row>
    <row r="363" spans="1:15" ht="37.5" x14ac:dyDescent="0.25">
      <c r="A363" s="9" t="s">
        <v>112</v>
      </c>
      <c r="B363" s="13">
        <f>VLOOKUP(Table2[[#This Row],[Location 
(drop-down)]],'List source'!D$2:E$59,2,FALSE)</f>
        <v>115</v>
      </c>
      <c r="C363" s="11" t="s">
        <v>671</v>
      </c>
      <c r="D363" s="127" t="str">
        <f t="shared" si="8"/>
        <v>C362-115-23</v>
      </c>
      <c r="E363" s="127" t="str">
        <f>VLOOKUP(Table2[[#This Row],[Location 
(drop-down)]],Table1[#All],3,FALSE)</f>
        <v>SE &amp; Caribbean</v>
      </c>
      <c r="F363" s="11" t="s">
        <v>159</v>
      </c>
      <c r="G363" s="9" t="s">
        <v>1224</v>
      </c>
      <c r="H363" s="12">
        <v>45088</v>
      </c>
      <c r="I363" s="12" t="s">
        <v>440</v>
      </c>
      <c r="J363" s="91" t="s">
        <v>821</v>
      </c>
      <c r="K363" s="91">
        <v>45204</v>
      </c>
      <c r="L363" s="10" t="s">
        <v>97</v>
      </c>
      <c r="M363" s="10" t="s">
        <v>854</v>
      </c>
      <c r="N363" s="10"/>
      <c r="O363" s="10"/>
    </row>
    <row r="364" spans="1:15" ht="37.5" x14ac:dyDescent="0.25">
      <c r="A364" s="9" t="s">
        <v>112</v>
      </c>
      <c r="B364" s="13">
        <f>VLOOKUP(Table2[[#This Row],[Location 
(drop-down)]],'List source'!D$2:E$59,2,FALSE)</f>
        <v>115</v>
      </c>
      <c r="C364" s="11" t="s">
        <v>672</v>
      </c>
      <c r="D364" s="127" t="str">
        <f t="shared" si="8"/>
        <v>C363-115-23</v>
      </c>
      <c r="E364" s="127" t="str">
        <f>VLOOKUP(Table2[[#This Row],[Location 
(drop-down)]],Table1[#All],3,FALSE)</f>
        <v>SE &amp; Caribbean</v>
      </c>
      <c r="F364" s="11" t="s">
        <v>159</v>
      </c>
      <c r="G364" s="9" t="s">
        <v>1225</v>
      </c>
      <c r="H364" s="12">
        <v>45088</v>
      </c>
      <c r="I364" s="12" t="s">
        <v>440</v>
      </c>
      <c r="J364" s="91" t="s">
        <v>821</v>
      </c>
      <c r="K364" s="91">
        <v>45147</v>
      </c>
      <c r="L364" s="10" t="s">
        <v>147</v>
      </c>
      <c r="M364" s="10"/>
      <c r="N364" s="10"/>
      <c r="O364" s="10"/>
    </row>
    <row r="365" spans="1:15" ht="45" x14ac:dyDescent="0.25">
      <c r="A365" s="9" t="s">
        <v>75</v>
      </c>
      <c r="B365" s="13">
        <f>VLOOKUP(Table2[[#This Row],[Location 
(drop-down)]],'List source'!D$2:E$59,2,FALSE)</f>
        <v>180</v>
      </c>
      <c r="C365" s="11" t="s">
        <v>673</v>
      </c>
      <c r="D365" s="127" t="str">
        <f t="shared" si="8"/>
        <v>C364-180-23</v>
      </c>
      <c r="E365" s="127" t="str">
        <f>VLOOKUP(Table2[[#This Row],[Location 
(drop-down)]],Table1[#All],3,FALSE)</f>
        <v>SE &amp; Caribbean</v>
      </c>
      <c r="F365" s="11" t="s">
        <v>935</v>
      </c>
      <c r="G365" s="9" t="s">
        <v>1226</v>
      </c>
      <c r="H365" s="12">
        <v>45089</v>
      </c>
      <c r="I365" s="12" t="s">
        <v>435</v>
      </c>
      <c r="J365" s="91" t="s">
        <v>821</v>
      </c>
      <c r="K365" s="91">
        <v>45128</v>
      </c>
      <c r="L365" s="10" t="s">
        <v>97</v>
      </c>
      <c r="M365" s="10" t="s">
        <v>854</v>
      </c>
      <c r="N365" s="10" t="s">
        <v>822</v>
      </c>
      <c r="O365" s="10"/>
    </row>
    <row r="366" spans="1:15" ht="45" x14ac:dyDescent="0.25">
      <c r="A366" s="9" t="s">
        <v>75</v>
      </c>
      <c r="B366" s="13">
        <f>VLOOKUP(Table2[[#This Row],[Location 
(drop-down)]],'List source'!D$2:E$59,2,FALSE)</f>
        <v>180</v>
      </c>
      <c r="C366" s="11" t="s">
        <v>674</v>
      </c>
      <c r="D366" s="127" t="str">
        <f t="shared" si="8"/>
        <v>C365-180-23</v>
      </c>
      <c r="E366" s="127" t="str">
        <f>VLOOKUP(Table2[[#This Row],[Location 
(drop-down)]],Table1[#All],3,FALSE)</f>
        <v>SE &amp; Caribbean</v>
      </c>
      <c r="F366" s="11" t="s">
        <v>935</v>
      </c>
      <c r="G366" s="9" t="s">
        <v>1227</v>
      </c>
      <c r="H366" s="12">
        <v>45089</v>
      </c>
      <c r="I366" s="12" t="s">
        <v>435</v>
      </c>
      <c r="J366" s="91" t="s">
        <v>821</v>
      </c>
      <c r="K366" s="91">
        <v>45134</v>
      </c>
      <c r="L366" s="10" t="s">
        <v>97</v>
      </c>
      <c r="M366" s="10" t="s">
        <v>857</v>
      </c>
      <c r="N366" s="10" t="s">
        <v>858</v>
      </c>
      <c r="O366" s="10"/>
    </row>
    <row r="367" spans="1:15" ht="37.5" x14ac:dyDescent="0.25">
      <c r="A367" s="9" t="s">
        <v>126</v>
      </c>
      <c r="B367" s="13">
        <f>VLOOKUP(Table2[[#This Row],[Location 
(drop-down)]],'List source'!D$2:E$59,2,FALSE)</f>
        <v>125</v>
      </c>
      <c r="C367" s="11" t="s">
        <v>675</v>
      </c>
      <c r="D367" s="127" t="str">
        <f t="shared" si="8"/>
        <v>C366-125-23</v>
      </c>
      <c r="E367" s="127" t="str">
        <f>VLOOKUP(Table2[[#This Row],[Location 
(drop-down)]],Table1[#All],3,FALSE)</f>
        <v>SE &amp; Caribbean</v>
      </c>
      <c r="F367" s="11" t="s">
        <v>15</v>
      </c>
      <c r="G367" s="9" t="s">
        <v>1228</v>
      </c>
      <c r="H367" s="12">
        <v>45090</v>
      </c>
      <c r="I367" s="12" t="s">
        <v>17</v>
      </c>
      <c r="J367" s="91" t="s">
        <v>821</v>
      </c>
      <c r="K367" s="91">
        <v>45134</v>
      </c>
      <c r="L367" s="10" t="s">
        <v>15</v>
      </c>
      <c r="M367" s="10" t="s">
        <v>15</v>
      </c>
      <c r="N367" s="10" t="s">
        <v>837</v>
      </c>
      <c r="O367" s="10"/>
    </row>
    <row r="368" spans="1:15" ht="37.5" x14ac:dyDescent="0.25">
      <c r="A368" s="9" t="s">
        <v>324</v>
      </c>
      <c r="B368" s="13">
        <f>VLOOKUP(Table2[[#This Row],[Location 
(drop-down)]],'List source'!D$2:E$59,2,FALSE)</f>
        <v>170</v>
      </c>
      <c r="C368" s="11" t="s">
        <v>676</v>
      </c>
      <c r="D368" s="127" t="str">
        <f t="shared" si="8"/>
        <v>C367-170-23</v>
      </c>
      <c r="E368" s="127" t="str">
        <f>VLOOKUP(Table2[[#This Row],[Location 
(drop-down)]],Table1[#All],3,FALSE)</f>
        <v>SE &amp; Caribbean</v>
      </c>
      <c r="F368" s="11" t="s">
        <v>15</v>
      </c>
      <c r="G368" s="9" t="s">
        <v>1229</v>
      </c>
      <c r="H368" s="12">
        <v>45090</v>
      </c>
      <c r="I368" s="12" t="s">
        <v>17</v>
      </c>
      <c r="J368" s="91" t="s">
        <v>821</v>
      </c>
      <c r="K368" s="91">
        <v>45163</v>
      </c>
      <c r="L368" s="10" t="s">
        <v>15</v>
      </c>
      <c r="M368" s="10" t="s">
        <v>15</v>
      </c>
      <c r="N368" s="10"/>
      <c r="O368" s="10"/>
    </row>
    <row r="369" spans="1:15" ht="30" x14ac:dyDescent="0.25">
      <c r="A369" s="9" t="s">
        <v>27</v>
      </c>
      <c r="B369" s="13">
        <f>VLOOKUP(Table2[[#This Row],[Location 
(drop-down)]],'List source'!D$2:E$59,2,FALSE)</f>
        <v>132</v>
      </c>
      <c r="C369" s="11" t="s">
        <v>677</v>
      </c>
      <c r="D369" s="127" t="str">
        <f t="shared" si="8"/>
        <v>C368-132-23</v>
      </c>
      <c r="E369" s="127" t="str">
        <f>VLOOKUP(Table2[[#This Row],[Location 
(drop-down)]],Table1[#All],3,FALSE)</f>
        <v>USWC</v>
      </c>
      <c r="F369" s="11" t="s">
        <v>15</v>
      </c>
      <c r="G369" s="9" t="s">
        <v>1230</v>
      </c>
      <c r="H369" s="12">
        <v>45090</v>
      </c>
      <c r="I369" s="12" t="s">
        <v>17</v>
      </c>
      <c r="J369" s="91" t="s">
        <v>898</v>
      </c>
      <c r="K369" s="91">
        <v>45715</v>
      </c>
      <c r="L369" s="10" t="s">
        <v>15</v>
      </c>
      <c r="M369" s="10" t="s">
        <v>15</v>
      </c>
      <c r="N369" s="10"/>
      <c r="O369" s="10"/>
    </row>
    <row r="370" spans="1:15" ht="18.75" x14ac:dyDescent="0.25">
      <c r="A370" s="9" t="s">
        <v>27</v>
      </c>
      <c r="B370" s="13">
        <f>VLOOKUP(Table2[[#This Row],[Location 
(drop-down)]],'List source'!D$2:E$59,2,FALSE)</f>
        <v>132</v>
      </c>
      <c r="C370" s="11" t="s">
        <v>678</v>
      </c>
      <c r="D370" s="127" t="str">
        <f t="shared" si="8"/>
        <v>C369-132-23</v>
      </c>
      <c r="E370" s="127" t="str">
        <f>VLOOKUP(Table2[[#This Row],[Location 
(drop-down)]],Table1[#All],3,FALSE)</f>
        <v>USWC</v>
      </c>
      <c r="F370" s="11" t="s">
        <v>15</v>
      </c>
      <c r="G370" s="9" t="s">
        <v>1231</v>
      </c>
      <c r="H370" s="12">
        <v>45090</v>
      </c>
      <c r="I370" s="12" t="s">
        <v>17</v>
      </c>
      <c r="J370" s="91" t="s">
        <v>821</v>
      </c>
      <c r="K370" s="91">
        <v>45295</v>
      </c>
      <c r="L370" s="10" t="s">
        <v>15</v>
      </c>
      <c r="M370" s="10" t="s">
        <v>15</v>
      </c>
      <c r="N370" s="10"/>
      <c r="O370" s="10"/>
    </row>
    <row r="371" spans="1:15" ht="18.75" x14ac:dyDescent="0.25">
      <c r="A371" s="9" t="s">
        <v>27</v>
      </c>
      <c r="B371" s="13">
        <f>VLOOKUP(Table2[[#This Row],[Location 
(drop-down)]],'List source'!D$2:E$59,2,FALSE)</f>
        <v>132</v>
      </c>
      <c r="C371" s="11" t="s">
        <v>679</v>
      </c>
      <c r="D371" s="127" t="str">
        <f t="shared" si="8"/>
        <v>C370-132-23</v>
      </c>
      <c r="E371" s="127" t="str">
        <f>VLOOKUP(Table2[[#This Row],[Location 
(drop-down)]],Table1[#All],3,FALSE)</f>
        <v>USWC</v>
      </c>
      <c r="F371" s="11" t="s">
        <v>15</v>
      </c>
      <c r="G371" s="9" t="s">
        <v>1232</v>
      </c>
      <c r="H371" s="12">
        <v>45090</v>
      </c>
      <c r="I371" s="12" t="s">
        <v>17</v>
      </c>
      <c r="J371" s="91">
        <v>45807</v>
      </c>
      <c r="K371" s="91">
        <v>45807</v>
      </c>
      <c r="L371" s="10" t="s">
        <v>15</v>
      </c>
      <c r="M371" s="10" t="s">
        <v>15</v>
      </c>
      <c r="N371" s="10"/>
      <c r="O371" s="10"/>
    </row>
    <row r="372" spans="1:15" ht="37.5" x14ac:dyDescent="0.25">
      <c r="A372" s="9" t="s">
        <v>324</v>
      </c>
      <c r="B372" s="13">
        <f>VLOOKUP(Table2[[#This Row],[Location 
(drop-down)]],'List source'!D$2:E$59,2,FALSE)</f>
        <v>170</v>
      </c>
      <c r="C372" s="11" t="s">
        <v>680</v>
      </c>
      <c r="D372" s="127" t="str">
        <f t="shared" si="8"/>
        <v>C371-170-23</v>
      </c>
      <c r="E372" s="127" t="str">
        <f>VLOOKUP(Table2[[#This Row],[Location 
(drop-down)]],Table1[#All],3,FALSE)</f>
        <v>SE &amp; Caribbean</v>
      </c>
      <c r="F372" s="11" t="s">
        <v>15</v>
      </c>
      <c r="G372" s="108" t="s">
        <v>1233</v>
      </c>
      <c r="H372" s="12">
        <v>45090</v>
      </c>
      <c r="I372" s="12" t="s">
        <v>17</v>
      </c>
      <c r="J372" s="91" t="s">
        <v>821</v>
      </c>
      <c r="K372" s="91">
        <v>45165</v>
      </c>
      <c r="L372" s="10" t="s">
        <v>15</v>
      </c>
      <c r="M372" s="10" t="s">
        <v>15</v>
      </c>
      <c r="N372" s="10"/>
      <c r="O372" s="10"/>
    </row>
    <row r="373" spans="1:15" ht="18.75" x14ac:dyDescent="0.25">
      <c r="A373" s="9" t="s">
        <v>37</v>
      </c>
      <c r="B373" s="13">
        <f>VLOOKUP(Table2[[#This Row],[Location 
(drop-down)]],'List source'!D$2:E$59,2,FALSE)</f>
        <v>158</v>
      </c>
      <c r="C373" s="11" t="s">
        <v>681</v>
      </c>
      <c r="D373" s="127" t="str">
        <f t="shared" si="8"/>
        <v>C372-158-23</v>
      </c>
      <c r="E373" s="127" t="str">
        <f>VLOOKUP(Table2[[#This Row],[Location 
(drop-down)]],Table1[#All],3,FALSE)</f>
        <v>USGC</v>
      </c>
      <c r="F373" s="11" t="s">
        <v>15</v>
      </c>
      <c r="G373" s="9" t="s">
        <v>1234</v>
      </c>
      <c r="H373" s="12">
        <v>45090</v>
      </c>
      <c r="I373" s="12" t="s">
        <v>17</v>
      </c>
      <c r="J373" s="91" t="s">
        <v>821</v>
      </c>
      <c r="K373" s="91">
        <v>45180</v>
      </c>
      <c r="L373" s="10" t="s">
        <v>15</v>
      </c>
      <c r="M373" s="10" t="s">
        <v>15</v>
      </c>
      <c r="N373" s="10"/>
      <c r="O373" s="10"/>
    </row>
    <row r="374" spans="1:15" ht="18.75" x14ac:dyDescent="0.25">
      <c r="A374" s="9" t="s">
        <v>37</v>
      </c>
      <c r="B374" s="13">
        <f>VLOOKUP(Table2[[#This Row],[Location 
(drop-down)]],'List source'!D$2:E$59,2,FALSE)</f>
        <v>158</v>
      </c>
      <c r="C374" s="11" t="s">
        <v>682</v>
      </c>
      <c r="D374" s="127" t="str">
        <f t="shared" si="8"/>
        <v>C373-158-23</v>
      </c>
      <c r="E374" s="127" t="str">
        <f>VLOOKUP(Table2[[#This Row],[Location 
(drop-down)]],Table1[#All],3,FALSE)</f>
        <v>USGC</v>
      </c>
      <c r="F374" s="11" t="s">
        <v>15</v>
      </c>
      <c r="G374" s="9" t="s">
        <v>1235</v>
      </c>
      <c r="H374" s="12">
        <v>45090</v>
      </c>
      <c r="I374" s="12" t="s">
        <v>17</v>
      </c>
      <c r="J374" s="91" t="s">
        <v>821</v>
      </c>
      <c r="K374" s="91">
        <v>45266</v>
      </c>
      <c r="L374" s="10" t="s">
        <v>15</v>
      </c>
      <c r="M374" s="10" t="s">
        <v>15</v>
      </c>
      <c r="N374" s="10"/>
      <c r="O374" s="10"/>
    </row>
    <row r="375" spans="1:15" ht="30" x14ac:dyDescent="0.25">
      <c r="A375" s="9" t="s">
        <v>37</v>
      </c>
      <c r="B375" s="13">
        <f>VLOOKUP(Table2[[#This Row],[Location 
(drop-down)]],'List source'!D$2:E$59,2,FALSE)</f>
        <v>158</v>
      </c>
      <c r="C375" s="11" t="s">
        <v>683</v>
      </c>
      <c r="D375" s="127" t="str">
        <f t="shared" si="8"/>
        <v>C374-158-23</v>
      </c>
      <c r="E375" s="127" t="str">
        <f>VLOOKUP(Table2[[#This Row],[Location 
(drop-down)]],Table1[#All],3,FALSE)</f>
        <v>USGC</v>
      </c>
      <c r="F375" s="11" t="s">
        <v>15</v>
      </c>
      <c r="G375" s="9" t="s">
        <v>1236</v>
      </c>
      <c r="H375" s="12">
        <v>45090</v>
      </c>
      <c r="I375" s="12" t="s">
        <v>17</v>
      </c>
      <c r="J375" s="91" t="s">
        <v>821</v>
      </c>
      <c r="K375" s="91">
        <v>45328</v>
      </c>
      <c r="L375" s="10" t="s">
        <v>15</v>
      </c>
      <c r="M375" s="10" t="s">
        <v>15</v>
      </c>
      <c r="N375" s="10"/>
      <c r="O375" s="10"/>
    </row>
    <row r="376" spans="1:15" ht="30" x14ac:dyDescent="0.25">
      <c r="A376" s="9" t="s">
        <v>171</v>
      </c>
      <c r="B376" s="13">
        <f>VLOOKUP(Table2[[#This Row],[Location 
(drop-down)]],'List source'!D$2:E$59,2,FALSE)</f>
        <v>160</v>
      </c>
      <c r="C376" s="11" t="s">
        <v>684</v>
      </c>
      <c r="D376" s="127" t="str">
        <f t="shared" si="8"/>
        <v>C375-160-23</v>
      </c>
      <c r="E376" s="127" t="str">
        <f>VLOOKUP(Table2[[#This Row],[Location 
(drop-down)]],Table1[#All],3,FALSE)</f>
        <v>USGC</v>
      </c>
      <c r="F376" s="11" t="s">
        <v>15</v>
      </c>
      <c r="G376" s="9" t="s">
        <v>1237</v>
      </c>
      <c r="H376" s="12">
        <v>45090</v>
      </c>
      <c r="I376" s="12" t="s">
        <v>17</v>
      </c>
      <c r="J376" s="91" t="s">
        <v>821</v>
      </c>
      <c r="K376" s="91">
        <v>45272</v>
      </c>
      <c r="L376" s="10" t="s">
        <v>15</v>
      </c>
      <c r="M376" s="10" t="s">
        <v>15</v>
      </c>
      <c r="N376" s="10"/>
      <c r="O376" s="10"/>
    </row>
    <row r="377" spans="1:15" ht="37.5" x14ac:dyDescent="0.25">
      <c r="A377" s="9" t="s">
        <v>324</v>
      </c>
      <c r="B377" s="13">
        <f>VLOOKUP(Table2[[#This Row],[Location 
(drop-down)]],'List source'!D$2:E$59,2,FALSE)</f>
        <v>170</v>
      </c>
      <c r="C377" s="11" t="s">
        <v>685</v>
      </c>
      <c r="D377" s="127" t="str">
        <f t="shared" si="8"/>
        <v>C376-170-23</v>
      </c>
      <c r="E377" s="127" t="str">
        <f>VLOOKUP(Table2[[#This Row],[Location 
(drop-down)]],Table1[#All],3,FALSE)</f>
        <v>SE &amp; Caribbean</v>
      </c>
      <c r="F377" s="11" t="s">
        <v>15</v>
      </c>
      <c r="G377" s="9" t="s">
        <v>1238</v>
      </c>
      <c r="H377" s="12">
        <v>45090</v>
      </c>
      <c r="I377" s="12" t="s">
        <v>17</v>
      </c>
      <c r="J377" s="91" t="s">
        <v>821</v>
      </c>
      <c r="K377" s="91">
        <v>45165</v>
      </c>
      <c r="L377" s="10" t="s">
        <v>15</v>
      </c>
      <c r="M377" s="10" t="s">
        <v>15</v>
      </c>
      <c r="N377" s="10"/>
      <c r="O377" s="10"/>
    </row>
    <row r="378" spans="1:15" ht="30" x14ac:dyDescent="0.25">
      <c r="A378" s="9" t="s">
        <v>22</v>
      </c>
      <c r="B378" s="13">
        <f>VLOOKUP(Table2[[#This Row],[Location 
(drop-down)]],'List source'!D$2:E$59,2,FALSE)</f>
        <v>130</v>
      </c>
      <c r="C378" s="11" t="s">
        <v>686</v>
      </c>
      <c r="D378" s="127" t="str">
        <f t="shared" si="8"/>
        <v>C377-130-23</v>
      </c>
      <c r="E378" s="127" t="str">
        <f>VLOOKUP(Table2[[#This Row],[Location 
(drop-down)]],Table1[#All],3,FALSE)</f>
        <v>USWC</v>
      </c>
      <c r="F378" s="11" t="s">
        <v>15</v>
      </c>
      <c r="G378" s="9" t="s">
        <v>1239</v>
      </c>
      <c r="H378" s="12">
        <v>45091</v>
      </c>
      <c r="I378" s="12" t="s">
        <v>17</v>
      </c>
      <c r="J378" s="91" t="s">
        <v>821</v>
      </c>
      <c r="K378" s="91">
        <v>45294</v>
      </c>
      <c r="L378" s="10" t="s">
        <v>15</v>
      </c>
      <c r="M378" s="10" t="s">
        <v>15</v>
      </c>
      <c r="N378" s="10" t="s">
        <v>858</v>
      </c>
      <c r="O378" s="10" t="s">
        <v>1240</v>
      </c>
    </row>
    <row r="379" spans="1:15" ht="37.5" x14ac:dyDescent="0.25">
      <c r="A379" s="9" t="s">
        <v>873</v>
      </c>
      <c r="B379" s="13">
        <f>VLOOKUP(Table2[[#This Row],[Location 
(drop-down)]],'List source'!D$2:E$59,2,FALSE)</f>
        <v>190</v>
      </c>
      <c r="C379" s="11" t="s">
        <v>687</v>
      </c>
      <c r="D379" s="127" t="str">
        <f t="shared" si="8"/>
        <v>C378-190-23</v>
      </c>
      <c r="E379" s="127" t="str">
        <f>VLOOKUP(Table2[[#This Row],[Location 
(drop-down)]],Table1[#All],3,FALSE)</f>
        <v>SE &amp; Caribbean</v>
      </c>
      <c r="F379" s="11" t="s">
        <v>15</v>
      </c>
      <c r="G379" s="9" t="s">
        <v>1241</v>
      </c>
      <c r="H379" s="12">
        <v>45091</v>
      </c>
      <c r="I379" s="12" t="s">
        <v>17</v>
      </c>
      <c r="J379" s="91" t="s">
        <v>821</v>
      </c>
      <c r="K379" s="91">
        <v>45147</v>
      </c>
      <c r="L379" s="10" t="s">
        <v>15</v>
      </c>
      <c r="M379" s="10" t="s">
        <v>15</v>
      </c>
      <c r="N379" s="10"/>
      <c r="O379" s="10"/>
    </row>
    <row r="380" spans="1:15" ht="37.5" x14ac:dyDescent="0.25">
      <c r="A380" s="9" t="s">
        <v>87</v>
      </c>
      <c r="B380" s="13">
        <f>VLOOKUP(Table2[[#This Row],[Location 
(drop-down)]],'List source'!D$2:E$59,2,FALSE)</f>
        <v>210</v>
      </c>
      <c r="C380" s="11" t="s">
        <v>688</v>
      </c>
      <c r="D380" s="127" t="str">
        <f t="shared" si="8"/>
        <v>C379-210-23</v>
      </c>
      <c r="E380" s="127" t="str">
        <f>VLOOKUP(Table2[[#This Row],[Location 
(drop-down)]],Table1[#All],3,FALSE)</f>
        <v>SE &amp; Caribbean</v>
      </c>
      <c r="F380" s="11" t="s">
        <v>15</v>
      </c>
      <c r="G380" s="9" t="s">
        <v>1242</v>
      </c>
      <c r="H380" s="12">
        <v>45091</v>
      </c>
      <c r="I380" s="12" t="s">
        <v>17</v>
      </c>
      <c r="J380" s="91" t="s">
        <v>821</v>
      </c>
      <c r="K380" s="91">
        <v>45121</v>
      </c>
      <c r="L380" s="10" t="s">
        <v>15</v>
      </c>
      <c r="M380" s="10" t="s">
        <v>15</v>
      </c>
      <c r="N380" s="10" t="s">
        <v>832</v>
      </c>
      <c r="O380" s="10"/>
    </row>
    <row r="381" spans="1:15" ht="37.5" x14ac:dyDescent="0.25">
      <c r="A381" s="9" t="s">
        <v>87</v>
      </c>
      <c r="B381" s="13">
        <f>VLOOKUP(Table2[[#This Row],[Location 
(drop-down)]],'List source'!D$2:E$59,2,FALSE)</f>
        <v>210</v>
      </c>
      <c r="C381" s="11" t="s">
        <v>689</v>
      </c>
      <c r="D381" s="127" t="str">
        <f t="shared" si="8"/>
        <v>C380-210-23</v>
      </c>
      <c r="E381" s="127" t="str">
        <f>VLOOKUP(Table2[[#This Row],[Location 
(drop-down)]],Table1[#All],3,FALSE)</f>
        <v>SE &amp; Caribbean</v>
      </c>
      <c r="F381" s="11" t="s">
        <v>15</v>
      </c>
      <c r="G381" s="9" t="s">
        <v>1243</v>
      </c>
      <c r="H381" s="12">
        <v>45091</v>
      </c>
      <c r="I381" s="12" t="s">
        <v>17</v>
      </c>
      <c r="J381" s="91" t="s">
        <v>821</v>
      </c>
      <c r="K381" s="91">
        <v>45121</v>
      </c>
      <c r="L381" s="10" t="s">
        <v>15</v>
      </c>
      <c r="M381" s="10" t="s">
        <v>15</v>
      </c>
      <c r="N381" s="10" t="s">
        <v>822</v>
      </c>
      <c r="O381" s="10"/>
    </row>
    <row r="382" spans="1:15" ht="37.5" x14ac:dyDescent="0.25">
      <c r="A382" s="9" t="s">
        <v>75</v>
      </c>
      <c r="B382" s="13">
        <f>VLOOKUP(Table2[[#This Row],[Location 
(drop-down)]],'List source'!D$2:E$59,2,FALSE)</f>
        <v>180</v>
      </c>
      <c r="C382" s="11" t="s">
        <v>690</v>
      </c>
      <c r="D382" s="127" t="str">
        <f t="shared" si="8"/>
        <v>C381-180-23</v>
      </c>
      <c r="E382" s="127" t="str">
        <f>VLOOKUP(Table2[[#This Row],[Location 
(drop-down)]],Table1[#All],3,FALSE)</f>
        <v>SE &amp; Caribbean</v>
      </c>
      <c r="F382" s="11" t="s">
        <v>15</v>
      </c>
      <c r="G382" s="9" t="s">
        <v>1244</v>
      </c>
      <c r="H382" s="12">
        <v>45092</v>
      </c>
      <c r="I382" s="12" t="s">
        <v>17</v>
      </c>
      <c r="J382" s="91" t="s">
        <v>821</v>
      </c>
      <c r="K382" s="91">
        <v>45190</v>
      </c>
      <c r="L382" s="10" t="s">
        <v>15</v>
      </c>
      <c r="M382" s="10" t="s">
        <v>15</v>
      </c>
      <c r="N382" s="10" t="s">
        <v>832</v>
      </c>
      <c r="O382" s="10"/>
    </row>
    <row r="383" spans="1:15" ht="30" x14ac:dyDescent="0.25">
      <c r="A383" s="9" t="s">
        <v>1245</v>
      </c>
      <c r="B383" s="13">
        <f>VLOOKUP(Table2[[#This Row],[Location 
(drop-down)]],'List source'!D$2:E$59,2,FALSE)</f>
        <v>133</v>
      </c>
      <c r="C383" s="11" t="s">
        <v>691</v>
      </c>
      <c r="D383" s="127" t="str">
        <f t="shared" si="8"/>
        <v>C382-133-23</v>
      </c>
      <c r="E383" s="127" t="str">
        <f>VLOOKUP(Table2[[#This Row],[Location 
(drop-down)]],Table1[#All],3,FALSE)</f>
        <v>USWC</v>
      </c>
      <c r="F383" s="11" t="s">
        <v>935</v>
      </c>
      <c r="G383" s="9" t="s">
        <v>1246</v>
      </c>
      <c r="H383" s="12">
        <v>45092</v>
      </c>
      <c r="I383" s="12" t="s">
        <v>129</v>
      </c>
      <c r="J383" s="91" t="s">
        <v>821</v>
      </c>
      <c r="K383" s="91">
        <v>45119</v>
      </c>
      <c r="L383" s="10" t="s">
        <v>147</v>
      </c>
      <c r="M383" s="10" t="s">
        <v>854</v>
      </c>
      <c r="N383" s="10" t="s">
        <v>858</v>
      </c>
      <c r="O383" s="10"/>
    </row>
    <row r="384" spans="1:15" ht="30" x14ac:dyDescent="0.25">
      <c r="A384" s="9" t="s">
        <v>1245</v>
      </c>
      <c r="B384" s="13">
        <f>VLOOKUP(Table2[[#This Row],[Location 
(drop-down)]],'List source'!D$2:E$59,2,FALSE)</f>
        <v>133</v>
      </c>
      <c r="C384" s="11" t="s">
        <v>692</v>
      </c>
      <c r="D384" s="127" t="str">
        <f t="shared" si="8"/>
        <v>C383-133-23</v>
      </c>
      <c r="E384" s="127" t="str">
        <f>VLOOKUP(Table2[[#This Row],[Location 
(drop-down)]],Table1[#All],3,FALSE)</f>
        <v>USWC</v>
      </c>
      <c r="F384" s="11" t="s">
        <v>935</v>
      </c>
      <c r="G384" s="9" t="s">
        <v>1247</v>
      </c>
      <c r="H384" s="12">
        <v>45092</v>
      </c>
      <c r="I384" s="12" t="s">
        <v>129</v>
      </c>
      <c r="J384" s="91" t="s">
        <v>821</v>
      </c>
      <c r="K384" s="91">
        <v>45119</v>
      </c>
      <c r="L384" s="10" t="s">
        <v>147</v>
      </c>
      <c r="M384" s="10" t="s">
        <v>857</v>
      </c>
      <c r="N384" s="10" t="s">
        <v>858</v>
      </c>
      <c r="O384" s="10"/>
    </row>
    <row r="385" spans="1:15" ht="30" x14ac:dyDescent="0.25">
      <c r="A385" s="9" t="s">
        <v>1245</v>
      </c>
      <c r="B385" s="13">
        <f>VLOOKUP(Table2[[#This Row],[Location 
(drop-down)]],'List source'!D$2:E$59,2,FALSE)</f>
        <v>133</v>
      </c>
      <c r="C385" s="11" t="s">
        <v>693</v>
      </c>
      <c r="D385" s="127" t="str">
        <f t="shared" si="8"/>
        <v>C384-133-23</v>
      </c>
      <c r="E385" s="127" t="str">
        <f>VLOOKUP(Table2[[#This Row],[Location 
(drop-down)]],Table1[#All],3,FALSE)</f>
        <v>USWC</v>
      </c>
      <c r="F385" s="11" t="s">
        <v>935</v>
      </c>
      <c r="G385" s="9" t="s">
        <v>1248</v>
      </c>
      <c r="H385" s="12">
        <v>45092</v>
      </c>
      <c r="I385" s="12" t="s">
        <v>129</v>
      </c>
      <c r="J385" s="91" t="s">
        <v>821</v>
      </c>
      <c r="K385" s="91">
        <v>45119</v>
      </c>
      <c r="L385" s="10" t="s">
        <v>913</v>
      </c>
      <c r="M385" s="10" t="s">
        <v>870</v>
      </c>
      <c r="N385" s="10" t="s">
        <v>858</v>
      </c>
      <c r="O385" s="10"/>
    </row>
    <row r="386" spans="1:15" ht="30" x14ac:dyDescent="0.25">
      <c r="A386" s="9" t="s">
        <v>1245</v>
      </c>
      <c r="B386" s="13">
        <f>VLOOKUP(Table2[[#This Row],[Location 
(drop-down)]],'List source'!D$2:E$59,2,FALSE)</f>
        <v>133</v>
      </c>
      <c r="C386" s="11" t="s">
        <v>694</v>
      </c>
      <c r="D386" s="127" t="str">
        <f t="shared" si="8"/>
        <v>C385-133-23</v>
      </c>
      <c r="E386" s="127" t="str">
        <f>VLOOKUP(Table2[[#This Row],[Location 
(drop-down)]],Table1[#All],3,FALSE)</f>
        <v>USWC</v>
      </c>
      <c r="F386" s="11" t="s">
        <v>935</v>
      </c>
      <c r="G386" s="9" t="s">
        <v>1249</v>
      </c>
      <c r="H386" s="12">
        <v>45092</v>
      </c>
      <c r="I386" s="12" t="s">
        <v>129</v>
      </c>
      <c r="J386" s="91" t="s">
        <v>821</v>
      </c>
      <c r="K386" s="91">
        <v>45119</v>
      </c>
      <c r="L386" s="10" t="s">
        <v>97</v>
      </c>
      <c r="M386" s="10" t="s">
        <v>857</v>
      </c>
      <c r="N386" s="10" t="s">
        <v>858</v>
      </c>
      <c r="O386" s="10"/>
    </row>
    <row r="387" spans="1:15" ht="30" x14ac:dyDescent="0.25">
      <c r="A387" s="9" t="s">
        <v>1245</v>
      </c>
      <c r="B387" s="13">
        <f>VLOOKUP(Table2[[#This Row],[Location 
(drop-down)]],'List source'!D$2:E$59,2,FALSE)</f>
        <v>133</v>
      </c>
      <c r="C387" s="11" t="s">
        <v>695</v>
      </c>
      <c r="D387" s="127" t="str">
        <f t="shared" si="8"/>
        <v>C386-133-23</v>
      </c>
      <c r="E387" s="127" t="str">
        <f>VLOOKUP(Table2[[#This Row],[Location 
(drop-down)]],Table1[#All],3,FALSE)</f>
        <v>USWC</v>
      </c>
      <c r="F387" s="11" t="s">
        <v>935</v>
      </c>
      <c r="G387" s="9" t="s">
        <v>1250</v>
      </c>
      <c r="H387" s="12">
        <v>45092</v>
      </c>
      <c r="I387" s="12" t="s">
        <v>129</v>
      </c>
      <c r="J387" s="91" t="s">
        <v>821</v>
      </c>
      <c r="K387" s="91">
        <v>45119</v>
      </c>
      <c r="L387" s="10" t="s">
        <v>147</v>
      </c>
      <c r="M387" s="10" t="s">
        <v>857</v>
      </c>
      <c r="N387" s="10" t="s">
        <v>858</v>
      </c>
      <c r="O387" s="10"/>
    </row>
    <row r="388" spans="1:15" ht="30" x14ac:dyDescent="0.25">
      <c r="A388" s="9" t="s">
        <v>1245</v>
      </c>
      <c r="B388" s="13">
        <f>VLOOKUP(Table2[[#This Row],[Location 
(drop-down)]],'List source'!D$2:E$59,2,FALSE)</f>
        <v>133</v>
      </c>
      <c r="C388" s="11" t="s">
        <v>696</v>
      </c>
      <c r="D388" s="127" t="str">
        <f t="shared" si="8"/>
        <v>C387-133-23</v>
      </c>
      <c r="E388" s="127" t="str">
        <f>VLOOKUP(Table2[[#This Row],[Location 
(drop-down)]],Table1[#All],3,FALSE)</f>
        <v>USWC</v>
      </c>
      <c r="F388" s="11" t="s">
        <v>935</v>
      </c>
      <c r="G388" s="9" t="s">
        <v>1251</v>
      </c>
      <c r="H388" s="12">
        <v>45092</v>
      </c>
      <c r="I388" s="12" t="s">
        <v>129</v>
      </c>
      <c r="J388" s="91" t="s">
        <v>821</v>
      </c>
      <c r="K388" s="91">
        <v>45119</v>
      </c>
      <c r="L388" s="10" t="s">
        <v>97</v>
      </c>
      <c r="M388" s="10" t="s">
        <v>854</v>
      </c>
      <c r="N388" s="10" t="s">
        <v>858</v>
      </c>
      <c r="O388" s="10"/>
    </row>
    <row r="389" spans="1:15" ht="30" x14ac:dyDescent="0.25">
      <c r="A389" s="9" t="s">
        <v>1245</v>
      </c>
      <c r="B389" s="13">
        <f>VLOOKUP(Table2[[#This Row],[Location 
(drop-down)]],'List source'!D$2:E$59,2,FALSE)</f>
        <v>133</v>
      </c>
      <c r="C389" s="11" t="s">
        <v>697</v>
      </c>
      <c r="D389" s="127" t="str">
        <f t="shared" si="8"/>
        <v>C388-133-23</v>
      </c>
      <c r="E389" s="127" t="str">
        <f>VLOOKUP(Table2[[#This Row],[Location 
(drop-down)]],Table1[#All],3,FALSE)</f>
        <v>USWC</v>
      </c>
      <c r="F389" s="11" t="s">
        <v>935</v>
      </c>
      <c r="G389" s="9" t="s">
        <v>1252</v>
      </c>
      <c r="H389" s="12">
        <v>45092</v>
      </c>
      <c r="I389" s="12" t="s">
        <v>129</v>
      </c>
      <c r="J389" s="91" t="s">
        <v>821</v>
      </c>
      <c r="K389" s="91">
        <v>45119</v>
      </c>
      <c r="L389" s="10" t="s">
        <v>97</v>
      </c>
      <c r="M389" s="10" t="s">
        <v>857</v>
      </c>
      <c r="N389" s="10" t="s">
        <v>858</v>
      </c>
      <c r="O389" s="10"/>
    </row>
    <row r="390" spans="1:15" ht="37.5" x14ac:dyDescent="0.25">
      <c r="A390" s="9" t="s">
        <v>108</v>
      </c>
      <c r="B390" s="13">
        <f>VLOOKUP(Table2[[#This Row],[Location 
(drop-down)]],'List source'!D$2:E$59,2,FALSE)</f>
        <v>191</v>
      </c>
      <c r="C390" s="11" t="s">
        <v>698</v>
      </c>
      <c r="D390" s="127" t="str">
        <f t="shared" si="8"/>
        <v>C389-191-23</v>
      </c>
      <c r="E390" s="127" t="str">
        <f>VLOOKUP(Table2[[#This Row],[Location 
(drop-down)]],Table1[#All],3,FALSE)</f>
        <v>SE &amp; Caribbean</v>
      </c>
      <c r="F390" s="11" t="s">
        <v>15</v>
      </c>
      <c r="G390" s="9" t="s">
        <v>1253</v>
      </c>
      <c r="H390" s="12">
        <v>45093</v>
      </c>
      <c r="I390" s="12" t="s">
        <v>17</v>
      </c>
      <c r="J390" s="91" t="s">
        <v>821</v>
      </c>
      <c r="K390" s="91">
        <v>45646</v>
      </c>
      <c r="L390" s="10" t="s">
        <v>15</v>
      </c>
      <c r="M390" s="10" t="s">
        <v>15</v>
      </c>
      <c r="N390" s="10"/>
      <c r="O390" s="10"/>
    </row>
    <row r="391" spans="1:15" ht="30" x14ac:dyDescent="0.25">
      <c r="A391" s="9" t="s">
        <v>171</v>
      </c>
      <c r="B391" s="13">
        <f>VLOOKUP(Table2[[#This Row],[Location 
(drop-down)]],'List source'!D$2:E$59,2,FALSE)</f>
        <v>160</v>
      </c>
      <c r="C391" s="11" t="s">
        <v>699</v>
      </c>
      <c r="D391" s="127" t="str">
        <f t="shared" si="8"/>
        <v>C390-160-23</v>
      </c>
      <c r="E391" s="127" t="str">
        <f>VLOOKUP(Table2[[#This Row],[Location 
(drop-down)]],Table1[#All],3,FALSE)</f>
        <v>USGC</v>
      </c>
      <c r="F391" s="11" t="s">
        <v>935</v>
      </c>
      <c r="G391" s="9" t="s">
        <v>1254</v>
      </c>
      <c r="H391" s="12">
        <v>45093</v>
      </c>
      <c r="I391" s="12" t="s">
        <v>443</v>
      </c>
      <c r="J391" s="91">
        <v>45093</v>
      </c>
      <c r="K391" s="91">
        <v>45096</v>
      </c>
      <c r="L391" s="10" t="s">
        <v>97</v>
      </c>
      <c r="M391" s="10"/>
      <c r="N391" s="10"/>
      <c r="O391" s="10"/>
    </row>
    <row r="392" spans="1:15" ht="30" x14ac:dyDescent="0.25">
      <c r="A392" s="9" t="s">
        <v>171</v>
      </c>
      <c r="B392" s="13">
        <f>VLOOKUP(Table2[[#This Row],[Location 
(drop-down)]],'List source'!D$2:E$59,2,FALSE)</f>
        <v>160</v>
      </c>
      <c r="C392" s="11" t="s">
        <v>700</v>
      </c>
      <c r="D392" s="127" t="str">
        <f t="shared" si="8"/>
        <v>C391-160-23</v>
      </c>
      <c r="E392" s="127" t="str">
        <f>VLOOKUP(Table2[[#This Row],[Location 
(drop-down)]],Table1[#All],3,FALSE)</f>
        <v>USGC</v>
      </c>
      <c r="F392" s="11" t="s">
        <v>935</v>
      </c>
      <c r="G392" s="9" t="s">
        <v>1255</v>
      </c>
      <c r="H392" s="12">
        <v>45093</v>
      </c>
      <c r="I392" s="12" t="s">
        <v>443</v>
      </c>
      <c r="J392" s="91">
        <v>45093</v>
      </c>
      <c r="K392" s="91">
        <v>45096</v>
      </c>
      <c r="L392" s="10" t="s">
        <v>97</v>
      </c>
      <c r="M392" s="10"/>
      <c r="N392" s="10"/>
      <c r="O392" s="10"/>
    </row>
    <row r="393" spans="1:15" ht="30" x14ac:dyDescent="0.25">
      <c r="A393" s="9" t="s">
        <v>171</v>
      </c>
      <c r="B393" s="13">
        <f>VLOOKUP(Table2[[#This Row],[Location 
(drop-down)]],'List source'!D$2:E$59,2,FALSE)</f>
        <v>160</v>
      </c>
      <c r="C393" s="11" t="s">
        <v>701</v>
      </c>
      <c r="D393" s="127" t="str">
        <f t="shared" si="8"/>
        <v>C392-160-23</v>
      </c>
      <c r="E393" s="127" t="str">
        <f>VLOOKUP(Table2[[#This Row],[Location 
(drop-down)]],Table1[#All],3,FALSE)</f>
        <v>USGC</v>
      </c>
      <c r="F393" s="11" t="s">
        <v>935</v>
      </c>
      <c r="G393" s="9" t="s">
        <v>1256</v>
      </c>
      <c r="H393" s="12">
        <v>45093</v>
      </c>
      <c r="I393" s="12" t="s">
        <v>443</v>
      </c>
      <c r="J393" s="91" t="s">
        <v>821</v>
      </c>
      <c r="K393" s="91">
        <v>45107</v>
      </c>
      <c r="L393" s="10" t="s">
        <v>97</v>
      </c>
      <c r="M393" s="10"/>
      <c r="N393" s="10"/>
      <c r="O393" s="10"/>
    </row>
    <row r="394" spans="1:15" ht="37.5" x14ac:dyDescent="0.25">
      <c r="A394" s="9" t="s">
        <v>72</v>
      </c>
      <c r="B394" s="13">
        <f>VLOOKUP(Table2[[#This Row],[Location 
(drop-down)]],'List source'!D$2:E$59,2,FALSE)</f>
        <v>197</v>
      </c>
      <c r="C394" s="11" t="s">
        <v>702</v>
      </c>
      <c r="D394" s="127" t="str">
        <f t="shared" si="8"/>
        <v>C393-197-23</v>
      </c>
      <c r="E394" s="127" t="str">
        <f>VLOOKUP(Table2[[#This Row],[Location 
(drop-down)]],Table1[#All],3,FALSE)</f>
        <v>USNE, USMW &amp; Canada</v>
      </c>
      <c r="F394" s="11" t="s">
        <v>94</v>
      </c>
      <c r="G394" s="9" t="s">
        <v>1257</v>
      </c>
      <c r="H394" s="12">
        <v>45099</v>
      </c>
      <c r="I394" s="12" t="s">
        <v>440</v>
      </c>
      <c r="J394" s="91" t="s">
        <v>821</v>
      </c>
      <c r="K394" s="91">
        <v>45180</v>
      </c>
      <c r="L394" s="10" t="s">
        <v>97</v>
      </c>
      <c r="M394" s="10" t="s">
        <v>854</v>
      </c>
      <c r="N394" s="10"/>
      <c r="O394" s="10"/>
    </row>
    <row r="395" spans="1:15" ht="37.5" x14ac:dyDescent="0.25">
      <c r="A395" s="9" t="s">
        <v>72</v>
      </c>
      <c r="B395" s="13">
        <f>VLOOKUP(Table2[[#This Row],[Location 
(drop-down)]],'List source'!D$2:E$59,2,FALSE)</f>
        <v>197</v>
      </c>
      <c r="C395" s="11" t="s">
        <v>703</v>
      </c>
      <c r="D395" s="127" t="str">
        <f t="shared" si="8"/>
        <v>C394-197-23</v>
      </c>
      <c r="E395" s="127" t="str">
        <f>VLOOKUP(Table2[[#This Row],[Location 
(drop-down)]],Table1[#All],3,FALSE)</f>
        <v>USNE, USMW &amp; Canada</v>
      </c>
      <c r="F395" s="11" t="s">
        <v>94</v>
      </c>
      <c r="G395" s="9" t="s">
        <v>1258</v>
      </c>
      <c r="H395" s="12">
        <v>45099</v>
      </c>
      <c r="I395" s="12" t="s">
        <v>440</v>
      </c>
      <c r="J395" s="91" t="s">
        <v>821</v>
      </c>
      <c r="K395" s="91">
        <v>45183</v>
      </c>
      <c r="L395" s="10" t="s">
        <v>97</v>
      </c>
      <c r="M395" s="10" t="s">
        <v>903</v>
      </c>
      <c r="N395" s="10"/>
      <c r="O395" s="10"/>
    </row>
    <row r="396" spans="1:15" ht="37.5" x14ac:dyDescent="0.25">
      <c r="A396" s="9" t="s">
        <v>72</v>
      </c>
      <c r="B396" s="13">
        <f>VLOOKUP(Table2[[#This Row],[Location 
(drop-down)]],'List source'!D$2:E$59,2,FALSE)</f>
        <v>197</v>
      </c>
      <c r="C396" s="11" t="s">
        <v>704</v>
      </c>
      <c r="D396" s="127" t="str">
        <f t="shared" si="8"/>
        <v>C395-197-23</v>
      </c>
      <c r="E396" s="127" t="str">
        <f>VLOOKUP(Table2[[#This Row],[Location 
(drop-down)]],Table1[#All],3,FALSE)</f>
        <v>USNE, USMW &amp; Canada</v>
      </c>
      <c r="F396" s="11" t="s">
        <v>94</v>
      </c>
      <c r="G396" s="9" t="s">
        <v>1259</v>
      </c>
      <c r="H396" s="12">
        <v>45099</v>
      </c>
      <c r="I396" s="12" t="s">
        <v>440</v>
      </c>
      <c r="J396" s="91" t="s">
        <v>821</v>
      </c>
      <c r="K396" s="91">
        <v>45189</v>
      </c>
      <c r="L396" s="10" t="s">
        <v>97</v>
      </c>
      <c r="M396" s="10" t="s">
        <v>857</v>
      </c>
      <c r="N396" s="10"/>
      <c r="O396" s="10"/>
    </row>
    <row r="397" spans="1:15" ht="37.5" x14ac:dyDescent="0.25">
      <c r="A397" s="9" t="s">
        <v>72</v>
      </c>
      <c r="B397" s="13">
        <f>VLOOKUP(Table2[[#This Row],[Location 
(drop-down)]],'List source'!D$2:E$59,2,FALSE)</f>
        <v>197</v>
      </c>
      <c r="C397" s="11" t="s">
        <v>705</v>
      </c>
      <c r="D397" s="127" t="str">
        <f t="shared" si="8"/>
        <v>C396-197-23</v>
      </c>
      <c r="E397" s="127" t="str">
        <f>VLOOKUP(Table2[[#This Row],[Location 
(drop-down)]],Table1[#All],3,FALSE)</f>
        <v>USNE, USMW &amp; Canada</v>
      </c>
      <c r="F397" s="11" t="s">
        <v>94</v>
      </c>
      <c r="G397" s="9" t="s">
        <v>1260</v>
      </c>
      <c r="H397" s="12">
        <v>45099</v>
      </c>
      <c r="I397" s="12" t="s">
        <v>440</v>
      </c>
      <c r="J397" s="91" t="s">
        <v>821</v>
      </c>
      <c r="K397" s="91">
        <v>45306</v>
      </c>
      <c r="L397" s="10" t="s">
        <v>97</v>
      </c>
      <c r="M397" s="10" t="s">
        <v>857</v>
      </c>
      <c r="N397" s="10"/>
      <c r="O397" s="10"/>
    </row>
    <row r="398" spans="1:15" ht="45" x14ac:dyDescent="0.25">
      <c r="A398" s="9" t="s">
        <v>72</v>
      </c>
      <c r="B398" s="13">
        <f>VLOOKUP(Table2[[#This Row],[Location 
(drop-down)]],'List source'!D$2:E$59,2,FALSE)</f>
        <v>197</v>
      </c>
      <c r="C398" s="11" t="s">
        <v>706</v>
      </c>
      <c r="D398" s="127" t="str">
        <f t="shared" si="8"/>
        <v>C397-197-23</v>
      </c>
      <c r="E398" s="127" t="str">
        <f>VLOOKUP(Table2[[#This Row],[Location 
(drop-down)]],Table1[#All],3,FALSE)</f>
        <v>USNE, USMW &amp; Canada</v>
      </c>
      <c r="F398" s="11" t="s">
        <v>94</v>
      </c>
      <c r="G398" s="9" t="s">
        <v>1261</v>
      </c>
      <c r="H398" s="12">
        <v>45099</v>
      </c>
      <c r="I398" s="12" t="s">
        <v>440</v>
      </c>
      <c r="J398" s="91" t="s">
        <v>821</v>
      </c>
      <c r="K398" s="91">
        <v>45840</v>
      </c>
      <c r="L398" s="10" t="s">
        <v>97</v>
      </c>
      <c r="M398" s="10" t="s">
        <v>854</v>
      </c>
      <c r="N398" s="10"/>
      <c r="O398" s="10"/>
    </row>
    <row r="399" spans="1:15" ht="37.5" x14ac:dyDescent="0.25">
      <c r="A399" s="9" t="s">
        <v>72</v>
      </c>
      <c r="B399" s="13">
        <f>VLOOKUP(Table2[[#This Row],[Location 
(drop-down)]],'List source'!D$2:E$59,2,FALSE)</f>
        <v>197</v>
      </c>
      <c r="C399" s="11" t="s">
        <v>707</v>
      </c>
      <c r="D399" s="127" t="str">
        <f t="shared" si="8"/>
        <v>C398-197-23</v>
      </c>
      <c r="E399" s="127" t="str">
        <f>VLOOKUP(Table2[[#This Row],[Location 
(drop-down)]],Table1[#All],3,FALSE)</f>
        <v>USNE, USMW &amp; Canada</v>
      </c>
      <c r="F399" s="11" t="s">
        <v>94</v>
      </c>
      <c r="G399" s="9" t="s">
        <v>1262</v>
      </c>
      <c r="H399" s="12">
        <v>45099</v>
      </c>
      <c r="I399" s="12" t="s">
        <v>440</v>
      </c>
      <c r="J399" s="91" t="s">
        <v>821</v>
      </c>
      <c r="K399" s="91">
        <v>45189</v>
      </c>
      <c r="L399" s="10" t="s">
        <v>97</v>
      </c>
      <c r="M399" s="10" t="s">
        <v>854</v>
      </c>
      <c r="N399" s="10"/>
      <c r="O399" s="10"/>
    </row>
    <row r="400" spans="1:15" ht="37.5" x14ac:dyDescent="0.25">
      <c r="A400" s="9" t="s">
        <v>72</v>
      </c>
      <c r="B400" s="13">
        <f>VLOOKUP(Table2[[#This Row],[Location 
(drop-down)]],'List source'!D$2:E$59,2,FALSE)</f>
        <v>197</v>
      </c>
      <c r="C400" s="11" t="s">
        <v>708</v>
      </c>
      <c r="D400" s="127" t="str">
        <f t="shared" si="8"/>
        <v>C399-197-23</v>
      </c>
      <c r="E400" s="127" t="str">
        <f>VLOOKUP(Table2[[#This Row],[Location 
(drop-down)]],Table1[#All],3,FALSE)</f>
        <v>USNE, USMW &amp; Canada</v>
      </c>
      <c r="F400" s="11" t="s">
        <v>94</v>
      </c>
      <c r="G400" s="9" t="s">
        <v>1263</v>
      </c>
      <c r="H400" s="12">
        <v>45099</v>
      </c>
      <c r="I400" s="12" t="s">
        <v>440</v>
      </c>
      <c r="J400" s="91" t="s">
        <v>821</v>
      </c>
      <c r="K400" s="91">
        <v>45189</v>
      </c>
      <c r="L400" s="10" t="s">
        <v>97</v>
      </c>
      <c r="M400" s="10" t="s">
        <v>857</v>
      </c>
      <c r="N400" s="10"/>
      <c r="O400" s="10"/>
    </row>
    <row r="401" spans="1:15" ht="37.5" x14ac:dyDescent="0.25">
      <c r="A401" s="9" t="s">
        <v>72</v>
      </c>
      <c r="B401" s="13">
        <f>VLOOKUP(Table2[[#This Row],[Location 
(drop-down)]],'List source'!D$2:E$59,2,FALSE)</f>
        <v>197</v>
      </c>
      <c r="C401" s="11" t="s">
        <v>709</v>
      </c>
      <c r="D401" s="127" t="str">
        <f t="shared" si="8"/>
        <v>C400-197-23</v>
      </c>
      <c r="E401" s="127" t="str">
        <f>VLOOKUP(Table2[[#This Row],[Location 
(drop-down)]],Table1[#All],3,FALSE)</f>
        <v>USNE, USMW &amp; Canada</v>
      </c>
      <c r="F401" s="11" t="s">
        <v>94</v>
      </c>
      <c r="G401" s="9" t="s">
        <v>1264</v>
      </c>
      <c r="H401" s="12">
        <v>45099</v>
      </c>
      <c r="I401" s="12" t="s">
        <v>440</v>
      </c>
      <c r="J401" s="91" t="s">
        <v>821</v>
      </c>
      <c r="K401" s="91">
        <v>45192</v>
      </c>
      <c r="L401" s="10" t="s">
        <v>147</v>
      </c>
      <c r="M401" s="10" t="s">
        <v>857</v>
      </c>
      <c r="N401" s="10"/>
      <c r="O401" s="10"/>
    </row>
    <row r="402" spans="1:15" ht="37.5" x14ac:dyDescent="0.25">
      <c r="A402" s="9" t="s">
        <v>72</v>
      </c>
      <c r="B402" s="13">
        <f>VLOOKUP(Table2[[#This Row],[Location 
(drop-down)]],'List source'!D$2:E$59,2,FALSE)</f>
        <v>197</v>
      </c>
      <c r="C402" s="11" t="s">
        <v>710</v>
      </c>
      <c r="D402" s="127" t="str">
        <f t="shared" si="8"/>
        <v>C401-197-23</v>
      </c>
      <c r="E402" s="127" t="str">
        <f>VLOOKUP(Table2[[#This Row],[Location 
(drop-down)]],Table1[#All],3,FALSE)</f>
        <v>USNE, USMW &amp; Canada</v>
      </c>
      <c r="F402" s="11" t="s">
        <v>94</v>
      </c>
      <c r="G402" s="9" t="s">
        <v>1265</v>
      </c>
      <c r="H402" s="12">
        <v>45099</v>
      </c>
      <c r="I402" s="12" t="s">
        <v>440</v>
      </c>
      <c r="J402" s="91" t="s">
        <v>821</v>
      </c>
      <c r="K402" s="91">
        <v>45194</v>
      </c>
      <c r="L402" s="10" t="s">
        <v>147</v>
      </c>
      <c r="M402" s="10" t="s">
        <v>857</v>
      </c>
      <c r="N402" s="10"/>
      <c r="O402" s="10"/>
    </row>
    <row r="403" spans="1:15" ht="37.5" x14ac:dyDescent="0.25">
      <c r="A403" s="9" t="s">
        <v>47</v>
      </c>
      <c r="B403" s="13">
        <f>VLOOKUP(Table2[[#This Row],[Location 
(drop-down)]],'List source'!D$2:E$59,2,FALSE)</f>
        <v>215</v>
      </c>
      <c r="C403" s="11" t="s">
        <v>711</v>
      </c>
      <c r="D403" s="222" t="str">
        <f t="shared" si="8"/>
        <v>C402-215-23</v>
      </c>
      <c r="E403" s="127" t="str">
        <f>VLOOKUP(Table2[[#This Row],[Location 
(drop-down)]],Table1[#All],3,FALSE)</f>
        <v>SE &amp; Caribbean</v>
      </c>
      <c r="F403" s="11" t="s">
        <v>15</v>
      </c>
      <c r="G403" s="9" t="s">
        <v>1266</v>
      </c>
      <c r="H403" s="12">
        <v>45100</v>
      </c>
      <c r="I403" s="12" t="s">
        <v>17</v>
      </c>
      <c r="J403" s="218" t="s">
        <v>50</v>
      </c>
      <c r="K403" s="218" t="s">
        <v>50</v>
      </c>
      <c r="L403" s="10" t="s">
        <v>15</v>
      </c>
      <c r="M403" s="10" t="s">
        <v>15</v>
      </c>
      <c r="N403" s="10"/>
      <c r="O403" s="370" t="s">
        <v>51</v>
      </c>
    </row>
    <row r="404" spans="1:15" ht="37.5" x14ac:dyDescent="0.25">
      <c r="A404" s="9" t="s">
        <v>47</v>
      </c>
      <c r="B404" s="13">
        <f>VLOOKUP(Table2[[#This Row],[Location 
(drop-down)]],'List source'!D$2:E$59,2,FALSE)</f>
        <v>215</v>
      </c>
      <c r="C404" s="11" t="s">
        <v>712</v>
      </c>
      <c r="D404" s="127" t="str">
        <f t="shared" si="8"/>
        <v>C403-215-23</v>
      </c>
      <c r="E404" s="127" t="str">
        <f>VLOOKUP(Table2[[#This Row],[Location 
(drop-down)]],Table1[#All],3,FALSE)</f>
        <v>SE &amp; Caribbean</v>
      </c>
      <c r="F404" s="11" t="s">
        <v>15</v>
      </c>
      <c r="G404" s="9" t="s">
        <v>1267</v>
      </c>
      <c r="H404" s="12">
        <v>45100</v>
      </c>
      <c r="I404" s="12" t="s">
        <v>17</v>
      </c>
      <c r="J404" s="91" t="s">
        <v>821</v>
      </c>
      <c r="K404" s="91">
        <v>45180</v>
      </c>
      <c r="L404" s="10" t="s">
        <v>15</v>
      </c>
      <c r="M404" s="10" t="s">
        <v>15</v>
      </c>
      <c r="N404" s="10" t="s">
        <v>832</v>
      </c>
      <c r="O404" s="10"/>
    </row>
    <row r="405" spans="1:15" ht="37.5" x14ac:dyDescent="0.25">
      <c r="A405" s="9" t="s">
        <v>47</v>
      </c>
      <c r="B405" s="13">
        <f>VLOOKUP(Table2[[#This Row],[Location 
(drop-down)]],'List source'!D$2:E$59,2,FALSE)</f>
        <v>215</v>
      </c>
      <c r="C405" s="11" t="s">
        <v>713</v>
      </c>
      <c r="D405" s="222" t="str">
        <f t="shared" si="8"/>
        <v>C404-215-23</v>
      </c>
      <c r="E405" s="127" t="str">
        <f>VLOOKUP(Table2[[#This Row],[Location 
(drop-down)]],Table1[#All],3,FALSE)</f>
        <v>SE &amp; Caribbean</v>
      </c>
      <c r="F405" s="11" t="s">
        <v>15</v>
      </c>
      <c r="G405" s="9" t="s">
        <v>1268</v>
      </c>
      <c r="H405" s="12">
        <v>45100</v>
      </c>
      <c r="I405" s="12" t="s">
        <v>17</v>
      </c>
      <c r="J405" s="218" t="s">
        <v>50</v>
      </c>
      <c r="K405" s="218" t="s">
        <v>50</v>
      </c>
      <c r="L405" s="10" t="s">
        <v>15</v>
      </c>
      <c r="M405" s="10" t="s">
        <v>15</v>
      </c>
      <c r="N405" s="10"/>
      <c r="O405" s="370" t="s">
        <v>51</v>
      </c>
    </row>
    <row r="406" spans="1:15" ht="37.5" x14ac:dyDescent="0.25">
      <c r="A406" s="9" t="s">
        <v>87</v>
      </c>
      <c r="B406" s="13">
        <f>VLOOKUP(Table2[[#This Row],[Location 
(drop-down)]],'List source'!D$2:E$59,2,FALSE)</f>
        <v>210</v>
      </c>
      <c r="C406" s="11" t="s">
        <v>714</v>
      </c>
      <c r="D406" s="127" t="str">
        <f t="shared" si="8"/>
        <v>C405-210-23</v>
      </c>
      <c r="E406" s="127" t="str">
        <f>VLOOKUP(Table2[[#This Row],[Location 
(drop-down)]],Table1[#All],3,FALSE)</f>
        <v>SE &amp; Caribbean</v>
      </c>
      <c r="F406" s="11" t="s">
        <v>15</v>
      </c>
      <c r="G406" s="9" t="s">
        <v>1269</v>
      </c>
      <c r="H406" s="12">
        <v>45100</v>
      </c>
      <c r="I406" s="12" t="s">
        <v>17</v>
      </c>
      <c r="J406" s="91" t="s">
        <v>821</v>
      </c>
      <c r="K406" s="91">
        <v>45117</v>
      </c>
      <c r="L406" s="12" t="s">
        <v>15</v>
      </c>
      <c r="M406" s="10" t="s">
        <v>15</v>
      </c>
      <c r="N406" s="12" t="s">
        <v>822</v>
      </c>
      <c r="O406" s="10"/>
    </row>
    <row r="407" spans="1:15" ht="30" x14ac:dyDescent="0.25">
      <c r="A407" s="9" t="s">
        <v>1270</v>
      </c>
      <c r="B407" s="13">
        <f>VLOOKUP(Table2[[#This Row],[Location 
(drop-down)]],'List source'!D$2:E$59,2,FALSE)</f>
        <v>124</v>
      </c>
      <c r="C407" s="11" t="s">
        <v>715</v>
      </c>
      <c r="D407" s="127" t="str">
        <f t="shared" si="8"/>
        <v>C406-124-23</v>
      </c>
      <c r="E407" s="127" t="str">
        <f>VLOOKUP(Table2[[#This Row],[Location 
(drop-down)]],Table1[#All],3,FALSE)</f>
        <v>USGC</v>
      </c>
      <c r="F407" s="11" t="s">
        <v>94</v>
      </c>
      <c r="G407" s="9" t="s">
        <v>1271</v>
      </c>
      <c r="H407" s="12">
        <v>45107</v>
      </c>
      <c r="I407" s="12" t="s">
        <v>129</v>
      </c>
      <c r="J407" s="91" t="s">
        <v>821</v>
      </c>
      <c r="K407" s="91">
        <v>45145</v>
      </c>
      <c r="L407" s="10" t="s">
        <v>97</v>
      </c>
      <c r="M407" s="10" t="s">
        <v>854</v>
      </c>
      <c r="N407" s="10" t="s">
        <v>822</v>
      </c>
      <c r="O407" s="10"/>
    </row>
    <row r="408" spans="1:15" ht="30" x14ac:dyDescent="0.25">
      <c r="A408" s="9" t="s">
        <v>1270</v>
      </c>
      <c r="B408" s="13">
        <f>VLOOKUP(Table2[[#This Row],[Location 
(drop-down)]],'List source'!D$2:E$59,2,FALSE)</f>
        <v>124</v>
      </c>
      <c r="C408" s="11" t="s">
        <v>716</v>
      </c>
      <c r="D408" s="127" t="str">
        <f t="shared" si="8"/>
        <v>C407-124-23</v>
      </c>
      <c r="E408" s="127" t="str">
        <f>VLOOKUP(Table2[[#This Row],[Location 
(drop-down)]],Table1[#All],3,FALSE)</f>
        <v>USGC</v>
      </c>
      <c r="F408" s="11" t="s">
        <v>94</v>
      </c>
      <c r="G408" s="9" t="s">
        <v>1272</v>
      </c>
      <c r="H408" s="12">
        <v>45107</v>
      </c>
      <c r="I408" s="12" t="s">
        <v>129</v>
      </c>
      <c r="J408" s="91" t="s">
        <v>821</v>
      </c>
      <c r="K408" s="91">
        <v>45145</v>
      </c>
      <c r="L408" s="10" t="s">
        <v>97</v>
      </c>
      <c r="M408" s="10" t="s">
        <v>903</v>
      </c>
      <c r="N408" s="10" t="s">
        <v>881</v>
      </c>
      <c r="O408" s="10"/>
    </row>
    <row r="409" spans="1:15" ht="30" x14ac:dyDescent="0.25">
      <c r="A409" s="9" t="s">
        <v>1270</v>
      </c>
      <c r="B409" s="13">
        <f>VLOOKUP(Table2[[#This Row],[Location 
(drop-down)]],'List source'!D$2:E$59,2,FALSE)</f>
        <v>124</v>
      </c>
      <c r="C409" s="11" t="s">
        <v>717</v>
      </c>
      <c r="D409" s="127" t="str">
        <f t="shared" ref="D409:D472" si="9">"C" &amp; C409 &amp; "-" &amp; B409 &amp; "-" &amp; "23"</f>
        <v>C408-124-23</v>
      </c>
      <c r="E409" s="127" t="str">
        <f>VLOOKUP(Table2[[#This Row],[Location 
(drop-down)]],Table1[#All],3,FALSE)</f>
        <v>USGC</v>
      </c>
      <c r="F409" s="11" t="s">
        <v>94</v>
      </c>
      <c r="G409" s="9" t="s">
        <v>1273</v>
      </c>
      <c r="H409" s="12">
        <v>45107</v>
      </c>
      <c r="I409" s="12" t="s">
        <v>129</v>
      </c>
      <c r="J409" s="91" t="s">
        <v>821</v>
      </c>
      <c r="K409" s="91">
        <v>45145</v>
      </c>
      <c r="L409" s="10" t="s">
        <v>97</v>
      </c>
      <c r="M409" s="10" t="s">
        <v>903</v>
      </c>
      <c r="N409" s="10" t="s">
        <v>858</v>
      </c>
      <c r="O409" s="10"/>
    </row>
    <row r="410" spans="1:15" ht="30" x14ac:dyDescent="0.25">
      <c r="A410" s="9" t="s">
        <v>1270</v>
      </c>
      <c r="B410" s="13">
        <f>VLOOKUP(Table2[[#This Row],[Location 
(drop-down)]],'List source'!D$2:E$59,2,FALSE)</f>
        <v>124</v>
      </c>
      <c r="C410" s="11" t="s">
        <v>718</v>
      </c>
      <c r="D410" s="127" t="str">
        <f t="shared" si="9"/>
        <v>C409-124-23</v>
      </c>
      <c r="E410" s="127" t="str">
        <f>VLOOKUP(Table2[[#This Row],[Location 
(drop-down)]],Table1[#All],3,FALSE)</f>
        <v>USGC</v>
      </c>
      <c r="F410" s="11" t="s">
        <v>94</v>
      </c>
      <c r="G410" s="9" t="s">
        <v>128</v>
      </c>
      <c r="H410" s="12">
        <v>45107</v>
      </c>
      <c r="I410" s="12" t="s">
        <v>129</v>
      </c>
      <c r="J410" s="91" t="s">
        <v>821</v>
      </c>
      <c r="K410" s="91">
        <v>45145</v>
      </c>
      <c r="L410" s="10" t="s">
        <v>97</v>
      </c>
      <c r="M410" s="10" t="s">
        <v>914</v>
      </c>
      <c r="N410" s="10" t="s">
        <v>881</v>
      </c>
      <c r="O410" s="10"/>
    </row>
    <row r="411" spans="1:15" ht="30" x14ac:dyDescent="0.25">
      <c r="A411" s="9" t="s">
        <v>1270</v>
      </c>
      <c r="B411" s="13">
        <f>VLOOKUP(Table2[[#This Row],[Location 
(drop-down)]],'List source'!D$2:E$59,2,FALSE)</f>
        <v>124</v>
      </c>
      <c r="C411" s="11" t="s">
        <v>719</v>
      </c>
      <c r="D411" s="127" t="str">
        <f t="shared" si="9"/>
        <v>C410-124-23</v>
      </c>
      <c r="E411" s="127" t="str">
        <f>VLOOKUP(Table2[[#This Row],[Location 
(drop-down)]],Table1[#All],3,FALSE)</f>
        <v>USGC</v>
      </c>
      <c r="F411" s="11" t="s">
        <v>94</v>
      </c>
      <c r="G411" s="9" t="s">
        <v>1274</v>
      </c>
      <c r="H411" s="12">
        <v>45107</v>
      </c>
      <c r="I411" s="12" t="s">
        <v>129</v>
      </c>
      <c r="J411" s="91" t="s">
        <v>821</v>
      </c>
      <c r="K411" s="91">
        <v>45145</v>
      </c>
      <c r="L411" s="10" t="s">
        <v>97</v>
      </c>
      <c r="M411" s="10" t="s">
        <v>857</v>
      </c>
      <c r="N411" s="10" t="s">
        <v>881</v>
      </c>
      <c r="O411" s="10"/>
    </row>
    <row r="412" spans="1:15" ht="30" x14ac:dyDescent="0.25">
      <c r="A412" s="9" t="s">
        <v>1270</v>
      </c>
      <c r="B412" s="13">
        <f>VLOOKUP(Table2[[#This Row],[Location 
(drop-down)]],'List source'!D$2:E$59,2,FALSE)</f>
        <v>124</v>
      </c>
      <c r="C412" s="11" t="s">
        <v>720</v>
      </c>
      <c r="D412" s="127" t="str">
        <f t="shared" si="9"/>
        <v>C411-124-23</v>
      </c>
      <c r="E412" s="127" t="str">
        <f>VLOOKUP(Table2[[#This Row],[Location 
(drop-down)]],Table1[#All],3,FALSE)</f>
        <v>USGC</v>
      </c>
      <c r="F412" s="11" t="s">
        <v>94</v>
      </c>
      <c r="G412" s="9" t="s">
        <v>1275</v>
      </c>
      <c r="H412" s="12">
        <v>45107</v>
      </c>
      <c r="I412" s="12" t="s">
        <v>129</v>
      </c>
      <c r="J412" s="91" t="s">
        <v>821</v>
      </c>
      <c r="K412" s="91">
        <v>45145</v>
      </c>
      <c r="L412" s="10" t="s">
        <v>147</v>
      </c>
      <c r="M412" s="10" t="s">
        <v>857</v>
      </c>
      <c r="N412" s="10" t="s">
        <v>858</v>
      </c>
      <c r="O412" s="10"/>
    </row>
    <row r="413" spans="1:15" ht="37.5" x14ac:dyDescent="0.25">
      <c r="A413" s="9" t="s">
        <v>75</v>
      </c>
      <c r="B413" s="13">
        <f>VLOOKUP(Table2[[#This Row],[Location 
(drop-down)]],'List source'!D$2:E$59,2,FALSE)</f>
        <v>180</v>
      </c>
      <c r="C413" s="11" t="s">
        <v>721</v>
      </c>
      <c r="D413" s="127" t="str">
        <f t="shared" si="9"/>
        <v>C412-180-23</v>
      </c>
      <c r="E413" s="127" t="str">
        <f>VLOOKUP(Table2[[#This Row],[Location 
(drop-down)]],Table1[#All],3,FALSE)</f>
        <v>SE &amp; Caribbean</v>
      </c>
      <c r="F413" s="11" t="s">
        <v>15</v>
      </c>
      <c r="G413" s="9" t="s">
        <v>1276</v>
      </c>
      <c r="H413" s="12">
        <v>45104</v>
      </c>
      <c r="I413" s="12" t="s">
        <v>17</v>
      </c>
      <c r="J413" s="91" t="s">
        <v>821</v>
      </c>
      <c r="K413" s="91">
        <v>45112</v>
      </c>
      <c r="L413" s="10" t="s">
        <v>15</v>
      </c>
      <c r="M413" s="10" t="s">
        <v>15</v>
      </c>
      <c r="N413" s="10" t="s">
        <v>832</v>
      </c>
      <c r="O413" s="10"/>
    </row>
    <row r="414" spans="1:15" ht="30" x14ac:dyDescent="0.25">
      <c r="A414" s="9" t="s">
        <v>174</v>
      </c>
      <c r="B414" s="13">
        <f>VLOOKUP(Table2[[#This Row],[Location 
(drop-down)]],'List source'!D$2:E$59,2,FALSE)</f>
        <v>131</v>
      </c>
      <c r="C414" s="11" t="s">
        <v>722</v>
      </c>
      <c r="D414" s="127" t="str">
        <f t="shared" si="9"/>
        <v>C413-131-23</v>
      </c>
      <c r="E414" s="127" t="str">
        <f>VLOOKUP(Table2[[#This Row],[Location 
(drop-down)]],Table1[#All],3,FALSE)</f>
        <v>USWC</v>
      </c>
      <c r="F414" s="11" t="s">
        <v>15</v>
      </c>
      <c r="G414" s="9" t="s">
        <v>1277</v>
      </c>
      <c r="H414" s="12">
        <v>45104</v>
      </c>
      <c r="I414" s="12" t="s">
        <v>17</v>
      </c>
      <c r="J414" s="91" t="s">
        <v>821</v>
      </c>
      <c r="K414" s="91">
        <v>45146</v>
      </c>
      <c r="L414" s="10" t="s">
        <v>15</v>
      </c>
      <c r="M414" s="10" t="s">
        <v>15</v>
      </c>
      <c r="N414" s="10" t="s">
        <v>858</v>
      </c>
      <c r="O414" s="10"/>
    </row>
    <row r="415" spans="1:15" ht="37.5" x14ac:dyDescent="0.25">
      <c r="A415" s="9" t="s">
        <v>873</v>
      </c>
      <c r="B415" s="13">
        <f>VLOOKUP(Table2[[#This Row],[Location 
(drop-down)]],'List source'!D$2:E$59,2,FALSE)</f>
        <v>190</v>
      </c>
      <c r="C415" s="11" t="s">
        <v>723</v>
      </c>
      <c r="D415" s="127" t="str">
        <f t="shared" si="9"/>
        <v>C414-190-23</v>
      </c>
      <c r="E415" s="127" t="str">
        <f>VLOOKUP(Table2[[#This Row],[Location 
(drop-down)]],Table1[#All],3,FALSE)</f>
        <v>SE &amp; Caribbean</v>
      </c>
      <c r="F415" s="11" t="s">
        <v>15</v>
      </c>
      <c r="G415" s="9" t="s">
        <v>1278</v>
      </c>
      <c r="H415" s="12">
        <v>45104</v>
      </c>
      <c r="I415" s="12" t="s">
        <v>17</v>
      </c>
      <c r="J415" s="91" t="s">
        <v>821</v>
      </c>
      <c r="K415" s="91">
        <v>45156</v>
      </c>
      <c r="L415" s="10" t="s">
        <v>15</v>
      </c>
      <c r="M415" s="10" t="s">
        <v>15</v>
      </c>
      <c r="N415" s="10"/>
      <c r="O415" s="10"/>
    </row>
    <row r="416" spans="1:15" ht="30" x14ac:dyDescent="0.25">
      <c r="A416" s="9" t="s">
        <v>22</v>
      </c>
      <c r="B416" s="13">
        <f>VLOOKUP(Table2[[#This Row],[Location 
(drop-down)]],'List source'!D$2:E$59,2,FALSE)</f>
        <v>130</v>
      </c>
      <c r="C416" s="11" t="s">
        <v>724</v>
      </c>
      <c r="D416" s="312" t="str">
        <f t="shared" si="9"/>
        <v>C415-130-23</v>
      </c>
      <c r="E416" s="127" t="str">
        <f>VLOOKUP(Table2[[#This Row],[Location 
(drop-down)]],Table1[#All],3,FALSE)</f>
        <v>USWC</v>
      </c>
      <c r="F416" s="11" t="s">
        <v>15</v>
      </c>
      <c r="G416" s="9" t="s">
        <v>1279</v>
      </c>
      <c r="H416" s="12">
        <v>45104</v>
      </c>
      <c r="I416" s="12" t="s">
        <v>17</v>
      </c>
      <c r="J416" s="91" t="s">
        <v>821</v>
      </c>
      <c r="K416" s="305">
        <v>45392</v>
      </c>
      <c r="L416" s="10" t="s">
        <v>15</v>
      </c>
      <c r="M416" s="10" t="s">
        <v>15</v>
      </c>
      <c r="N416" s="10" t="s">
        <v>837</v>
      </c>
      <c r="O416" s="10"/>
    </row>
    <row r="417" spans="1:15" ht="37.5" x14ac:dyDescent="0.25">
      <c r="A417" s="9" t="s">
        <v>168</v>
      </c>
      <c r="B417" s="13">
        <f>VLOOKUP(Table2[[#This Row],[Location 
(drop-down)]],'List source'!D$2:E$59,2,FALSE)</f>
        <v>136</v>
      </c>
      <c r="C417" s="11" t="s">
        <v>725</v>
      </c>
      <c r="D417" s="127" t="str">
        <f t="shared" si="9"/>
        <v>C416-136-23</v>
      </c>
      <c r="E417" s="127" t="str">
        <f>VLOOKUP(Table2[[#This Row],[Location 
(drop-down)]],Table1[#All],3,FALSE)</f>
        <v>SE &amp; Caribbean</v>
      </c>
      <c r="F417" s="11" t="s">
        <v>15</v>
      </c>
      <c r="G417" s="9" t="s">
        <v>1280</v>
      </c>
      <c r="H417" s="12">
        <v>45104</v>
      </c>
      <c r="I417" s="12" t="s">
        <v>17</v>
      </c>
      <c r="J417" s="91" t="s">
        <v>821</v>
      </c>
      <c r="K417" s="91">
        <v>45531</v>
      </c>
      <c r="L417" s="10" t="s">
        <v>15</v>
      </c>
      <c r="M417" s="10" t="s">
        <v>15</v>
      </c>
      <c r="N417" s="10" t="s">
        <v>822</v>
      </c>
      <c r="O417" s="10"/>
    </row>
    <row r="418" spans="1:15" ht="30" x14ac:dyDescent="0.25">
      <c r="A418" s="9" t="s">
        <v>1245</v>
      </c>
      <c r="B418" s="13">
        <f>VLOOKUP(Table2[[#This Row],[Location 
(drop-down)]],'List source'!D$2:E$59,2,FALSE)</f>
        <v>133</v>
      </c>
      <c r="C418" s="11" t="s">
        <v>726</v>
      </c>
      <c r="D418" s="127" t="str">
        <f t="shared" si="9"/>
        <v>C417-133-23</v>
      </c>
      <c r="E418" s="127" t="str">
        <f>VLOOKUP(Table2[[#This Row],[Location 
(drop-down)]],Table1[#All],3,FALSE)</f>
        <v>USWC</v>
      </c>
      <c r="F418" s="11" t="s">
        <v>94</v>
      </c>
      <c r="G418" s="9" t="s">
        <v>1281</v>
      </c>
      <c r="H418" s="12">
        <v>45107</v>
      </c>
      <c r="I418" s="12" t="s">
        <v>129</v>
      </c>
      <c r="J418" s="91">
        <v>45524</v>
      </c>
      <c r="K418" s="91">
        <v>45524</v>
      </c>
      <c r="L418" s="10" t="s">
        <v>147</v>
      </c>
      <c r="M418" s="10"/>
      <c r="N418" s="10"/>
      <c r="O418" s="100">
        <v>45390</v>
      </c>
    </row>
    <row r="419" spans="1:15" ht="30" x14ac:dyDescent="0.25">
      <c r="A419" s="9" t="s">
        <v>1245</v>
      </c>
      <c r="B419" s="13">
        <f>VLOOKUP(Table2[[#This Row],[Location 
(drop-down)]],'List source'!D$2:E$59,2,FALSE)</f>
        <v>133</v>
      </c>
      <c r="C419" s="11" t="s">
        <v>727</v>
      </c>
      <c r="D419" s="127" t="str">
        <f t="shared" si="9"/>
        <v>C418-133-23</v>
      </c>
      <c r="E419" s="127" t="str">
        <f>VLOOKUP(Table2[[#This Row],[Location 
(drop-down)]],Table1[#All],3,FALSE)</f>
        <v>USWC</v>
      </c>
      <c r="F419" s="11" t="s">
        <v>94</v>
      </c>
      <c r="G419" s="9" t="s">
        <v>1006</v>
      </c>
      <c r="H419" s="12">
        <v>45107</v>
      </c>
      <c r="I419" s="12" t="s">
        <v>129</v>
      </c>
      <c r="J419" s="91">
        <v>45524</v>
      </c>
      <c r="K419" s="91">
        <v>45524</v>
      </c>
      <c r="L419" s="10" t="s">
        <v>147</v>
      </c>
      <c r="M419" s="10"/>
      <c r="N419" s="10"/>
      <c r="O419" s="100">
        <v>45390</v>
      </c>
    </row>
    <row r="420" spans="1:15" ht="30" x14ac:dyDescent="0.25">
      <c r="A420" s="9" t="s">
        <v>1245</v>
      </c>
      <c r="B420" s="13">
        <f>VLOOKUP(Table2[[#This Row],[Location 
(drop-down)]],'List source'!D$2:E$59,2,FALSE)</f>
        <v>133</v>
      </c>
      <c r="C420" s="11" t="s">
        <v>728</v>
      </c>
      <c r="D420" s="127" t="str">
        <f t="shared" si="9"/>
        <v>C419-133-23</v>
      </c>
      <c r="E420" s="127" t="str">
        <f>VLOOKUP(Table2[[#This Row],[Location 
(drop-down)]],Table1[#All],3,FALSE)</f>
        <v>USWC</v>
      </c>
      <c r="F420" s="11" t="s">
        <v>94</v>
      </c>
      <c r="G420" s="9" t="s">
        <v>1282</v>
      </c>
      <c r="H420" s="12">
        <v>45107</v>
      </c>
      <c r="I420" s="12" t="s">
        <v>129</v>
      </c>
      <c r="J420" s="91">
        <v>45865</v>
      </c>
      <c r="K420" s="91">
        <v>45846</v>
      </c>
      <c r="L420" s="10" t="s">
        <v>97</v>
      </c>
      <c r="M420" s="10"/>
      <c r="N420" s="10"/>
      <c r="O420" s="100">
        <v>45390</v>
      </c>
    </row>
    <row r="421" spans="1:15" ht="30" x14ac:dyDescent="0.25">
      <c r="A421" s="9" t="s">
        <v>1245</v>
      </c>
      <c r="B421" s="13">
        <f>VLOOKUP(Table2[[#This Row],[Location 
(drop-down)]],'List source'!D$2:E$59,2,FALSE)</f>
        <v>133</v>
      </c>
      <c r="C421" s="11" t="s">
        <v>729</v>
      </c>
      <c r="D421" s="127" t="str">
        <f t="shared" si="9"/>
        <v>C420-133-23</v>
      </c>
      <c r="E421" s="127" t="str">
        <f>VLOOKUP(Table2[[#This Row],[Location 
(drop-down)]],Table1[#All],3,FALSE)</f>
        <v>USWC</v>
      </c>
      <c r="F421" s="11" t="s">
        <v>94</v>
      </c>
      <c r="G421" s="9" t="s">
        <v>1283</v>
      </c>
      <c r="H421" s="12">
        <v>45107</v>
      </c>
      <c r="I421" s="12" t="s">
        <v>129</v>
      </c>
      <c r="J421" s="91">
        <v>45524</v>
      </c>
      <c r="K421" s="91">
        <v>45524</v>
      </c>
      <c r="L421" s="10" t="s">
        <v>97</v>
      </c>
      <c r="M421" s="10"/>
      <c r="N421" s="10"/>
      <c r="O421" s="100">
        <v>45390</v>
      </c>
    </row>
    <row r="422" spans="1:15" ht="30" x14ac:dyDescent="0.25">
      <c r="A422" s="9" t="s">
        <v>1245</v>
      </c>
      <c r="B422" s="13">
        <f>VLOOKUP(Table2[[#This Row],[Location 
(drop-down)]],'List source'!D$2:E$59,2,FALSE)</f>
        <v>133</v>
      </c>
      <c r="C422" s="11" t="s">
        <v>730</v>
      </c>
      <c r="D422" s="127" t="str">
        <f t="shared" si="9"/>
        <v>C421-133-23</v>
      </c>
      <c r="E422" s="127" t="str">
        <f>VLOOKUP(Table2[[#This Row],[Location 
(drop-down)]],Table1[#All],3,FALSE)</f>
        <v>USWC</v>
      </c>
      <c r="F422" s="11" t="s">
        <v>94</v>
      </c>
      <c r="G422" s="9" t="s">
        <v>1284</v>
      </c>
      <c r="H422" s="12">
        <v>45107</v>
      </c>
      <c r="I422" s="12" t="s">
        <v>129</v>
      </c>
      <c r="J422" s="91">
        <v>45436</v>
      </c>
      <c r="K422" s="91">
        <v>45848</v>
      </c>
      <c r="L422" s="10" t="s">
        <v>97</v>
      </c>
      <c r="M422" s="10"/>
      <c r="N422" s="10"/>
      <c r="O422" s="100">
        <v>45390</v>
      </c>
    </row>
    <row r="423" spans="1:15" ht="30" x14ac:dyDescent="0.25">
      <c r="A423" s="9" t="s">
        <v>1245</v>
      </c>
      <c r="B423" s="13">
        <f>VLOOKUP(Table2[[#This Row],[Location 
(drop-down)]],'List source'!D$2:E$59,2,FALSE)</f>
        <v>133</v>
      </c>
      <c r="C423" s="11" t="s">
        <v>731</v>
      </c>
      <c r="D423" s="127" t="str">
        <f t="shared" si="9"/>
        <v>C422-133-23</v>
      </c>
      <c r="E423" s="127" t="str">
        <f>VLOOKUP(Table2[[#This Row],[Location 
(drop-down)]],Table1[#All],3,FALSE)</f>
        <v>USWC</v>
      </c>
      <c r="F423" s="11" t="s">
        <v>94</v>
      </c>
      <c r="G423" s="9" t="s">
        <v>128</v>
      </c>
      <c r="H423" s="12">
        <v>45107</v>
      </c>
      <c r="I423" s="12" t="s">
        <v>129</v>
      </c>
      <c r="J423" s="91">
        <v>45792</v>
      </c>
      <c r="K423" s="91">
        <v>45792</v>
      </c>
      <c r="L423" s="10" t="s">
        <v>97</v>
      </c>
      <c r="M423" s="10"/>
      <c r="N423" s="10"/>
      <c r="O423" s="100">
        <v>45390</v>
      </c>
    </row>
    <row r="424" spans="1:15" ht="30" x14ac:dyDescent="0.25">
      <c r="A424" s="9" t="s">
        <v>1285</v>
      </c>
      <c r="B424" s="13">
        <f>VLOOKUP(Table2[[#This Row],[Location 
(drop-down)]],'List source'!D$2:E$59,2,FALSE)</f>
        <v>129</v>
      </c>
      <c r="C424" s="11" t="s">
        <v>732</v>
      </c>
      <c r="D424" s="127" t="str">
        <f t="shared" si="9"/>
        <v>C423-129-23</v>
      </c>
      <c r="E424" s="127" t="str">
        <f>VLOOKUP(Table2[[#This Row],[Location 
(drop-down)]],Table1[#All],3,FALSE)</f>
        <v>USWC</v>
      </c>
      <c r="F424" s="11" t="s">
        <v>94</v>
      </c>
      <c r="G424" s="9" t="s">
        <v>1006</v>
      </c>
      <c r="H424" s="12">
        <v>45104</v>
      </c>
      <c r="I424" s="12" t="s">
        <v>129</v>
      </c>
      <c r="J424" s="91">
        <v>45929</v>
      </c>
      <c r="K424" s="91">
        <v>45929</v>
      </c>
      <c r="L424" s="10" t="s">
        <v>147</v>
      </c>
      <c r="M424" s="10"/>
      <c r="N424" s="10"/>
      <c r="O424" s="100">
        <v>45390</v>
      </c>
    </row>
    <row r="425" spans="1:15" ht="30" x14ac:dyDescent="0.25">
      <c r="A425" s="9" t="s">
        <v>1285</v>
      </c>
      <c r="B425" s="13">
        <f>VLOOKUP(Table2[[#This Row],[Location 
(drop-down)]],'List source'!D$2:E$59,2,FALSE)</f>
        <v>129</v>
      </c>
      <c r="C425" s="11" t="s">
        <v>733</v>
      </c>
      <c r="D425" s="127" t="str">
        <f t="shared" si="9"/>
        <v>C424-129-23</v>
      </c>
      <c r="E425" s="127" t="str">
        <f>VLOOKUP(Table2[[#This Row],[Location 
(drop-down)]],Table1[#All],3,FALSE)</f>
        <v>USWC</v>
      </c>
      <c r="F425" s="11" t="s">
        <v>94</v>
      </c>
      <c r="G425" s="9" t="s">
        <v>1282</v>
      </c>
      <c r="H425" s="12">
        <v>45104</v>
      </c>
      <c r="I425" s="12" t="s">
        <v>129</v>
      </c>
      <c r="J425" s="91">
        <v>45929</v>
      </c>
      <c r="K425" s="91">
        <v>45929</v>
      </c>
      <c r="L425" s="10" t="s">
        <v>97</v>
      </c>
      <c r="M425" s="10"/>
      <c r="N425" s="10"/>
      <c r="O425" s="100">
        <v>45390</v>
      </c>
    </row>
    <row r="426" spans="1:15" ht="30" x14ac:dyDescent="0.25">
      <c r="A426" s="9" t="s">
        <v>1285</v>
      </c>
      <c r="B426" s="13">
        <f>VLOOKUP(Table2[[#This Row],[Location 
(drop-down)]],'List source'!D$2:E$59,2,FALSE)</f>
        <v>129</v>
      </c>
      <c r="C426" s="11" t="s">
        <v>734</v>
      </c>
      <c r="D426" s="127" t="str">
        <f t="shared" si="9"/>
        <v>C425-129-23</v>
      </c>
      <c r="E426" s="127" t="str">
        <f>VLOOKUP(Table2[[#This Row],[Location 
(drop-down)]],Table1[#All],3,FALSE)</f>
        <v>USWC</v>
      </c>
      <c r="F426" s="11" t="s">
        <v>94</v>
      </c>
      <c r="G426" s="9" t="s">
        <v>1284</v>
      </c>
      <c r="H426" s="12">
        <v>45104</v>
      </c>
      <c r="I426" s="12" t="s">
        <v>129</v>
      </c>
      <c r="J426" s="91">
        <v>45937</v>
      </c>
      <c r="K426" s="91">
        <v>45937</v>
      </c>
      <c r="L426" s="10" t="s">
        <v>97</v>
      </c>
      <c r="M426" s="10"/>
      <c r="N426" s="10"/>
      <c r="O426" s="100">
        <v>45390</v>
      </c>
    </row>
    <row r="427" spans="1:15" ht="30" x14ac:dyDescent="0.25">
      <c r="A427" s="9" t="s">
        <v>1285</v>
      </c>
      <c r="B427" s="13">
        <f>VLOOKUP(Table2[[#This Row],[Location 
(drop-down)]],'List source'!D$2:E$59,2,FALSE)</f>
        <v>129</v>
      </c>
      <c r="C427" s="11" t="s">
        <v>735</v>
      </c>
      <c r="D427" s="127" t="str">
        <f t="shared" si="9"/>
        <v>C426-129-23</v>
      </c>
      <c r="E427" s="127" t="str">
        <f>VLOOKUP(Table2[[#This Row],[Location 
(drop-down)]],Table1[#All],3,FALSE)</f>
        <v>USWC</v>
      </c>
      <c r="F427" s="11" t="s">
        <v>94</v>
      </c>
      <c r="G427" s="9" t="s">
        <v>128</v>
      </c>
      <c r="H427" s="12">
        <v>45104</v>
      </c>
      <c r="I427" s="12" t="s">
        <v>129</v>
      </c>
      <c r="J427" s="91">
        <v>45929</v>
      </c>
      <c r="K427" s="91">
        <v>45929</v>
      </c>
      <c r="L427" s="10" t="s">
        <v>97</v>
      </c>
      <c r="M427" s="10"/>
      <c r="N427" s="10"/>
      <c r="O427" s="100">
        <v>45390</v>
      </c>
    </row>
    <row r="428" spans="1:15" ht="37.5" x14ac:dyDescent="0.25">
      <c r="A428" s="9" t="s">
        <v>131</v>
      </c>
      <c r="B428" s="13" t="str">
        <f>VLOOKUP(Table2[[#This Row],[Location 
(drop-down)]],'List source'!D$2:E$59,2,FALSE)</f>
        <v>VOID</v>
      </c>
      <c r="C428" s="11" t="s">
        <v>736</v>
      </c>
      <c r="D428" s="127" t="str">
        <f t="shared" si="9"/>
        <v>C427-VOID-23</v>
      </c>
      <c r="E428" s="127" t="str">
        <f>VLOOKUP(Table2[[#This Row],[Location 
(drop-down)]],Table1[#All],3,FALSE)</f>
        <v>VOID</v>
      </c>
      <c r="F428" s="11" t="s">
        <v>50</v>
      </c>
      <c r="G428" s="9" t="s">
        <v>1286</v>
      </c>
      <c r="H428" s="12" t="s">
        <v>50</v>
      </c>
      <c r="I428" s="12" t="s">
        <v>50</v>
      </c>
      <c r="J428" s="91" t="s">
        <v>50</v>
      </c>
      <c r="K428" s="91" t="s">
        <v>50</v>
      </c>
      <c r="L428" s="10" t="s">
        <v>50</v>
      </c>
      <c r="M428" s="10" t="s">
        <v>50</v>
      </c>
      <c r="N428" s="10" t="s">
        <v>50</v>
      </c>
      <c r="O428" s="10"/>
    </row>
    <row r="429" spans="1:15" ht="30" x14ac:dyDescent="0.25">
      <c r="A429" s="9" t="s">
        <v>37</v>
      </c>
      <c r="B429" s="13">
        <f>VLOOKUP(Table2[[#This Row],[Location 
(drop-down)]],'List source'!D$2:E$59,2,FALSE)</f>
        <v>158</v>
      </c>
      <c r="C429" s="11" t="s">
        <v>737</v>
      </c>
      <c r="D429" s="127" t="str">
        <f t="shared" si="9"/>
        <v>C428-158-23</v>
      </c>
      <c r="E429" s="127" t="str">
        <f>VLOOKUP(Table2[[#This Row],[Location 
(drop-down)]],Table1[#All],3,FALSE)</f>
        <v>USGC</v>
      </c>
      <c r="F429" s="11" t="s">
        <v>935</v>
      </c>
      <c r="G429" s="9" t="s">
        <v>1287</v>
      </c>
      <c r="H429" s="12">
        <v>45105</v>
      </c>
      <c r="I429" s="12" t="s">
        <v>443</v>
      </c>
      <c r="J429" s="91" t="s">
        <v>821</v>
      </c>
      <c r="K429" s="91">
        <v>45107</v>
      </c>
      <c r="L429" s="10" t="s">
        <v>97</v>
      </c>
      <c r="M429" s="10"/>
      <c r="N429" s="10"/>
      <c r="O429" s="10"/>
    </row>
    <row r="430" spans="1:15" ht="30" x14ac:dyDescent="0.25">
      <c r="A430" s="9" t="s">
        <v>37</v>
      </c>
      <c r="B430" s="13">
        <f>VLOOKUP(Table2[[#This Row],[Location 
(drop-down)]],'List source'!D$2:E$59,2,FALSE)</f>
        <v>158</v>
      </c>
      <c r="C430" s="11" t="s">
        <v>738</v>
      </c>
      <c r="D430" s="127" t="str">
        <f t="shared" si="9"/>
        <v>C429-158-23</v>
      </c>
      <c r="E430" s="127" t="str">
        <f>VLOOKUP(Table2[[#This Row],[Location 
(drop-down)]],Table1[#All],3,FALSE)</f>
        <v>USGC</v>
      </c>
      <c r="F430" s="11" t="s">
        <v>935</v>
      </c>
      <c r="G430" s="9" t="s">
        <v>896</v>
      </c>
      <c r="H430" s="12">
        <v>45105</v>
      </c>
      <c r="I430" s="12" t="s">
        <v>443</v>
      </c>
      <c r="J430" s="91" t="s">
        <v>821</v>
      </c>
      <c r="K430" s="91">
        <v>45107</v>
      </c>
      <c r="L430" s="10" t="s">
        <v>97</v>
      </c>
      <c r="M430" s="10"/>
      <c r="N430" s="10"/>
      <c r="O430" s="10"/>
    </row>
    <row r="431" spans="1:15" ht="30" x14ac:dyDescent="0.25">
      <c r="A431" s="9" t="s">
        <v>57</v>
      </c>
      <c r="B431" s="13">
        <f>VLOOKUP(Table2[[#This Row],[Location 
(drop-down)]],'List source'!D$2:E$59,2,FALSE)</f>
        <v>155</v>
      </c>
      <c r="C431" s="11" t="s">
        <v>739</v>
      </c>
      <c r="D431" s="127" t="str">
        <f t="shared" si="9"/>
        <v>C430-155-23</v>
      </c>
      <c r="E431" s="127" t="str">
        <f>VLOOKUP(Table2[[#This Row],[Location 
(drop-down)]],Table1[#All],3,FALSE)</f>
        <v>USGC</v>
      </c>
      <c r="F431" s="11" t="s">
        <v>852</v>
      </c>
      <c r="G431" s="116" t="s">
        <v>1288</v>
      </c>
      <c r="H431" s="12">
        <v>45105</v>
      </c>
      <c r="I431" s="12" t="s">
        <v>129</v>
      </c>
      <c r="J431" s="91" t="s">
        <v>821</v>
      </c>
      <c r="K431" s="91">
        <v>45139</v>
      </c>
      <c r="L431" s="10" t="s">
        <v>97</v>
      </c>
      <c r="M431" s="10" t="s">
        <v>854</v>
      </c>
      <c r="N431" s="10" t="s">
        <v>822</v>
      </c>
      <c r="O431" s="10"/>
    </row>
    <row r="432" spans="1:15" ht="37.5" x14ac:dyDescent="0.25">
      <c r="A432" s="9" t="s">
        <v>1289</v>
      </c>
      <c r="B432" s="13">
        <f>VLOOKUP(Table2[[#This Row],[Location 
(drop-down)]],'List source'!D$2:E$59,2,FALSE)</f>
        <v>194</v>
      </c>
      <c r="C432" s="11" t="s">
        <v>740</v>
      </c>
      <c r="D432" s="127" t="str">
        <f t="shared" si="9"/>
        <v>C431-194-23</v>
      </c>
      <c r="E432" s="127" t="str">
        <f>VLOOKUP(Table2[[#This Row],[Location 
(drop-down)]],Table1[#All],3,FALSE)</f>
        <v>USNE, USMW &amp; Canada</v>
      </c>
      <c r="F432" s="11" t="s">
        <v>94</v>
      </c>
      <c r="G432" s="9" t="s">
        <v>1290</v>
      </c>
      <c r="H432" s="12">
        <v>45107</v>
      </c>
      <c r="I432" s="12" t="s">
        <v>435</v>
      </c>
      <c r="J432" s="91" t="s">
        <v>821</v>
      </c>
      <c r="K432" s="91">
        <v>45180</v>
      </c>
      <c r="L432" s="10" t="s">
        <v>147</v>
      </c>
      <c r="M432" s="10" t="s">
        <v>903</v>
      </c>
      <c r="N432" s="10" t="s">
        <v>858</v>
      </c>
      <c r="O432" s="10"/>
    </row>
    <row r="433" spans="1:15" ht="37.5" x14ac:dyDescent="0.25">
      <c r="A433" s="9" t="s">
        <v>1289</v>
      </c>
      <c r="B433" s="13">
        <f>VLOOKUP(Table2[[#This Row],[Location 
(drop-down)]],'List source'!D$2:E$59,2,FALSE)</f>
        <v>194</v>
      </c>
      <c r="C433" s="11" t="s">
        <v>741</v>
      </c>
      <c r="D433" s="127" t="str">
        <f t="shared" si="9"/>
        <v>C432-194-23</v>
      </c>
      <c r="E433" s="127" t="str">
        <f>VLOOKUP(Table2[[#This Row],[Location 
(drop-down)]],Table1[#All],3,FALSE)</f>
        <v>USNE, USMW &amp; Canada</v>
      </c>
      <c r="F433" s="11" t="s">
        <v>94</v>
      </c>
      <c r="G433" s="9" t="s">
        <v>1291</v>
      </c>
      <c r="H433" s="12">
        <v>45107</v>
      </c>
      <c r="I433" s="12" t="s">
        <v>435</v>
      </c>
      <c r="J433" s="91" t="s">
        <v>821</v>
      </c>
      <c r="K433" s="91">
        <v>45281</v>
      </c>
      <c r="L433" s="10" t="s">
        <v>147</v>
      </c>
      <c r="M433" s="10" t="s">
        <v>857</v>
      </c>
      <c r="N433" s="10" t="s">
        <v>822</v>
      </c>
      <c r="O433" s="10"/>
    </row>
    <row r="434" spans="1:15" ht="37.5" x14ac:dyDescent="0.25">
      <c r="A434" s="9" t="s">
        <v>1289</v>
      </c>
      <c r="B434" s="13">
        <f>VLOOKUP(Table2[[#This Row],[Location 
(drop-down)]],'List source'!D$2:E$59,2,FALSE)</f>
        <v>194</v>
      </c>
      <c r="C434" s="11" t="s">
        <v>742</v>
      </c>
      <c r="D434" s="127" t="str">
        <f t="shared" si="9"/>
        <v>C433-194-23</v>
      </c>
      <c r="E434" s="127" t="str">
        <f>VLOOKUP(Table2[[#This Row],[Location 
(drop-down)]],Table1[#All],3,FALSE)</f>
        <v>USNE, USMW &amp; Canada</v>
      </c>
      <c r="F434" s="11" t="s">
        <v>94</v>
      </c>
      <c r="G434" s="9" t="s">
        <v>1292</v>
      </c>
      <c r="H434" s="12">
        <v>45107</v>
      </c>
      <c r="I434" s="12" t="s">
        <v>435</v>
      </c>
      <c r="J434" s="91" t="s">
        <v>821</v>
      </c>
      <c r="K434" s="91">
        <v>45155</v>
      </c>
      <c r="L434" s="10" t="s">
        <v>97</v>
      </c>
      <c r="M434" s="10" t="s">
        <v>862</v>
      </c>
      <c r="N434" s="10" t="s">
        <v>822</v>
      </c>
      <c r="O434" s="10"/>
    </row>
    <row r="435" spans="1:15" ht="37.5" x14ac:dyDescent="0.25">
      <c r="A435" s="9" t="s">
        <v>1289</v>
      </c>
      <c r="B435" s="13">
        <f>VLOOKUP(Table2[[#This Row],[Location 
(drop-down)]],'List source'!D$2:E$59,2,FALSE)</f>
        <v>194</v>
      </c>
      <c r="C435" s="11" t="s">
        <v>743</v>
      </c>
      <c r="D435" s="127" t="str">
        <f t="shared" si="9"/>
        <v>C434-194-23</v>
      </c>
      <c r="E435" s="127" t="str">
        <f>VLOOKUP(Table2[[#This Row],[Location 
(drop-down)]],Table1[#All],3,FALSE)</f>
        <v>USNE, USMW &amp; Canada</v>
      </c>
      <c r="F435" s="11" t="s">
        <v>94</v>
      </c>
      <c r="G435" s="9" t="s">
        <v>1293</v>
      </c>
      <c r="H435" s="12">
        <v>45107</v>
      </c>
      <c r="I435" s="12" t="s">
        <v>435</v>
      </c>
      <c r="J435" s="91" t="s">
        <v>821</v>
      </c>
      <c r="K435" s="91">
        <v>45180</v>
      </c>
      <c r="L435" s="10" t="s">
        <v>97</v>
      </c>
      <c r="M435" s="10" t="s">
        <v>903</v>
      </c>
      <c r="N435" s="10" t="s">
        <v>822</v>
      </c>
      <c r="O435" s="10"/>
    </row>
    <row r="436" spans="1:15" ht="37.5" x14ac:dyDescent="0.25">
      <c r="A436" s="9" t="s">
        <v>1289</v>
      </c>
      <c r="B436" s="13">
        <f>VLOOKUP(Table2[[#This Row],[Location 
(drop-down)]],'List source'!D$2:E$59,2,FALSE)</f>
        <v>194</v>
      </c>
      <c r="C436" s="11" t="s">
        <v>744</v>
      </c>
      <c r="D436" s="127" t="str">
        <f t="shared" si="9"/>
        <v>C435-194-23</v>
      </c>
      <c r="E436" s="127" t="str">
        <f>VLOOKUP(Table2[[#This Row],[Location 
(drop-down)]],Table1[#All],3,FALSE)</f>
        <v>USNE, USMW &amp; Canada</v>
      </c>
      <c r="F436" s="11" t="s">
        <v>94</v>
      </c>
      <c r="G436" s="9" t="s">
        <v>1294</v>
      </c>
      <c r="H436" s="12">
        <v>45107</v>
      </c>
      <c r="I436" s="12" t="s">
        <v>435</v>
      </c>
      <c r="J436" s="91" t="s">
        <v>821</v>
      </c>
      <c r="K436" s="91">
        <v>45259</v>
      </c>
      <c r="L436" s="10" t="s">
        <v>97</v>
      </c>
      <c r="M436" s="10"/>
      <c r="N436" s="10"/>
      <c r="O436" s="10"/>
    </row>
    <row r="437" spans="1:15" ht="37.5" x14ac:dyDescent="0.25">
      <c r="A437" s="9" t="s">
        <v>1289</v>
      </c>
      <c r="B437" s="13">
        <f>VLOOKUP(Table2[[#This Row],[Location 
(drop-down)]],'List source'!D$2:E$59,2,FALSE)</f>
        <v>194</v>
      </c>
      <c r="C437" s="11" t="s">
        <v>745</v>
      </c>
      <c r="D437" s="127" t="str">
        <f t="shared" si="9"/>
        <v>C436-194-23</v>
      </c>
      <c r="E437" s="127" t="str">
        <f>VLOOKUP(Table2[[#This Row],[Location 
(drop-down)]],Table1[#All],3,FALSE)</f>
        <v>USNE, USMW &amp; Canada</v>
      </c>
      <c r="F437" s="11" t="s">
        <v>94</v>
      </c>
      <c r="G437" s="9" t="s">
        <v>1295</v>
      </c>
      <c r="H437" s="12">
        <v>45107</v>
      </c>
      <c r="I437" s="12" t="s">
        <v>435</v>
      </c>
      <c r="J437" s="91" t="s">
        <v>821</v>
      </c>
      <c r="K437" s="91">
        <v>45155</v>
      </c>
      <c r="L437" s="10" t="s">
        <v>97</v>
      </c>
      <c r="M437" s="10" t="s">
        <v>857</v>
      </c>
      <c r="N437" s="10" t="s">
        <v>822</v>
      </c>
      <c r="O437" s="10"/>
    </row>
    <row r="438" spans="1:15" ht="37.5" x14ac:dyDescent="0.25">
      <c r="A438" s="9" t="s">
        <v>1289</v>
      </c>
      <c r="B438" s="13">
        <f>VLOOKUP(Table2[[#This Row],[Location 
(drop-down)]],'List source'!D$2:E$59,2,FALSE)</f>
        <v>194</v>
      </c>
      <c r="C438" s="11" t="s">
        <v>746</v>
      </c>
      <c r="D438" s="127" t="str">
        <f t="shared" si="9"/>
        <v>C437-194-23</v>
      </c>
      <c r="E438" s="127" t="str">
        <f>VLOOKUP(Table2[[#This Row],[Location 
(drop-down)]],Table1[#All],3,FALSE)</f>
        <v>USNE, USMW &amp; Canada</v>
      </c>
      <c r="F438" s="11" t="s">
        <v>94</v>
      </c>
      <c r="G438" s="9" t="s">
        <v>1296</v>
      </c>
      <c r="H438" s="12">
        <v>45107</v>
      </c>
      <c r="I438" s="12" t="s">
        <v>435</v>
      </c>
      <c r="J438" s="91" t="s">
        <v>821</v>
      </c>
      <c r="K438" s="91">
        <v>45223</v>
      </c>
      <c r="L438" s="10" t="s">
        <v>97</v>
      </c>
      <c r="M438" s="10" t="s">
        <v>914</v>
      </c>
      <c r="N438" s="10" t="s">
        <v>858</v>
      </c>
      <c r="O438" s="32"/>
    </row>
    <row r="439" spans="1:15" ht="37.5" x14ac:dyDescent="0.25">
      <c r="A439" s="9" t="s">
        <v>1289</v>
      </c>
      <c r="B439" s="13">
        <f>VLOOKUP(Table2[[#This Row],[Location 
(drop-down)]],'List source'!D$2:E$59,2,FALSE)</f>
        <v>194</v>
      </c>
      <c r="C439" s="11" t="s">
        <v>747</v>
      </c>
      <c r="D439" s="127" t="str">
        <f t="shared" si="9"/>
        <v>C438-194-23</v>
      </c>
      <c r="E439" s="127" t="str">
        <f>VLOOKUP(Table2[[#This Row],[Location 
(drop-down)]],Table1[#All],3,FALSE)</f>
        <v>USNE, USMW &amp; Canada</v>
      </c>
      <c r="F439" s="11" t="s">
        <v>94</v>
      </c>
      <c r="G439" s="9" t="s">
        <v>1297</v>
      </c>
      <c r="H439" s="12">
        <v>45107</v>
      </c>
      <c r="I439" s="12" t="s">
        <v>435</v>
      </c>
      <c r="J439" s="91" t="s">
        <v>821</v>
      </c>
      <c r="K439" s="91">
        <v>45133</v>
      </c>
      <c r="L439" s="10" t="s">
        <v>97</v>
      </c>
      <c r="M439" s="10" t="s">
        <v>854</v>
      </c>
      <c r="N439" s="10" t="s">
        <v>881</v>
      </c>
      <c r="O439" s="32"/>
    </row>
    <row r="440" spans="1:15" ht="37.5" x14ac:dyDescent="0.25">
      <c r="A440" s="9" t="s">
        <v>1289</v>
      </c>
      <c r="B440" s="13">
        <f>VLOOKUP(Table2[[#This Row],[Location 
(drop-down)]],'List source'!D$2:E$59,2,FALSE)</f>
        <v>194</v>
      </c>
      <c r="C440" s="11" t="s">
        <v>748</v>
      </c>
      <c r="D440" s="127" t="str">
        <f t="shared" si="9"/>
        <v>C439-194-23</v>
      </c>
      <c r="E440" s="127" t="str">
        <f>VLOOKUP(Table2[[#This Row],[Location 
(drop-down)]],Table1[#All],3,FALSE)</f>
        <v>USNE, USMW &amp; Canada</v>
      </c>
      <c r="F440" s="11" t="s">
        <v>94</v>
      </c>
      <c r="G440" s="9" t="s">
        <v>1298</v>
      </c>
      <c r="H440" s="12">
        <v>45107</v>
      </c>
      <c r="I440" s="12" t="s">
        <v>435</v>
      </c>
      <c r="J440" s="91" t="s">
        <v>821</v>
      </c>
      <c r="K440" s="91">
        <v>45133</v>
      </c>
      <c r="L440" s="10" t="s">
        <v>97</v>
      </c>
      <c r="M440" s="10" t="s">
        <v>857</v>
      </c>
      <c r="N440" s="10" t="s">
        <v>822</v>
      </c>
      <c r="O440" s="10"/>
    </row>
    <row r="441" spans="1:15" ht="37.5" x14ac:dyDescent="0.25">
      <c r="A441" s="9" t="s">
        <v>72</v>
      </c>
      <c r="B441" s="13">
        <f>VLOOKUP(Table2[[#This Row],[Location 
(drop-down)]],'List source'!D$2:E$59,2,FALSE)</f>
        <v>197</v>
      </c>
      <c r="C441" s="11" t="s">
        <v>749</v>
      </c>
      <c r="D441" s="127" t="str">
        <f t="shared" si="9"/>
        <v>C440-197-23</v>
      </c>
      <c r="E441" s="127" t="str">
        <f>VLOOKUP(Table2[[#This Row],[Location 
(drop-down)]],Table1[#All],3,FALSE)</f>
        <v>USNE, USMW &amp; Canada</v>
      </c>
      <c r="F441" s="11" t="s">
        <v>159</v>
      </c>
      <c r="G441" s="9" t="s">
        <v>1299</v>
      </c>
      <c r="H441" s="12">
        <v>45114</v>
      </c>
      <c r="I441" s="12" t="s">
        <v>435</v>
      </c>
      <c r="J441" s="91" t="s">
        <v>821</v>
      </c>
      <c r="K441" s="91">
        <v>45121</v>
      </c>
      <c r="L441" s="10" t="s">
        <v>147</v>
      </c>
      <c r="M441" s="10"/>
      <c r="N441" s="10"/>
      <c r="O441" s="10"/>
    </row>
    <row r="442" spans="1:15" ht="37.5" x14ac:dyDescent="0.25">
      <c r="A442" s="9" t="s">
        <v>72</v>
      </c>
      <c r="B442" s="13">
        <f>VLOOKUP(Table2[[#This Row],[Location 
(drop-down)]],'List source'!D$2:E$59,2,FALSE)</f>
        <v>197</v>
      </c>
      <c r="C442" s="11" t="s">
        <v>750</v>
      </c>
      <c r="D442" s="127" t="str">
        <f t="shared" si="9"/>
        <v>C441-197-23</v>
      </c>
      <c r="E442" s="127" t="str">
        <f>VLOOKUP(Table2[[#This Row],[Location 
(drop-down)]],Table1[#All],3,FALSE)</f>
        <v>USNE, USMW &amp; Canada</v>
      </c>
      <c r="F442" s="11" t="s">
        <v>159</v>
      </c>
      <c r="G442" s="9" t="s">
        <v>1300</v>
      </c>
      <c r="H442" s="12">
        <v>45114</v>
      </c>
      <c r="I442" s="12" t="s">
        <v>435</v>
      </c>
      <c r="J442" s="91" t="s">
        <v>821</v>
      </c>
      <c r="K442" s="91">
        <v>45121</v>
      </c>
      <c r="L442" s="10" t="s">
        <v>97</v>
      </c>
      <c r="M442" s="10"/>
      <c r="N442" s="10"/>
      <c r="O442" s="10"/>
    </row>
    <row r="443" spans="1:15" ht="37.5" x14ac:dyDescent="0.25">
      <c r="A443" s="9" t="s">
        <v>72</v>
      </c>
      <c r="B443" s="13">
        <f>VLOOKUP(Table2[[#This Row],[Location 
(drop-down)]],'List source'!D$2:E$59,2,FALSE)</f>
        <v>197</v>
      </c>
      <c r="C443" s="11" t="s">
        <v>751</v>
      </c>
      <c r="D443" s="127" t="str">
        <f t="shared" si="9"/>
        <v>C442-197-23</v>
      </c>
      <c r="E443" s="127" t="str">
        <f>VLOOKUP(Table2[[#This Row],[Location 
(drop-down)]],Table1[#All],3,FALSE)</f>
        <v>USNE, USMW &amp; Canada</v>
      </c>
      <c r="F443" s="11" t="s">
        <v>159</v>
      </c>
      <c r="G443" s="9" t="s">
        <v>1301</v>
      </c>
      <c r="H443" s="12">
        <v>45114</v>
      </c>
      <c r="I443" s="12" t="s">
        <v>435</v>
      </c>
      <c r="J443" s="91" t="s">
        <v>821</v>
      </c>
      <c r="K443" s="91">
        <v>45121</v>
      </c>
      <c r="L443" s="10" t="s">
        <v>97</v>
      </c>
      <c r="M443" s="10"/>
      <c r="N443" s="10"/>
      <c r="O443" s="10"/>
    </row>
    <row r="444" spans="1:15" ht="45" x14ac:dyDescent="0.25">
      <c r="A444" s="9" t="s">
        <v>953</v>
      </c>
      <c r="B444" s="13">
        <f>VLOOKUP(Table2[[#This Row],[Location 
(drop-down)]],'List source'!D$2:E$59,2,FALSE)</f>
        <v>121</v>
      </c>
      <c r="C444" s="11" t="s">
        <v>752</v>
      </c>
      <c r="D444" s="127" t="str">
        <f t="shared" si="9"/>
        <v>C443-121-23</v>
      </c>
      <c r="E444" s="127" t="str">
        <f>VLOOKUP(Table2[[#This Row],[Location 
(drop-down)]],Table1[#All],3,FALSE)</f>
        <v>USGC</v>
      </c>
      <c r="F444" s="11" t="s">
        <v>852</v>
      </c>
      <c r="G444" s="9" t="s">
        <v>1302</v>
      </c>
      <c r="H444" s="12">
        <v>45114</v>
      </c>
      <c r="I444" s="12" t="s">
        <v>129</v>
      </c>
      <c r="J444" s="91" t="s">
        <v>821</v>
      </c>
      <c r="K444" s="91">
        <v>45121</v>
      </c>
      <c r="L444" s="10" t="s">
        <v>97</v>
      </c>
      <c r="M444" s="10" t="s">
        <v>857</v>
      </c>
      <c r="N444" s="10" t="s">
        <v>858</v>
      </c>
      <c r="O444" s="10" t="s">
        <v>1303</v>
      </c>
    </row>
    <row r="445" spans="1:15" ht="37.5" x14ac:dyDescent="0.25">
      <c r="A445" s="9" t="s">
        <v>75</v>
      </c>
      <c r="B445" s="13">
        <f>VLOOKUP(Table2[[#This Row],[Location 
(drop-down)]],'List source'!D$2:E$59,2,FALSE)</f>
        <v>180</v>
      </c>
      <c r="C445" s="11" t="s">
        <v>753</v>
      </c>
      <c r="D445" s="127" t="str">
        <f t="shared" si="9"/>
        <v>C444-180-23</v>
      </c>
      <c r="E445" s="127" t="str">
        <f>VLOOKUP(Table2[[#This Row],[Location 
(drop-down)]],Table1[#All],3,FALSE)</f>
        <v>SE &amp; Caribbean</v>
      </c>
      <c r="F445" s="11" t="s">
        <v>94</v>
      </c>
      <c r="G445" s="9" t="s">
        <v>1304</v>
      </c>
      <c r="H445" s="12">
        <v>45118</v>
      </c>
      <c r="I445" s="12" t="s">
        <v>440</v>
      </c>
      <c r="J445" s="91" t="s">
        <v>821</v>
      </c>
      <c r="K445" s="91">
        <v>45169</v>
      </c>
      <c r="L445" s="10" t="s">
        <v>97</v>
      </c>
      <c r="M445" s="10" t="s">
        <v>857</v>
      </c>
      <c r="N445" s="10" t="s">
        <v>858</v>
      </c>
      <c r="O445" s="10"/>
    </row>
    <row r="446" spans="1:15" ht="37.5" x14ac:dyDescent="0.25">
      <c r="A446" s="9" t="s">
        <v>75</v>
      </c>
      <c r="B446" s="13">
        <f>VLOOKUP(Table2[[#This Row],[Location 
(drop-down)]],'List source'!D$2:E$59,2,FALSE)</f>
        <v>180</v>
      </c>
      <c r="C446" s="11" t="s">
        <v>754</v>
      </c>
      <c r="D446" s="127" t="str">
        <f t="shared" si="9"/>
        <v>C445-180-23</v>
      </c>
      <c r="E446" s="127" t="str">
        <f>VLOOKUP(Table2[[#This Row],[Location 
(drop-down)]],Table1[#All],3,FALSE)</f>
        <v>SE &amp; Caribbean</v>
      </c>
      <c r="F446" s="11" t="s">
        <v>94</v>
      </c>
      <c r="G446" s="9" t="s">
        <v>1304</v>
      </c>
      <c r="H446" s="12">
        <v>45118</v>
      </c>
      <c r="I446" s="12" t="s">
        <v>440</v>
      </c>
      <c r="J446" s="91" t="s">
        <v>821</v>
      </c>
      <c r="K446" s="91">
        <v>45232</v>
      </c>
      <c r="L446" s="10" t="s">
        <v>97</v>
      </c>
      <c r="M446" s="10" t="s">
        <v>857</v>
      </c>
      <c r="N446" s="10"/>
      <c r="O446" s="10"/>
    </row>
    <row r="447" spans="1:15" ht="37.5" x14ac:dyDescent="0.25">
      <c r="A447" s="9" t="s">
        <v>378</v>
      </c>
      <c r="B447" s="13">
        <f>VLOOKUP(Table2[[#This Row],[Location 
(drop-down)]],'List source'!D$2:E$59,2,FALSE)</f>
        <v>116</v>
      </c>
      <c r="C447" s="11" t="s">
        <v>755</v>
      </c>
      <c r="D447" s="127" t="str">
        <f t="shared" si="9"/>
        <v>C446-116-23</v>
      </c>
      <c r="E447" s="127" t="str">
        <f>VLOOKUP(Table2[[#This Row],[Location 
(drop-down)]],Table1[#All],3,FALSE)</f>
        <v>SE &amp; Caribbean</v>
      </c>
      <c r="F447" s="11" t="s">
        <v>94</v>
      </c>
      <c r="G447" s="9" t="s">
        <v>1305</v>
      </c>
      <c r="H447" s="12">
        <v>45121</v>
      </c>
      <c r="I447" s="12" t="s">
        <v>129</v>
      </c>
      <c r="J447" s="91" t="s">
        <v>821</v>
      </c>
      <c r="K447" s="91">
        <v>45145</v>
      </c>
      <c r="L447" s="10" t="s">
        <v>913</v>
      </c>
      <c r="M447" s="10" t="s">
        <v>857</v>
      </c>
      <c r="N447" s="10" t="s">
        <v>822</v>
      </c>
      <c r="O447" s="10"/>
    </row>
    <row r="448" spans="1:15" ht="45" x14ac:dyDescent="0.25">
      <c r="A448" s="9" t="s">
        <v>378</v>
      </c>
      <c r="B448" s="13">
        <f>VLOOKUP(Table2[[#This Row],[Location 
(drop-down)]],'List source'!D$2:E$59,2,FALSE)</f>
        <v>116</v>
      </c>
      <c r="C448" s="11" t="s">
        <v>756</v>
      </c>
      <c r="D448" s="127" t="str">
        <f t="shared" si="9"/>
        <v>C447-116-23</v>
      </c>
      <c r="E448" s="127" t="str">
        <f>VLOOKUP(Table2[[#This Row],[Location 
(drop-down)]],Table1[#All],3,FALSE)</f>
        <v>SE &amp; Caribbean</v>
      </c>
      <c r="F448" s="11" t="s">
        <v>94</v>
      </c>
      <c r="G448" s="9" t="s">
        <v>1306</v>
      </c>
      <c r="H448" s="195">
        <v>45121</v>
      </c>
      <c r="I448" s="12" t="s">
        <v>129</v>
      </c>
      <c r="J448" s="91" t="s">
        <v>821</v>
      </c>
      <c r="K448" s="91">
        <v>45145</v>
      </c>
      <c r="L448" s="10" t="s">
        <v>97</v>
      </c>
      <c r="M448" s="10" t="s">
        <v>914</v>
      </c>
      <c r="N448" s="10" t="s">
        <v>910</v>
      </c>
      <c r="O448" s="10"/>
    </row>
    <row r="449" spans="1:15" ht="45" x14ac:dyDescent="0.25">
      <c r="A449" s="9" t="s">
        <v>378</v>
      </c>
      <c r="B449" s="13">
        <f>VLOOKUP(Table2[[#This Row],[Location 
(drop-down)]],'List source'!D$2:E$59,2,FALSE)</f>
        <v>116</v>
      </c>
      <c r="C449" s="11" t="s">
        <v>757</v>
      </c>
      <c r="D449" s="127" t="str">
        <f t="shared" si="9"/>
        <v>C448-116-23</v>
      </c>
      <c r="E449" s="127" t="str">
        <f>VLOOKUP(Table2[[#This Row],[Location 
(drop-down)]],Table1[#All],3,FALSE)</f>
        <v>SE &amp; Caribbean</v>
      </c>
      <c r="F449" s="11" t="s">
        <v>94</v>
      </c>
      <c r="G449" s="9" t="s">
        <v>1307</v>
      </c>
      <c r="H449" s="195">
        <v>45121</v>
      </c>
      <c r="I449" s="12" t="s">
        <v>129</v>
      </c>
      <c r="J449" s="91" t="s">
        <v>821</v>
      </c>
      <c r="K449" s="12">
        <v>45220</v>
      </c>
      <c r="L449" s="12" t="s">
        <v>97</v>
      </c>
      <c r="M449" s="10" t="s">
        <v>857</v>
      </c>
      <c r="N449" s="10" t="s">
        <v>858</v>
      </c>
      <c r="O449" s="12"/>
    </row>
    <row r="450" spans="1:15" ht="37.5" x14ac:dyDescent="0.25">
      <c r="A450" s="9" t="s">
        <v>378</v>
      </c>
      <c r="B450" s="13">
        <f>VLOOKUP(Table2[[#This Row],[Location 
(drop-down)]],'List source'!D$2:E$59,2,FALSE)</f>
        <v>116</v>
      </c>
      <c r="C450" s="11" t="s">
        <v>758</v>
      </c>
      <c r="D450" s="127" t="str">
        <f t="shared" si="9"/>
        <v>C449-116-23</v>
      </c>
      <c r="E450" s="127" t="str">
        <f>VLOOKUP(Table2[[#This Row],[Location 
(drop-down)]],Table1[#All],3,FALSE)</f>
        <v>SE &amp; Caribbean</v>
      </c>
      <c r="F450" s="11" t="s">
        <v>94</v>
      </c>
      <c r="G450" s="9" t="s">
        <v>1308</v>
      </c>
      <c r="H450" s="195">
        <v>45121</v>
      </c>
      <c r="I450" s="12" t="s">
        <v>129</v>
      </c>
      <c r="J450" s="91" t="s">
        <v>821</v>
      </c>
      <c r="K450" s="91">
        <v>45202</v>
      </c>
      <c r="L450" s="10" t="s">
        <v>147</v>
      </c>
      <c r="M450" s="10" t="s">
        <v>857</v>
      </c>
      <c r="N450" s="10" t="s">
        <v>858</v>
      </c>
      <c r="O450" s="10"/>
    </row>
    <row r="451" spans="1:15" ht="60" x14ac:dyDescent="0.25">
      <c r="A451" s="9" t="s">
        <v>1309</v>
      </c>
      <c r="B451" s="13">
        <f>VLOOKUP(Table2[[#This Row],[Location 
(drop-down)]],'List source'!D$2:E$59,2,FALSE)</f>
        <v>171</v>
      </c>
      <c r="C451" s="11" t="s">
        <v>759</v>
      </c>
      <c r="D451" s="127" t="str">
        <f t="shared" si="9"/>
        <v>C450-171-23</v>
      </c>
      <c r="E451" s="127" t="str">
        <f>VLOOKUP(Table2[[#This Row],[Location 
(drop-down)]],Table1[#All],3,FALSE)</f>
        <v>SE &amp; Caribbean</v>
      </c>
      <c r="F451" s="11" t="s">
        <v>94</v>
      </c>
      <c r="G451" s="9" t="s">
        <v>1310</v>
      </c>
      <c r="H451" s="195">
        <v>45121</v>
      </c>
      <c r="I451" s="12" t="s">
        <v>129</v>
      </c>
      <c r="J451" s="91" t="s">
        <v>821</v>
      </c>
      <c r="K451" s="91">
        <v>45215</v>
      </c>
      <c r="L451" s="10" t="s">
        <v>97</v>
      </c>
      <c r="M451" s="10" t="s">
        <v>857</v>
      </c>
      <c r="N451" s="10" t="s">
        <v>822</v>
      </c>
      <c r="O451" s="10"/>
    </row>
    <row r="452" spans="1:15" ht="59.25" customHeight="1" x14ac:dyDescent="0.25">
      <c r="A452" s="9" t="s">
        <v>1309</v>
      </c>
      <c r="B452" s="13">
        <f>VLOOKUP(Table2[[#This Row],[Location 
(drop-down)]],'List source'!D$2:E$59,2,FALSE)</f>
        <v>171</v>
      </c>
      <c r="C452" s="11" t="s">
        <v>760</v>
      </c>
      <c r="D452" s="127" t="str">
        <f t="shared" si="9"/>
        <v>C451-171-23</v>
      </c>
      <c r="E452" s="127" t="str">
        <f>VLOOKUP(Table2[[#This Row],[Location 
(drop-down)]],Table1[#All],3,FALSE)</f>
        <v>SE &amp; Caribbean</v>
      </c>
      <c r="F452" s="11" t="s">
        <v>94</v>
      </c>
      <c r="G452" s="20" t="s">
        <v>1311</v>
      </c>
      <c r="H452" s="195">
        <v>45121</v>
      </c>
      <c r="I452" s="12" t="s">
        <v>129</v>
      </c>
      <c r="J452" s="91" t="s">
        <v>821</v>
      </c>
      <c r="K452" s="91">
        <v>45226</v>
      </c>
      <c r="L452" s="10" t="s">
        <v>147</v>
      </c>
      <c r="M452" s="10" t="s">
        <v>857</v>
      </c>
      <c r="N452" s="10" t="s">
        <v>858</v>
      </c>
      <c r="O452" s="10"/>
    </row>
    <row r="453" spans="1:15" ht="37.5" x14ac:dyDescent="0.25">
      <c r="A453" s="9" t="s">
        <v>47</v>
      </c>
      <c r="B453" s="13">
        <f>VLOOKUP(Table2[[#This Row],[Location 
(drop-down)]],'List source'!D$2:E$59,2,FALSE)</f>
        <v>215</v>
      </c>
      <c r="C453" s="11" t="s">
        <v>761</v>
      </c>
      <c r="D453" s="222" t="str">
        <f t="shared" si="9"/>
        <v>C452-215-23</v>
      </c>
      <c r="E453" s="127" t="str">
        <f>VLOOKUP(Table2[[#This Row],[Location 
(drop-down)]],Table1[#All],3,FALSE)</f>
        <v>SE &amp; Caribbean</v>
      </c>
      <c r="F453" s="11" t="s">
        <v>15</v>
      </c>
      <c r="G453" s="31" t="s">
        <v>1312</v>
      </c>
      <c r="H453" s="12">
        <v>45125</v>
      </c>
      <c r="I453" s="12" t="s">
        <v>17</v>
      </c>
      <c r="J453" s="218" t="s">
        <v>50</v>
      </c>
      <c r="K453" s="218" t="s">
        <v>50</v>
      </c>
      <c r="L453" s="10" t="s">
        <v>15</v>
      </c>
      <c r="M453" s="10" t="s">
        <v>15</v>
      </c>
      <c r="N453" s="10"/>
      <c r="O453" s="370" t="s">
        <v>51</v>
      </c>
    </row>
    <row r="454" spans="1:15" ht="37.5" x14ac:dyDescent="0.25">
      <c r="A454" s="9" t="s">
        <v>226</v>
      </c>
      <c r="B454" s="13">
        <f>VLOOKUP(Table2[[#This Row],[Location 
(drop-down)]],'List source'!D$2:E$59,2,FALSE)</f>
        <v>110</v>
      </c>
      <c r="C454" s="11" t="s">
        <v>762</v>
      </c>
      <c r="D454" s="127" t="str">
        <f t="shared" si="9"/>
        <v>C453-110-23</v>
      </c>
      <c r="E454" s="127" t="str">
        <f>VLOOKUP(Table2[[#This Row],[Location 
(drop-down)]],Table1[#All],3,FALSE)</f>
        <v>USNE, USMW &amp; Canada</v>
      </c>
      <c r="F454" s="11" t="s">
        <v>159</v>
      </c>
      <c r="G454" s="9" t="s">
        <v>1313</v>
      </c>
      <c r="H454" s="12">
        <v>45126</v>
      </c>
      <c r="I454" s="12" t="s">
        <v>435</v>
      </c>
      <c r="J454" s="91" t="s">
        <v>821</v>
      </c>
      <c r="K454" s="91">
        <v>45272</v>
      </c>
      <c r="L454" s="10" t="s">
        <v>97</v>
      </c>
      <c r="M454" s="10" t="s">
        <v>857</v>
      </c>
      <c r="N454" s="10" t="s">
        <v>858</v>
      </c>
      <c r="O454" s="10"/>
    </row>
    <row r="455" spans="1:15" ht="63.75" customHeight="1" x14ac:dyDescent="0.25">
      <c r="A455" s="9" t="s">
        <v>226</v>
      </c>
      <c r="B455" s="13">
        <f>VLOOKUP(Table2[[#This Row],[Location 
(drop-down)]],'List source'!D$2:E$59,2,FALSE)</f>
        <v>110</v>
      </c>
      <c r="C455" s="11" t="s">
        <v>763</v>
      </c>
      <c r="D455" s="127" t="str">
        <f t="shared" si="9"/>
        <v>C454-110-23</v>
      </c>
      <c r="E455" s="127" t="str">
        <f>VLOOKUP(Table2[[#This Row],[Location 
(drop-down)]],Table1[#All],3,FALSE)</f>
        <v>USNE, USMW &amp; Canada</v>
      </c>
      <c r="F455" s="11" t="s">
        <v>159</v>
      </c>
      <c r="G455" s="9" t="s">
        <v>1314</v>
      </c>
      <c r="H455" s="12">
        <v>45126</v>
      </c>
      <c r="I455" s="12" t="s">
        <v>435</v>
      </c>
      <c r="J455" s="91" t="s">
        <v>821</v>
      </c>
      <c r="K455" s="91">
        <v>45272</v>
      </c>
      <c r="L455" s="10" t="s">
        <v>97</v>
      </c>
      <c r="M455" s="10" t="s">
        <v>862</v>
      </c>
      <c r="N455" s="10" t="s">
        <v>822</v>
      </c>
      <c r="O455" s="10"/>
    </row>
    <row r="456" spans="1:15" ht="37.5" x14ac:dyDescent="0.25">
      <c r="A456" s="9" t="s">
        <v>72</v>
      </c>
      <c r="B456" s="13">
        <f>VLOOKUP(Table2[[#This Row],[Location 
(drop-down)]],'List source'!D$2:E$59,2,FALSE)</f>
        <v>197</v>
      </c>
      <c r="C456" s="11" t="s">
        <v>764</v>
      </c>
      <c r="D456" s="127" t="str">
        <f t="shared" si="9"/>
        <v>C455-197-23</v>
      </c>
      <c r="E456" s="127" t="str">
        <f>VLOOKUP(Table2[[#This Row],[Location 
(drop-down)]],Table1[#All],3,FALSE)</f>
        <v>USNE, USMW &amp; Canada</v>
      </c>
      <c r="F456" s="11" t="s">
        <v>852</v>
      </c>
      <c r="G456" s="9" t="s">
        <v>1315</v>
      </c>
      <c r="H456" s="12">
        <v>45126</v>
      </c>
      <c r="I456" s="12" t="s">
        <v>129</v>
      </c>
      <c r="J456" s="91" t="s">
        <v>821</v>
      </c>
      <c r="K456" s="91">
        <v>45139</v>
      </c>
      <c r="L456" s="10" t="s">
        <v>97</v>
      </c>
      <c r="M456" s="10" t="s">
        <v>854</v>
      </c>
      <c r="N456" s="10" t="s">
        <v>822</v>
      </c>
      <c r="O456" s="10"/>
    </row>
    <row r="457" spans="1:15" ht="37.5" x14ac:dyDescent="0.25">
      <c r="A457" s="9" t="s">
        <v>237</v>
      </c>
      <c r="B457" s="13">
        <f>VLOOKUP(Table2[[#This Row],[Location 
(drop-down)]],'List source'!D$2:E$59,2,FALSE)</f>
        <v>192</v>
      </c>
      <c r="C457" s="11" t="s">
        <v>765</v>
      </c>
      <c r="D457" s="127" t="str">
        <f t="shared" si="9"/>
        <v>C456-192-23</v>
      </c>
      <c r="E457" s="127" t="str">
        <f>VLOOKUP(Table2[[#This Row],[Location 
(drop-down)]],Table1[#All],3,FALSE)</f>
        <v>SE &amp; Caribbean</v>
      </c>
      <c r="F457" s="11" t="s">
        <v>15</v>
      </c>
      <c r="G457" s="9" t="s">
        <v>1316</v>
      </c>
      <c r="H457" s="12">
        <v>45127</v>
      </c>
      <c r="I457" s="12" t="s">
        <v>17</v>
      </c>
      <c r="J457" s="91" t="s">
        <v>821</v>
      </c>
      <c r="K457" s="91">
        <v>45188</v>
      </c>
      <c r="L457" s="10" t="s">
        <v>15</v>
      </c>
      <c r="M457" s="10" t="s">
        <v>15</v>
      </c>
      <c r="N457" s="10" t="s">
        <v>822</v>
      </c>
      <c r="O457" s="10"/>
    </row>
    <row r="458" spans="1:15" ht="30" x14ac:dyDescent="0.25">
      <c r="A458" s="9" t="s">
        <v>171</v>
      </c>
      <c r="B458" s="13">
        <f>VLOOKUP(Table2[[#This Row],[Location 
(drop-down)]],'List source'!D$2:E$59,2,FALSE)</f>
        <v>160</v>
      </c>
      <c r="C458" s="11" t="s">
        <v>766</v>
      </c>
      <c r="D458" s="127" t="str">
        <f t="shared" si="9"/>
        <v>C457-160-23</v>
      </c>
      <c r="E458" s="127" t="str">
        <f>VLOOKUP(Table2[[#This Row],[Location 
(drop-down)]],Table1[#All],3,FALSE)</f>
        <v>USGC</v>
      </c>
      <c r="F458" s="11" t="s">
        <v>15</v>
      </c>
      <c r="G458" s="9" t="s">
        <v>1317</v>
      </c>
      <c r="H458" s="12">
        <v>45127</v>
      </c>
      <c r="I458" s="12" t="s">
        <v>17</v>
      </c>
      <c r="J458" s="91" t="s">
        <v>821</v>
      </c>
      <c r="K458" s="91">
        <v>45272</v>
      </c>
      <c r="L458" s="10" t="s">
        <v>15</v>
      </c>
      <c r="M458" s="10" t="s">
        <v>15</v>
      </c>
      <c r="N458" s="10"/>
      <c r="O458" s="10"/>
    </row>
    <row r="459" spans="1:15" ht="30" x14ac:dyDescent="0.25">
      <c r="A459" s="9" t="s">
        <v>61</v>
      </c>
      <c r="B459" s="13">
        <f>VLOOKUP(Table2[[#This Row],[Location 
(drop-down)]],'List source'!D$2:E$59,2,FALSE)</f>
        <v>120</v>
      </c>
      <c r="C459" s="11" t="s">
        <v>767</v>
      </c>
      <c r="D459" s="127" t="str">
        <f t="shared" si="9"/>
        <v>C458-120-23</v>
      </c>
      <c r="E459" s="127" t="str">
        <f>VLOOKUP(Table2[[#This Row],[Location 
(drop-down)]],Table1[#All],3,FALSE)</f>
        <v>USGC</v>
      </c>
      <c r="F459" s="11" t="s">
        <v>15</v>
      </c>
      <c r="G459" s="9" t="s">
        <v>1318</v>
      </c>
      <c r="H459" s="12">
        <v>45127</v>
      </c>
      <c r="I459" s="12" t="s">
        <v>17</v>
      </c>
      <c r="J459" s="91" t="s">
        <v>821</v>
      </c>
      <c r="K459" s="91">
        <v>45344</v>
      </c>
      <c r="L459" s="10" t="s">
        <v>15</v>
      </c>
      <c r="M459" s="10" t="s">
        <v>15</v>
      </c>
      <c r="N459" s="10"/>
      <c r="O459" s="10"/>
    </row>
    <row r="460" spans="1:15" ht="30" x14ac:dyDescent="0.25">
      <c r="A460" s="9" t="s">
        <v>61</v>
      </c>
      <c r="B460" s="13">
        <f>VLOOKUP(Table2[[#This Row],[Location 
(drop-down)]],'List source'!D$2:E$59,2,FALSE)</f>
        <v>120</v>
      </c>
      <c r="C460" s="11" t="s">
        <v>768</v>
      </c>
      <c r="D460" s="127" t="str">
        <f t="shared" si="9"/>
        <v>C459-120-23</v>
      </c>
      <c r="E460" s="127" t="str">
        <f>VLOOKUP(Table2[[#This Row],[Location 
(drop-down)]],Table1[#All],3,FALSE)</f>
        <v>USGC</v>
      </c>
      <c r="F460" s="11" t="s">
        <v>15</v>
      </c>
      <c r="G460" s="9" t="s">
        <v>1319</v>
      </c>
      <c r="H460" s="12">
        <v>45127</v>
      </c>
      <c r="I460" s="12" t="s">
        <v>17</v>
      </c>
      <c r="J460" s="91" t="s">
        <v>821</v>
      </c>
      <c r="K460" s="91">
        <v>45317</v>
      </c>
      <c r="L460" s="10" t="s">
        <v>15</v>
      </c>
      <c r="M460" s="10" t="s">
        <v>15</v>
      </c>
      <c r="N460" s="10"/>
      <c r="O460" s="10"/>
    </row>
    <row r="461" spans="1:15" ht="18.75" x14ac:dyDescent="0.25">
      <c r="A461" s="9" t="s">
        <v>61</v>
      </c>
      <c r="B461" s="13">
        <f>VLOOKUP(Table2[[#This Row],[Location 
(drop-down)]],'List source'!D$2:E$59,2,FALSE)</f>
        <v>120</v>
      </c>
      <c r="C461" s="11" t="s">
        <v>769</v>
      </c>
      <c r="D461" s="127" t="str">
        <f t="shared" si="9"/>
        <v>C460-120-23</v>
      </c>
      <c r="E461" s="127" t="str">
        <f>VLOOKUP(Table2[[#This Row],[Location 
(drop-down)]],Table1[#All],3,FALSE)</f>
        <v>USGC</v>
      </c>
      <c r="F461" s="11" t="s">
        <v>15</v>
      </c>
      <c r="G461" s="9" t="s">
        <v>1320</v>
      </c>
      <c r="H461" s="12">
        <v>45127</v>
      </c>
      <c r="I461" s="12" t="s">
        <v>17</v>
      </c>
      <c r="J461" s="91" t="s">
        <v>821</v>
      </c>
      <c r="K461" s="91">
        <v>45317</v>
      </c>
      <c r="L461" s="10" t="s">
        <v>15</v>
      </c>
      <c r="M461" s="10" t="s">
        <v>15</v>
      </c>
      <c r="N461" s="10"/>
      <c r="O461" s="10"/>
    </row>
    <row r="462" spans="1:15" ht="30" x14ac:dyDescent="0.25">
      <c r="A462" s="9" t="s">
        <v>57</v>
      </c>
      <c r="B462" s="13">
        <f>VLOOKUP(Table2[[#This Row],[Location 
(drop-down)]],'List source'!D$2:E$59,2,FALSE)</f>
        <v>155</v>
      </c>
      <c r="C462" s="11" t="s">
        <v>770</v>
      </c>
      <c r="D462" s="127" t="str">
        <f t="shared" si="9"/>
        <v>C461-155-23</v>
      </c>
      <c r="E462" s="127" t="str">
        <f>VLOOKUP(Table2[[#This Row],[Location 
(drop-down)]],Table1[#All],3,FALSE)</f>
        <v>USGC</v>
      </c>
      <c r="F462" s="11" t="s">
        <v>15</v>
      </c>
      <c r="G462" s="9" t="s">
        <v>1321</v>
      </c>
      <c r="H462" s="12">
        <v>45127</v>
      </c>
      <c r="I462" s="12" t="s">
        <v>17</v>
      </c>
      <c r="J462" s="91" t="s">
        <v>821</v>
      </c>
      <c r="K462" s="91">
        <v>45162</v>
      </c>
      <c r="L462" s="10" t="s">
        <v>15</v>
      </c>
      <c r="M462" s="10" t="s">
        <v>15</v>
      </c>
      <c r="N462" s="10"/>
      <c r="O462" s="10"/>
    </row>
    <row r="463" spans="1:15" ht="30" x14ac:dyDescent="0.25">
      <c r="A463" s="9" t="s">
        <v>22</v>
      </c>
      <c r="B463" s="13">
        <f>VLOOKUP(Table2[[#This Row],[Location 
(drop-down)]],'List source'!D$2:E$59,2,FALSE)</f>
        <v>130</v>
      </c>
      <c r="C463" s="11" t="s">
        <v>771</v>
      </c>
      <c r="D463" s="127" t="str">
        <f t="shared" si="9"/>
        <v>C462-130-23</v>
      </c>
      <c r="E463" s="127" t="str">
        <f>VLOOKUP(Table2[[#This Row],[Location 
(drop-down)]],Table1[#All],3,FALSE)</f>
        <v>USWC</v>
      </c>
      <c r="F463" s="11" t="s">
        <v>15</v>
      </c>
      <c r="G463" s="9" t="s">
        <v>1322</v>
      </c>
      <c r="H463" s="12">
        <v>45127</v>
      </c>
      <c r="I463" s="12" t="s">
        <v>17</v>
      </c>
      <c r="J463" s="91" t="s">
        <v>821</v>
      </c>
      <c r="K463" s="91">
        <v>45295</v>
      </c>
      <c r="L463" s="10" t="s">
        <v>15</v>
      </c>
      <c r="M463" s="10" t="s">
        <v>15</v>
      </c>
      <c r="N463" s="10"/>
      <c r="O463" s="10"/>
    </row>
    <row r="464" spans="1:15" ht="30" x14ac:dyDescent="0.25">
      <c r="A464" s="9" t="s">
        <v>22</v>
      </c>
      <c r="B464" s="13">
        <f>VLOOKUP(Table2[[#This Row],[Location 
(drop-down)]],'List source'!D$2:E$59,2,FALSE)</f>
        <v>130</v>
      </c>
      <c r="C464" s="11" t="s">
        <v>772</v>
      </c>
      <c r="D464" s="312" t="str">
        <f t="shared" si="9"/>
        <v>C463-130-23</v>
      </c>
      <c r="E464" s="127" t="str">
        <f>VLOOKUP(Table2[[#This Row],[Location 
(drop-down)]],Table1[#All],3,FALSE)</f>
        <v>USWC</v>
      </c>
      <c r="F464" s="11" t="s">
        <v>15</v>
      </c>
      <c r="G464" s="9" t="s">
        <v>1323</v>
      </c>
      <c r="H464" s="12">
        <v>45127</v>
      </c>
      <c r="I464" s="12" t="s">
        <v>17</v>
      </c>
      <c r="J464" s="305" t="s">
        <v>821</v>
      </c>
      <c r="K464" s="305">
        <v>45295</v>
      </c>
      <c r="L464" s="10" t="s">
        <v>15</v>
      </c>
      <c r="M464" s="10" t="s">
        <v>15</v>
      </c>
      <c r="N464" s="10" t="s">
        <v>822</v>
      </c>
      <c r="O464" s="10"/>
    </row>
    <row r="465" spans="1:15" ht="30" x14ac:dyDescent="0.25">
      <c r="A465" s="9" t="s">
        <v>22</v>
      </c>
      <c r="B465" s="13">
        <f>VLOOKUP(Table2[[#This Row],[Location 
(drop-down)]],'List source'!D$2:E$59,2,FALSE)</f>
        <v>130</v>
      </c>
      <c r="C465" s="11" t="s">
        <v>773</v>
      </c>
      <c r="D465" s="127" t="str">
        <f t="shared" si="9"/>
        <v>C464-130-23</v>
      </c>
      <c r="E465" s="127" t="str">
        <f>VLOOKUP(Table2[[#This Row],[Location 
(drop-down)]],Table1[#All],3,FALSE)</f>
        <v>USWC</v>
      </c>
      <c r="F465" s="11" t="s">
        <v>15</v>
      </c>
      <c r="G465" s="9" t="s">
        <v>1324</v>
      </c>
      <c r="H465" s="12">
        <v>45127</v>
      </c>
      <c r="I465" s="12" t="s">
        <v>17</v>
      </c>
      <c r="J465" s="91" t="s">
        <v>821</v>
      </c>
      <c r="K465" s="91">
        <v>45295</v>
      </c>
      <c r="L465" s="10" t="s">
        <v>15</v>
      </c>
      <c r="M465" s="10" t="s">
        <v>15</v>
      </c>
      <c r="N465" s="10"/>
      <c r="O465" s="10"/>
    </row>
    <row r="466" spans="1:15" ht="37.5" x14ac:dyDescent="0.25">
      <c r="A466" s="9" t="s">
        <v>75</v>
      </c>
      <c r="B466" s="13">
        <f>VLOOKUP(Table2[[#This Row],[Location 
(drop-down)]],'List source'!D$2:E$59,2,FALSE)</f>
        <v>180</v>
      </c>
      <c r="C466" s="11" t="s">
        <v>774</v>
      </c>
      <c r="D466" s="127" t="str">
        <f t="shared" si="9"/>
        <v>C465-180-23</v>
      </c>
      <c r="E466" s="127" t="str">
        <f>VLOOKUP(Table2[[#This Row],[Location 
(drop-down)]],Table1[#All],3,FALSE)</f>
        <v>SE &amp; Caribbean</v>
      </c>
      <c r="F466" s="11" t="s">
        <v>15</v>
      </c>
      <c r="G466" s="9" t="s">
        <v>1325</v>
      </c>
      <c r="H466" s="12">
        <v>45127</v>
      </c>
      <c r="I466" s="12" t="s">
        <v>17</v>
      </c>
      <c r="J466" s="91" t="s">
        <v>821</v>
      </c>
      <c r="K466" s="91">
        <v>45167</v>
      </c>
      <c r="L466" s="10" t="s">
        <v>15</v>
      </c>
      <c r="M466" s="10" t="s">
        <v>15</v>
      </c>
      <c r="N466" s="10" t="s">
        <v>822</v>
      </c>
      <c r="O466" s="10"/>
    </row>
    <row r="467" spans="1:15" ht="37.5" x14ac:dyDescent="0.25">
      <c r="A467" s="9" t="s">
        <v>168</v>
      </c>
      <c r="B467" s="13">
        <f>VLOOKUP(Table2[[#This Row],[Location 
(drop-down)]],'List source'!D$2:E$59,2,FALSE)</f>
        <v>136</v>
      </c>
      <c r="C467" s="11" t="s">
        <v>775</v>
      </c>
      <c r="D467" s="127" t="str">
        <f t="shared" si="9"/>
        <v>C466-136-23</v>
      </c>
      <c r="E467" s="127" t="str">
        <f>VLOOKUP(Table2[[#This Row],[Location 
(drop-down)]],Table1[#All],3,FALSE)</f>
        <v>SE &amp; Caribbean</v>
      </c>
      <c r="F467" s="11" t="s">
        <v>15</v>
      </c>
      <c r="G467" s="9" t="s">
        <v>1326</v>
      </c>
      <c r="H467" s="12">
        <v>45127</v>
      </c>
      <c r="I467" s="12" t="s">
        <v>17</v>
      </c>
      <c r="J467" s="91" t="s">
        <v>821</v>
      </c>
      <c r="K467" s="91">
        <v>45148</v>
      </c>
      <c r="L467" s="10" t="s">
        <v>15</v>
      </c>
      <c r="M467" s="10" t="s">
        <v>15</v>
      </c>
      <c r="N467" s="10"/>
      <c r="O467" s="10"/>
    </row>
    <row r="468" spans="1:15" ht="37.5" x14ac:dyDescent="0.25">
      <c r="A468" s="9" t="s">
        <v>87</v>
      </c>
      <c r="B468" s="13">
        <f>VLOOKUP(Table2[[#This Row],[Location 
(drop-down)]],'List source'!D$2:E$59,2,FALSE)</f>
        <v>210</v>
      </c>
      <c r="C468" s="11" t="s">
        <v>776</v>
      </c>
      <c r="D468" s="127" t="str">
        <f t="shared" si="9"/>
        <v>C467-210-23</v>
      </c>
      <c r="E468" s="127" t="str">
        <f>VLOOKUP(Table2[[#This Row],[Location 
(drop-down)]],Table1[#All],3,FALSE)</f>
        <v>SE &amp; Caribbean</v>
      </c>
      <c r="F468" s="11" t="s">
        <v>15</v>
      </c>
      <c r="G468" s="9" t="s">
        <v>1327</v>
      </c>
      <c r="H468" s="12">
        <v>45127</v>
      </c>
      <c r="I468" s="12" t="s">
        <v>17</v>
      </c>
      <c r="J468" s="91">
        <v>45184</v>
      </c>
      <c r="K468" s="91">
        <v>45187</v>
      </c>
      <c r="L468" s="10" t="s">
        <v>15</v>
      </c>
      <c r="M468" s="10" t="s">
        <v>15</v>
      </c>
      <c r="N468" s="10" t="s">
        <v>822</v>
      </c>
      <c r="O468" s="10"/>
    </row>
    <row r="469" spans="1:15" ht="37.5" x14ac:dyDescent="0.25">
      <c r="A469" s="9" t="s">
        <v>87</v>
      </c>
      <c r="B469" s="13">
        <f>VLOOKUP(Table2[[#This Row],[Location 
(drop-down)]],'List source'!D$2:E$59,2,FALSE)</f>
        <v>210</v>
      </c>
      <c r="C469" s="11" t="s">
        <v>777</v>
      </c>
      <c r="D469" s="127" t="str">
        <f t="shared" si="9"/>
        <v>C468-210-23</v>
      </c>
      <c r="E469" s="127" t="str">
        <f>VLOOKUP(Table2[[#This Row],[Location 
(drop-down)]],Table1[#All],3,FALSE)</f>
        <v>SE &amp; Caribbean</v>
      </c>
      <c r="F469" s="11" t="s">
        <v>15</v>
      </c>
      <c r="G469" s="9" t="s">
        <v>1328</v>
      </c>
      <c r="H469" s="12">
        <v>45127</v>
      </c>
      <c r="I469" s="12" t="s">
        <v>17</v>
      </c>
      <c r="J469" s="91">
        <v>45204</v>
      </c>
      <c r="K469" s="91">
        <v>45205</v>
      </c>
      <c r="L469" s="10" t="s">
        <v>15</v>
      </c>
      <c r="M469" s="10" t="s">
        <v>15</v>
      </c>
      <c r="N469" s="10" t="s">
        <v>822</v>
      </c>
      <c r="O469" s="10"/>
    </row>
    <row r="470" spans="1:15" ht="37.5" x14ac:dyDescent="0.25">
      <c r="A470" s="9" t="s">
        <v>75</v>
      </c>
      <c r="B470" s="13">
        <f>VLOOKUP(Table2[[#This Row],[Location 
(drop-down)]],'List source'!D$2:E$59,2,FALSE)</f>
        <v>180</v>
      </c>
      <c r="C470" s="11" t="s">
        <v>778</v>
      </c>
      <c r="D470" s="127" t="str">
        <f t="shared" si="9"/>
        <v>C469-180-23</v>
      </c>
      <c r="E470" s="127" t="str">
        <f>VLOOKUP(Table2[[#This Row],[Location 
(drop-down)]],Table1[#All],3,FALSE)</f>
        <v>SE &amp; Caribbean</v>
      </c>
      <c r="F470" s="11" t="s">
        <v>15</v>
      </c>
      <c r="G470" s="9" t="s">
        <v>1329</v>
      </c>
      <c r="H470" s="12">
        <v>45127</v>
      </c>
      <c r="I470" s="12" t="s">
        <v>17</v>
      </c>
      <c r="J470" s="91" t="s">
        <v>821</v>
      </c>
      <c r="K470" s="91">
        <v>45165</v>
      </c>
      <c r="L470" s="10" t="s">
        <v>15</v>
      </c>
      <c r="M470" s="10" t="s">
        <v>15</v>
      </c>
      <c r="N470" s="10" t="s">
        <v>822</v>
      </c>
      <c r="O470" s="10"/>
    </row>
    <row r="471" spans="1:15" ht="37.5" x14ac:dyDescent="0.25">
      <c r="A471" s="9" t="s">
        <v>75</v>
      </c>
      <c r="B471" s="13">
        <f>VLOOKUP(Table2[[#This Row],[Location 
(drop-down)]],'List source'!D$2:E$59,2,FALSE)</f>
        <v>180</v>
      </c>
      <c r="C471" s="11" t="s">
        <v>779</v>
      </c>
      <c r="D471" s="127" t="str">
        <f t="shared" si="9"/>
        <v>C470-180-23</v>
      </c>
      <c r="E471" s="127" t="str">
        <f>VLOOKUP(Table2[[#This Row],[Location 
(drop-down)]],Table1[#All],3,FALSE)</f>
        <v>SE &amp; Caribbean</v>
      </c>
      <c r="F471" s="11" t="s">
        <v>15</v>
      </c>
      <c r="G471" s="9" t="s">
        <v>1330</v>
      </c>
      <c r="H471" s="12">
        <v>45127</v>
      </c>
      <c r="I471" s="12" t="s">
        <v>17</v>
      </c>
      <c r="J471" s="91" t="s">
        <v>821</v>
      </c>
      <c r="K471" s="91">
        <v>45147</v>
      </c>
      <c r="L471" s="10" t="s">
        <v>15</v>
      </c>
      <c r="M471" s="10" t="s">
        <v>15</v>
      </c>
      <c r="N471" s="10" t="s">
        <v>822</v>
      </c>
      <c r="O471" s="10"/>
    </row>
    <row r="472" spans="1:15" ht="37.5" x14ac:dyDescent="0.25">
      <c r="A472" s="9" t="s">
        <v>75</v>
      </c>
      <c r="B472" s="13">
        <f>VLOOKUP(Table2[[#This Row],[Location 
(drop-down)]],'List source'!D$2:E$59,2,FALSE)</f>
        <v>180</v>
      </c>
      <c r="C472" s="11" t="s">
        <v>780</v>
      </c>
      <c r="D472" s="127" t="str">
        <f t="shared" si="9"/>
        <v>C471-180-23</v>
      </c>
      <c r="E472" s="127" t="str">
        <f>VLOOKUP(Table2[[#This Row],[Location 
(drop-down)]],Table1[#All],3,FALSE)</f>
        <v>SE &amp; Caribbean</v>
      </c>
      <c r="F472" s="11" t="s">
        <v>15</v>
      </c>
      <c r="G472" s="9" t="s">
        <v>1331</v>
      </c>
      <c r="H472" s="12">
        <v>45127</v>
      </c>
      <c r="I472" s="12" t="s">
        <v>17</v>
      </c>
      <c r="J472" s="91" t="s">
        <v>821</v>
      </c>
      <c r="K472" s="91">
        <v>45165</v>
      </c>
      <c r="L472" s="10" t="s">
        <v>15</v>
      </c>
      <c r="M472" s="10" t="s">
        <v>15</v>
      </c>
      <c r="N472" s="10" t="s">
        <v>832</v>
      </c>
      <c r="O472" s="10"/>
    </row>
    <row r="473" spans="1:15" ht="37.5" x14ac:dyDescent="0.25">
      <c r="A473" s="9" t="s">
        <v>75</v>
      </c>
      <c r="B473" s="13">
        <f>VLOOKUP(Table2[[#This Row],[Location 
(drop-down)]],'List source'!D$2:E$59,2,FALSE)</f>
        <v>180</v>
      </c>
      <c r="C473" s="11" t="s">
        <v>781</v>
      </c>
      <c r="D473" s="127" t="str">
        <f t="shared" ref="D473:D536" si="10">"C" &amp; C473 &amp; "-" &amp; B473 &amp; "-" &amp; "23"</f>
        <v>C472-180-23</v>
      </c>
      <c r="E473" s="127" t="str">
        <f>VLOOKUP(Table2[[#This Row],[Location 
(drop-down)]],Table1[#All],3,FALSE)</f>
        <v>SE &amp; Caribbean</v>
      </c>
      <c r="F473" s="11" t="s">
        <v>15</v>
      </c>
      <c r="G473" s="9" t="s">
        <v>1332</v>
      </c>
      <c r="H473" s="12">
        <v>45127</v>
      </c>
      <c r="I473" s="12" t="s">
        <v>17</v>
      </c>
      <c r="J473" s="91" t="s">
        <v>821</v>
      </c>
      <c r="K473" s="91">
        <v>45149</v>
      </c>
      <c r="L473" s="10" t="s">
        <v>15</v>
      </c>
      <c r="M473" s="10" t="s">
        <v>15</v>
      </c>
      <c r="N473" s="10" t="s">
        <v>910</v>
      </c>
      <c r="O473" s="10"/>
    </row>
    <row r="474" spans="1:15" ht="37.5" x14ac:dyDescent="0.25">
      <c r="A474" s="9" t="s">
        <v>924</v>
      </c>
      <c r="B474" s="13">
        <f>VLOOKUP(Table2[[#This Row],[Location 
(drop-down)]],'List source'!D$2:E$59,2,FALSE)</f>
        <v>144</v>
      </c>
      <c r="C474" s="11" t="s">
        <v>782</v>
      </c>
      <c r="D474" s="127" t="str">
        <f t="shared" si="10"/>
        <v>C473-144-23</v>
      </c>
      <c r="E474" s="127" t="str">
        <f>VLOOKUP(Table2[[#This Row],[Location 
(drop-down)]],Table1[#All],3,FALSE)</f>
        <v>SE &amp; Caribbean</v>
      </c>
      <c r="F474" s="11" t="s">
        <v>15</v>
      </c>
      <c r="G474" s="9" t="s">
        <v>1333</v>
      </c>
      <c r="H474" s="12">
        <v>45127</v>
      </c>
      <c r="I474" s="12" t="s">
        <v>17</v>
      </c>
      <c r="J474" s="91" t="s">
        <v>821</v>
      </c>
      <c r="K474" s="91">
        <v>45141</v>
      </c>
      <c r="L474" s="10" t="s">
        <v>15</v>
      </c>
      <c r="M474" s="10" t="s">
        <v>15</v>
      </c>
      <c r="N474" s="10" t="s">
        <v>822</v>
      </c>
      <c r="O474" s="10"/>
    </row>
    <row r="475" spans="1:15" ht="30" x14ac:dyDescent="0.25">
      <c r="A475" s="9" t="s">
        <v>66</v>
      </c>
      <c r="B475" s="13">
        <f>VLOOKUP(Table2[[#This Row],[Location 
(drop-down)]],'List source'!D$2:E$59,2,FALSE)</f>
        <v>165</v>
      </c>
      <c r="C475" s="11" t="s">
        <v>783</v>
      </c>
      <c r="D475" s="127" t="str">
        <f t="shared" si="10"/>
        <v>C474-165-23</v>
      </c>
      <c r="E475" s="127" t="str">
        <f>VLOOKUP(Table2[[#This Row],[Location 
(drop-down)]],Table1[#All],3,FALSE)</f>
        <v>USGC</v>
      </c>
      <c r="F475" s="11" t="s">
        <v>94</v>
      </c>
      <c r="G475" s="9" t="s">
        <v>1291</v>
      </c>
      <c r="H475" s="12">
        <v>45128</v>
      </c>
      <c r="I475" s="12" t="s">
        <v>435</v>
      </c>
      <c r="J475" s="91" t="s">
        <v>821</v>
      </c>
      <c r="K475" s="91">
        <v>45198</v>
      </c>
      <c r="L475" s="10" t="s">
        <v>147</v>
      </c>
      <c r="M475" s="10" t="s">
        <v>870</v>
      </c>
      <c r="N475" s="10" t="s">
        <v>858</v>
      </c>
      <c r="O475" s="10"/>
    </row>
    <row r="476" spans="1:15" ht="30" x14ac:dyDescent="0.25">
      <c r="A476" s="9" t="s">
        <v>66</v>
      </c>
      <c r="B476" s="13">
        <f>VLOOKUP(Table2[[#This Row],[Location 
(drop-down)]],'List source'!D$2:E$59,2,FALSE)</f>
        <v>165</v>
      </c>
      <c r="C476" s="11" t="s">
        <v>784</v>
      </c>
      <c r="D476" s="127" t="str">
        <f t="shared" si="10"/>
        <v>C475-165-23</v>
      </c>
      <c r="E476" s="127" t="str">
        <f>VLOOKUP(Table2[[#This Row],[Location 
(drop-down)]],Table1[#All],3,FALSE)</f>
        <v>USGC</v>
      </c>
      <c r="F476" s="11" t="s">
        <v>94</v>
      </c>
      <c r="G476" s="9" t="s">
        <v>1334</v>
      </c>
      <c r="H476" s="12">
        <v>45128</v>
      </c>
      <c r="I476" s="12" t="s">
        <v>435</v>
      </c>
      <c r="J476" s="91" t="s">
        <v>821</v>
      </c>
      <c r="K476" s="91">
        <v>45146</v>
      </c>
      <c r="L476" s="10" t="s">
        <v>97</v>
      </c>
      <c r="M476" s="10" t="s">
        <v>862</v>
      </c>
      <c r="N476" s="10" t="s">
        <v>822</v>
      </c>
      <c r="O476" s="10" t="s">
        <v>1335</v>
      </c>
    </row>
    <row r="477" spans="1:15" ht="30" x14ac:dyDescent="0.25">
      <c r="A477" s="9" t="s">
        <v>66</v>
      </c>
      <c r="B477" s="13">
        <f>VLOOKUP(Table2[[#This Row],[Location 
(drop-down)]],'List source'!D$2:E$59,2,FALSE)</f>
        <v>165</v>
      </c>
      <c r="C477" s="11" t="s">
        <v>785</v>
      </c>
      <c r="D477" s="127" t="str">
        <f t="shared" si="10"/>
        <v>C476-165-23</v>
      </c>
      <c r="E477" s="127" t="str">
        <f>VLOOKUP(Table2[[#This Row],[Location 
(drop-down)]],Table1[#All],3,FALSE)</f>
        <v>USGC</v>
      </c>
      <c r="F477" s="11" t="s">
        <v>94</v>
      </c>
      <c r="G477" s="9" t="s">
        <v>1336</v>
      </c>
      <c r="H477" s="12">
        <v>45128</v>
      </c>
      <c r="I477" s="12" t="s">
        <v>435</v>
      </c>
      <c r="J477" s="91" t="s">
        <v>821</v>
      </c>
      <c r="K477" s="91">
        <v>45146</v>
      </c>
      <c r="L477" s="10" t="s">
        <v>97</v>
      </c>
      <c r="M477" s="10" t="s">
        <v>854</v>
      </c>
      <c r="N477" s="10" t="s">
        <v>822</v>
      </c>
      <c r="O477" s="10"/>
    </row>
    <row r="478" spans="1:15" ht="30" x14ac:dyDescent="0.25">
      <c r="A478" s="9" t="s">
        <v>66</v>
      </c>
      <c r="B478" s="13">
        <f>VLOOKUP(Table2[[#This Row],[Location 
(drop-down)]],'List source'!D$2:E$59,2,FALSE)</f>
        <v>165</v>
      </c>
      <c r="C478" s="11" t="s">
        <v>786</v>
      </c>
      <c r="D478" s="127" t="str">
        <f t="shared" si="10"/>
        <v>C477-165-23</v>
      </c>
      <c r="E478" s="127" t="str">
        <f>VLOOKUP(Table2[[#This Row],[Location 
(drop-down)]],Table1[#All],3,FALSE)</f>
        <v>USGC</v>
      </c>
      <c r="F478" s="11" t="s">
        <v>94</v>
      </c>
      <c r="G478" s="9" t="s">
        <v>1337</v>
      </c>
      <c r="H478" s="12">
        <v>45128</v>
      </c>
      <c r="I478" s="12" t="s">
        <v>435</v>
      </c>
      <c r="J478" s="91" t="s">
        <v>821</v>
      </c>
      <c r="K478" s="91">
        <v>45274</v>
      </c>
      <c r="L478" s="10" t="s">
        <v>97</v>
      </c>
      <c r="M478" s="10" t="s">
        <v>857</v>
      </c>
      <c r="N478" s="10" t="s">
        <v>858</v>
      </c>
      <c r="O478" s="10"/>
    </row>
    <row r="479" spans="1:15" ht="30" x14ac:dyDescent="0.25">
      <c r="A479" s="9" t="s">
        <v>66</v>
      </c>
      <c r="B479" s="13">
        <f>VLOOKUP(Table2[[#This Row],[Location 
(drop-down)]],'List source'!D$2:E$59,2,FALSE)</f>
        <v>165</v>
      </c>
      <c r="C479" s="11" t="s">
        <v>787</v>
      </c>
      <c r="D479" s="127" t="str">
        <f t="shared" si="10"/>
        <v>C478-165-23</v>
      </c>
      <c r="E479" s="127" t="str">
        <f>VLOOKUP(Table2[[#This Row],[Location 
(drop-down)]],Table1[#All],3,FALSE)</f>
        <v>USGC</v>
      </c>
      <c r="F479" s="11" t="s">
        <v>94</v>
      </c>
      <c r="G479" s="9" t="s">
        <v>1338</v>
      </c>
      <c r="H479" s="12">
        <v>45128</v>
      </c>
      <c r="I479" s="12" t="s">
        <v>435</v>
      </c>
      <c r="J479" s="91" t="s">
        <v>821</v>
      </c>
      <c r="K479" s="91">
        <v>45170</v>
      </c>
      <c r="L479" s="10" t="s">
        <v>97</v>
      </c>
      <c r="M479" s="10" t="s">
        <v>854</v>
      </c>
      <c r="N479" s="10" t="s">
        <v>822</v>
      </c>
      <c r="O479" s="10"/>
    </row>
    <row r="480" spans="1:15" ht="30" x14ac:dyDescent="0.25">
      <c r="A480" s="9" t="s">
        <v>66</v>
      </c>
      <c r="B480" s="13">
        <f>VLOOKUP(Table2[[#This Row],[Location 
(drop-down)]],'List source'!D$2:E$59,2,FALSE)</f>
        <v>165</v>
      </c>
      <c r="C480" s="11" t="s">
        <v>788</v>
      </c>
      <c r="D480" s="127" t="str">
        <f t="shared" si="10"/>
        <v>C479-165-23</v>
      </c>
      <c r="E480" s="127" t="str">
        <f>VLOOKUP(Table2[[#This Row],[Location 
(drop-down)]],Table1[#All],3,FALSE)</f>
        <v>USGC</v>
      </c>
      <c r="F480" s="11" t="s">
        <v>94</v>
      </c>
      <c r="G480" s="9" t="s">
        <v>1293</v>
      </c>
      <c r="H480" s="12">
        <v>45128</v>
      </c>
      <c r="I480" s="12" t="s">
        <v>435</v>
      </c>
      <c r="J480" s="91" t="s">
        <v>821</v>
      </c>
      <c r="K480" s="91">
        <v>45264</v>
      </c>
      <c r="L480" s="10" t="s">
        <v>97</v>
      </c>
      <c r="M480" s="10"/>
      <c r="N480" s="10"/>
      <c r="O480" s="10"/>
    </row>
    <row r="481" spans="1:15" ht="30" x14ac:dyDescent="0.25">
      <c r="A481" s="9" t="s">
        <v>66</v>
      </c>
      <c r="B481" s="13">
        <f>VLOOKUP(Table2[[#This Row],[Location 
(drop-down)]],'List source'!D$2:E$59,2,FALSE)</f>
        <v>165</v>
      </c>
      <c r="C481" s="11" t="s">
        <v>789</v>
      </c>
      <c r="D481" s="127" t="str">
        <f t="shared" si="10"/>
        <v>C480-165-23</v>
      </c>
      <c r="E481" s="127" t="str">
        <f>VLOOKUP(Table2[[#This Row],[Location 
(drop-down)]],Table1[#All],3,FALSE)</f>
        <v>USGC</v>
      </c>
      <c r="F481" s="11" t="s">
        <v>94</v>
      </c>
      <c r="G481" s="9" t="s">
        <v>1339</v>
      </c>
      <c r="H481" s="12">
        <v>45128</v>
      </c>
      <c r="I481" s="12" t="s">
        <v>435</v>
      </c>
      <c r="J481" s="91" t="s">
        <v>821</v>
      </c>
      <c r="K481" s="91">
        <v>45190</v>
      </c>
      <c r="L481" s="10" t="s">
        <v>97</v>
      </c>
      <c r="M481" s="10" t="s">
        <v>903</v>
      </c>
      <c r="N481" s="10" t="s">
        <v>832</v>
      </c>
      <c r="O481" s="10"/>
    </row>
    <row r="482" spans="1:15" ht="30" x14ac:dyDescent="0.25">
      <c r="A482" s="9" t="s">
        <v>66</v>
      </c>
      <c r="B482" s="13">
        <f>VLOOKUP(Table2[[#This Row],[Location 
(drop-down)]],'List source'!D$2:E$59,2,FALSE)</f>
        <v>165</v>
      </c>
      <c r="C482" s="11" t="s">
        <v>790</v>
      </c>
      <c r="D482" s="127" t="str">
        <f t="shared" si="10"/>
        <v>C481-165-23</v>
      </c>
      <c r="E482" s="127" t="str">
        <f>VLOOKUP(Table2[[#This Row],[Location 
(drop-down)]],Table1[#All],3,FALSE)</f>
        <v>USGC</v>
      </c>
      <c r="F482" s="11" t="s">
        <v>94</v>
      </c>
      <c r="G482" s="9" t="s">
        <v>1340</v>
      </c>
      <c r="H482" s="12">
        <v>45128</v>
      </c>
      <c r="I482" s="12" t="s">
        <v>435</v>
      </c>
      <c r="J482" s="91" t="s">
        <v>821</v>
      </c>
      <c r="K482" s="91">
        <v>45188</v>
      </c>
      <c r="L482" s="10" t="s">
        <v>97</v>
      </c>
      <c r="M482" s="10" t="s">
        <v>903</v>
      </c>
      <c r="N482" s="10" t="s">
        <v>832</v>
      </c>
      <c r="O482" s="10"/>
    </row>
    <row r="483" spans="1:15" ht="30" x14ac:dyDescent="0.25">
      <c r="A483" s="9" t="s">
        <v>66</v>
      </c>
      <c r="B483" s="13">
        <f>VLOOKUP(Table2[[#This Row],[Location 
(drop-down)]],'List source'!D$2:E$59,2,FALSE)</f>
        <v>165</v>
      </c>
      <c r="C483" s="11" t="s">
        <v>791</v>
      </c>
      <c r="D483" s="127" t="str">
        <f t="shared" si="10"/>
        <v>C482-165-23</v>
      </c>
      <c r="E483" s="127" t="str">
        <f>VLOOKUP(Table2[[#This Row],[Location 
(drop-down)]],Table1[#All],3,FALSE)</f>
        <v>USGC</v>
      </c>
      <c r="F483" s="11" t="s">
        <v>94</v>
      </c>
      <c r="G483" s="9" t="s">
        <v>1341</v>
      </c>
      <c r="H483" s="12">
        <v>45128</v>
      </c>
      <c r="I483" s="12" t="s">
        <v>435</v>
      </c>
      <c r="J483" s="91" t="s">
        <v>821</v>
      </c>
      <c r="K483" s="91">
        <v>45264</v>
      </c>
      <c r="L483" s="10" t="s">
        <v>97</v>
      </c>
      <c r="M483" s="10"/>
      <c r="N483" s="10"/>
      <c r="O483" s="10"/>
    </row>
    <row r="484" spans="1:15" ht="30" x14ac:dyDescent="0.25">
      <c r="A484" s="9" t="s">
        <v>66</v>
      </c>
      <c r="B484" s="13">
        <f>VLOOKUP(Table2[[#This Row],[Location 
(drop-down)]],'List source'!D$2:E$59,2,FALSE)</f>
        <v>165</v>
      </c>
      <c r="C484" s="11" t="s">
        <v>792</v>
      </c>
      <c r="D484" s="127" t="str">
        <f t="shared" si="10"/>
        <v>C483-165-23</v>
      </c>
      <c r="E484" s="127" t="str">
        <f>VLOOKUP(Table2[[#This Row],[Location 
(drop-down)]],Table1[#All],3,FALSE)</f>
        <v>USGC</v>
      </c>
      <c r="F484" s="11" t="s">
        <v>94</v>
      </c>
      <c r="G484" s="9" t="s">
        <v>1294</v>
      </c>
      <c r="H484" s="12">
        <v>45128</v>
      </c>
      <c r="I484" s="12" t="s">
        <v>435</v>
      </c>
      <c r="J484" s="91" t="s">
        <v>821</v>
      </c>
      <c r="K484" s="91">
        <v>45275</v>
      </c>
      <c r="L484" s="10" t="s">
        <v>97</v>
      </c>
      <c r="M484" s="10" t="s">
        <v>857</v>
      </c>
      <c r="N484" s="10" t="s">
        <v>832</v>
      </c>
      <c r="O484" s="10"/>
    </row>
    <row r="485" spans="1:15" ht="30" x14ac:dyDescent="0.25">
      <c r="A485" s="9" t="s">
        <v>66</v>
      </c>
      <c r="B485" s="13">
        <f>VLOOKUP(Table2[[#This Row],[Location 
(drop-down)]],'List source'!D$2:E$59,2,FALSE)</f>
        <v>165</v>
      </c>
      <c r="C485" s="11" t="s">
        <v>793</v>
      </c>
      <c r="D485" s="127" t="str">
        <f t="shared" si="10"/>
        <v>C484-165-23</v>
      </c>
      <c r="E485" s="127" t="str">
        <f>VLOOKUP(Table2[[#This Row],[Location 
(drop-down)]],Table1[#All],3,FALSE)</f>
        <v>USGC</v>
      </c>
      <c r="F485" s="11" t="s">
        <v>94</v>
      </c>
      <c r="G485" s="9" t="s">
        <v>1342</v>
      </c>
      <c r="H485" s="12">
        <v>45128</v>
      </c>
      <c r="I485" s="12" t="s">
        <v>435</v>
      </c>
      <c r="J485" s="91" t="s">
        <v>821</v>
      </c>
      <c r="K485" s="91">
        <v>45190</v>
      </c>
      <c r="L485" s="10" t="s">
        <v>97</v>
      </c>
      <c r="M485" s="10" t="s">
        <v>857</v>
      </c>
      <c r="N485" s="10" t="s">
        <v>822</v>
      </c>
      <c r="O485" s="10"/>
    </row>
    <row r="486" spans="1:15" ht="30" x14ac:dyDescent="0.25">
      <c r="A486" s="9" t="s">
        <v>66</v>
      </c>
      <c r="B486" s="13">
        <f>VLOOKUP(Table2[[#This Row],[Location 
(drop-down)]],'List source'!D$2:E$59,2,FALSE)</f>
        <v>165</v>
      </c>
      <c r="C486" s="11" t="s">
        <v>794</v>
      </c>
      <c r="D486" s="127" t="str">
        <f t="shared" si="10"/>
        <v>C485-165-23</v>
      </c>
      <c r="E486" s="127" t="str">
        <f>VLOOKUP(Table2[[#This Row],[Location 
(drop-down)]],Table1[#All],3,FALSE)</f>
        <v>USGC</v>
      </c>
      <c r="F486" s="11" t="s">
        <v>94</v>
      </c>
      <c r="G486" s="9" t="s">
        <v>1343</v>
      </c>
      <c r="H486" s="12">
        <v>45128</v>
      </c>
      <c r="I486" s="12" t="s">
        <v>435</v>
      </c>
      <c r="J486" s="91" t="s">
        <v>821</v>
      </c>
      <c r="K486" s="91">
        <v>45217</v>
      </c>
      <c r="L486" s="10" t="s">
        <v>97</v>
      </c>
      <c r="M486" s="10" t="s">
        <v>854</v>
      </c>
      <c r="N486" s="10" t="s">
        <v>822</v>
      </c>
      <c r="O486" s="10"/>
    </row>
    <row r="487" spans="1:15" ht="30" x14ac:dyDescent="0.25">
      <c r="A487" s="9" t="s">
        <v>66</v>
      </c>
      <c r="B487" s="13">
        <f>VLOOKUP(Table2[[#This Row],[Location 
(drop-down)]],'List source'!D$2:E$59,2,FALSE)</f>
        <v>165</v>
      </c>
      <c r="C487" s="11" t="s">
        <v>795</v>
      </c>
      <c r="D487" s="127" t="str">
        <f t="shared" si="10"/>
        <v>C486-165-23</v>
      </c>
      <c r="E487" s="127" t="str">
        <f>VLOOKUP(Table2[[#This Row],[Location 
(drop-down)]],Table1[#All],3,FALSE)</f>
        <v>USGC</v>
      </c>
      <c r="F487" s="11" t="s">
        <v>94</v>
      </c>
      <c r="G487" s="9" t="s">
        <v>1298</v>
      </c>
      <c r="H487" s="12">
        <v>45128</v>
      </c>
      <c r="I487" s="12" t="s">
        <v>435</v>
      </c>
      <c r="J487" s="91" t="s">
        <v>821</v>
      </c>
      <c r="K487" s="91">
        <v>45159</v>
      </c>
      <c r="L487" s="10" t="s">
        <v>97</v>
      </c>
      <c r="M487" s="10"/>
      <c r="N487" s="10"/>
      <c r="O487" s="10"/>
    </row>
    <row r="488" spans="1:15" ht="30" x14ac:dyDescent="0.25">
      <c r="A488" s="9" t="s">
        <v>66</v>
      </c>
      <c r="B488" s="13">
        <f>VLOOKUP(Table2[[#This Row],[Location 
(drop-down)]],'List source'!D$2:E$59,2,FALSE)</f>
        <v>165</v>
      </c>
      <c r="C488" s="11" t="s">
        <v>796</v>
      </c>
      <c r="D488" s="127" t="str">
        <f t="shared" si="10"/>
        <v>C487-165-23</v>
      </c>
      <c r="E488" s="127" t="str">
        <f>VLOOKUP(Table2[[#This Row],[Location 
(drop-down)]],Table1[#All],3,FALSE)</f>
        <v>USGC</v>
      </c>
      <c r="F488" s="11" t="s">
        <v>94</v>
      </c>
      <c r="G488" s="9" t="s">
        <v>1344</v>
      </c>
      <c r="H488" s="12">
        <v>45128</v>
      </c>
      <c r="I488" s="12" t="s">
        <v>435</v>
      </c>
      <c r="J488" s="91" t="s">
        <v>821</v>
      </c>
      <c r="K488" s="91">
        <v>45146</v>
      </c>
      <c r="L488" s="10" t="s">
        <v>97</v>
      </c>
      <c r="M488" s="10" t="s">
        <v>903</v>
      </c>
      <c r="N488" s="10" t="s">
        <v>837</v>
      </c>
      <c r="O488" s="10"/>
    </row>
    <row r="489" spans="1:15" ht="37.5" x14ac:dyDescent="0.25">
      <c r="A489" s="9" t="s">
        <v>331</v>
      </c>
      <c r="B489" s="13">
        <f>VLOOKUP(Table2[[#This Row],[Location 
(drop-down)]],'List source'!D$2:E$59,2,FALSE)</f>
        <v>146</v>
      </c>
      <c r="C489" s="11" t="s">
        <v>797</v>
      </c>
      <c r="D489" s="127" t="str">
        <f t="shared" si="10"/>
        <v>C488-146-23</v>
      </c>
      <c r="E489" s="127" t="str">
        <f>VLOOKUP(Table2[[#This Row],[Location 
(drop-down)]],Table1[#All],3,FALSE)</f>
        <v>SE &amp; Caribbean</v>
      </c>
      <c r="F489" s="11" t="s">
        <v>159</v>
      </c>
      <c r="G489" s="9" t="s">
        <v>1345</v>
      </c>
      <c r="H489" s="12">
        <v>45113</v>
      </c>
      <c r="I489" s="12" t="s">
        <v>443</v>
      </c>
      <c r="J489" s="91" t="s">
        <v>821</v>
      </c>
      <c r="K489" s="91">
        <v>45139</v>
      </c>
      <c r="L489" s="10" t="s">
        <v>147</v>
      </c>
      <c r="M489" s="10" t="s">
        <v>862</v>
      </c>
      <c r="N489" s="10"/>
      <c r="O489" s="10"/>
    </row>
    <row r="490" spans="1:15" ht="37.5" x14ac:dyDescent="0.25">
      <c r="A490" s="9" t="s">
        <v>331</v>
      </c>
      <c r="B490" s="13">
        <f>VLOOKUP(Table2[[#This Row],[Location 
(drop-down)]],'List source'!D$2:E$59,2,FALSE)</f>
        <v>146</v>
      </c>
      <c r="C490" s="11" t="s">
        <v>798</v>
      </c>
      <c r="D490" s="127" t="str">
        <f t="shared" si="10"/>
        <v>C489-146-23</v>
      </c>
      <c r="E490" s="127" t="str">
        <f>VLOOKUP(Table2[[#This Row],[Location 
(drop-down)]],Table1[#All],3,FALSE)</f>
        <v>SE &amp; Caribbean</v>
      </c>
      <c r="F490" s="11" t="s">
        <v>159</v>
      </c>
      <c r="G490" s="9" t="s">
        <v>1346</v>
      </c>
      <c r="H490" s="12">
        <v>45113</v>
      </c>
      <c r="I490" s="12" t="s">
        <v>443</v>
      </c>
      <c r="J490" s="91" t="s">
        <v>821</v>
      </c>
      <c r="K490" s="91">
        <v>45139</v>
      </c>
      <c r="L490" s="10" t="s">
        <v>147</v>
      </c>
      <c r="M490" s="10" t="s">
        <v>862</v>
      </c>
      <c r="N490" s="10"/>
      <c r="O490" s="10"/>
    </row>
    <row r="491" spans="1:15" ht="37.5" x14ac:dyDescent="0.25">
      <c r="A491" s="9" t="s">
        <v>331</v>
      </c>
      <c r="B491" s="13">
        <f>VLOOKUP(Table2[[#This Row],[Location 
(drop-down)]],'List source'!D$2:E$59,2,FALSE)</f>
        <v>146</v>
      </c>
      <c r="C491" s="11" t="s">
        <v>799</v>
      </c>
      <c r="D491" s="127" t="str">
        <f t="shared" si="10"/>
        <v>C490-146-23</v>
      </c>
      <c r="E491" s="127" t="str">
        <f>VLOOKUP(Table2[[#This Row],[Location 
(drop-down)]],Table1[#All],3,FALSE)</f>
        <v>SE &amp; Caribbean</v>
      </c>
      <c r="F491" s="11" t="s">
        <v>159</v>
      </c>
      <c r="G491" s="9" t="s">
        <v>1347</v>
      </c>
      <c r="H491" s="12">
        <v>45113</v>
      </c>
      <c r="I491" s="12" t="s">
        <v>443</v>
      </c>
      <c r="J491" s="91" t="s">
        <v>821</v>
      </c>
      <c r="K491" s="91">
        <v>45139</v>
      </c>
      <c r="L491" s="10" t="s">
        <v>147</v>
      </c>
      <c r="M491" s="10" t="s">
        <v>862</v>
      </c>
      <c r="N491" s="10"/>
      <c r="O491" s="10"/>
    </row>
    <row r="492" spans="1:15" ht="18.75" x14ac:dyDescent="0.25">
      <c r="A492" s="9" t="s">
        <v>22</v>
      </c>
      <c r="B492" s="13">
        <f>VLOOKUP(Table2[[#This Row],[Location 
(drop-down)]],'List source'!D$2:E$59,2,FALSE)</f>
        <v>130</v>
      </c>
      <c r="C492" s="11" t="s">
        <v>800</v>
      </c>
      <c r="D492" s="127" t="str">
        <f t="shared" si="10"/>
        <v>C491-130-23</v>
      </c>
      <c r="E492" s="127" t="str">
        <f>VLOOKUP(Table2[[#This Row],[Location 
(drop-down)]],Table1[#All],3,FALSE)</f>
        <v>USWC</v>
      </c>
      <c r="F492" s="11" t="s">
        <v>159</v>
      </c>
      <c r="G492" s="123" t="s">
        <v>1348</v>
      </c>
      <c r="H492" s="12">
        <v>45088</v>
      </c>
      <c r="I492" s="12" t="s">
        <v>129</v>
      </c>
      <c r="J492" s="91" t="s">
        <v>821</v>
      </c>
      <c r="K492" s="91">
        <v>45163</v>
      </c>
      <c r="L492" s="10" t="s">
        <v>97</v>
      </c>
      <c r="M492" s="10" t="s">
        <v>903</v>
      </c>
      <c r="N492" s="10" t="s">
        <v>881</v>
      </c>
      <c r="O492" s="10"/>
    </row>
    <row r="493" spans="1:15" ht="30" x14ac:dyDescent="0.25">
      <c r="A493" s="9" t="s">
        <v>22</v>
      </c>
      <c r="B493" s="13">
        <f>VLOOKUP(Table2[[#This Row],[Location 
(drop-down)]],'List source'!D$2:E$59,2,FALSE)</f>
        <v>130</v>
      </c>
      <c r="C493" s="11" t="s">
        <v>801</v>
      </c>
      <c r="D493" s="127" t="str">
        <f t="shared" si="10"/>
        <v>C492-130-23</v>
      </c>
      <c r="E493" s="127" t="str">
        <f>VLOOKUP(Table2[[#This Row],[Location 
(drop-down)]],Table1[#All],3,FALSE)</f>
        <v>USWC</v>
      </c>
      <c r="F493" s="11" t="s">
        <v>159</v>
      </c>
      <c r="G493" s="123" t="s">
        <v>1349</v>
      </c>
      <c r="H493" s="12">
        <v>45088</v>
      </c>
      <c r="I493" s="12" t="s">
        <v>129</v>
      </c>
      <c r="J493" s="91" t="s">
        <v>821</v>
      </c>
      <c r="K493" s="91">
        <v>45163</v>
      </c>
      <c r="L493" s="10" t="s">
        <v>97</v>
      </c>
      <c r="M493" s="10" t="s">
        <v>854</v>
      </c>
      <c r="N493" s="10" t="s">
        <v>858</v>
      </c>
      <c r="O493" s="10"/>
    </row>
    <row r="494" spans="1:15" ht="30" x14ac:dyDescent="0.25">
      <c r="A494" s="9" t="s">
        <v>174</v>
      </c>
      <c r="B494" s="13">
        <f>VLOOKUP(Table2[[#This Row],[Location 
(drop-down)]],'List source'!D$2:E$59,2,FALSE)</f>
        <v>131</v>
      </c>
      <c r="C494" s="11" t="s">
        <v>802</v>
      </c>
      <c r="D494" s="127" t="str">
        <f t="shared" si="10"/>
        <v>C493-131-23</v>
      </c>
      <c r="E494" s="127" t="str">
        <f>VLOOKUP(Table2[[#This Row],[Location 
(drop-down)]],Table1[#All],3,FALSE)</f>
        <v>USWC</v>
      </c>
      <c r="F494" s="11" t="s">
        <v>159</v>
      </c>
      <c r="G494" s="123" t="s">
        <v>1350</v>
      </c>
      <c r="H494" s="12">
        <v>45107</v>
      </c>
      <c r="I494" s="12" t="s">
        <v>440</v>
      </c>
      <c r="J494" s="91" t="s">
        <v>821</v>
      </c>
      <c r="K494" s="91">
        <v>45310</v>
      </c>
      <c r="L494" s="10" t="s">
        <v>97</v>
      </c>
      <c r="M494" s="10" t="s">
        <v>914</v>
      </c>
      <c r="N494" s="10"/>
      <c r="O494" s="10"/>
    </row>
    <row r="495" spans="1:15" ht="30" x14ac:dyDescent="0.25">
      <c r="A495" s="9" t="s">
        <v>174</v>
      </c>
      <c r="B495" s="13">
        <f>VLOOKUP(Table2[[#This Row],[Location 
(drop-down)]],'List source'!D$2:E$59,2,FALSE)</f>
        <v>131</v>
      </c>
      <c r="C495" s="11" t="s">
        <v>803</v>
      </c>
      <c r="D495" s="127" t="str">
        <f t="shared" si="10"/>
        <v>C494-131-23</v>
      </c>
      <c r="E495" s="127" t="str">
        <f>VLOOKUP(Table2[[#This Row],[Location 
(drop-down)]],Table1[#All],3,FALSE)</f>
        <v>USWC</v>
      </c>
      <c r="F495" s="11" t="s">
        <v>159</v>
      </c>
      <c r="G495" s="123" t="s">
        <v>1351</v>
      </c>
      <c r="H495" s="12">
        <v>45107</v>
      </c>
      <c r="I495" s="12" t="s">
        <v>440</v>
      </c>
      <c r="J495" s="91" t="s">
        <v>821</v>
      </c>
      <c r="K495" s="91">
        <v>45198</v>
      </c>
      <c r="L495" s="10" t="s">
        <v>97</v>
      </c>
      <c r="M495" s="10" t="s">
        <v>854</v>
      </c>
      <c r="N495" s="10"/>
      <c r="O495" s="10"/>
    </row>
    <row r="496" spans="1:15" ht="30" x14ac:dyDescent="0.25">
      <c r="A496" s="9" t="s">
        <v>174</v>
      </c>
      <c r="B496" s="13">
        <f>VLOOKUP(Table2[[#This Row],[Location 
(drop-down)]],'List source'!D$2:E$59,2,FALSE)</f>
        <v>131</v>
      </c>
      <c r="C496" s="11" t="s">
        <v>804</v>
      </c>
      <c r="D496" s="127" t="str">
        <f t="shared" si="10"/>
        <v>C495-131-23</v>
      </c>
      <c r="E496" s="127" t="str">
        <f>VLOOKUP(Table2[[#This Row],[Location 
(drop-down)]],Table1[#All],3,FALSE)</f>
        <v>USWC</v>
      </c>
      <c r="F496" s="11" t="s">
        <v>159</v>
      </c>
      <c r="G496" s="123" t="s">
        <v>1351</v>
      </c>
      <c r="H496" s="12">
        <v>45107</v>
      </c>
      <c r="I496" s="12" t="s">
        <v>440</v>
      </c>
      <c r="J496" s="91" t="s">
        <v>821</v>
      </c>
      <c r="K496" s="91">
        <v>45278</v>
      </c>
      <c r="L496" s="10" t="s">
        <v>97</v>
      </c>
      <c r="M496" s="10" t="s">
        <v>914</v>
      </c>
      <c r="N496" s="10" t="s">
        <v>910</v>
      </c>
      <c r="O496" s="10" t="s">
        <v>1352</v>
      </c>
    </row>
    <row r="497" spans="1:15" ht="37.5" x14ac:dyDescent="0.25">
      <c r="A497" s="9" t="s">
        <v>226</v>
      </c>
      <c r="B497" s="13">
        <f>VLOOKUP(Table2[[#This Row],[Location 
(drop-down)]],'List source'!D$2:E$59,2,FALSE)</f>
        <v>110</v>
      </c>
      <c r="C497" s="11" t="s">
        <v>805</v>
      </c>
      <c r="D497" s="127" t="str">
        <f t="shared" si="10"/>
        <v>C496-110-23</v>
      </c>
      <c r="E497" s="127" t="str">
        <f>VLOOKUP(Table2[[#This Row],[Location 
(drop-down)]],Table1[#All],3,FALSE)</f>
        <v>USNE, USMW &amp; Canada</v>
      </c>
      <c r="F497" s="11" t="s">
        <v>15</v>
      </c>
      <c r="G497" s="9" t="s">
        <v>1353</v>
      </c>
      <c r="H497" s="12">
        <v>45131</v>
      </c>
      <c r="I497" s="12" t="s">
        <v>17</v>
      </c>
      <c r="J497" s="91" t="s">
        <v>821</v>
      </c>
      <c r="K497" s="91">
        <v>45483</v>
      </c>
      <c r="L497" s="10" t="s">
        <v>15</v>
      </c>
      <c r="M497" s="10" t="s">
        <v>15</v>
      </c>
      <c r="N497" s="10" t="s">
        <v>832</v>
      </c>
      <c r="O497" s="10"/>
    </row>
    <row r="498" spans="1:15" ht="30" x14ac:dyDescent="0.25">
      <c r="A498" s="9" t="s">
        <v>27</v>
      </c>
      <c r="B498" s="13">
        <f>VLOOKUP(Table2[[#This Row],[Location 
(drop-down)]],'List source'!D$2:E$59,2,FALSE)</f>
        <v>132</v>
      </c>
      <c r="C498" s="11" t="s">
        <v>806</v>
      </c>
      <c r="D498" s="127" t="str">
        <f t="shared" si="10"/>
        <v>C497-132-23</v>
      </c>
      <c r="E498" s="127" t="str">
        <f>VLOOKUP(Table2[[#This Row],[Location 
(drop-down)]],Table1[#All],3,FALSE)</f>
        <v>USWC</v>
      </c>
      <c r="F498" s="11" t="s">
        <v>15</v>
      </c>
      <c r="G498" s="9" t="s">
        <v>1354</v>
      </c>
      <c r="H498" s="12">
        <v>45131</v>
      </c>
      <c r="I498" s="12" t="s">
        <v>17</v>
      </c>
      <c r="J498" s="91" t="s">
        <v>821</v>
      </c>
      <c r="K498" s="91">
        <v>45441</v>
      </c>
      <c r="L498" s="10" t="s">
        <v>15</v>
      </c>
      <c r="M498" s="10" t="s">
        <v>15</v>
      </c>
      <c r="N498" s="10"/>
      <c r="O498" s="10"/>
    </row>
    <row r="499" spans="1:15" ht="45" x14ac:dyDescent="0.25">
      <c r="A499" s="9" t="s">
        <v>37</v>
      </c>
      <c r="B499" s="13">
        <f>VLOOKUP(Table2[[#This Row],[Location 
(drop-down)]],'List source'!D$2:E$59,2,FALSE)</f>
        <v>158</v>
      </c>
      <c r="C499" s="11" t="s">
        <v>807</v>
      </c>
      <c r="D499" s="222" t="str">
        <f t="shared" si="10"/>
        <v>C498-158-23</v>
      </c>
      <c r="E499" s="127" t="str">
        <f>VLOOKUP(Table2[[#This Row],[Location 
(drop-down)]],Table1[#All],3,FALSE)</f>
        <v>USGC</v>
      </c>
      <c r="F499" s="11" t="s">
        <v>15</v>
      </c>
      <c r="G499" s="9" t="s">
        <v>1355</v>
      </c>
      <c r="H499" s="12">
        <v>45131</v>
      </c>
      <c r="I499" s="12" t="s">
        <v>17</v>
      </c>
      <c r="J499" s="218" t="s">
        <v>821</v>
      </c>
      <c r="K499" s="218">
        <v>45220</v>
      </c>
      <c r="L499" s="10" t="s">
        <v>15</v>
      </c>
      <c r="M499" s="10" t="s">
        <v>15</v>
      </c>
      <c r="N499" s="10"/>
      <c r="O499" s="10"/>
    </row>
    <row r="500" spans="1:15" ht="37.5" x14ac:dyDescent="0.25">
      <c r="A500" s="9" t="s">
        <v>226</v>
      </c>
      <c r="B500" s="13">
        <f>VLOOKUP(Table2[[#This Row],[Location 
(drop-down)]],'List source'!D$2:E$59,2,FALSE)</f>
        <v>110</v>
      </c>
      <c r="C500" s="11" t="s">
        <v>808</v>
      </c>
      <c r="D500" s="127" t="str">
        <f t="shared" si="10"/>
        <v>C499-110-23</v>
      </c>
      <c r="E500" s="127" t="str">
        <f>VLOOKUP(Table2[[#This Row],[Location 
(drop-down)]],Table1[#All],3,FALSE)</f>
        <v>USNE, USMW &amp; Canada</v>
      </c>
      <c r="F500" s="11" t="s">
        <v>15</v>
      </c>
      <c r="G500" s="9" t="s">
        <v>1356</v>
      </c>
      <c r="H500" s="12">
        <v>45131</v>
      </c>
      <c r="I500" s="12" t="s">
        <v>17</v>
      </c>
      <c r="J500" s="91" t="s">
        <v>821</v>
      </c>
      <c r="K500" s="91">
        <v>45483</v>
      </c>
      <c r="L500" s="10" t="s">
        <v>15</v>
      </c>
      <c r="M500" s="10" t="s">
        <v>15</v>
      </c>
      <c r="N500" s="10" t="s">
        <v>832</v>
      </c>
      <c r="O500" s="10"/>
    </row>
    <row r="501" spans="1:15" ht="37.5" x14ac:dyDescent="0.25">
      <c r="A501" s="9" t="s">
        <v>13</v>
      </c>
      <c r="B501" s="13">
        <f>VLOOKUP(Table2[[#This Row],[Location 
(drop-down)]],'List source'!D$2:E$59,2,FALSE)</f>
        <v>126</v>
      </c>
      <c r="C501" s="11" t="s">
        <v>809</v>
      </c>
      <c r="D501" s="127" t="str">
        <f t="shared" si="10"/>
        <v>C500-126-23</v>
      </c>
      <c r="E501" s="127" t="str">
        <f>VLOOKUP(Table2[[#This Row],[Location 
(drop-down)]],Table1[#All],3,FALSE)</f>
        <v>SE &amp; Caribbean</v>
      </c>
      <c r="F501" s="11" t="s">
        <v>15</v>
      </c>
      <c r="G501" s="9" t="s">
        <v>1357</v>
      </c>
      <c r="H501" s="12">
        <v>45131</v>
      </c>
      <c r="I501" s="12" t="s">
        <v>17</v>
      </c>
      <c r="J501" s="91" t="s">
        <v>821</v>
      </c>
      <c r="K501" s="91">
        <v>45153</v>
      </c>
      <c r="L501" s="10" t="s">
        <v>15</v>
      </c>
      <c r="M501" s="10" t="s">
        <v>15</v>
      </c>
      <c r="N501" s="10" t="s">
        <v>822</v>
      </c>
      <c r="O501" s="10"/>
    </row>
    <row r="502" spans="1:15" ht="30" x14ac:dyDescent="0.25">
      <c r="A502" s="9" t="s">
        <v>178</v>
      </c>
      <c r="B502" s="13">
        <f>VLOOKUP(Table2[[#This Row],[Location 
(drop-down)]],'List source'!D$2:E$59,2,FALSE)</f>
        <v>150</v>
      </c>
      <c r="C502" s="11" t="s">
        <v>1358</v>
      </c>
      <c r="D502" s="117" t="str">
        <f t="shared" si="10"/>
        <v>C501-150-23</v>
      </c>
      <c r="E502" s="117" t="str">
        <f>VLOOKUP(Table2[[#This Row],[Location 
(drop-down)]],Table1[#All],3,FALSE)</f>
        <v>USGC</v>
      </c>
      <c r="F502" s="196" t="s">
        <v>15</v>
      </c>
      <c r="G502" s="9" t="s">
        <v>1359</v>
      </c>
      <c r="H502" s="12">
        <v>45131</v>
      </c>
      <c r="I502" s="12" t="s">
        <v>17</v>
      </c>
      <c r="J502" s="91" t="s">
        <v>898</v>
      </c>
      <c r="K502" s="91">
        <v>45641</v>
      </c>
      <c r="L502" s="10" t="s">
        <v>15</v>
      </c>
      <c r="M502" s="10" t="s">
        <v>15</v>
      </c>
      <c r="N502" s="10"/>
      <c r="O502" s="10"/>
    </row>
    <row r="503" spans="1:15" ht="37.5" x14ac:dyDescent="0.25">
      <c r="A503" s="9" t="s">
        <v>72</v>
      </c>
      <c r="B503" s="13">
        <f>VLOOKUP(Table2[[#This Row],[Location 
(drop-down)]],'List source'!D$2:E$59,2,FALSE)</f>
        <v>197</v>
      </c>
      <c r="C503" s="11" t="s">
        <v>1360</v>
      </c>
      <c r="D503" s="117" t="str">
        <f t="shared" si="10"/>
        <v>C502-197-23</v>
      </c>
      <c r="E503" s="117" t="str">
        <f>VLOOKUP(Table2[[#This Row],[Location 
(drop-down)]],Table1[#All],3,FALSE)</f>
        <v>USNE, USMW &amp; Canada</v>
      </c>
      <c r="F503" s="196" t="s">
        <v>15</v>
      </c>
      <c r="G503" s="9" t="s">
        <v>1361</v>
      </c>
      <c r="H503" s="12">
        <v>45131</v>
      </c>
      <c r="I503" s="12" t="s">
        <v>17</v>
      </c>
      <c r="J503" s="91" t="s">
        <v>821</v>
      </c>
      <c r="K503" s="91">
        <v>45440</v>
      </c>
      <c r="L503" s="10" t="s">
        <v>15</v>
      </c>
      <c r="M503" s="10" t="s">
        <v>15</v>
      </c>
      <c r="N503" s="10"/>
      <c r="O503" s="10"/>
    </row>
    <row r="504" spans="1:15" ht="37.5" x14ac:dyDescent="0.25">
      <c r="A504" s="9" t="s">
        <v>47</v>
      </c>
      <c r="B504" s="13">
        <f>VLOOKUP(Table2[[#This Row],[Location 
(drop-down)]],'List source'!D$2:E$59,2,FALSE)</f>
        <v>215</v>
      </c>
      <c r="C504" s="11" t="s">
        <v>1362</v>
      </c>
      <c r="D504" s="117" t="str">
        <f t="shared" si="10"/>
        <v>C503-215-23</v>
      </c>
      <c r="E504" s="117" t="str">
        <f>VLOOKUP(Table2[[#This Row],[Location 
(drop-down)]],Table1[#All],3,FALSE)</f>
        <v>SE &amp; Caribbean</v>
      </c>
      <c r="F504" s="196" t="s">
        <v>852</v>
      </c>
      <c r="G504" s="9" t="s">
        <v>1363</v>
      </c>
      <c r="H504" s="12">
        <v>45131</v>
      </c>
      <c r="I504" s="12" t="s">
        <v>129</v>
      </c>
      <c r="J504" s="91" t="s">
        <v>821</v>
      </c>
      <c r="K504" s="91">
        <v>45148</v>
      </c>
      <c r="L504" s="10" t="s">
        <v>97</v>
      </c>
      <c r="M504" s="10" t="s">
        <v>903</v>
      </c>
      <c r="N504" s="10" t="s">
        <v>822</v>
      </c>
      <c r="O504" s="10"/>
    </row>
    <row r="505" spans="1:15" ht="31.5" customHeight="1" x14ac:dyDescent="0.25">
      <c r="A505" s="9" t="s">
        <v>27</v>
      </c>
      <c r="B505" s="13">
        <f>VLOOKUP(Table2[[#This Row],[Location 
(drop-down)]],'List source'!D$2:E$59,2,FALSE)</f>
        <v>132</v>
      </c>
      <c r="C505" s="11" t="s">
        <v>1364</v>
      </c>
      <c r="D505" s="117" t="str">
        <f t="shared" si="10"/>
        <v>C504-132-23</v>
      </c>
      <c r="E505" s="117" t="str">
        <f>VLOOKUP(Table2[[#This Row],[Location 
(drop-down)]],Table1[#All],3,FALSE)</f>
        <v>USWC</v>
      </c>
      <c r="F505" s="196" t="s">
        <v>15</v>
      </c>
      <c r="G505" s="9" t="s">
        <v>1365</v>
      </c>
      <c r="H505" s="12">
        <v>45132</v>
      </c>
      <c r="I505" s="12" t="s">
        <v>17</v>
      </c>
      <c r="J505" s="91" t="s">
        <v>898</v>
      </c>
      <c r="K505" s="91">
        <v>45784</v>
      </c>
      <c r="L505" s="10" t="s">
        <v>15</v>
      </c>
      <c r="M505" s="10" t="s">
        <v>15</v>
      </c>
      <c r="N505" s="10"/>
      <c r="O505" s="10"/>
    </row>
    <row r="506" spans="1:15" ht="30" x14ac:dyDescent="0.25">
      <c r="A506" s="9" t="s">
        <v>27</v>
      </c>
      <c r="B506" s="13">
        <f>VLOOKUP(Table2[[#This Row],[Location 
(drop-down)]],'List source'!D$2:E$59,2,FALSE)</f>
        <v>132</v>
      </c>
      <c r="C506" s="11" t="s">
        <v>1366</v>
      </c>
      <c r="D506" s="117" t="str">
        <f t="shared" si="10"/>
        <v>C505-132-23</v>
      </c>
      <c r="E506" s="117" t="str">
        <f>VLOOKUP(Table2[[#This Row],[Location 
(drop-down)]],Table1[#All],3,FALSE)</f>
        <v>USWC</v>
      </c>
      <c r="F506" s="196" t="s">
        <v>15</v>
      </c>
      <c r="G506" s="9" t="s">
        <v>1367</v>
      </c>
      <c r="H506" s="12">
        <v>45132</v>
      </c>
      <c r="I506" s="12" t="s">
        <v>1368</v>
      </c>
      <c r="J506" s="91" t="s">
        <v>898</v>
      </c>
      <c r="K506" s="91">
        <v>45713</v>
      </c>
      <c r="L506" s="10" t="s">
        <v>15</v>
      </c>
      <c r="M506" s="10" t="s">
        <v>15</v>
      </c>
      <c r="N506" s="10"/>
      <c r="O506" s="10"/>
    </row>
    <row r="507" spans="1:15" ht="37.5" x14ac:dyDescent="0.25">
      <c r="A507" s="9" t="s">
        <v>331</v>
      </c>
      <c r="B507" s="13">
        <f>VLOOKUP(Table2[[#This Row],[Location 
(drop-down)]],'List source'!D$2:E$59,2,FALSE)</f>
        <v>146</v>
      </c>
      <c r="C507" s="11" t="s">
        <v>1369</v>
      </c>
      <c r="D507" s="117" t="str">
        <f t="shared" si="10"/>
        <v>C506-146-23</v>
      </c>
      <c r="E507" s="117" t="str">
        <f>VLOOKUP(Table2[[#This Row],[Location 
(drop-down)]],Table1[#All],3,FALSE)</f>
        <v>SE &amp; Caribbean</v>
      </c>
      <c r="F507" s="196" t="s">
        <v>15</v>
      </c>
      <c r="G507" s="9" t="s">
        <v>1370</v>
      </c>
      <c r="H507" s="12">
        <v>45132</v>
      </c>
      <c r="I507" s="12" t="s">
        <v>17</v>
      </c>
      <c r="J507" s="91" t="s">
        <v>821</v>
      </c>
      <c r="K507" s="91">
        <v>45324</v>
      </c>
      <c r="L507" s="10" t="s">
        <v>15</v>
      </c>
      <c r="M507" s="10" t="s">
        <v>15</v>
      </c>
      <c r="N507" s="10"/>
      <c r="O507" s="10"/>
    </row>
    <row r="508" spans="1:15" ht="45.75" customHeight="1" x14ac:dyDescent="0.25">
      <c r="A508" s="9" t="s">
        <v>171</v>
      </c>
      <c r="B508" s="13">
        <f>VLOOKUP(Table2[[#This Row],[Location 
(drop-down)]],'List source'!D$2:E$59,2,FALSE)</f>
        <v>160</v>
      </c>
      <c r="C508" s="11" t="s">
        <v>1371</v>
      </c>
      <c r="D508" s="117" t="str">
        <f t="shared" si="10"/>
        <v>C507-160-23</v>
      </c>
      <c r="E508" s="117" t="str">
        <f>VLOOKUP(Table2[[#This Row],[Location 
(drop-down)]],Table1[#All],3,FALSE)</f>
        <v>USGC</v>
      </c>
      <c r="F508" s="196" t="s">
        <v>15</v>
      </c>
      <c r="G508" s="9" t="s">
        <v>1372</v>
      </c>
      <c r="H508" s="12">
        <v>45132</v>
      </c>
      <c r="I508" s="12" t="s">
        <v>17</v>
      </c>
      <c r="J508" s="91" t="s">
        <v>821</v>
      </c>
      <c r="K508" s="91">
        <v>45250</v>
      </c>
      <c r="L508" s="10" t="s">
        <v>15</v>
      </c>
      <c r="M508" s="10" t="s">
        <v>15</v>
      </c>
      <c r="N508" s="10"/>
      <c r="O508" s="10"/>
    </row>
    <row r="509" spans="1:15" ht="30" x14ac:dyDescent="0.25">
      <c r="A509" s="9" t="s">
        <v>37</v>
      </c>
      <c r="B509" s="13">
        <f>VLOOKUP(Table2[[#This Row],[Location 
(drop-down)]],'List source'!D$2:E$59,2,FALSE)</f>
        <v>158</v>
      </c>
      <c r="C509" s="11" t="s">
        <v>1373</v>
      </c>
      <c r="D509" s="117" t="str">
        <f t="shared" si="10"/>
        <v>C508-158-23</v>
      </c>
      <c r="E509" s="117" t="str">
        <f>VLOOKUP(Table2[[#This Row],[Location 
(drop-down)]],Table1[#All],3,FALSE)</f>
        <v>USGC</v>
      </c>
      <c r="F509" s="196" t="s">
        <v>15</v>
      </c>
      <c r="G509" s="9" t="s">
        <v>1374</v>
      </c>
      <c r="H509" s="12">
        <v>45132</v>
      </c>
      <c r="I509" s="12" t="s">
        <v>17</v>
      </c>
      <c r="J509" s="91" t="s">
        <v>821</v>
      </c>
      <c r="K509" s="91">
        <v>45313</v>
      </c>
      <c r="L509" s="10" t="s">
        <v>15</v>
      </c>
      <c r="M509" s="10" t="s">
        <v>15</v>
      </c>
      <c r="N509" s="10"/>
      <c r="O509" s="10"/>
    </row>
    <row r="510" spans="1:15" ht="43.5" customHeight="1" x14ac:dyDescent="0.25">
      <c r="A510" s="9" t="s">
        <v>324</v>
      </c>
      <c r="B510" s="13">
        <f>VLOOKUP(Table2[[#This Row],[Location 
(drop-down)]],'List source'!D$2:E$59,2,FALSE)</f>
        <v>170</v>
      </c>
      <c r="C510" s="11" t="s">
        <v>1375</v>
      </c>
      <c r="D510" s="117" t="str">
        <f t="shared" si="10"/>
        <v>C509-170-23</v>
      </c>
      <c r="E510" s="117" t="str">
        <f>VLOOKUP(Table2[[#This Row],[Location 
(drop-down)]],Table1[#All],3,FALSE)</f>
        <v>SE &amp; Caribbean</v>
      </c>
      <c r="F510" s="196" t="s">
        <v>15</v>
      </c>
      <c r="G510" s="9" t="s">
        <v>1376</v>
      </c>
      <c r="H510" s="12">
        <v>45132</v>
      </c>
      <c r="I510" s="12" t="s">
        <v>17</v>
      </c>
      <c r="J510" s="91" t="s">
        <v>821</v>
      </c>
      <c r="K510" s="91">
        <v>45169</v>
      </c>
      <c r="L510" s="10" t="s">
        <v>15</v>
      </c>
      <c r="M510" s="10" t="s">
        <v>15</v>
      </c>
      <c r="N510" s="10"/>
      <c r="O510" s="10"/>
    </row>
    <row r="511" spans="1:15" ht="45.75" customHeight="1" x14ac:dyDescent="0.25">
      <c r="A511" s="9" t="s">
        <v>411</v>
      </c>
      <c r="B511" s="13">
        <f>VLOOKUP(Table2[[#This Row],[Location 
(drop-down)]],'List source'!D$2:E$59,2,FALSE)</f>
        <v>185</v>
      </c>
      <c r="C511" s="11" t="s">
        <v>1377</v>
      </c>
      <c r="D511" s="117" t="str">
        <f t="shared" si="10"/>
        <v>C510-185-23</v>
      </c>
      <c r="E511" s="117" t="str">
        <f>VLOOKUP(Table2[[#This Row],[Location 
(drop-down)]],Table1[#All],3,FALSE)</f>
        <v>SE &amp; Caribbean</v>
      </c>
      <c r="F511" s="196" t="s">
        <v>15</v>
      </c>
      <c r="G511" s="9" t="s">
        <v>1378</v>
      </c>
      <c r="H511" s="12">
        <v>45132</v>
      </c>
      <c r="I511" s="12" t="s">
        <v>17</v>
      </c>
      <c r="J511" s="91" t="s">
        <v>821</v>
      </c>
      <c r="K511" s="91">
        <v>45141</v>
      </c>
      <c r="L511" s="10" t="s">
        <v>15</v>
      </c>
      <c r="M511" s="10" t="s">
        <v>15</v>
      </c>
      <c r="N511" s="10" t="s">
        <v>832</v>
      </c>
      <c r="O511" s="10"/>
    </row>
    <row r="512" spans="1:15" ht="30" x14ac:dyDescent="0.25">
      <c r="A512" s="9" t="s">
        <v>22</v>
      </c>
      <c r="B512" s="13">
        <f>VLOOKUP(Table2[[#This Row],[Location 
(drop-down)]],'List source'!D$2:E$59,2,FALSE)</f>
        <v>130</v>
      </c>
      <c r="C512" s="11" t="s">
        <v>1379</v>
      </c>
      <c r="D512" s="117" t="str">
        <f t="shared" si="10"/>
        <v>C511-130-23</v>
      </c>
      <c r="E512" s="117" t="str">
        <f>VLOOKUP(Table2[[#This Row],[Location 
(drop-down)]],Table1[#All],3,FALSE)</f>
        <v>USWC</v>
      </c>
      <c r="F512" s="196" t="s">
        <v>15</v>
      </c>
      <c r="G512" s="9" t="s">
        <v>1380</v>
      </c>
      <c r="H512" s="12">
        <v>45132</v>
      </c>
      <c r="I512" s="12" t="s">
        <v>17</v>
      </c>
      <c r="J512" s="305" t="s">
        <v>821</v>
      </c>
      <c r="K512" s="305">
        <v>45295</v>
      </c>
      <c r="L512" s="10" t="s">
        <v>15</v>
      </c>
      <c r="M512" s="10" t="s">
        <v>15</v>
      </c>
      <c r="N512" s="10" t="s">
        <v>822</v>
      </c>
      <c r="O512" s="10"/>
    </row>
    <row r="513" spans="1:15" ht="30" x14ac:dyDescent="0.25">
      <c r="A513" s="9" t="s">
        <v>27</v>
      </c>
      <c r="B513" s="13">
        <f>VLOOKUP(Table2[[#This Row],[Location 
(drop-down)]],'List source'!D$2:E$59,2,FALSE)</f>
        <v>132</v>
      </c>
      <c r="C513" s="11" t="s">
        <v>1381</v>
      </c>
      <c r="D513" s="117" t="str">
        <f t="shared" si="10"/>
        <v>C512-132-23</v>
      </c>
      <c r="E513" s="117" t="str">
        <f>VLOOKUP(Table2[[#This Row],[Location 
(drop-down)]],Table1[#All],3,FALSE)</f>
        <v>USWC</v>
      </c>
      <c r="F513" s="196" t="s">
        <v>15</v>
      </c>
      <c r="G513" s="9" t="s">
        <v>1382</v>
      </c>
      <c r="H513" s="12">
        <v>45132</v>
      </c>
      <c r="I513" s="12" t="s">
        <v>17</v>
      </c>
      <c r="J513" s="91" t="s">
        <v>821</v>
      </c>
      <c r="K513" s="91">
        <v>45299</v>
      </c>
      <c r="L513" s="10" t="s">
        <v>15</v>
      </c>
      <c r="M513" s="10" t="s">
        <v>15</v>
      </c>
      <c r="N513" s="10" t="s">
        <v>832</v>
      </c>
      <c r="O513" s="10"/>
    </row>
    <row r="514" spans="1:15" ht="30" x14ac:dyDescent="0.25">
      <c r="A514" s="9" t="s">
        <v>27</v>
      </c>
      <c r="B514" s="13">
        <f>VLOOKUP(Table2[[#This Row],[Location 
(drop-down)]],'List source'!D$2:E$59,2,FALSE)</f>
        <v>132</v>
      </c>
      <c r="C514" s="11" t="s">
        <v>1383</v>
      </c>
      <c r="D514" s="117" t="str">
        <f t="shared" si="10"/>
        <v>C513-132-23</v>
      </c>
      <c r="E514" s="117" t="str">
        <f>VLOOKUP(Table2[[#This Row],[Location 
(drop-down)]],Table1[#All],3,FALSE)</f>
        <v>USWC</v>
      </c>
      <c r="F514" s="196" t="s">
        <v>15</v>
      </c>
      <c r="G514" s="9" t="s">
        <v>1384</v>
      </c>
      <c r="H514" s="12">
        <v>45132</v>
      </c>
      <c r="I514" s="12" t="s">
        <v>17</v>
      </c>
      <c r="J514" s="91" t="s">
        <v>821</v>
      </c>
      <c r="K514" s="91">
        <v>45300</v>
      </c>
      <c r="L514" s="10" t="s">
        <v>15</v>
      </c>
      <c r="M514" s="10" t="s">
        <v>15</v>
      </c>
      <c r="N514" s="10"/>
      <c r="O514" s="10"/>
    </row>
    <row r="515" spans="1:15" ht="37.5" x14ac:dyDescent="0.25">
      <c r="A515" s="9" t="s">
        <v>1385</v>
      </c>
      <c r="B515" s="13">
        <f>VLOOKUP(Table2[[#This Row],[Location 
(drop-down)]],'List source'!D$2:E$59,2,FALSE)</f>
        <v>139</v>
      </c>
      <c r="C515" s="11" t="s">
        <v>1386</v>
      </c>
      <c r="D515" s="117" t="str">
        <f t="shared" si="10"/>
        <v>C514-139-23</v>
      </c>
      <c r="E515" s="117" t="str">
        <f>VLOOKUP(Table2[[#This Row],[Location 
(drop-down)]],Table1[#All],3,FALSE)</f>
        <v>SE &amp; Caribbean</v>
      </c>
      <c r="F515" s="196" t="s">
        <v>15</v>
      </c>
      <c r="G515" s="9" t="s">
        <v>1387</v>
      </c>
      <c r="H515" s="12">
        <v>45132</v>
      </c>
      <c r="I515" s="12" t="s">
        <v>17</v>
      </c>
      <c r="J515" s="91" t="s">
        <v>821</v>
      </c>
      <c r="K515" s="91">
        <v>45240</v>
      </c>
      <c r="L515" s="10" t="s">
        <v>15</v>
      </c>
      <c r="M515" s="10" t="s">
        <v>15</v>
      </c>
      <c r="N515" s="10" t="s">
        <v>822</v>
      </c>
      <c r="O515" s="10"/>
    </row>
    <row r="516" spans="1:15" ht="37.5" x14ac:dyDescent="0.25">
      <c r="A516" s="9" t="s">
        <v>1385</v>
      </c>
      <c r="B516" s="13">
        <f>VLOOKUP(Table2[[#This Row],[Location 
(drop-down)]],'List source'!D$2:E$59,2,FALSE)</f>
        <v>139</v>
      </c>
      <c r="C516" s="11" t="s">
        <v>1388</v>
      </c>
      <c r="D516" s="117" t="str">
        <f t="shared" si="10"/>
        <v>C515-139-23</v>
      </c>
      <c r="E516" s="117" t="str">
        <f>VLOOKUP(Table2[[#This Row],[Location 
(drop-down)]],Table1[#All],3,FALSE)</f>
        <v>SE &amp; Caribbean</v>
      </c>
      <c r="F516" s="196" t="s">
        <v>15</v>
      </c>
      <c r="G516" s="9" t="s">
        <v>1389</v>
      </c>
      <c r="H516" s="12">
        <v>45132</v>
      </c>
      <c r="I516" s="12" t="s">
        <v>17</v>
      </c>
      <c r="J516" s="91" t="s">
        <v>821</v>
      </c>
      <c r="K516" s="91">
        <v>45278</v>
      </c>
      <c r="L516" s="10" t="s">
        <v>15</v>
      </c>
      <c r="M516" s="10" t="s">
        <v>15</v>
      </c>
      <c r="N516" s="10"/>
      <c r="O516" s="10"/>
    </row>
    <row r="517" spans="1:15" ht="30" x14ac:dyDescent="0.25">
      <c r="A517" s="9" t="s">
        <v>1390</v>
      </c>
      <c r="B517" s="13">
        <f>VLOOKUP(Table2[[#This Row],[Location 
(drop-down)]],'List source'!D$2:E$59,2,FALSE)</f>
        <v>135</v>
      </c>
      <c r="C517" s="11" t="s">
        <v>1391</v>
      </c>
      <c r="D517" s="117" t="str">
        <f t="shared" si="10"/>
        <v>C516-135-23</v>
      </c>
      <c r="E517" s="117" t="str">
        <f>VLOOKUP(Table2[[#This Row],[Location 
(drop-down)]],Table1[#All],3,FALSE)</f>
        <v>USGC</v>
      </c>
      <c r="F517" s="196" t="s">
        <v>94</v>
      </c>
      <c r="G517" s="9" t="s">
        <v>1392</v>
      </c>
      <c r="H517" s="12">
        <v>45138</v>
      </c>
      <c r="I517" s="12" t="s">
        <v>443</v>
      </c>
      <c r="J517" s="91" t="s">
        <v>821</v>
      </c>
      <c r="K517" s="91">
        <v>45268</v>
      </c>
      <c r="L517" s="10" t="s">
        <v>147</v>
      </c>
      <c r="M517" s="10" t="s">
        <v>857</v>
      </c>
      <c r="N517" s="10" t="s">
        <v>858</v>
      </c>
      <c r="O517" s="10"/>
    </row>
    <row r="518" spans="1:15" ht="30" x14ac:dyDescent="0.25">
      <c r="A518" s="9" t="s">
        <v>1390</v>
      </c>
      <c r="B518" s="13">
        <f>VLOOKUP(Table2[[#This Row],[Location 
(drop-down)]],'List source'!D$2:E$59,2,FALSE)</f>
        <v>135</v>
      </c>
      <c r="C518" s="11" t="s">
        <v>1393</v>
      </c>
      <c r="D518" s="117" t="str">
        <f t="shared" si="10"/>
        <v>C517-135-23</v>
      </c>
      <c r="E518" s="117" t="str">
        <f>VLOOKUP(Table2[[#This Row],[Location 
(drop-down)]],Table1[#All],3,FALSE)</f>
        <v>USGC</v>
      </c>
      <c r="F518" s="196" t="s">
        <v>94</v>
      </c>
      <c r="G518" s="9" t="s">
        <v>290</v>
      </c>
      <c r="H518" s="12">
        <v>45138</v>
      </c>
      <c r="I518" s="12" t="s">
        <v>443</v>
      </c>
      <c r="J518" s="91" t="s">
        <v>821</v>
      </c>
      <c r="K518" s="91">
        <v>45268</v>
      </c>
      <c r="L518" s="10"/>
      <c r="M518" s="10"/>
      <c r="N518" s="10"/>
      <c r="O518" s="10"/>
    </row>
    <row r="519" spans="1:15" ht="30" x14ac:dyDescent="0.25">
      <c r="A519" s="9" t="s">
        <v>1390</v>
      </c>
      <c r="B519" s="13">
        <f>VLOOKUP(Table2[[#This Row],[Location 
(drop-down)]],'List source'!D$2:E$59,2,FALSE)</f>
        <v>135</v>
      </c>
      <c r="C519" s="11" t="s">
        <v>1394</v>
      </c>
      <c r="D519" s="117" t="str">
        <f t="shared" si="10"/>
        <v>C518-135-23</v>
      </c>
      <c r="E519" s="117" t="str">
        <f>VLOOKUP(Table2[[#This Row],[Location 
(drop-down)]],Table1[#All],3,FALSE)</f>
        <v>USGC</v>
      </c>
      <c r="F519" s="196" t="s">
        <v>94</v>
      </c>
      <c r="G519" s="9" t="s">
        <v>1395</v>
      </c>
      <c r="H519" s="12">
        <v>45138</v>
      </c>
      <c r="I519" s="12" t="s">
        <v>443</v>
      </c>
      <c r="J519" s="91" t="s">
        <v>821</v>
      </c>
      <c r="K519" s="91">
        <v>45286</v>
      </c>
      <c r="L519" s="10"/>
      <c r="M519" s="10"/>
      <c r="N519" s="10"/>
      <c r="O519" s="10"/>
    </row>
    <row r="520" spans="1:15" ht="30" x14ac:dyDescent="0.25">
      <c r="A520" s="9" t="s">
        <v>1390</v>
      </c>
      <c r="B520" s="13">
        <f>VLOOKUP(Table2[[#This Row],[Location 
(drop-down)]],'List source'!D$2:E$59,2,FALSE)</f>
        <v>135</v>
      </c>
      <c r="C520" s="11" t="s">
        <v>1396</v>
      </c>
      <c r="D520" s="117" t="str">
        <f t="shared" si="10"/>
        <v>C519-135-23</v>
      </c>
      <c r="E520" s="117" t="str">
        <f>VLOOKUP(Table2[[#This Row],[Location 
(drop-down)]],Table1[#All],3,FALSE)</f>
        <v>USGC</v>
      </c>
      <c r="F520" s="196" t="s">
        <v>94</v>
      </c>
      <c r="G520" s="9" t="s">
        <v>1397</v>
      </c>
      <c r="H520" s="12">
        <v>45138</v>
      </c>
      <c r="I520" s="12" t="s">
        <v>443</v>
      </c>
      <c r="J520" s="91" t="s">
        <v>821</v>
      </c>
      <c r="K520" s="91">
        <v>45239</v>
      </c>
      <c r="L520" s="10"/>
      <c r="M520" s="10"/>
      <c r="N520" s="10"/>
      <c r="O520" s="10"/>
    </row>
    <row r="521" spans="1:15" ht="30" x14ac:dyDescent="0.25">
      <c r="A521" s="9" t="s">
        <v>1390</v>
      </c>
      <c r="B521" s="13">
        <f>VLOOKUP(Table2[[#This Row],[Location 
(drop-down)]],'List source'!D$2:E$59,2,FALSE)</f>
        <v>135</v>
      </c>
      <c r="C521" s="11" t="s">
        <v>1398</v>
      </c>
      <c r="D521" s="117" t="str">
        <f t="shared" si="10"/>
        <v>C520-135-23</v>
      </c>
      <c r="E521" s="117" t="str">
        <f>VLOOKUP(Table2[[#This Row],[Location 
(drop-down)]],Table1[#All],3,FALSE)</f>
        <v>USGC</v>
      </c>
      <c r="F521" s="196" t="s">
        <v>94</v>
      </c>
      <c r="G521" s="9" t="s">
        <v>1399</v>
      </c>
      <c r="H521" s="12">
        <v>45138</v>
      </c>
      <c r="I521" s="12" t="s">
        <v>443</v>
      </c>
      <c r="J521" s="91" t="s">
        <v>821</v>
      </c>
      <c r="K521" s="91">
        <v>45215</v>
      </c>
      <c r="L521" s="10" t="s">
        <v>97</v>
      </c>
      <c r="M521" s="10"/>
      <c r="N521" s="10"/>
      <c r="O521" s="10"/>
    </row>
    <row r="522" spans="1:15" ht="30" x14ac:dyDescent="0.25">
      <c r="A522" s="9" t="s">
        <v>1390</v>
      </c>
      <c r="B522" s="13">
        <f>VLOOKUP(Table2[[#This Row],[Location 
(drop-down)]],'List source'!D$2:E$59,2,FALSE)</f>
        <v>135</v>
      </c>
      <c r="C522" s="11" t="s">
        <v>1400</v>
      </c>
      <c r="D522" s="117" t="str">
        <f t="shared" si="10"/>
        <v>C521-135-23</v>
      </c>
      <c r="E522" s="117" t="str">
        <f>VLOOKUP(Table2[[#This Row],[Location 
(drop-down)]],Table1[#All],3,FALSE)</f>
        <v>USGC</v>
      </c>
      <c r="F522" s="196" t="s">
        <v>94</v>
      </c>
      <c r="G522" s="9" t="s">
        <v>1401</v>
      </c>
      <c r="H522" s="12">
        <v>45138</v>
      </c>
      <c r="I522" s="12" t="s">
        <v>443</v>
      </c>
      <c r="J522" s="91" t="s">
        <v>821</v>
      </c>
      <c r="K522" s="91">
        <v>45281</v>
      </c>
      <c r="L522" s="10" t="s">
        <v>97</v>
      </c>
      <c r="M522" s="10"/>
      <c r="N522" s="10"/>
      <c r="O522" s="10"/>
    </row>
    <row r="523" spans="1:15" ht="30" x14ac:dyDescent="0.25">
      <c r="A523" s="9" t="s">
        <v>1390</v>
      </c>
      <c r="B523" s="13">
        <f>VLOOKUP(Table2[[#This Row],[Location 
(drop-down)]],'List source'!D$2:E$59,2,FALSE)</f>
        <v>135</v>
      </c>
      <c r="C523" s="11" t="s">
        <v>1402</v>
      </c>
      <c r="D523" s="117" t="str">
        <f t="shared" si="10"/>
        <v>C522-135-23</v>
      </c>
      <c r="E523" s="117" t="str">
        <f>VLOOKUP(Table2[[#This Row],[Location 
(drop-down)]],Table1[#All],3,FALSE)</f>
        <v>USGC</v>
      </c>
      <c r="F523" s="196" t="s">
        <v>94</v>
      </c>
      <c r="G523" s="9" t="s">
        <v>1403</v>
      </c>
      <c r="H523" s="12">
        <v>45138</v>
      </c>
      <c r="I523" s="12" t="s">
        <v>443</v>
      </c>
      <c r="J523" s="91" t="s">
        <v>821</v>
      </c>
      <c r="K523" s="91">
        <v>45204</v>
      </c>
      <c r="L523" s="10" t="s">
        <v>97</v>
      </c>
      <c r="M523" s="10" t="s">
        <v>862</v>
      </c>
      <c r="N523" s="10" t="s">
        <v>822</v>
      </c>
      <c r="O523" s="10"/>
    </row>
    <row r="524" spans="1:15" ht="30" x14ac:dyDescent="0.25">
      <c r="A524" s="9" t="s">
        <v>1390</v>
      </c>
      <c r="B524" s="13">
        <f>VLOOKUP(Table2[[#This Row],[Location 
(drop-down)]],'List source'!D$2:E$59,2,FALSE)</f>
        <v>135</v>
      </c>
      <c r="C524" s="11" t="s">
        <v>1404</v>
      </c>
      <c r="D524" s="117" t="str">
        <f t="shared" si="10"/>
        <v>C523-135-23</v>
      </c>
      <c r="E524" s="117" t="str">
        <f>VLOOKUP(Table2[[#This Row],[Location 
(drop-down)]],Table1[#All],3,FALSE)</f>
        <v>USGC</v>
      </c>
      <c r="F524" s="196" t="s">
        <v>94</v>
      </c>
      <c r="G524" s="9" t="s">
        <v>1405</v>
      </c>
      <c r="H524" s="12">
        <v>45138</v>
      </c>
      <c r="I524" s="12" t="s">
        <v>443</v>
      </c>
      <c r="J524" s="91" t="s">
        <v>821</v>
      </c>
      <c r="K524" s="91">
        <v>45337</v>
      </c>
      <c r="L524" s="10"/>
      <c r="M524" s="10"/>
      <c r="N524" s="10"/>
      <c r="O524" s="10"/>
    </row>
    <row r="525" spans="1:15" ht="30" x14ac:dyDescent="0.25">
      <c r="A525" s="9" t="s">
        <v>1390</v>
      </c>
      <c r="B525" s="13">
        <f>VLOOKUP(Table2[[#This Row],[Location 
(drop-down)]],'List source'!D$2:E$59,2,FALSE)</f>
        <v>135</v>
      </c>
      <c r="C525" s="11" t="s">
        <v>1406</v>
      </c>
      <c r="D525" s="117" t="str">
        <f t="shared" si="10"/>
        <v>C524-135-23</v>
      </c>
      <c r="E525" s="117" t="str">
        <f>VLOOKUP(Table2[[#This Row],[Location 
(drop-down)]],Table1[#All],3,FALSE)</f>
        <v>USGC</v>
      </c>
      <c r="F525" s="196" t="s">
        <v>94</v>
      </c>
      <c r="G525" s="9" t="s">
        <v>1407</v>
      </c>
      <c r="H525" s="12">
        <v>45138</v>
      </c>
      <c r="I525" s="12" t="s">
        <v>443</v>
      </c>
      <c r="J525" s="91" t="s">
        <v>821</v>
      </c>
      <c r="K525" s="91">
        <v>45189</v>
      </c>
      <c r="L525" s="10" t="s">
        <v>97</v>
      </c>
      <c r="M525" s="10" t="s">
        <v>854</v>
      </c>
      <c r="N525" s="10" t="s">
        <v>822</v>
      </c>
      <c r="O525" s="10"/>
    </row>
    <row r="526" spans="1:15" ht="30" x14ac:dyDescent="0.25">
      <c r="A526" s="9" t="s">
        <v>1390</v>
      </c>
      <c r="B526" s="13">
        <f>VLOOKUP(Table2[[#This Row],[Location 
(drop-down)]],'List source'!D$2:E$59,2,FALSE)</f>
        <v>135</v>
      </c>
      <c r="C526" s="11" t="s">
        <v>1408</v>
      </c>
      <c r="D526" s="117" t="str">
        <f t="shared" si="10"/>
        <v>C525-135-23</v>
      </c>
      <c r="E526" s="117" t="str">
        <f>VLOOKUP(Table2[[#This Row],[Location 
(drop-down)]],Table1[#All],3,FALSE)</f>
        <v>USGC</v>
      </c>
      <c r="F526" s="196" t="s">
        <v>94</v>
      </c>
      <c r="G526" s="9" t="s">
        <v>1159</v>
      </c>
      <c r="H526" s="12">
        <v>45138</v>
      </c>
      <c r="I526" s="12" t="s">
        <v>443</v>
      </c>
      <c r="J526" s="91" t="s">
        <v>821</v>
      </c>
      <c r="K526" s="91">
        <v>45239</v>
      </c>
      <c r="L526" s="10"/>
      <c r="M526" s="10"/>
      <c r="N526" s="10"/>
      <c r="O526" s="10"/>
    </row>
    <row r="527" spans="1:15" ht="30" x14ac:dyDescent="0.25">
      <c r="A527" s="9" t="s">
        <v>22</v>
      </c>
      <c r="B527" s="13">
        <f>VLOOKUP(Table2[[#This Row],[Location 
(drop-down)]],'List source'!D$2:E$59,2,FALSE)</f>
        <v>130</v>
      </c>
      <c r="C527" s="11" t="s">
        <v>1409</v>
      </c>
      <c r="D527" s="117" t="str">
        <f t="shared" si="10"/>
        <v>C526-130-23</v>
      </c>
      <c r="E527" s="117" t="str">
        <f>VLOOKUP(Table2[[#This Row],[Location 
(drop-down)]],Table1[#All],3,FALSE)</f>
        <v>USWC</v>
      </c>
      <c r="F527" s="196" t="s">
        <v>15</v>
      </c>
      <c r="G527" s="9" t="s">
        <v>1410</v>
      </c>
      <c r="H527" s="12">
        <v>45134</v>
      </c>
      <c r="I527" s="12" t="s">
        <v>17</v>
      </c>
      <c r="J527" s="91" t="s">
        <v>821</v>
      </c>
      <c r="K527" s="91">
        <v>45202</v>
      </c>
      <c r="L527" s="10" t="s">
        <v>15</v>
      </c>
      <c r="M527" s="10" t="s">
        <v>15</v>
      </c>
      <c r="N527" s="10" t="s">
        <v>828</v>
      </c>
      <c r="O527" s="10"/>
    </row>
    <row r="528" spans="1:15" ht="37.5" x14ac:dyDescent="0.25">
      <c r="A528" s="9" t="s">
        <v>226</v>
      </c>
      <c r="B528" s="13">
        <f>VLOOKUP(Table2[[#This Row],[Location 
(drop-down)]],'List source'!D$2:E$59,2,FALSE)</f>
        <v>110</v>
      </c>
      <c r="C528" s="11" t="s">
        <v>1411</v>
      </c>
      <c r="D528" s="117" t="str">
        <f t="shared" si="10"/>
        <v>C527-110-23</v>
      </c>
      <c r="E528" s="117" t="str">
        <f>VLOOKUP(Table2[[#This Row],[Location 
(drop-down)]],Table1[#All],3,FALSE)</f>
        <v>USNE, USMW &amp; Canada</v>
      </c>
      <c r="F528" s="196" t="s">
        <v>15</v>
      </c>
      <c r="G528" s="9" t="s">
        <v>1412</v>
      </c>
      <c r="H528" s="12">
        <v>45135</v>
      </c>
      <c r="I528" s="12" t="s">
        <v>17</v>
      </c>
      <c r="J528" s="91" t="s">
        <v>821</v>
      </c>
      <c r="K528" s="91">
        <v>45610</v>
      </c>
      <c r="L528" s="10" t="s">
        <v>15</v>
      </c>
      <c r="M528" s="10" t="s">
        <v>15</v>
      </c>
      <c r="N528" s="10" t="s">
        <v>822</v>
      </c>
      <c r="O528" s="10"/>
    </row>
    <row r="529" spans="1:15" ht="37.5" x14ac:dyDescent="0.25">
      <c r="A529" s="9" t="s">
        <v>13</v>
      </c>
      <c r="B529" s="13">
        <f>VLOOKUP(Table2[[#This Row],[Location 
(drop-down)]],'List source'!D$2:E$59,2,FALSE)</f>
        <v>126</v>
      </c>
      <c r="C529" s="11" t="s">
        <v>1413</v>
      </c>
      <c r="D529" s="117" t="str">
        <f t="shared" si="10"/>
        <v>C528-126-23</v>
      </c>
      <c r="E529" s="117" t="str">
        <f>VLOOKUP(Table2[[#This Row],[Location 
(drop-down)]],Table1[#All],3,FALSE)</f>
        <v>SE &amp; Caribbean</v>
      </c>
      <c r="F529" s="196" t="s">
        <v>15</v>
      </c>
      <c r="G529" s="9" t="s">
        <v>1414</v>
      </c>
      <c r="H529" s="12">
        <v>45135</v>
      </c>
      <c r="I529" s="12" t="s">
        <v>17</v>
      </c>
      <c r="J529" s="91" t="s">
        <v>821</v>
      </c>
      <c r="K529" s="91">
        <v>45140</v>
      </c>
      <c r="L529" s="10" t="s">
        <v>15</v>
      </c>
      <c r="M529" s="10" t="s">
        <v>15</v>
      </c>
      <c r="N529" s="10" t="s">
        <v>822</v>
      </c>
      <c r="O529" s="10"/>
    </row>
    <row r="530" spans="1:15" ht="45" x14ac:dyDescent="0.25">
      <c r="A530" s="9" t="s">
        <v>61</v>
      </c>
      <c r="B530" s="13">
        <f>VLOOKUP(Table2[[#This Row],[Location 
(drop-down)]],'List source'!D$2:E$59,2,FALSE)</f>
        <v>120</v>
      </c>
      <c r="C530" s="11" t="s">
        <v>1415</v>
      </c>
      <c r="D530" s="117" t="str">
        <f t="shared" si="10"/>
        <v>C529-120-23</v>
      </c>
      <c r="E530" s="117" t="str">
        <f>VLOOKUP(Table2[[#This Row],[Location 
(drop-down)]],Table1[#All],3,FALSE)</f>
        <v>USGC</v>
      </c>
      <c r="F530" s="196" t="s">
        <v>852</v>
      </c>
      <c r="G530" s="9" t="s">
        <v>1416</v>
      </c>
      <c r="H530" s="12">
        <v>45138</v>
      </c>
      <c r="I530" s="12" t="s">
        <v>129</v>
      </c>
      <c r="J530" s="91" t="s">
        <v>821</v>
      </c>
      <c r="K530" s="91">
        <v>45139</v>
      </c>
      <c r="L530" s="10" t="s">
        <v>97</v>
      </c>
      <c r="M530" s="10" t="s">
        <v>854</v>
      </c>
      <c r="N530" s="10" t="s">
        <v>832</v>
      </c>
      <c r="O530" s="10"/>
    </row>
    <row r="531" spans="1:15" ht="34.5" customHeight="1" x14ac:dyDescent="0.25">
      <c r="A531" s="9" t="s">
        <v>27</v>
      </c>
      <c r="B531" s="13">
        <f>VLOOKUP(Table2[[#This Row],[Location 
(drop-down)]],'List source'!D$2:E$59,2,FALSE)</f>
        <v>132</v>
      </c>
      <c r="C531" s="11" t="s">
        <v>1417</v>
      </c>
      <c r="D531" s="117" t="str">
        <f t="shared" si="10"/>
        <v>C530-132-23</v>
      </c>
      <c r="E531" s="117" t="str">
        <f>VLOOKUP(Table2[[#This Row],[Location 
(drop-down)]],Table1[#All],3,FALSE)</f>
        <v>USWC</v>
      </c>
      <c r="F531" s="196" t="s">
        <v>15</v>
      </c>
      <c r="G531" s="116" t="s">
        <v>1418</v>
      </c>
      <c r="H531" s="12">
        <v>45139</v>
      </c>
      <c r="I531" s="12" t="s">
        <v>17</v>
      </c>
      <c r="J531" s="91" t="s">
        <v>821</v>
      </c>
      <c r="K531" s="91">
        <v>45313</v>
      </c>
      <c r="L531" s="10" t="s">
        <v>15</v>
      </c>
      <c r="M531" s="10"/>
      <c r="N531" s="10"/>
      <c r="O531" s="10"/>
    </row>
    <row r="532" spans="1:15" ht="30" x14ac:dyDescent="0.25">
      <c r="A532" s="9" t="s">
        <v>27</v>
      </c>
      <c r="B532" s="13">
        <f>VLOOKUP(Table2[[#This Row],[Location 
(drop-down)]],'List source'!D$2:E$59,2,FALSE)</f>
        <v>132</v>
      </c>
      <c r="C532" s="11" t="s">
        <v>1419</v>
      </c>
      <c r="D532" s="117" t="str">
        <f t="shared" si="10"/>
        <v>C531-132-23</v>
      </c>
      <c r="E532" s="117" t="str">
        <f>VLOOKUP(Table2[[#This Row],[Location 
(drop-down)]],Table1[#All],3,FALSE)</f>
        <v>USWC</v>
      </c>
      <c r="F532" s="196" t="s">
        <v>15</v>
      </c>
      <c r="G532" s="9" t="s">
        <v>1420</v>
      </c>
      <c r="H532" s="12">
        <v>45139</v>
      </c>
      <c r="I532" s="12" t="s">
        <v>17</v>
      </c>
      <c r="J532" s="91" t="s">
        <v>821</v>
      </c>
      <c r="K532" s="91">
        <v>45300</v>
      </c>
      <c r="L532" s="10" t="s">
        <v>15</v>
      </c>
      <c r="M532" s="10"/>
      <c r="N532" s="10"/>
      <c r="O532" s="10"/>
    </row>
    <row r="533" spans="1:15" ht="37.5" x14ac:dyDescent="0.25">
      <c r="A533" s="9" t="s">
        <v>411</v>
      </c>
      <c r="B533" s="13">
        <f>VLOOKUP(Table2[[#This Row],[Location 
(drop-down)]],'List source'!D$2:E$59,2,FALSE)</f>
        <v>185</v>
      </c>
      <c r="C533" s="11" t="s">
        <v>1421</v>
      </c>
      <c r="D533" s="117" t="str">
        <f t="shared" si="10"/>
        <v>C532-185-23</v>
      </c>
      <c r="E533" s="117" t="str">
        <f>VLOOKUP(Table2[[#This Row],[Location 
(drop-down)]],Table1[#All],3,FALSE)</f>
        <v>SE &amp; Caribbean</v>
      </c>
      <c r="F533" s="196" t="s">
        <v>15</v>
      </c>
      <c r="G533" s="9" t="s">
        <v>1422</v>
      </c>
      <c r="H533" s="12">
        <v>45139</v>
      </c>
      <c r="I533" s="12" t="s">
        <v>17</v>
      </c>
      <c r="J533" s="91" t="s">
        <v>821</v>
      </c>
      <c r="K533" s="91">
        <v>45140</v>
      </c>
      <c r="L533" s="10" t="s">
        <v>15</v>
      </c>
      <c r="M533" s="10" t="s">
        <v>15</v>
      </c>
      <c r="N533" s="10" t="s">
        <v>832</v>
      </c>
      <c r="O533" s="10"/>
    </row>
    <row r="534" spans="1:15" ht="37.5" x14ac:dyDescent="0.25">
      <c r="A534" s="9" t="s">
        <v>72</v>
      </c>
      <c r="B534" s="13">
        <f>VLOOKUP(Table2[[#This Row],[Location 
(drop-down)]],'List source'!D$2:E$59,2,FALSE)</f>
        <v>197</v>
      </c>
      <c r="C534" s="11" t="s">
        <v>1423</v>
      </c>
      <c r="D534" s="117" t="str">
        <f t="shared" si="10"/>
        <v>C533-197-23</v>
      </c>
      <c r="E534" s="117" t="str">
        <f>VLOOKUP(Table2[[#This Row],[Location 
(drop-down)]],Table1[#All],3,FALSE)</f>
        <v>USNE, USMW &amp; Canada</v>
      </c>
      <c r="F534" s="196" t="s">
        <v>15</v>
      </c>
      <c r="G534" s="9" t="s">
        <v>1424</v>
      </c>
      <c r="H534" s="12">
        <v>45139</v>
      </c>
      <c r="I534" s="12" t="s">
        <v>17</v>
      </c>
      <c r="J534" s="91" t="s">
        <v>821</v>
      </c>
      <c r="K534" s="91">
        <v>45657</v>
      </c>
      <c r="L534" s="10" t="s">
        <v>15</v>
      </c>
      <c r="M534" s="10"/>
      <c r="N534" s="10"/>
      <c r="O534" s="10"/>
    </row>
    <row r="535" spans="1:15" ht="37.5" x14ac:dyDescent="0.25">
      <c r="A535" s="9" t="s">
        <v>72</v>
      </c>
      <c r="B535" s="13">
        <f>VLOOKUP(Table2[[#This Row],[Location 
(drop-down)]],'List source'!D$2:E$59,2,FALSE)</f>
        <v>197</v>
      </c>
      <c r="C535" s="11" t="s">
        <v>1425</v>
      </c>
      <c r="D535" s="117" t="str">
        <f t="shared" si="10"/>
        <v>C534-197-23</v>
      </c>
      <c r="E535" s="117" t="str">
        <f>VLOOKUP(Table2[[#This Row],[Location 
(drop-down)]],Table1[#All],3,FALSE)</f>
        <v>USNE, USMW &amp; Canada</v>
      </c>
      <c r="F535" s="196" t="s">
        <v>15</v>
      </c>
      <c r="G535" s="9" t="s">
        <v>1426</v>
      </c>
      <c r="H535" s="12">
        <v>45139</v>
      </c>
      <c r="I535" s="12" t="s">
        <v>17</v>
      </c>
      <c r="J535" s="91" t="s">
        <v>821</v>
      </c>
      <c r="K535" s="91">
        <v>45425</v>
      </c>
      <c r="L535" s="10" t="s">
        <v>15</v>
      </c>
      <c r="M535" s="10" t="s">
        <v>854</v>
      </c>
      <c r="N535" s="10" t="s">
        <v>822</v>
      </c>
      <c r="O535" s="10"/>
    </row>
    <row r="536" spans="1:15" ht="30" x14ac:dyDescent="0.25">
      <c r="A536" s="9" t="s">
        <v>27</v>
      </c>
      <c r="B536" s="13">
        <f>VLOOKUP(Table2[[#This Row],[Location 
(drop-down)]],'List source'!D$2:E$59,2,FALSE)</f>
        <v>132</v>
      </c>
      <c r="C536" s="11" t="s">
        <v>1427</v>
      </c>
      <c r="D536" s="117" t="str">
        <f t="shared" si="10"/>
        <v>C535-132-23</v>
      </c>
      <c r="E536" s="117" t="str">
        <f>VLOOKUP(Table2[[#This Row],[Location 
(drop-down)]],Table1[#All],3,FALSE)</f>
        <v>USWC</v>
      </c>
      <c r="F536" s="196" t="s">
        <v>15</v>
      </c>
      <c r="G536" s="9" t="s">
        <v>1428</v>
      </c>
      <c r="H536" s="12">
        <v>45139</v>
      </c>
      <c r="I536" s="12" t="s">
        <v>17</v>
      </c>
      <c r="J536" s="91" t="s">
        <v>821</v>
      </c>
      <c r="K536" s="91">
        <v>45299</v>
      </c>
      <c r="L536" s="10" t="s">
        <v>15</v>
      </c>
      <c r="M536" s="10" t="s">
        <v>15</v>
      </c>
      <c r="N536" s="10" t="s">
        <v>832</v>
      </c>
      <c r="O536" s="10"/>
    </row>
    <row r="537" spans="1:15" ht="30" x14ac:dyDescent="0.25">
      <c r="A537" s="9" t="s">
        <v>27</v>
      </c>
      <c r="B537" s="13">
        <f>VLOOKUP(Table2[[#This Row],[Location 
(drop-down)]],'List source'!D$2:E$59,2,FALSE)</f>
        <v>132</v>
      </c>
      <c r="C537" s="11" t="s">
        <v>1429</v>
      </c>
      <c r="D537" s="117" t="str">
        <f t="shared" ref="D537:D600" si="11">"C" &amp; C537 &amp; "-" &amp; B537 &amp; "-" &amp; "23"</f>
        <v>C536-132-23</v>
      </c>
      <c r="E537" s="117" t="str">
        <f>VLOOKUP(Table2[[#This Row],[Location 
(drop-down)]],Table1[#All],3,FALSE)</f>
        <v>USWC</v>
      </c>
      <c r="F537" s="196" t="s">
        <v>15</v>
      </c>
      <c r="G537" s="9" t="s">
        <v>1430</v>
      </c>
      <c r="H537" s="12">
        <v>45139</v>
      </c>
      <c r="I537" s="12" t="s">
        <v>17</v>
      </c>
      <c r="J537" s="91" t="s">
        <v>821</v>
      </c>
      <c r="K537" s="91">
        <v>45313</v>
      </c>
      <c r="L537" s="10" t="s">
        <v>15</v>
      </c>
      <c r="M537" s="10"/>
      <c r="N537" s="10"/>
      <c r="O537" s="10"/>
    </row>
    <row r="538" spans="1:15" ht="30" x14ac:dyDescent="0.25">
      <c r="A538" s="9" t="s">
        <v>171</v>
      </c>
      <c r="B538" s="13">
        <f>VLOOKUP(Table2[[#This Row],[Location 
(drop-down)]],'List source'!D$2:E$59,2,FALSE)</f>
        <v>160</v>
      </c>
      <c r="C538" s="11" t="s">
        <v>1431</v>
      </c>
      <c r="D538" s="307" t="s">
        <v>1432</v>
      </c>
      <c r="E538" s="117" t="str">
        <f>VLOOKUP(Table2[[#This Row],[Location 
(drop-down)]],Table1[#All],3,FALSE)</f>
        <v>USGC</v>
      </c>
      <c r="F538" s="196" t="s">
        <v>852</v>
      </c>
      <c r="G538" s="9" t="s">
        <v>1433</v>
      </c>
      <c r="H538" s="12">
        <v>45139</v>
      </c>
      <c r="I538" s="12" t="s">
        <v>129</v>
      </c>
      <c r="J538" s="91" t="s">
        <v>821</v>
      </c>
      <c r="K538" s="91">
        <v>45146</v>
      </c>
      <c r="L538" s="10" t="s">
        <v>97</v>
      </c>
      <c r="M538" s="10" t="s">
        <v>862</v>
      </c>
      <c r="N538" s="10" t="s">
        <v>822</v>
      </c>
      <c r="O538" s="10"/>
    </row>
    <row r="539" spans="1:15" ht="45" x14ac:dyDescent="0.25">
      <c r="A539" s="9" t="s">
        <v>61</v>
      </c>
      <c r="B539" s="13">
        <f>VLOOKUP(Table2[[#This Row],[Location 
(drop-down)]],'List source'!D$2:E$59,2,FALSE)</f>
        <v>120</v>
      </c>
      <c r="C539" s="11" t="s">
        <v>1434</v>
      </c>
      <c r="D539" s="368" t="str">
        <f t="shared" ref="D539:D602" si="12">"C" &amp; C539 &amp; "-" &amp; B539 &amp; "-" &amp; "23"</f>
        <v>C538-120-23</v>
      </c>
      <c r="E539" s="200" t="str">
        <f>VLOOKUP(Table2[[#This Row],[Location 
(drop-down)]],Table1[#All],3,FALSE)</f>
        <v>USGC</v>
      </c>
      <c r="F539" s="201" t="s">
        <v>852</v>
      </c>
      <c r="G539" s="20" t="s">
        <v>1435</v>
      </c>
      <c r="H539" s="203">
        <v>45140</v>
      </c>
      <c r="I539" s="203" t="s">
        <v>129</v>
      </c>
      <c r="J539" s="91" t="s">
        <v>821</v>
      </c>
      <c r="K539" s="204">
        <v>45175</v>
      </c>
      <c r="L539" s="202" t="s">
        <v>147</v>
      </c>
      <c r="M539" s="202" t="s">
        <v>857</v>
      </c>
      <c r="N539" s="202" t="s">
        <v>822</v>
      </c>
      <c r="O539" s="205">
        <v>45174</v>
      </c>
    </row>
    <row r="540" spans="1:15" ht="17.25" customHeight="1" x14ac:dyDescent="0.25">
      <c r="A540" s="9" t="s">
        <v>237</v>
      </c>
      <c r="B540" s="13">
        <f>VLOOKUP(Table2[[#This Row],[Location 
(drop-down)]],'List source'!D$2:E$59,2,FALSE)</f>
        <v>192</v>
      </c>
      <c r="C540" s="11" t="s">
        <v>1436</v>
      </c>
      <c r="D540" s="117" t="str">
        <f t="shared" si="12"/>
        <v>C539-192-23</v>
      </c>
      <c r="E540" s="117" t="str">
        <f>VLOOKUP(Table2[[#This Row],[Location 
(drop-down)]],Table1[#All],3,FALSE)</f>
        <v>SE &amp; Caribbean</v>
      </c>
      <c r="F540" s="196" t="s">
        <v>159</v>
      </c>
      <c r="G540" s="9" t="s">
        <v>1437</v>
      </c>
      <c r="H540" s="12">
        <v>44992</v>
      </c>
      <c r="I540" s="12" t="s">
        <v>1438</v>
      </c>
      <c r="J540" s="91">
        <v>45188</v>
      </c>
      <c r="K540" s="91">
        <v>45189</v>
      </c>
      <c r="L540" s="10" t="s">
        <v>97</v>
      </c>
      <c r="M540" s="10" t="s">
        <v>862</v>
      </c>
      <c r="N540" s="10" t="s">
        <v>858</v>
      </c>
      <c r="O540" s="10"/>
    </row>
    <row r="541" spans="1:15" ht="37.5" x14ac:dyDescent="0.25">
      <c r="A541" s="9" t="s">
        <v>237</v>
      </c>
      <c r="B541" s="13">
        <f>VLOOKUP(Table2[[#This Row],[Location 
(drop-down)]],'List source'!D$2:E$59,2,FALSE)</f>
        <v>192</v>
      </c>
      <c r="C541" s="11" t="s">
        <v>1439</v>
      </c>
      <c r="D541" s="117" t="str">
        <f t="shared" si="12"/>
        <v>C540-192-23</v>
      </c>
      <c r="E541" s="117" t="str">
        <f>VLOOKUP(Table2[[#This Row],[Location 
(drop-down)]],Table1[#All],3,FALSE)</f>
        <v>SE &amp; Caribbean</v>
      </c>
      <c r="F541" s="196" t="s">
        <v>159</v>
      </c>
      <c r="G541" s="9" t="s">
        <v>1440</v>
      </c>
      <c r="H541" s="12">
        <v>44992</v>
      </c>
      <c r="I541" s="12" t="s">
        <v>1438</v>
      </c>
      <c r="J541" s="91" t="s">
        <v>821</v>
      </c>
      <c r="K541" s="91">
        <v>45189</v>
      </c>
      <c r="L541" s="10" t="s">
        <v>97</v>
      </c>
      <c r="M541" s="10" t="s">
        <v>914</v>
      </c>
      <c r="N541" s="10" t="s">
        <v>858</v>
      </c>
      <c r="O541" s="10"/>
    </row>
    <row r="542" spans="1:15" ht="37.5" x14ac:dyDescent="0.25">
      <c r="A542" s="9" t="s">
        <v>237</v>
      </c>
      <c r="B542" s="13">
        <f>VLOOKUP(Table2[[#This Row],[Location 
(drop-down)]],'List source'!D$2:E$59,2,FALSE)</f>
        <v>192</v>
      </c>
      <c r="C542" s="11" t="s">
        <v>1441</v>
      </c>
      <c r="D542" s="117" t="str">
        <f t="shared" si="12"/>
        <v>C541-192-23</v>
      </c>
      <c r="E542" s="117" t="str">
        <f>VLOOKUP(Table2[[#This Row],[Location 
(drop-down)]],Table1[#All],3,FALSE)</f>
        <v>SE &amp; Caribbean</v>
      </c>
      <c r="F542" s="196" t="s">
        <v>159</v>
      </c>
      <c r="G542" s="9" t="s">
        <v>1442</v>
      </c>
      <c r="H542" s="12">
        <v>44992</v>
      </c>
      <c r="I542" s="12" t="s">
        <v>1438</v>
      </c>
      <c r="J542" s="91">
        <v>45188</v>
      </c>
      <c r="K542" s="91">
        <v>45189</v>
      </c>
      <c r="L542" s="10" t="s">
        <v>97</v>
      </c>
      <c r="M542" s="10" t="s">
        <v>854</v>
      </c>
      <c r="N542" s="10" t="s">
        <v>858</v>
      </c>
      <c r="O542" s="10"/>
    </row>
    <row r="543" spans="1:15" ht="37.5" x14ac:dyDescent="0.25">
      <c r="A543" s="9" t="s">
        <v>237</v>
      </c>
      <c r="B543" s="13">
        <f>VLOOKUP(Table2[[#This Row],[Location 
(drop-down)]],'List source'!D$2:E$59,2,FALSE)</f>
        <v>192</v>
      </c>
      <c r="C543" s="11" t="s">
        <v>1443</v>
      </c>
      <c r="D543" s="117" t="str">
        <f t="shared" si="12"/>
        <v>C542-192-23</v>
      </c>
      <c r="E543" s="117" t="str">
        <f>VLOOKUP(Table2[[#This Row],[Location 
(drop-down)]],Table1[#All],3,FALSE)</f>
        <v>SE &amp; Caribbean</v>
      </c>
      <c r="F543" s="196" t="s">
        <v>159</v>
      </c>
      <c r="G543" s="9" t="s">
        <v>1444</v>
      </c>
      <c r="H543" s="12">
        <v>44992</v>
      </c>
      <c r="I543" s="12" t="s">
        <v>1438</v>
      </c>
      <c r="J543" s="91">
        <v>45195</v>
      </c>
      <c r="K543" s="91">
        <v>45198</v>
      </c>
      <c r="L543" s="10" t="s">
        <v>147</v>
      </c>
      <c r="M543" s="10" t="s">
        <v>857</v>
      </c>
      <c r="N543" s="10" t="s">
        <v>858</v>
      </c>
      <c r="O543" s="10"/>
    </row>
    <row r="544" spans="1:15" ht="37.5" x14ac:dyDescent="0.25">
      <c r="A544" s="9" t="s">
        <v>237</v>
      </c>
      <c r="B544" s="13">
        <f>VLOOKUP(Table2[[#This Row],[Location 
(drop-down)]],'List source'!D$2:E$59,2,FALSE)</f>
        <v>192</v>
      </c>
      <c r="C544" s="11" t="s">
        <v>1445</v>
      </c>
      <c r="D544" s="117" t="str">
        <f t="shared" si="12"/>
        <v>C543-192-23</v>
      </c>
      <c r="E544" s="117" t="str">
        <f>VLOOKUP(Table2[[#This Row],[Location 
(drop-down)]],Table1[#All],3,FALSE)</f>
        <v>SE &amp; Caribbean</v>
      </c>
      <c r="F544" s="196" t="s">
        <v>159</v>
      </c>
      <c r="G544" s="211" t="s">
        <v>1446</v>
      </c>
      <c r="H544" s="12">
        <v>44992</v>
      </c>
      <c r="I544" s="12" t="s">
        <v>1438</v>
      </c>
      <c r="J544" s="91">
        <v>45195</v>
      </c>
      <c r="K544" s="91">
        <v>45198</v>
      </c>
      <c r="L544" s="10" t="s">
        <v>97</v>
      </c>
      <c r="M544" s="10" t="s">
        <v>854</v>
      </c>
      <c r="N544" s="10" t="s">
        <v>832</v>
      </c>
      <c r="O544" s="10"/>
    </row>
    <row r="545" spans="1:15" ht="37.5" x14ac:dyDescent="0.25">
      <c r="A545" s="9" t="s">
        <v>237</v>
      </c>
      <c r="B545" s="13">
        <f>VLOOKUP(Table2[[#This Row],[Location 
(drop-down)]],'List source'!D$2:E$59,2,FALSE)</f>
        <v>192</v>
      </c>
      <c r="C545" s="11" t="s">
        <v>1447</v>
      </c>
      <c r="D545" s="117" t="str">
        <f t="shared" si="12"/>
        <v>C544-192-23</v>
      </c>
      <c r="E545" s="117" t="str">
        <f>VLOOKUP(Table2[[#This Row],[Location 
(drop-down)]],Table1[#All],3,FALSE)</f>
        <v>SE &amp; Caribbean</v>
      </c>
      <c r="F545" s="196" t="s">
        <v>159</v>
      </c>
      <c r="G545" s="146" t="s">
        <v>1448</v>
      </c>
      <c r="H545" s="12">
        <v>44992</v>
      </c>
      <c r="I545" s="12" t="s">
        <v>1438</v>
      </c>
      <c r="J545" s="91">
        <v>45192</v>
      </c>
      <c r="K545" s="91">
        <v>45201</v>
      </c>
      <c r="L545" s="10" t="s">
        <v>97</v>
      </c>
      <c r="M545" s="10" t="s">
        <v>854</v>
      </c>
      <c r="N545" s="10" t="s">
        <v>832</v>
      </c>
      <c r="O545" s="10"/>
    </row>
    <row r="546" spans="1:15" ht="37.5" x14ac:dyDescent="0.25">
      <c r="A546" s="9" t="s">
        <v>126</v>
      </c>
      <c r="B546" s="13">
        <f>VLOOKUP(Table2[[#This Row],[Location 
(drop-down)]],'List source'!D$2:E$59,2,FALSE)</f>
        <v>125</v>
      </c>
      <c r="C546" s="11" t="s">
        <v>1449</v>
      </c>
      <c r="D546" s="117" t="str">
        <f t="shared" si="12"/>
        <v>C545-125-23</v>
      </c>
      <c r="E546" s="117" t="str">
        <f>VLOOKUP(Table2[[#This Row],[Location 
(drop-down)]],Table1[#All],3,FALSE)</f>
        <v>SE &amp; Caribbean</v>
      </c>
      <c r="F546" s="196" t="s">
        <v>159</v>
      </c>
      <c r="G546" s="9" t="s">
        <v>1450</v>
      </c>
      <c r="H546" s="12">
        <v>45133</v>
      </c>
      <c r="I546" s="12" t="s">
        <v>129</v>
      </c>
      <c r="J546" s="91" t="s">
        <v>821</v>
      </c>
      <c r="K546" s="91">
        <v>45152</v>
      </c>
      <c r="L546" s="10" t="s">
        <v>147</v>
      </c>
      <c r="M546" s="10" t="s">
        <v>857</v>
      </c>
      <c r="N546" s="10" t="s">
        <v>822</v>
      </c>
      <c r="O546" s="10"/>
    </row>
    <row r="547" spans="1:15" ht="37.5" x14ac:dyDescent="0.25">
      <c r="A547" s="9" t="s">
        <v>237</v>
      </c>
      <c r="B547" s="13">
        <f>VLOOKUP(Table2[[#This Row],[Location 
(drop-down)]],'List source'!D$2:E$59,2,FALSE)</f>
        <v>192</v>
      </c>
      <c r="C547" s="11" t="s">
        <v>1451</v>
      </c>
      <c r="D547" s="117" t="str">
        <f t="shared" si="12"/>
        <v>C546-192-23</v>
      </c>
      <c r="E547" s="117" t="str">
        <f>VLOOKUP(Table2[[#This Row],[Location 
(drop-down)]],Table1[#All],3,FALSE)</f>
        <v>SE &amp; Caribbean</v>
      </c>
      <c r="F547" s="196" t="s">
        <v>159</v>
      </c>
      <c r="G547" s="119" t="s">
        <v>1452</v>
      </c>
      <c r="H547" s="12">
        <v>45141</v>
      </c>
      <c r="I547" s="12" t="s">
        <v>1438</v>
      </c>
      <c r="J547" s="91" t="s">
        <v>821</v>
      </c>
      <c r="K547" s="91">
        <v>45189</v>
      </c>
      <c r="L547" s="10" t="s">
        <v>97</v>
      </c>
      <c r="M547" s="10" t="s">
        <v>15</v>
      </c>
      <c r="N547" s="10" t="s">
        <v>837</v>
      </c>
      <c r="O547" s="10"/>
    </row>
    <row r="548" spans="1:15" ht="30" x14ac:dyDescent="0.25">
      <c r="A548" s="9" t="s">
        <v>57</v>
      </c>
      <c r="B548" s="13">
        <f>VLOOKUP(Table2[[#This Row],[Location 
(drop-down)]],'List source'!D$2:E$59,2,FALSE)</f>
        <v>155</v>
      </c>
      <c r="C548" s="11" t="s">
        <v>1453</v>
      </c>
      <c r="D548" s="117" t="str">
        <f t="shared" si="12"/>
        <v>C547-155-23</v>
      </c>
      <c r="E548" s="117" t="str">
        <f>VLOOKUP(Table2[[#This Row],[Location 
(drop-down)]],Table1[#All],3,FALSE)</f>
        <v>USGC</v>
      </c>
      <c r="F548" s="196" t="s">
        <v>852</v>
      </c>
      <c r="G548" s="146" t="s">
        <v>1454</v>
      </c>
      <c r="H548" s="12">
        <v>45141</v>
      </c>
      <c r="I548" s="12" t="s">
        <v>129</v>
      </c>
      <c r="J548" s="91" t="s">
        <v>821</v>
      </c>
      <c r="K548" s="91">
        <v>45149</v>
      </c>
      <c r="L548" s="10" t="s">
        <v>147</v>
      </c>
      <c r="M548" s="10" t="s">
        <v>857</v>
      </c>
      <c r="N548" s="10" t="s">
        <v>822</v>
      </c>
      <c r="O548" s="10"/>
    </row>
    <row r="549" spans="1:15" ht="30" x14ac:dyDescent="0.25">
      <c r="A549" s="9" t="s">
        <v>27</v>
      </c>
      <c r="B549" s="13">
        <f>VLOOKUP(Table2[[#This Row],[Location 
(drop-down)]],'List source'!D$2:E$59,2,FALSE)</f>
        <v>132</v>
      </c>
      <c r="C549" s="11" t="s">
        <v>1455</v>
      </c>
      <c r="D549" s="117" t="str">
        <f t="shared" si="12"/>
        <v>C548-132-23</v>
      </c>
      <c r="E549" s="117" t="str">
        <f>VLOOKUP(Table2[[#This Row],[Location 
(drop-down)]],Table1[#All],3,FALSE)</f>
        <v>USWC</v>
      </c>
      <c r="F549" s="196" t="s">
        <v>269</v>
      </c>
      <c r="G549" s="9" t="s">
        <v>1456</v>
      </c>
      <c r="H549" s="12">
        <v>45142</v>
      </c>
      <c r="I549" s="12" t="s">
        <v>129</v>
      </c>
      <c r="J549" s="91" t="s">
        <v>821</v>
      </c>
      <c r="K549" s="91">
        <v>45156</v>
      </c>
      <c r="L549" s="10" t="s">
        <v>97</v>
      </c>
      <c r="M549" s="10" t="s">
        <v>870</v>
      </c>
      <c r="N549" s="10" t="s">
        <v>822</v>
      </c>
      <c r="O549" s="10"/>
    </row>
    <row r="550" spans="1:15" ht="37.5" x14ac:dyDescent="0.25">
      <c r="A550" s="9" t="s">
        <v>79</v>
      </c>
      <c r="B550" s="13">
        <f>VLOOKUP(Table2[[#This Row],[Location 
(drop-down)]],'List source'!D$2:E$59,2,FALSE)</f>
        <v>141</v>
      </c>
      <c r="C550" s="11" t="s">
        <v>1457</v>
      </c>
      <c r="D550" s="117" t="str">
        <f t="shared" si="12"/>
        <v>C549-141-23</v>
      </c>
      <c r="E550" s="117" t="str">
        <f>VLOOKUP(Table2[[#This Row],[Location 
(drop-down)]],Table1[#All],3,FALSE)</f>
        <v>USNE, USMW &amp; Canada</v>
      </c>
      <c r="F550" s="196" t="s">
        <v>159</v>
      </c>
      <c r="G550" s="9" t="s">
        <v>1458</v>
      </c>
      <c r="H550" s="12">
        <v>45126</v>
      </c>
      <c r="I550" s="12" t="s">
        <v>96</v>
      </c>
      <c r="J550" s="91" t="s">
        <v>821</v>
      </c>
      <c r="K550" s="91">
        <v>45155</v>
      </c>
      <c r="L550" s="10" t="s">
        <v>97</v>
      </c>
      <c r="M550" s="10" t="s">
        <v>862</v>
      </c>
      <c r="N550" s="10" t="s">
        <v>910</v>
      </c>
      <c r="O550" s="10"/>
    </row>
    <row r="551" spans="1:15" ht="45" x14ac:dyDescent="0.25">
      <c r="A551" s="9" t="s">
        <v>79</v>
      </c>
      <c r="B551" s="13">
        <f>VLOOKUP(Table2[[#This Row],[Location 
(drop-down)]],'List source'!D$2:E$59,2,FALSE)</f>
        <v>141</v>
      </c>
      <c r="C551" s="11" t="s">
        <v>1459</v>
      </c>
      <c r="D551" s="117" t="str">
        <f t="shared" si="12"/>
        <v>C550-141-23</v>
      </c>
      <c r="E551" s="117" t="str">
        <f>VLOOKUP(Table2[[#This Row],[Location 
(drop-down)]],Table1[#All],3,FALSE)</f>
        <v>USNE, USMW &amp; Canada</v>
      </c>
      <c r="F551" s="196" t="s">
        <v>159</v>
      </c>
      <c r="G551" s="9" t="s">
        <v>1460</v>
      </c>
      <c r="H551" s="12">
        <v>45126</v>
      </c>
      <c r="I551" s="12" t="s">
        <v>96</v>
      </c>
      <c r="J551" s="91" t="s">
        <v>821</v>
      </c>
      <c r="K551" s="91">
        <v>45155</v>
      </c>
      <c r="L551" s="10" t="s">
        <v>147</v>
      </c>
      <c r="M551" s="10" t="s">
        <v>862</v>
      </c>
      <c r="N551" s="10" t="s">
        <v>822</v>
      </c>
      <c r="O551" s="10"/>
    </row>
    <row r="552" spans="1:15" ht="37.5" x14ac:dyDescent="0.25">
      <c r="A552" s="9" t="s">
        <v>208</v>
      </c>
      <c r="B552" s="13">
        <f>VLOOKUP(Table2[[#This Row],[Location 
(drop-down)]],'List source'!D$2:E$59,2,FALSE)</f>
        <v>142</v>
      </c>
      <c r="C552" s="11" t="s">
        <v>1461</v>
      </c>
      <c r="D552" s="343" t="str">
        <f t="shared" si="12"/>
        <v>C551-142-23</v>
      </c>
      <c r="E552" s="343" t="str">
        <f>VLOOKUP(Table2[[#This Row],[Location 
(drop-down)]],Table1[#All],3,FALSE)</f>
        <v>USNE, USMW &amp; Canada</v>
      </c>
      <c r="F552" s="344" t="s">
        <v>159</v>
      </c>
      <c r="G552" s="345" t="s">
        <v>1462</v>
      </c>
      <c r="H552" s="346">
        <v>45127</v>
      </c>
      <c r="I552" s="346" t="s">
        <v>96</v>
      </c>
      <c r="J552" s="347" t="s">
        <v>821</v>
      </c>
      <c r="K552" s="347">
        <v>45405</v>
      </c>
      <c r="L552" s="10" t="s">
        <v>97</v>
      </c>
      <c r="M552" s="10" t="s">
        <v>870</v>
      </c>
      <c r="N552" s="10" t="s">
        <v>910</v>
      </c>
      <c r="O552" s="10"/>
    </row>
    <row r="553" spans="1:15" ht="37.5" x14ac:dyDescent="0.25">
      <c r="A553" s="9" t="s">
        <v>208</v>
      </c>
      <c r="B553" s="13">
        <f>VLOOKUP(Table2[[#This Row],[Location 
(drop-down)]],'List source'!D$2:E$59,2,FALSE)</f>
        <v>142</v>
      </c>
      <c r="C553" s="11" t="s">
        <v>1463</v>
      </c>
      <c r="D553" s="117" t="str">
        <f t="shared" si="12"/>
        <v>C552-142-23</v>
      </c>
      <c r="E553" s="117" t="str">
        <f>VLOOKUP(Table2[[#This Row],[Location 
(drop-down)]],Table1[#All],3,FALSE)</f>
        <v>USNE, USMW &amp; Canada</v>
      </c>
      <c r="F553" s="196" t="s">
        <v>159</v>
      </c>
      <c r="G553" s="9" t="s">
        <v>1464</v>
      </c>
      <c r="H553" s="12">
        <v>45127</v>
      </c>
      <c r="I553" s="12" t="s">
        <v>96</v>
      </c>
      <c r="J553" s="91" t="s">
        <v>821</v>
      </c>
      <c r="K553" s="91">
        <v>45162</v>
      </c>
      <c r="L553" s="10" t="s">
        <v>97</v>
      </c>
      <c r="M553" s="10" t="s">
        <v>862</v>
      </c>
      <c r="N553" s="10" t="s">
        <v>822</v>
      </c>
      <c r="O553" s="10"/>
    </row>
    <row r="554" spans="1:15" ht="37.5" x14ac:dyDescent="0.25">
      <c r="A554" s="9" t="s">
        <v>1020</v>
      </c>
      <c r="B554" s="13">
        <f>VLOOKUP(Table2[[#This Row],[Location 
(drop-down)]],'List source'!D$2:E$59,2,FALSE)</f>
        <v>199</v>
      </c>
      <c r="C554" s="11" t="s">
        <v>1465</v>
      </c>
      <c r="D554" s="117" t="str">
        <f t="shared" si="12"/>
        <v>C553-199-23</v>
      </c>
      <c r="E554" s="117" t="str">
        <f>VLOOKUP(Table2[[#This Row],[Location 
(drop-down)]],Table1[#All],3,FALSE)</f>
        <v>USNE, USMW &amp; Canada</v>
      </c>
      <c r="F554" s="196" t="s">
        <v>94</v>
      </c>
      <c r="G554" s="9" t="s">
        <v>1466</v>
      </c>
      <c r="H554" s="12">
        <v>45134</v>
      </c>
      <c r="I554" s="12" t="s">
        <v>449</v>
      </c>
      <c r="J554" s="91" t="s">
        <v>821</v>
      </c>
      <c r="K554" s="91">
        <v>45195</v>
      </c>
      <c r="L554" s="10" t="s">
        <v>147</v>
      </c>
      <c r="M554" s="10" t="s">
        <v>870</v>
      </c>
      <c r="N554" s="10" t="s">
        <v>822</v>
      </c>
      <c r="O554" s="10"/>
    </row>
    <row r="555" spans="1:15" ht="37.5" x14ac:dyDescent="0.25">
      <c r="A555" s="9" t="s">
        <v>1020</v>
      </c>
      <c r="B555" s="13">
        <f>VLOOKUP(Table2[[#This Row],[Location 
(drop-down)]],'List source'!D$2:E$59,2,FALSE)</f>
        <v>199</v>
      </c>
      <c r="C555" s="11" t="s">
        <v>1467</v>
      </c>
      <c r="D555" s="117" t="str">
        <f t="shared" si="12"/>
        <v>C554-199-23</v>
      </c>
      <c r="E555" s="117" t="str">
        <f>VLOOKUP(Table2[[#This Row],[Location 
(drop-down)]],Table1[#All],3,FALSE)</f>
        <v>USNE, USMW &amp; Canada</v>
      </c>
      <c r="F555" s="196" t="s">
        <v>94</v>
      </c>
      <c r="G555" s="9" t="s">
        <v>1468</v>
      </c>
      <c r="H555" s="12">
        <v>45134</v>
      </c>
      <c r="I555" s="12" t="s">
        <v>449</v>
      </c>
      <c r="J555" s="91" t="s">
        <v>821</v>
      </c>
      <c r="K555" s="91">
        <v>45195</v>
      </c>
      <c r="L555" s="10" t="s">
        <v>147</v>
      </c>
      <c r="M555" s="10" t="s">
        <v>914</v>
      </c>
      <c r="N555" s="10" t="s">
        <v>822</v>
      </c>
      <c r="O555" s="10"/>
    </row>
    <row r="556" spans="1:15" ht="37.5" x14ac:dyDescent="0.25">
      <c r="A556" s="9" t="s">
        <v>1020</v>
      </c>
      <c r="B556" s="13">
        <f>VLOOKUP(Table2[[#This Row],[Location 
(drop-down)]],'List source'!D$2:E$59,2,FALSE)</f>
        <v>199</v>
      </c>
      <c r="C556" s="11" t="s">
        <v>1469</v>
      </c>
      <c r="D556" s="117" t="str">
        <f t="shared" si="12"/>
        <v>C555-199-23</v>
      </c>
      <c r="E556" s="117" t="str">
        <f>VLOOKUP(Table2[[#This Row],[Location 
(drop-down)]],Table1[#All],3,FALSE)</f>
        <v>USNE, USMW &amp; Canada</v>
      </c>
      <c r="F556" s="196" t="s">
        <v>94</v>
      </c>
      <c r="G556" s="9" t="s">
        <v>1470</v>
      </c>
      <c r="H556" s="12">
        <v>45134</v>
      </c>
      <c r="I556" s="12" t="s">
        <v>449</v>
      </c>
      <c r="J556" s="91">
        <v>45202</v>
      </c>
      <c r="K556" s="91">
        <v>45210</v>
      </c>
      <c r="L556" s="10" t="s">
        <v>147</v>
      </c>
      <c r="M556" s="10" t="s">
        <v>862</v>
      </c>
      <c r="N556" s="10" t="s">
        <v>822</v>
      </c>
      <c r="O556" s="10"/>
    </row>
    <row r="557" spans="1:15" ht="37.5" x14ac:dyDescent="0.25">
      <c r="A557" s="9" t="s">
        <v>1020</v>
      </c>
      <c r="B557" s="13">
        <f>VLOOKUP(Table2[[#This Row],[Location 
(drop-down)]],'List source'!D$2:E$59,2,FALSE)</f>
        <v>199</v>
      </c>
      <c r="C557" s="11" t="s">
        <v>1471</v>
      </c>
      <c r="D557" s="117" t="str">
        <f t="shared" si="12"/>
        <v>C556-199-23</v>
      </c>
      <c r="E557" s="117" t="str">
        <f>VLOOKUP(Table2[[#This Row],[Location 
(drop-down)]],Table1[#All],3,FALSE)</f>
        <v>USNE, USMW &amp; Canada</v>
      </c>
      <c r="F557" s="196" t="s">
        <v>94</v>
      </c>
      <c r="G557" s="9" t="s">
        <v>1472</v>
      </c>
      <c r="H557" s="12">
        <v>45134</v>
      </c>
      <c r="I557" s="12" t="s">
        <v>449</v>
      </c>
      <c r="J557" s="91">
        <v>45209</v>
      </c>
      <c r="K557" s="91">
        <v>45210</v>
      </c>
      <c r="L557" s="10" t="s">
        <v>147</v>
      </c>
      <c r="M557" s="10" t="s">
        <v>854</v>
      </c>
      <c r="N557" s="10" t="s">
        <v>858</v>
      </c>
      <c r="O557" s="10"/>
    </row>
    <row r="558" spans="1:15" ht="37.5" x14ac:dyDescent="0.25">
      <c r="A558" s="9" t="s">
        <v>1020</v>
      </c>
      <c r="B558" s="13">
        <f>VLOOKUP(Table2[[#This Row],[Location 
(drop-down)]],'List source'!D$2:E$59,2,FALSE)</f>
        <v>199</v>
      </c>
      <c r="C558" s="11" t="s">
        <v>1473</v>
      </c>
      <c r="D558" s="117" t="str">
        <f t="shared" si="12"/>
        <v>C557-199-23</v>
      </c>
      <c r="E558" s="117" t="str">
        <f>VLOOKUP(Table2[[#This Row],[Location 
(drop-down)]],Table1[#All],3,FALSE)</f>
        <v>USNE, USMW &amp; Canada</v>
      </c>
      <c r="F558" s="196" t="s">
        <v>94</v>
      </c>
      <c r="G558" s="9" t="s">
        <v>1474</v>
      </c>
      <c r="H558" s="12">
        <v>45134</v>
      </c>
      <c r="I558" s="12" t="s">
        <v>449</v>
      </c>
      <c r="J558" s="91">
        <v>45201</v>
      </c>
      <c r="K558" s="91">
        <v>45215</v>
      </c>
      <c r="L558" s="10" t="s">
        <v>147</v>
      </c>
      <c r="M558" s="10" t="s">
        <v>862</v>
      </c>
      <c r="N558" s="10" t="s">
        <v>858</v>
      </c>
      <c r="O558" s="10"/>
    </row>
    <row r="559" spans="1:15" ht="37.5" x14ac:dyDescent="0.25">
      <c r="A559" s="9" t="s">
        <v>208</v>
      </c>
      <c r="B559" s="13">
        <f>VLOOKUP(Table2[[#This Row],[Location 
(drop-down)]],'List source'!D$2:E$59,2,FALSE)</f>
        <v>142</v>
      </c>
      <c r="C559" s="11" t="s">
        <v>1475</v>
      </c>
      <c r="D559" s="117" t="str">
        <f t="shared" si="12"/>
        <v>C558-142-23</v>
      </c>
      <c r="E559" s="117" t="str">
        <f>VLOOKUP(Table2[[#This Row],[Location 
(drop-down)]],Table1[#All],3,FALSE)</f>
        <v>USNE, USMW &amp; Canada</v>
      </c>
      <c r="F559" s="196" t="s">
        <v>94</v>
      </c>
      <c r="G559" s="9" t="s">
        <v>1476</v>
      </c>
      <c r="H559" s="12">
        <v>45149</v>
      </c>
      <c r="I559" s="12" t="s">
        <v>440</v>
      </c>
      <c r="J559" s="91">
        <v>45152</v>
      </c>
      <c r="K559" s="91">
        <v>45195</v>
      </c>
      <c r="L559" s="10" t="s">
        <v>147</v>
      </c>
      <c r="M559" s="10" t="s">
        <v>857</v>
      </c>
      <c r="N559" s="10" t="s">
        <v>822</v>
      </c>
      <c r="O559" s="10"/>
    </row>
    <row r="560" spans="1:15" ht="37.5" x14ac:dyDescent="0.25">
      <c r="A560" s="9" t="s">
        <v>208</v>
      </c>
      <c r="B560" s="13">
        <f>VLOOKUP(Table2[[#This Row],[Location 
(drop-down)]],'List source'!D$2:E$59,2,FALSE)</f>
        <v>142</v>
      </c>
      <c r="C560" s="11" t="s">
        <v>1477</v>
      </c>
      <c r="D560" s="319" t="str">
        <f t="shared" si="12"/>
        <v>C559-142-23</v>
      </c>
      <c r="E560" s="117" t="str">
        <f>VLOOKUP(Table2[[#This Row],[Location 
(drop-down)]],Table1[#All],3,FALSE)</f>
        <v>USNE, USMW &amp; Canada</v>
      </c>
      <c r="F560" s="196" t="s">
        <v>94</v>
      </c>
      <c r="G560" s="9" t="s">
        <v>1478</v>
      </c>
      <c r="H560" s="12">
        <v>45149</v>
      </c>
      <c r="I560" s="12" t="s">
        <v>440</v>
      </c>
      <c r="J560" s="318">
        <v>45331</v>
      </c>
      <c r="K560" s="318">
        <v>45333</v>
      </c>
      <c r="L560" s="10" t="s">
        <v>97</v>
      </c>
      <c r="M560" s="10" t="s">
        <v>854</v>
      </c>
      <c r="N560" s="10"/>
      <c r="O560" s="10"/>
    </row>
    <row r="561" spans="1:15" ht="37.5" x14ac:dyDescent="0.25">
      <c r="A561" s="9" t="s">
        <v>208</v>
      </c>
      <c r="B561" s="13">
        <f>VLOOKUP(Table2[[#This Row],[Location 
(drop-down)]],'List source'!D$2:E$59,2,FALSE)</f>
        <v>142</v>
      </c>
      <c r="C561" s="11" t="s">
        <v>1479</v>
      </c>
      <c r="D561" s="117" t="str">
        <f t="shared" si="12"/>
        <v>C560-142-23</v>
      </c>
      <c r="E561" s="117" t="str">
        <f>VLOOKUP(Table2[[#This Row],[Location 
(drop-down)]],Table1[#All],3,FALSE)</f>
        <v>USNE, USMW &amp; Canada</v>
      </c>
      <c r="F561" s="196" t="s">
        <v>94</v>
      </c>
      <c r="G561" s="9" t="s">
        <v>1480</v>
      </c>
      <c r="H561" s="12">
        <v>45149</v>
      </c>
      <c r="I561" s="12" t="s">
        <v>440</v>
      </c>
      <c r="J561" s="91" t="s">
        <v>821</v>
      </c>
      <c r="K561" s="91">
        <v>45195</v>
      </c>
      <c r="L561" s="10" t="s">
        <v>97</v>
      </c>
      <c r="M561" s="10" t="s">
        <v>862</v>
      </c>
      <c r="N561" s="10" t="s">
        <v>837</v>
      </c>
      <c r="O561" s="10"/>
    </row>
    <row r="562" spans="1:15" ht="37.5" x14ac:dyDescent="0.25">
      <c r="A562" s="9" t="s">
        <v>208</v>
      </c>
      <c r="B562" s="13">
        <f>VLOOKUP(Table2[[#This Row],[Location 
(drop-down)]],'List source'!D$2:E$59,2,FALSE)</f>
        <v>142</v>
      </c>
      <c r="C562" s="11" t="s">
        <v>1481</v>
      </c>
      <c r="D562" s="319" t="str">
        <f t="shared" si="12"/>
        <v>C561-142-23</v>
      </c>
      <c r="E562" s="117" t="str">
        <f>VLOOKUP(Table2[[#This Row],[Location 
(drop-down)]],Table1[#All],3,FALSE)</f>
        <v>USNE, USMW &amp; Canada</v>
      </c>
      <c r="F562" s="196" t="s">
        <v>94</v>
      </c>
      <c r="G562" s="9" t="s">
        <v>1482</v>
      </c>
      <c r="H562" s="12">
        <v>45149</v>
      </c>
      <c r="I562" s="12" t="s">
        <v>440</v>
      </c>
      <c r="J562" s="318">
        <v>45331</v>
      </c>
      <c r="K562" s="318">
        <v>45333</v>
      </c>
      <c r="L562" s="10" t="s">
        <v>97</v>
      </c>
      <c r="M562" s="10" t="s">
        <v>857</v>
      </c>
      <c r="N562" s="10"/>
      <c r="O562" s="10"/>
    </row>
    <row r="563" spans="1:15" ht="37.5" x14ac:dyDescent="0.25">
      <c r="A563" s="9" t="s">
        <v>208</v>
      </c>
      <c r="B563" s="13">
        <f>VLOOKUP(Table2[[#This Row],[Location 
(drop-down)]],'List source'!D$2:E$59,2,FALSE)</f>
        <v>142</v>
      </c>
      <c r="C563" s="11" t="s">
        <v>1483</v>
      </c>
      <c r="D563" s="117" t="str">
        <f t="shared" si="12"/>
        <v>C562-142-23</v>
      </c>
      <c r="E563" s="117" t="str">
        <f>VLOOKUP(Table2[[#This Row],[Location 
(drop-down)]],Table1[#All],3,FALSE)</f>
        <v>USNE, USMW &amp; Canada</v>
      </c>
      <c r="F563" s="196" t="s">
        <v>94</v>
      </c>
      <c r="G563" s="168" t="s">
        <v>1484</v>
      </c>
      <c r="H563" s="12">
        <v>45149</v>
      </c>
      <c r="I563" s="12" t="s">
        <v>440</v>
      </c>
      <c r="J563" s="91">
        <v>45153</v>
      </c>
      <c r="K563" s="91">
        <v>45195</v>
      </c>
      <c r="L563" s="10" t="s">
        <v>147</v>
      </c>
      <c r="M563" s="10" t="s">
        <v>854</v>
      </c>
      <c r="N563" s="10" t="s">
        <v>822</v>
      </c>
      <c r="O563" s="10"/>
    </row>
    <row r="564" spans="1:15" ht="37.5" x14ac:dyDescent="0.25">
      <c r="A564" s="9" t="s">
        <v>1485</v>
      </c>
      <c r="B564" s="13">
        <f>VLOOKUP(Table2[[#This Row],[Location 
(drop-down)]],'List source'!D$2:E$59,2,FALSE)</f>
        <v>195</v>
      </c>
      <c r="C564" s="11" t="s">
        <v>1486</v>
      </c>
      <c r="D564" s="117" t="str">
        <f t="shared" si="12"/>
        <v>C563-195-23</v>
      </c>
      <c r="E564" s="117" t="str">
        <f>VLOOKUP(Table2[[#This Row],[Location 
(drop-down)]],Table1[#All],3,FALSE)</f>
        <v>SE &amp; Caribbean</v>
      </c>
      <c r="F564" s="196" t="s">
        <v>94</v>
      </c>
      <c r="G564" s="9" t="s">
        <v>1487</v>
      </c>
      <c r="H564" s="12">
        <v>45149</v>
      </c>
      <c r="I564" s="12" t="s">
        <v>129</v>
      </c>
      <c r="J564" s="91" t="s">
        <v>821</v>
      </c>
      <c r="K564" s="91">
        <v>45163</v>
      </c>
      <c r="L564" s="10" t="s">
        <v>147</v>
      </c>
      <c r="M564" s="10" t="s">
        <v>857</v>
      </c>
      <c r="N564" s="10" t="s">
        <v>822</v>
      </c>
      <c r="O564" s="10"/>
    </row>
    <row r="565" spans="1:15" ht="37.5" x14ac:dyDescent="0.25">
      <c r="A565" s="9" t="s">
        <v>13</v>
      </c>
      <c r="B565" s="13">
        <f>VLOOKUP(Table2[[#This Row],[Location 
(drop-down)]],'List source'!D$2:E$59,2,FALSE)</f>
        <v>126</v>
      </c>
      <c r="C565" s="11" t="s">
        <v>1488</v>
      </c>
      <c r="D565" s="117" t="str">
        <f t="shared" si="12"/>
        <v>C564-126-23</v>
      </c>
      <c r="E565" s="117" t="str">
        <f>VLOOKUP(Table2[[#This Row],[Location 
(drop-down)]],Table1[#All],3,FALSE)</f>
        <v>SE &amp; Caribbean</v>
      </c>
      <c r="F565" s="196" t="s">
        <v>935</v>
      </c>
      <c r="G565" s="9" t="s">
        <v>1489</v>
      </c>
      <c r="H565" s="12">
        <v>45155</v>
      </c>
      <c r="I565" s="12" t="s">
        <v>129</v>
      </c>
      <c r="J565" s="91" t="s">
        <v>821</v>
      </c>
      <c r="K565" s="91">
        <v>45182</v>
      </c>
      <c r="L565" s="10" t="s">
        <v>97</v>
      </c>
      <c r="M565" s="10" t="s">
        <v>857</v>
      </c>
      <c r="N565" s="10" t="s">
        <v>910</v>
      </c>
      <c r="O565" s="10"/>
    </row>
    <row r="566" spans="1:15" ht="18.75" x14ac:dyDescent="0.25">
      <c r="A566" s="9" t="s">
        <v>27</v>
      </c>
      <c r="B566" s="13">
        <f>VLOOKUP(Table2[[#This Row],[Location 
(drop-down)]],'List source'!D$2:E$59,2,FALSE)</f>
        <v>132</v>
      </c>
      <c r="C566" s="11" t="s">
        <v>1490</v>
      </c>
      <c r="D566" s="117" t="str">
        <f t="shared" si="12"/>
        <v>C565-132-23</v>
      </c>
      <c r="E566" s="117" t="str">
        <f>VLOOKUP(Table2[[#This Row],[Location 
(drop-down)]],Table1[#All],3,FALSE)</f>
        <v>USWC</v>
      </c>
      <c r="F566" s="196" t="s">
        <v>159</v>
      </c>
      <c r="G566" s="9" t="s">
        <v>1491</v>
      </c>
      <c r="H566" s="12">
        <v>45159</v>
      </c>
      <c r="I566" s="12" t="s">
        <v>443</v>
      </c>
      <c r="J566" s="91" t="s">
        <v>821</v>
      </c>
      <c r="K566" s="91">
        <v>45192</v>
      </c>
      <c r="L566" s="10" t="s">
        <v>147</v>
      </c>
      <c r="M566" s="10"/>
      <c r="N566" s="10"/>
      <c r="O566" s="10"/>
    </row>
    <row r="567" spans="1:15" ht="18.75" x14ac:dyDescent="0.25">
      <c r="A567" s="9" t="s">
        <v>27</v>
      </c>
      <c r="B567" s="13">
        <f>VLOOKUP(Table2[[#This Row],[Location 
(drop-down)]],'List source'!D$2:E$59,2,FALSE)</f>
        <v>132</v>
      </c>
      <c r="C567" s="11" t="s">
        <v>1492</v>
      </c>
      <c r="D567" s="117" t="str">
        <f t="shared" si="12"/>
        <v>C566-132-23</v>
      </c>
      <c r="E567" s="117" t="str">
        <f>VLOOKUP(Table2[[#This Row],[Location 
(drop-down)]],Table1[#All],3,FALSE)</f>
        <v>USWC</v>
      </c>
      <c r="F567" s="196" t="s">
        <v>159</v>
      </c>
      <c r="G567" s="9" t="s">
        <v>1493</v>
      </c>
      <c r="H567" s="12">
        <v>45159</v>
      </c>
      <c r="I567" s="12" t="s">
        <v>443</v>
      </c>
      <c r="J567" s="91" t="s">
        <v>821</v>
      </c>
      <c r="K567" s="91">
        <v>45194</v>
      </c>
      <c r="L567" s="10" t="s">
        <v>147</v>
      </c>
      <c r="M567" s="10"/>
      <c r="N567" s="10"/>
      <c r="O567" s="10"/>
    </row>
    <row r="568" spans="1:15" ht="18.75" x14ac:dyDescent="0.25">
      <c r="A568" s="9" t="s">
        <v>27</v>
      </c>
      <c r="B568" s="13">
        <f>VLOOKUP(Table2[[#This Row],[Location 
(drop-down)]],'List source'!D$2:E$59,2,FALSE)</f>
        <v>132</v>
      </c>
      <c r="C568" s="11" t="s">
        <v>1494</v>
      </c>
      <c r="D568" s="117" t="str">
        <f t="shared" si="12"/>
        <v>C567-132-23</v>
      </c>
      <c r="E568" s="117" t="str">
        <f>VLOOKUP(Table2[[#This Row],[Location 
(drop-down)]],Table1[#All],3,FALSE)</f>
        <v>USWC</v>
      </c>
      <c r="F568" s="196" t="s">
        <v>159</v>
      </c>
      <c r="G568" s="9" t="s">
        <v>1495</v>
      </c>
      <c r="H568" s="12">
        <v>45159</v>
      </c>
      <c r="I568" s="12" t="s">
        <v>443</v>
      </c>
      <c r="J568" s="91" t="s">
        <v>821</v>
      </c>
      <c r="K568" s="91">
        <v>45189</v>
      </c>
      <c r="L568" s="10" t="s">
        <v>97</v>
      </c>
      <c r="M568" s="10"/>
      <c r="N568" s="10"/>
      <c r="O568" s="10"/>
    </row>
    <row r="569" spans="1:15" ht="28.35" customHeight="1" x14ac:dyDescent="0.25">
      <c r="A569" s="9" t="s">
        <v>27</v>
      </c>
      <c r="B569" s="13">
        <f>VLOOKUP(Table2[[#This Row],[Location 
(drop-down)]],'List source'!D$2:E$59,2,FALSE)</f>
        <v>132</v>
      </c>
      <c r="C569" s="11" t="s">
        <v>1496</v>
      </c>
      <c r="D569" s="117" t="str">
        <f t="shared" si="12"/>
        <v>C568-132-23</v>
      </c>
      <c r="E569" s="117" t="str">
        <f>VLOOKUP(Table2[[#This Row],[Location 
(drop-down)]],Table1[#All],3,FALSE)</f>
        <v>USWC</v>
      </c>
      <c r="F569" s="196" t="s">
        <v>159</v>
      </c>
      <c r="G569" s="9" t="s">
        <v>1497</v>
      </c>
      <c r="H569" s="12">
        <v>45159</v>
      </c>
      <c r="I569" s="12" t="s">
        <v>443</v>
      </c>
      <c r="J569" s="91" t="s">
        <v>821</v>
      </c>
      <c r="K569" s="91">
        <v>45190</v>
      </c>
      <c r="L569" s="10" t="s">
        <v>97</v>
      </c>
      <c r="M569" s="10"/>
      <c r="N569" s="10"/>
      <c r="O569" s="10"/>
    </row>
    <row r="570" spans="1:15" ht="18.75" x14ac:dyDescent="0.25">
      <c r="A570" s="9" t="s">
        <v>27</v>
      </c>
      <c r="B570" s="13">
        <f>VLOOKUP(Table2[[#This Row],[Location 
(drop-down)]],'List source'!D$2:E$59,2,FALSE)</f>
        <v>132</v>
      </c>
      <c r="C570" s="11" t="s">
        <v>1498</v>
      </c>
      <c r="D570" s="117" t="str">
        <f t="shared" si="12"/>
        <v>C569-132-23</v>
      </c>
      <c r="E570" s="117" t="str">
        <f>VLOOKUP(Table2[[#This Row],[Location 
(drop-down)]],Table1[#All],3,FALSE)</f>
        <v>USWC</v>
      </c>
      <c r="F570" s="196" t="s">
        <v>159</v>
      </c>
      <c r="G570" s="9" t="s">
        <v>1499</v>
      </c>
      <c r="H570" s="12">
        <v>45159</v>
      </c>
      <c r="I570" s="12" t="s">
        <v>443</v>
      </c>
      <c r="J570" s="91" t="s">
        <v>821</v>
      </c>
      <c r="K570" s="91">
        <v>45181</v>
      </c>
      <c r="L570" s="10" t="s">
        <v>97</v>
      </c>
      <c r="M570" s="10"/>
      <c r="N570" s="10"/>
      <c r="O570" s="10"/>
    </row>
    <row r="571" spans="1:15" ht="18.75" x14ac:dyDescent="0.25">
      <c r="A571" s="9" t="s">
        <v>27</v>
      </c>
      <c r="B571" s="13">
        <f>VLOOKUP(Table2[[#This Row],[Location 
(drop-down)]],'List source'!D$2:E$59,2,FALSE)</f>
        <v>132</v>
      </c>
      <c r="C571" s="11" t="s">
        <v>1500</v>
      </c>
      <c r="D571" s="117" t="str">
        <f t="shared" si="12"/>
        <v>C570-132-23</v>
      </c>
      <c r="E571" s="117" t="str">
        <f>VLOOKUP(Table2[[#This Row],[Location 
(drop-down)]],Table1[#All],3,FALSE)</f>
        <v>USWC</v>
      </c>
      <c r="F571" s="196" t="s">
        <v>159</v>
      </c>
      <c r="G571" s="9" t="s">
        <v>1501</v>
      </c>
      <c r="H571" s="12">
        <v>45159</v>
      </c>
      <c r="I571" s="12" t="s">
        <v>443</v>
      </c>
      <c r="J571" s="91" t="s">
        <v>821</v>
      </c>
      <c r="K571" s="91">
        <v>45189</v>
      </c>
      <c r="L571" s="10" t="s">
        <v>97</v>
      </c>
      <c r="M571" s="10"/>
      <c r="N571" s="10"/>
      <c r="O571" s="10"/>
    </row>
    <row r="572" spans="1:15" ht="18.75" x14ac:dyDescent="0.25">
      <c r="A572" s="9" t="s">
        <v>27</v>
      </c>
      <c r="B572" s="13">
        <f>VLOOKUP(Table2[[#This Row],[Location 
(drop-down)]],'List source'!D$2:E$59,2,FALSE)</f>
        <v>132</v>
      </c>
      <c r="C572" s="11" t="s">
        <v>1502</v>
      </c>
      <c r="D572" s="117" t="str">
        <f t="shared" si="12"/>
        <v>C571-132-23</v>
      </c>
      <c r="E572" s="117" t="str">
        <f>VLOOKUP(Table2[[#This Row],[Location 
(drop-down)]],Table1[#All],3,FALSE)</f>
        <v>USWC</v>
      </c>
      <c r="F572" s="196" t="s">
        <v>159</v>
      </c>
      <c r="G572" s="9" t="s">
        <v>1503</v>
      </c>
      <c r="H572" s="12">
        <v>45159</v>
      </c>
      <c r="I572" s="12" t="s">
        <v>443</v>
      </c>
      <c r="J572" s="91" t="s">
        <v>821</v>
      </c>
      <c r="K572" s="91">
        <v>45189</v>
      </c>
      <c r="L572" s="10" t="s">
        <v>97</v>
      </c>
      <c r="M572" s="10"/>
      <c r="N572" s="10"/>
      <c r="O572" s="10"/>
    </row>
    <row r="573" spans="1:15" ht="18.75" x14ac:dyDescent="0.25">
      <c r="A573" s="9" t="s">
        <v>27</v>
      </c>
      <c r="B573" s="13">
        <f>VLOOKUP(Table2[[#This Row],[Location 
(drop-down)]],'List source'!D$2:E$59,2,FALSE)</f>
        <v>132</v>
      </c>
      <c r="C573" s="11" t="s">
        <v>1504</v>
      </c>
      <c r="D573" s="117" t="str">
        <f t="shared" si="12"/>
        <v>C572-132-23</v>
      </c>
      <c r="E573" s="117" t="str">
        <f>VLOOKUP(Table2[[#This Row],[Location 
(drop-down)]],Table1[#All],3,FALSE)</f>
        <v>USWC</v>
      </c>
      <c r="F573" s="196" t="s">
        <v>159</v>
      </c>
      <c r="G573" s="9" t="s">
        <v>1505</v>
      </c>
      <c r="H573" s="12">
        <v>45159</v>
      </c>
      <c r="I573" s="12" t="s">
        <v>443</v>
      </c>
      <c r="J573" s="91" t="s">
        <v>821</v>
      </c>
      <c r="K573" s="91">
        <v>45387</v>
      </c>
      <c r="L573" s="10" t="s">
        <v>97</v>
      </c>
      <c r="M573" s="10"/>
      <c r="N573" s="10"/>
      <c r="O573" s="10"/>
    </row>
    <row r="574" spans="1:15" ht="18.75" x14ac:dyDescent="0.25">
      <c r="A574" s="9" t="s">
        <v>27</v>
      </c>
      <c r="B574" s="13">
        <f>VLOOKUP(Table2[[#This Row],[Location 
(drop-down)]],'List source'!D$2:E$59,2,FALSE)</f>
        <v>132</v>
      </c>
      <c r="C574" s="11" t="s">
        <v>1506</v>
      </c>
      <c r="D574" s="117" t="str">
        <f t="shared" si="12"/>
        <v>C573-132-23</v>
      </c>
      <c r="E574" s="117" t="str">
        <f>VLOOKUP(Table2[[#This Row],[Location 
(drop-down)]],Table1[#All],3,FALSE)</f>
        <v>USWC</v>
      </c>
      <c r="F574" s="196" t="s">
        <v>159</v>
      </c>
      <c r="G574" s="9" t="s">
        <v>1507</v>
      </c>
      <c r="H574" s="12">
        <v>45159</v>
      </c>
      <c r="I574" s="12" t="s">
        <v>443</v>
      </c>
      <c r="J574" s="91" t="s">
        <v>821</v>
      </c>
      <c r="K574" s="91">
        <v>45387</v>
      </c>
      <c r="L574" s="10" t="s">
        <v>97</v>
      </c>
      <c r="M574" s="10"/>
      <c r="N574" s="10"/>
      <c r="O574" s="10"/>
    </row>
    <row r="575" spans="1:15" ht="37.5" x14ac:dyDescent="0.25">
      <c r="A575" s="9" t="s">
        <v>1508</v>
      </c>
      <c r="B575" s="13">
        <f>VLOOKUP(Table2[[#This Row],[Location 
(drop-down)]],'List source'!D$2:E$59,2,FALSE)</f>
        <v>140</v>
      </c>
      <c r="C575" s="11" t="s">
        <v>1509</v>
      </c>
      <c r="D575" s="117" t="str">
        <f t="shared" si="12"/>
        <v>C574-140-23</v>
      </c>
      <c r="E575" s="117" t="str">
        <f>VLOOKUP(Table2[[#This Row],[Location 
(drop-down)]],Table1[#All],3,FALSE)</f>
        <v>USNE, USMW &amp; Canada</v>
      </c>
      <c r="F575" s="196" t="s">
        <v>94</v>
      </c>
      <c r="G575" s="9" t="s">
        <v>1510</v>
      </c>
      <c r="H575" s="12">
        <v>45162</v>
      </c>
      <c r="I575" s="12" t="s">
        <v>435</v>
      </c>
      <c r="J575" s="91" t="s">
        <v>821</v>
      </c>
      <c r="K575" s="91">
        <v>45180</v>
      </c>
      <c r="L575" s="10" t="s">
        <v>97</v>
      </c>
      <c r="M575" s="10" t="s">
        <v>857</v>
      </c>
      <c r="N575" s="10" t="s">
        <v>858</v>
      </c>
      <c r="O575" s="10"/>
    </row>
    <row r="576" spans="1:15" ht="37.5" x14ac:dyDescent="0.25">
      <c r="A576" s="9" t="s">
        <v>1508</v>
      </c>
      <c r="B576" s="13">
        <f>VLOOKUP(Table2[[#This Row],[Location 
(drop-down)]],'List source'!D$2:E$59,2,FALSE)</f>
        <v>140</v>
      </c>
      <c r="C576" s="11" t="s">
        <v>1511</v>
      </c>
      <c r="D576" s="117" t="str">
        <f t="shared" si="12"/>
        <v>C575-140-23</v>
      </c>
      <c r="E576" s="117" t="str">
        <f>VLOOKUP(Table2[[#This Row],[Location 
(drop-down)]],Table1[#All],3,FALSE)</f>
        <v>USNE, USMW &amp; Canada</v>
      </c>
      <c r="F576" s="196" t="s">
        <v>94</v>
      </c>
      <c r="G576" s="9" t="s">
        <v>1512</v>
      </c>
      <c r="H576" s="12">
        <v>45162</v>
      </c>
      <c r="I576" s="12" t="s">
        <v>435</v>
      </c>
      <c r="J576" s="91" t="s">
        <v>821</v>
      </c>
      <c r="K576" s="91">
        <v>45180</v>
      </c>
      <c r="L576" s="10" t="s">
        <v>97</v>
      </c>
      <c r="M576" s="10" t="s">
        <v>857</v>
      </c>
      <c r="N576" s="10" t="s">
        <v>858</v>
      </c>
      <c r="O576" s="10"/>
    </row>
    <row r="577" spans="1:15" ht="37.5" x14ac:dyDescent="0.25">
      <c r="A577" s="9" t="s">
        <v>1508</v>
      </c>
      <c r="B577" s="13">
        <f>VLOOKUP(Table2[[#This Row],[Location 
(drop-down)]],'List source'!D$2:E$59,2,FALSE)</f>
        <v>140</v>
      </c>
      <c r="C577" s="11" t="s">
        <v>1513</v>
      </c>
      <c r="D577" s="117" t="str">
        <f t="shared" si="12"/>
        <v>C576-140-23</v>
      </c>
      <c r="E577" s="117" t="str">
        <f>VLOOKUP(Table2[[#This Row],[Location 
(drop-down)]],Table1[#All],3,FALSE)</f>
        <v>USNE, USMW &amp; Canada</v>
      </c>
      <c r="F577" s="196" t="s">
        <v>94</v>
      </c>
      <c r="G577" s="9" t="s">
        <v>1514</v>
      </c>
      <c r="H577" s="12">
        <v>45162</v>
      </c>
      <c r="I577" s="12" t="s">
        <v>435</v>
      </c>
      <c r="J577" s="91" t="s">
        <v>821</v>
      </c>
      <c r="K577" s="91">
        <v>45232</v>
      </c>
      <c r="L577" s="10" t="s">
        <v>97</v>
      </c>
      <c r="M577" s="10" t="s">
        <v>862</v>
      </c>
      <c r="N577" s="10" t="s">
        <v>822</v>
      </c>
      <c r="O577" s="10"/>
    </row>
    <row r="578" spans="1:15" ht="37.5" x14ac:dyDescent="0.25">
      <c r="A578" s="9" t="s">
        <v>1508</v>
      </c>
      <c r="B578" s="13">
        <f>VLOOKUP(Table2[[#This Row],[Location 
(drop-down)]],'List source'!D$2:E$59,2,FALSE)</f>
        <v>140</v>
      </c>
      <c r="C578" s="11" t="s">
        <v>1515</v>
      </c>
      <c r="D578" s="117" t="str">
        <f t="shared" si="12"/>
        <v>C577-140-23</v>
      </c>
      <c r="E578" s="117" t="str">
        <f>VLOOKUP(Table2[[#This Row],[Location 
(drop-down)]],Table1[#All],3,FALSE)</f>
        <v>USNE, USMW &amp; Canada</v>
      </c>
      <c r="F578" s="196" t="s">
        <v>94</v>
      </c>
      <c r="G578" s="9" t="s">
        <v>1080</v>
      </c>
      <c r="H578" s="12">
        <v>45162</v>
      </c>
      <c r="I578" s="12" t="s">
        <v>435</v>
      </c>
      <c r="J578" s="91" t="s">
        <v>821</v>
      </c>
      <c r="K578" s="91">
        <v>45232</v>
      </c>
      <c r="L578" s="10" t="s">
        <v>913</v>
      </c>
      <c r="M578" s="10" t="s">
        <v>862</v>
      </c>
      <c r="N578" s="10" t="s">
        <v>858</v>
      </c>
      <c r="O578" s="10"/>
    </row>
    <row r="579" spans="1:15" ht="37.5" x14ac:dyDescent="0.25">
      <c r="A579" s="9" t="s">
        <v>75</v>
      </c>
      <c r="B579" s="13">
        <f>VLOOKUP(Table2[[#This Row],[Location 
(drop-down)]],'List source'!D$2:E$59,2,FALSE)</f>
        <v>180</v>
      </c>
      <c r="C579" s="11" t="s">
        <v>1516</v>
      </c>
      <c r="D579" s="117" t="str">
        <f t="shared" si="12"/>
        <v>C578-180-23</v>
      </c>
      <c r="E579" s="117" t="str">
        <f>VLOOKUP(Table2[[#This Row],[Location 
(drop-down)]],Table1[#All],3,FALSE)</f>
        <v>SE &amp; Caribbean</v>
      </c>
      <c r="F579" s="196" t="s">
        <v>159</v>
      </c>
      <c r="G579" s="9" t="s">
        <v>1517</v>
      </c>
      <c r="H579" s="12">
        <v>45166</v>
      </c>
      <c r="I579" s="12" t="s">
        <v>435</v>
      </c>
      <c r="J579" s="91" t="s">
        <v>821</v>
      </c>
      <c r="K579" s="91">
        <v>45189</v>
      </c>
      <c r="L579" s="10" t="s">
        <v>97</v>
      </c>
      <c r="M579" s="10" t="s">
        <v>857</v>
      </c>
      <c r="N579" s="10" t="s">
        <v>858</v>
      </c>
      <c r="O579" s="10"/>
    </row>
    <row r="580" spans="1:15" ht="37.5" x14ac:dyDescent="0.25">
      <c r="A580" s="9" t="s">
        <v>75</v>
      </c>
      <c r="B580" s="13">
        <f>VLOOKUP(Table2[[#This Row],[Location 
(drop-down)]],'List source'!D$2:E$59,2,FALSE)</f>
        <v>180</v>
      </c>
      <c r="C580" s="11" t="s">
        <v>1518</v>
      </c>
      <c r="D580" s="117" t="str">
        <f t="shared" si="12"/>
        <v>C579-180-23</v>
      </c>
      <c r="E580" s="117" t="str">
        <f>VLOOKUP(Table2[[#This Row],[Location 
(drop-down)]],Table1[#All],3,FALSE)</f>
        <v>SE &amp; Caribbean</v>
      </c>
      <c r="F580" s="196" t="s">
        <v>159</v>
      </c>
      <c r="G580" s="9" t="s">
        <v>1519</v>
      </c>
      <c r="H580" s="12">
        <v>45166</v>
      </c>
      <c r="I580" s="12" t="s">
        <v>435</v>
      </c>
      <c r="J580" s="91" t="s">
        <v>821</v>
      </c>
      <c r="K580" s="91">
        <v>45175</v>
      </c>
      <c r="L580" s="10" t="s">
        <v>97</v>
      </c>
      <c r="M580" s="10" t="s">
        <v>854</v>
      </c>
      <c r="N580" s="10" t="s">
        <v>881</v>
      </c>
      <c r="O580" s="10"/>
    </row>
    <row r="581" spans="1:15" ht="37.5" x14ac:dyDescent="0.25">
      <c r="A581" s="9" t="s">
        <v>75</v>
      </c>
      <c r="B581" s="13">
        <f>VLOOKUP(Table2[[#This Row],[Location 
(drop-down)]],'List source'!D$2:E$59,2,FALSE)</f>
        <v>180</v>
      </c>
      <c r="C581" s="11" t="s">
        <v>1520</v>
      </c>
      <c r="D581" s="117" t="str">
        <f t="shared" si="12"/>
        <v>C580-180-23</v>
      </c>
      <c r="E581" s="117" t="str">
        <f>VLOOKUP(Table2[[#This Row],[Location 
(drop-down)]],Table1[#All],3,FALSE)</f>
        <v>SE &amp; Caribbean</v>
      </c>
      <c r="F581" s="196" t="s">
        <v>159</v>
      </c>
      <c r="G581" s="9" t="s">
        <v>1521</v>
      </c>
      <c r="H581" s="12">
        <v>45166</v>
      </c>
      <c r="I581" s="12" t="s">
        <v>435</v>
      </c>
      <c r="J581" s="91" t="s">
        <v>821</v>
      </c>
      <c r="K581" s="91">
        <v>45175</v>
      </c>
      <c r="L581" s="10" t="s">
        <v>97</v>
      </c>
      <c r="M581" s="10" t="s">
        <v>857</v>
      </c>
      <c r="N581" s="10" t="s">
        <v>832</v>
      </c>
      <c r="O581" s="10"/>
    </row>
    <row r="582" spans="1:15" ht="37.5" x14ac:dyDescent="0.25">
      <c r="A582" s="9" t="s">
        <v>446</v>
      </c>
      <c r="B582" s="13">
        <f>VLOOKUP(Table2[[#This Row],[Location 
(drop-down)]],'List source'!D$2:E$59,2,FALSE)</f>
        <v>188</v>
      </c>
      <c r="C582" s="11" t="s">
        <v>1522</v>
      </c>
      <c r="D582" s="117" t="str">
        <f t="shared" si="12"/>
        <v>C581-188-23</v>
      </c>
      <c r="E582" s="117" t="str">
        <f>VLOOKUP(Table2[[#This Row],[Location 
(drop-down)]],Table1[#All],3,FALSE)</f>
        <v>USNE, USMW &amp; Canada</v>
      </c>
      <c r="F582" s="196" t="s">
        <v>94</v>
      </c>
      <c r="G582" s="9" t="s">
        <v>1523</v>
      </c>
      <c r="H582" s="12">
        <v>45162</v>
      </c>
      <c r="I582" s="12" t="s">
        <v>449</v>
      </c>
      <c r="J582" s="91" t="s">
        <v>821</v>
      </c>
      <c r="K582" s="91">
        <v>45281</v>
      </c>
      <c r="L582" s="10" t="s">
        <v>147</v>
      </c>
      <c r="M582" s="10" t="s">
        <v>857</v>
      </c>
      <c r="N582" s="10" t="s">
        <v>822</v>
      </c>
      <c r="O582" s="10"/>
    </row>
    <row r="583" spans="1:15" ht="37.5" x14ac:dyDescent="0.25">
      <c r="A583" s="9" t="s">
        <v>446</v>
      </c>
      <c r="B583" s="13">
        <f>VLOOKUP(Table2[[#This Row],[Location 
(drop-down)]],'List source'!D$2:E$59,2,FALSE)</f>
        <v>188</v>
      </c>
      <c r="C583" s="11" t="s">
        <v>1524</v>
      </c>
      <c r="D583" s="117" t="str">
        <f t="shared" si="12"/>
        <v>C582-188-23</v>
      </c>
      <c r="E583" s="117" t="str">
        <f>VLOOKUP(Table2[[#This Row],[Location 
(drop-down)]],Table1[#All],3,FALSE)</f>
        <v>USNE, USMW &amp; Canada</v>
      </c>
      <c r="F583" s="13" t="s">
        <v>94</v>
      </c>
      <c r="G583" s="9" t="s">
        <v>1525</v>
      </c>
      <c r="H583" s="12">
        <v>45162</v>
      </c>
      <c r="I583" s="12" t="s">
        <v>449</v>
      </c>
      <c r="J583" s="91" t="s">
        <v>821</v>
      </c>
      <c r="K583" s="91">
        <v>45281</v>
      </c>
      <c r="L583" s="10" t="s">
        <v>147</v>
      </c>
      <c r="M583" s="10" t="s">
        <v>857</v>
      </c>
      <c r="N583" s="10" t="s">
        <v>858</v>
      </c>
      <c r="O583" s="10"/>
    </row>
    <row r="584" spans="1:15" ht="37.5" x14ac:dyDescent="0.25">
      <c r="A584" s="9" t="s">
        <v>446</v>
      </c>
      <c r="B584" s="13">
        <f>VLOOKUP(Table2[[#This Row],[Location 
(drop-down)]],'List source'!D$2:E$59,2,FALSE)</f>
        <v>188</v>
      </c>
      <c r="C584" s="11" t="s">
        <v>1526</v>
      </c>
      <c r="D584" s="117" t="str">
        <f t="shared" si="12"/>
        <v>C583-188-23</v>
      </c>
      <c r="E584" s="117" t="str">
        <f>VLOOKUP(Table2[[#This Row],[Location 
(drop-down)]],Table1[#All],3,FALSE)</f>
        <v>USNE, USMW &amp; Canada</v>
      </c>
      <c r="F584" s="13" t="s">
        <v>94</v>
      </c>
      <c r="G584" s="9" t="s">
        <v>1527</v>
      </c>
      <c r="H584" s="12">
        <v>45162</v>
      </c>
      <c r="I584" s="12" t="s">
        <v>449</v>
      </c>
      <c r="J584" s="91" t="s">
        <v>821</v>
      </c>
      <c r="K584" s="91">
        <v>45300</v>
      </c>
      <c r="L584" s="10" t="s">
        <v>147</v>
      </c>
      <c r="M584" s="10" t="s">
        <v>870</v>
      </c>
      <c r="N584" s="10" t="s">
        <v>858</v>
      </c>
      <c r="O584" s="10"/>
    </row>
    <row r="585" spans="1:15" ht="37.5" x14ac:dyDescent="0.25">
      <c r="A585" s="9" t="s">
        <v>446</v>
      </c>
      <c r="B585" s="13">
        <f>VLOOKUP(Table2[[#This Row],[Location 
(drop-down)]],'List source'!D$2:E$59,2,FALSE)</f>
        <v>188</v>
      </c>
      <c r="C585" s="11" t="s">
        <v>1528</v>
      </c>
      <c r="D585" s="117" t="str">
        <f t="shared" si="12"/>
        <v>C584-188-23</v>
      </c>
      <c r="E585" s="117" t="str">
        <f>VLOOKUP(Table2[[#This Row],[Location 
(drop-down)]],Table1[#All],3,FALSE)</f>
        <v>USNE, USMW &amp; Canada</v>
      </c>
      <c r="F585" s="13" t="s">
        <v>94</v>
      </c>
      <c r="G585" s="9" t="s">
        <v>1529</v>
      </c>
      <c r="H585" s="12">
        <v>45162</v>
      </c>
      <c r="I585" s="12" t="s">
        <v>449</v>
      </c>
      <c r="J585" s="91">
        <v>45496</v>
      </c>
      <c r="K585" s="91">
        <v>45496</v>
      </c>
      <c r="L585" s="10" t="s">
        <v>97</v>
      </c>
      <c r="M585" s="10" t="s">
        <v>914</v>
      </c>
      <c r="N585" s="10" t="s">
        <v>822</v>
      </c>
      <c r="O585" s="10"/>
    </row>
    <row r="586" spans="1:15" ht="37.5" x14ac:dyDescent="0.25">
      <c r="A586" s="9" t="s">
        <v>446</v>
      </c>
      <c r="B586" s="13">
        <f>VLOOKUP(Table2[[#This Row],[Location 
(drop-down)]],'List source'!D$2:E$59,2,FALSE)</f>
        <v>188</v>
      </c>
      <c r="C586" s="11" t="s">
        <v>1530</v>
      </c>
      <c r="D586" s="117" t="str">
        <f t="shared" si="12"/>
        <v>C585-188-23</v>
      </c>
      <c r="E586" s="117" t="str">
        <f>VLOOKUP(Table2[[#This Row],[Location 
(drop-down)]],Table1[#All],3,FALSE)</f>
        <v>USNE, USMW &amp; Canada</v>
      </c>
      <c r="F586" s="13" t="s">
        <v>94</v>
      </c>
      <c r="G586" s="9" t="s">
        <v>1531</v>
      </c>
      <c r="H586" s="12">
        <v>45162</v>
      </c>
      <c r="I586" s="12" t="s">
        <v>449</v>
      </c>
      <c r="J586" s="91" t="s">
        <v>821</v>
      </c>
      <c r="K586" s="91">
        <v>45281</v>
      </c>
      <c r="L586" s="10" t="s">
        <v>97</v>
      </c>
      <c r="M586" s="10" t="s">
        <v>854</v>
      </c>
      <c r="N586" s="10" t="s">
        <v>832</v>
      </c>
      <c r="O586" s="10"/>
    </row>
    <row r="587" spans="1:15" ht="37.5" x14ac:dyDescent="0.25">
      <c r="A587" s="9" t="s">
        <v>446</v>
      </c>
      <c r="B587" s="13">
        <f>VLOOKUP(Table2[[#This Row],[Location 
(drop-down)]],'List source'!D$2:E$59,2,FALSE)</f>
        <v>188</v>
      </c>
      <c r="C587" s="11" t="s">
        <v>1532</v>
      </c>
      <c r="D587" s="117" t="str">
        <f t="shared" si="12"/>
        <v>C586-188-23</v>
      </c>
      <c r="E587" s="117" t="str">
        <f>VLOOKUP(Table2[[#This Row],[Location 
(drop-down)]],Table1[#All],3,FALSE)</f>
        <v>USNE, USMW &amp; Canada</v>
      </c>
      <c r="F587" s="13" t="s">
        <v>94</v>
      </c>
      <c r="G587" s="9" t="s">
        <v>1533</v>
      </c>
      <c r="H587" s="12">
        <v>45162</v>
      </c>
      <c r="I587" s="12" t="s">
        <v>449</v>
      </c>
      <c r="J587" s="91">
        <v>45328</v>
      </c>
      <c r="K587" s="91">
        <v>45348</v>
      </c>
      <c r="L587" s="10" t="s">
        <v>97</v>
      </c>
      <c r="M587" s="10" t="s">
        <v>854</v>
      </c>
      <c r="N587" s="10" t="s">
        <v>832</v>
      </c>
      <c r="O587" s="10"/>
    </row>
    <row r="588" spans="1:15" ht="37.5" x14ac:dyDescent="0.25">
      <c r="A588" s="9" t="s">
        <v>446</v>
      </c>
      <c r="B588" s="13">
        <f>VLOOKUP(Table2[[#This Row],[Location 
(drop-down)]],'List source'!D$2:E$59,2,FALSE)</f>
        <v>188</v>
      </c>
      <c r="C588" s="11" t="s">
        <v>1534</v>
      </c>
      <c r="D588" s="117" t="str">
        <f t="shared" si="12"/>
        <v>C587-188-23</v>
      </c>
      <c r="E588" s="117" t="str">
        <f>VLOOKUP(Table2[[#This Row],[Location 
(drop-down)]],Table1[#All],3,FALSE)</f>
        <v>USNE, USMW &amp; Canada</v>
      </c>
      <c r="F588" s="13" t="s">
        <v>94</v>
      </c>
      <c r="G588" s="9" t="s">
        <v>1535</v>
      </c>
      <c r="H588" s="12">
        <v>45162</v>
      </c>
      <c r="I588" s="12" t="s">
        <v>449</v>
      </c>
      <c r="J588" s="91">
        <v>45355</v>
      </c>
      <c r="K588" s="91">
        <v>45359</v>
      </c>
      <c r="L588" s="10" t="s">
        <v>97</v>
      </c>
      <c r="M588" s="10" t="s">
        <v>854</v>
      </c>
      <c r="N588" s="10" t="s">
        <v>822</v>
      </c>
      <c r="O588" s="10"/>
    </row>
    <row r="589" spans="1:15" ht="37.5" x14ac:dyDescent="0.25">
      <c r="A589" s="9" t="s">
        <v>446</v>
      </c>
      <c r="B589" s="13">
        <f>VLOOKUP(Table2[[#This Row],[Location 
(drop-down)]],'List source'!D$2:E$59,2,FALSE)</f>
        <v>188</v>
      </c>
      <c r="C589" s="11" t="s">
        <v>1536</v>
      </c>
      <c r="D589" s="117" t="str">
        <f t="shared" si="12"/>
        <v>C588-188-23</v>
      </c>
      <c r="E589" s="117" t="str">
        <f>VLOOKUP(Table2[[#This Row],[Location 
(drop-down)]],Table1[#All],3,FALSE)</f>
        <v>USNE, USMW &amp; Canada</v>
      </c>
      <c r="F589" s="13" t="s">
        <v>94</v>
      </c>
      <c r="G589" s="9" t="s">
        <v>1537</v>
      </c>
      <c r="H589" s="12">
        <v>45162</v>
      </c>
      <c r="I589" s="12" t="s">
        <v>449</v>
      </c>
      <c r="J589" s="91" t="s">
        <v>821</v>
      </c>
      <c r="K589" s="91">
        <v>45281</v>
      </c>
      <c r="L589" s="10" t="s">
        <v>97</v>
      </c>
      <c r="M589" s="10" t="s">
        <v>870</v>
      </c>
      <c r="N589" s="10" t="s">
        <v>832</v>
      </c>
      <c r="O589" s="10"/>
    </row>
    <row r="590" spans="1:15" ht="37.5" x14ac:dyDescent="0.25">
      <c r="A590" s="9" t="s">
        <v>446</v>
      </c>
      <c r="B590" s="13">
        <f>VLOOKUP(Table2[[#This Row],[Location 
(drop-down)]],'List source'!D$2:E$59,2,FALSE)</f>
        <v>188</v>
      </c>
      <c r="C590" s="11" t="s">
        <v>1538</v>
      </c>
      <c r="D590" s="117" t="str">
        <f t="shared" si="12"/>
        <v>C589-188-23</v>
      </c>
      <c r="E590" s="117" t="str">
        <f>VLOOKUP(Table2[[#This Row],[Location 
(drop-down)]],Table1[#All],3,FALSE)</f>
        <v>USNE, USMW &amp; Canada</v>
      </c>
      <c r="F590" s="13" t="s">
        <v>94</v>
      </c>
      <c r="G590" s="9" t="s">
        <v>1539</v>
      </c>
      <c r="H590" s="12">
        <v>45162</v>
      </c>
      <c r="I590" s="12" t="s">
        <v>449</v>
      </c>
      <c r="J590" s="91" t="s">
        <v>821</v>
      </c>
      <c r="K590" s="91">
        <v>45281</v>
      </c>
      <c r="L590" s="10" t="s">
        <v>97</v>
      </c>
      <c r="M590" s="10" t="s">
        <v>854</v>
      </c>
      <c r="N590" s="10" t="s">
        <v>832</v>
      </c>
      <c r="O590" s="10"/>
    </row>
    <row r="591" spans="1:15" ht="37.5" x14ac:dyDescent="0.25">
      <c r="A591" s="9" t="s">
        <v>446</v>
      </c>
      <c r="B591" s="13">
        <f>VLOOKUP(Table2[[#This Row],[Location 
(drop-down)]],'List source'!D$2:E$59,2,FALSE)</f>
        <v>188</v>
      </c>
      <c r="C591" s="11" t="s">
        <v>1540</v>
      </c>
      <c r="D591" s="117" t="str">
        <f t="shared" si="12"/>
        <v>C590-188-23</v>
      </c>
      <c r="E591" s="117" t="str">
        <f>VLOOKUP(Table2[[#This Row],[Location 
(drop-down)]],Table1[#All],3,FALSE)</f>
        <v>USNE, USMW &amp; Canada</v>
      </c>
      <c r="F591" s="13" t="s">
        <v>94</v>
      </c>
      <c r="G591" s="186" t="s">
        <v>1541</v>
      </c>
      <c r="H591" s="12">
        <v>45162</v>
      </c>
      <c r="I591" s="12" t="s">
        <v>449</v>
      </c>
      <c r="J591" s="91">
        <v>45328</v>
      </c>
      <c r="K591" s="91">
        <v>45337</v>
      </c>
      <c r="L591" s="10" t="s">
        <v>97</v>
      </c>
      <c r="M591" s="10" t="s">
        <v>854</v>
      </c>
      <c r="N591" s="10" t="s">
        <v>822</v>
      </c>
      <c r="O591" s="10"/>
    </row>
    <row r="592" spans="1:15" ht="37.5" x14ac:dyDescent="0.25">
      <c r="A592" s="9" t="s">
        <v>1052</v>
      </c>
      <c r="B592" s="13">
        <f>VLOOKUP(Table2[[#This Row],[Location 
(drop-down)]],'List source'!D$2:E$59,2,FALSE)</f>
        <v>138</v>
      </c>
      <c r="C592" s="11" t="s">
        <v>1542</v>
      </c>
      <c r="D592" s="117" t="str">
        <f t="shared" si="12"/>
        <v>C591-138-23</v>
      </c>
      <c r="E592" s="117" t="str">
        <f>VLOOKUP(Table2[[#This Row],[Location 
(drop-down)]],Table1[#All],3,FALSE)</f>
        <v>SE &amp; Caribbean</v>
      </c>
      <c r="F592" s="13" t="s">
        <v>159</v>
      </c>
      <c r="G592" s="9" t="s">
        <v>1543</v>
      </c>
      <c r="H592" s="12">
        <v>45170</v>
      </c>
      <c r="I592" s="12" t="s">
        <v>443</v>
      </c>
      <c r="J592" s="91" t="s">
        <v>821</v>
      </c>
      <c r="K592" s="91">
        <v>45247</v>
      </c>
      <c r="L592" s="10" t="s">
        <v>147</v>
      </c>
      <c r="M592" s="10" t="s">
        <v>862</v>
      </c>
      <c r="N592" s="10" t="s">
        <v>858</v>
      </c>
      <c r="O592" s="10"/>
    </row>
    <row r="593" spans="1:15" ht="27.6" customHeight="1" x14ac:dyDescent="0.25">
      <c r="A593" s="9" t="s">
        <v>1052</v>
      </c>
      <c r="B593" s="13">
        <f>VLOOKUP(Table2[[#This Row],[Location 
(drop-down)]],'List source'!D$2:E$59,2,FALSE)</f>
        <v>138</v>
      </c>
      <c r="C593" s="11" t="s">
        <v>1544</v>
      </c>
      <c r="D593" s="117" t="str">
        <f t="shared" si="12"/>
        <v>C592-138-23</v>
      </c>
      <c r="E593" s="117" t="str">
        <f>VLOOKUP(Table2[[#This Row],[Location 
(drop-down)]],Table1[#All],3,FALSE)</f>
        <v>SE &amp; Caribbean</v>
      </c>
      <c r="F593" s="13" t="s">
        <v>159</v>
      </c>
      <c r="G593" s="9" t="s">
        <v>1545</v>
      </c>
      <c r="H593" s="12">
        <v>45170</v>
      </c>
      <c r="I593" s="12" t="s">
        <v>443</v>
      </c>
      <c r="J593" s="91" t="s">
        <v>821</v>
      </c>
      <c r="K593" s="91">
        <v>45247</v>
      </c>
      <c r="L593" s="10" t="s">
        <v>147</v>
      </c>
      <c r="M593" s="10" t="s">
        <v>862</v>
      </c>
      <c r="N593" s="10" t="s">
        <v>858</v>
      </c>
      <c r="O593" s="10"/>
    </row>
    <row r="594" spans="1:15" ht="37.5" x14ac:dyDescent="0.25">
      <c r="A594" s="9" t="s">
        <v>1052</v>
      </c>
      <c r="B594" s="13">
        <f>VLOOKUP(Table2[[#This Row],[Location 
(drop-down)]],'List source'!D$2:E$59,2,FALSE)</f>
        <v>138</v>
      </c>
      <c r="C594" s="11" t="s">
        <v>1546</v>
      </c>
      <c r="D594" s="117" t="str">
        <f t="shared" si="12"/>
        <v>C593-138-23</v>
      </c>
      <c r="E594" s="117" t="str">
        <f>VLOOKUP(Table2[[#This Row],[Location 
(drop-down)]],Table1[#All],3,FALSE)</f>
        <v>SE &amp; Caribbean</v>
      </c>
      <c r="F594" s="13" t="s">
        <v>159</v>
      </c>
      <c r="G594" s="9" t="s">
        <v>1547</v>
      </c>
      <c r="H594" s="12">
        <v>45170</v>
      </c>
      <c r="I594" s="12" t="s">
        <v>443</v>
      </c>
      <c r="J594" s="91" t="s">
        <v>821</v>
      </c>
      <c r="K594" s="91">
        <v>45247</v>
      </c>
      <c r="L594" s="10" t="s">
        <v>147</v>
      </c>
      <c r="M594" s="10" t="s">
        <v>862</v>
      </c>
      <c r="N594" s="10" t="s">
        <v>858</v>
      </c>
      <c r="O594" s="10"/>
    </row>
    <row r="595" spans="1:15" ht="37.5" x14ac:dyDescent="0.25">
      <c r="A595" s="9" t="s">
        <v>112</v>
      </c>
      <c r="B595" s="13">
        <f>VLOOKUP(Table2[[#This Row],[Location 
(drop-down)]],'List source'!D$2:E$59,2,FALSE)</f>
        <v>115</v>
      </c>
      <c r="C595" s="11" t="s">
        <v>1548</v>
      </c>
      <c r="D595" s="117" t="str">
        <f t="shared" si="12"/>
        <v>C594-115-23</v>
      </c>
      <c r="E595" s="117" t="str">
        <f>VLOOKUP(Table2[[#This Row],[Location 
(drop-down)]],Table1[#All],3,FALSE)</f>
        <v>SE &amp; Caribbean</v>
      </c>
      <c r="F595" s="13" t="s">
        <v>94</v>
      </c>
      <c r="G595" s="9" t="s">
        <v>1549</v>
      </c>
      <c r="H595" s="12">
        <v>45180</v>
      </c>
      <c r="I595" s="12" t="s">
        <v>443</v>
      </c>
      <c r="J595" s="91" t="s">
        <v>821</v>
      </c>
      <c r="K595" s="91">
        <v>45226</v>
      </c>
      <c r="L595" s="10" t="s">
        <v>147</v>
      </c>
      <c r="M595" s="10" t="s">
        <v>857</v>
      </c>
      <c r="N595" s="10" t="s">
        <v>858</v>
      </c>
      <c r="O595" s="10"/>
    </row>
    <row r="596" spans="1:15" ht="37.5" x14ac:dyDescent="0.25">
      <c r="A596" s="9" t="s">
        <v>112</v>
      </c>
      <c r="B596" s="13">
        <f>VLOOKUP(Table2[[#This Row],[Location 
(drop-down)]],'List source'!D$2:E$59,2,FALSE)</f>
        <v>115</v>
      </c>
      <c r="C596" s="11" t="s">
        <v>1550</v>
      </c>
      <c r="D596" s="117" t="str">
        <f t="shared" si="12"/>
        <v>C595-115-23</v>
      </c>
      <c r="E596" s="117" t="str">
        <f>VLOOKUP(Table2[[#This Row],[Location 
(drop-down)]],Table1[#All],3,FALSE)</f>
        <v>SE &amp; Caribbean</v>
      </c>
      <c r="F596" s="13" t="s">
        <v>94</v>
      </c>
      <c r="G596" s="9" t="s">
        <v>190</v>
      </c>
      <c r="H596" s="12">
        <v>45180</v>
      </c>
      <c r="I596" s="12" t="s">
        <v>443</v>
      </c>
      <c r="J596" s="91" t="s">
        <v>821</v>
      </c>
      <c r="K596" s="91">
        <v>45226</v>
      </c>
      <c r="L596" s="10" t="s">
        <v>97</v>
      </c>
      <c r="M596" s="10" t="s">
        <v>857</v>
      </c>
      <c r="N596" s="10" t="s">
        <v>858</v>
      </c>
      <c r="O596" s="10"/>
    </row>
    <row r="597" spans="1:15" ht="37.5" x14ac:dyDescent="0.25">
      <c r="A597" s="9" t="s">
        <v>112</v>
      </c>
      <c r="B597" s="13">
        <f>VLOOKUP(Table2[[#This Row],[Location 
(drop-down)]],'List source'!D$2:E$59,2,FALSE)</f>
        <v>115</v>
      </c>
      <c r="C597" s="11" t="s">
        <v>1551</v>
      </c>
      <c r="D597" s="117" t="str">
        <f t="shared" si="12"/>
        <v>C596-115-23</v>
      </c>
      <c r="E597" s="117" t="str">
        <f>VLOOKUP(Table2[[#This Row],[Location 
(drop-down)]],Table1[#All],3,FALSE)</f>
        <v>SE &amp; Caribbean</v>
      </c>
      <c r="F597" s="13" t="s">
        <v>94</v>
      </c>
      <c r="G597" s="9" t="s">
        <v>1552</v>
      </c>
      <c r="H597" s="12">
        <v>45180</v>
      </c>
      <c r="I597" s="12" t="s">
        <v>443</v>
      </c>
      <c r="J597" s="91" t="s">
        <v>821</v>
      </c>
      <c r="K597" s="91">
        <v>45226</v>
      </c>
      <c r="L597" s="10" t="s">
        <v>97</v>
      </c>
      <c r="M597" s="10" t="s">
        <v>903</v>
      </c>
      <c r="N597" s="10" t="s">
        <v>858</v>
      </c>
      <c r="O597" s="10"/>
    </row>
    <row r="598" spans="1:15" ht="37.5" x14ac:dyDescent="0.25">
      <c r="A598" s="9" t="s">
        <v>112</v>
      </c>
      <c r="B598" s="13">
        <f>VLOOKUP(Table2[[#This Row],[Location 
(drop-down)]],'List source'!D$2:E$59,2,FALSE)</f>
        <v>115</v>
      </c>
      <c r="C598" s="11" t="s">
        <v>1553</v>
      </c>
      <c r="D598" s="117" t="str">
        <f t="shared" si="12"/>
        <v>C597-115-23</v>
      </c>
      <c r="E598" s="117" t="str">
        <f>VLOOKUP(Table2[[#This Row],[Location 
(drop-down)]],Table1[#All],3,FALSE)</f>
        <v>SE &amp; Caribbean</v>
      </c>
      <c r="F598" s="13" t="s">
        <v>94</v>
      </c>
      <c r="G598" s="9" t="s">
        <v>1554</v>
      </c>
      <c r="H598" s="12">
        <v>45180</v>
      </c>
      <c r="I598" s="12" t="s">
        <v>443</v>
      </c>
      <c r="J598" s="91" t="s">
        <v>821</v>
      </c>
      <c r="K598" s="91">
        <v>45217</v>
      </c>
      <c r="L598" s="10" t="s">
        <v>97</v>
      </c>
      <c r="M598" s="10"/>
      <c r="N598" s="10"/>
      <c r="O598" s="10"/>
    </row>
    <row r="599" spans="1:15" ht="37.5" x14ac:dyDescent="0.25">
      <c r="A599" s="9" t="s">
        <v>112</v>
      </c>
      <c r="B599" s="13">
        <f>VLOOKUP(Table2[[#This Row],[Location 
(drop-down)]],'List source'!D$2:E$59,2,FALSE)</f>
        <v>115</v>
      </c>
      <c r="C599" s="11" t="s">
        <v>1555</v>
      </c>
      <c r="D599" s="117" t="str">
        <f t="shared" si="12"/>
        <v>C598-115-23</v>
      </c>
      <c r="E599" s="117" t="str">
        <f>VLOOKUP(Table2[[#This Row],[Location 
(drop-down)]],Table1[#All],3,FALSE)</f>
        <v>SE &amp; Caribbean</v>
      </c>
      <c r="F599" s="13" t="s">
        <v>94</v>
      </c>
      <c r="G599" s="9" t="s">
        <v>1556</v>
      </c>
      <c r="H599" s="12">
        <v>45180</v>
      </c>
      <c r="I599" s="12" t="s">
        <v>443</v>
      </c>
      <c r="J599" s="91" t="s">
        <v>821</v>
      </c>
      <c r="K599" s="91">
        <v>45478</v>
      </c>
      <c r="L599" s="10" t="s">
        <v>97</v>
      </c>
      <c r="M599" s="10"/>
      <c r="N599" s="10"/>
      <c r="O599" s="10"/>
    </row>
    <row r="600" spans="1:15" ht="37.5" x14ac:dyDescent="0.25">
      <c r="A600" s="9" t="s">
        <v>112</v>
      </c>
      <c r="B600" s="13">
        <f>VLOOKUP(Table2[[#This Row],[Location 
(drop-down)]],'List source'!D$2:E$59,2,FALSE)</f>
        <v>115</v>
      </c>
      <c r="C600" s="11" t="s">
        <v>1557</v>
      </c>
      <c r="D600" s="117" t="str">
        <f t="shared" si="12"/>
        <v>C599-115-23</v>
      </c>
      <c r="E600" s="117" t="str">
        <f>VLOOKUP(Table2[[#This Row],[Location 
(drop-down)]],Table1[#All],3,FALSE)</f>
        <v>SE &amp; Caribbean</v>
      </c>
      <c r="F600" s="13" t="s">
        <v>94</v>
      </c>
      <c r="G600" s="9" t="s">
        <v>1558</v>
      </c>
      <c r="H600" s="12">
        <v>45180</v>
      </c>
      <c r="I600" s="12" t="s">
        <v>443</v>
      </c>
      <c r="J600" s="91" t="s">
        <v>821</v>
      </c>
      <c r="K600" s="91">
        <v>45231</v>
      </c>
      <c r="L600" s="10" t="s">
        <v>97</v>
      </c>
      <c r="M600" s="10"/>
      <c r="N600" s="10"/>
      <c r="O600" s="10"/>
    </row>
    <row r="601" spans="1:15" ht="30" x14ac:dyDescent="0.25">
      <c r="A601" s="9" t="s">
        <v>61</v>
      </c>
      <c r="B601" s="13">
        <f>VLOOKUP(Table2[[#This Row],[Location 
(drop-down)]],'List source'!D$2:E$59,2,FALSE)</f>
        <v>120</v>
      </c>
      <c r="C601" s="11" t="s">
        <v>1559</v>
      </c>
      <c r="D601" s="117" t="str">
        <f t="shared" si="12"/>
        <v>C600-120-23</v>
      </c>
      <c r="E601" s="117" t="str">
        <f>VLOOKUP(Table2[[#This Row],[Location 
(drop-down)]],Table1[#All],3,FALSE)</f>
        <v>USGC</v>
      </c>
      <c r="F601" s="13" t="s">
        <v>94</v>
      </c>
      <c r="G601" s="9" t="s">
        <v>1560</v>
      </c>
      <c r="H601" s="12">
        <v>45187</v>
      </c>
      <c r="I601" s="12" t="s">
        <v>443</v>
      </c>
      <c r="J601" s="91" t="s">
        <v>821</v>
      </c>
      <c r="K601" s="91">
        <v>45296</v>
      </c>
      <c r="L601" s="10" t="s">
        <v>147</v>
      </c>
      <c r="M601" s="10" t="s">
        <v>857</v>
      </c>
      <c r="N601" s="10" t="s">
        <v>910</v>
      </c>
      <c r="O601" s="10"/>
    </row>
    <row r="602" spans="1:15" ht="30" x14ac:dyDescent="0.25">
      <c r="A602" s="9" t="s">
        <v>61</v>
      </c>
      <c r="B602" s="13">
        <f>VLOOKUP(Table2[[#This Row],[Location 
(drop-down)]],'List source'!D$2:E$59,2,FALSE)</f>
        <v>120</v>
      </c>
      <c r="C602" s="11" t="s">
        <v>1561</v>
      </c>
      <c r="D602" s="117" t="str">
        <f t="shared" si="12"/>
        <v>C601-120-23</v>
      </c>
      <c r="E602" s="117" t="str">
        <f>VLOOKUP(Table2[[#This Row],[Location 
(drop-down)]],Table1[#All],3,FALSE)</f>
        <v>USGC</v>
      </c>
      <c r="F602" s="13" t="s">
        <v>94</v>
      </c>
      <c r="G602" s="9" t="s">
        <v>1562</v>
      </c>
      <c r="H602" s="12">
        <v>45187</v>
      </c>
      <c r="I602" s="12" t="s">
        <v>443</v>
      </c>
      <c r="J602" s="91" t="s">
        <v>821</v>
      </c>
      <c r="K602" s="91">
        <v>45296</v>
      </c>
      <c r="L602" s="10" t="s">
        <v>147</v>
      </c>
      <c r="M602" s="10" t="s">
        <v>857</v>
      </c>
      <c r="N602" s="10" t="s">
        <v>858</v>
      </c>
      <c r="O602" s="10"/>
    </row>
    <row r="603" spans="1:15" ht="30" x14ac:dyDescent="0.25">
      <c r="A603" s="9" t="s">
        <v>61</v>
      </c>
      <c r="B603" s="13">
        <f>VLOOKUP(Table2[[#This Row],[Location 
(drop-down)]],'List source'!D$2:E$59,2,FALSE)</f>
        <v>120</v>
      </c>
      <c r="C603" s="11" t="s">
        <v>1563</v>
      </c>
      <c r="D603" s="117" t="str">
        <f t="shared" ref="D603:D666" si="13">"C" &amp; C603 &amp; "-" &amp; B603 &amp; "-" &amp; "23"</f>
        <v>C602-120-23</v>
      </c>
      <c r="E603" s="117" t="str">
        <f>VLOOKUP(Table2[[#This Row],[Location 
(drop-down)]],Table1[#All],3,FALSE)</f>
        <v>USGC</v>
      </c>
      <c r="F603" s="13" t="s">
        <v>94</v>
      </c>
      <c r="G603" s="9" t="s">
        <v>1564</v>
      </c>
      <c r="H603" s="12">
        <v>45187</v>
      </c>
      <c r="I603" s="12" t="s">
        <v>443</v>
      </c>
      <c r="J603" s="91" t="s">
        <v>821</v>
      </c>
      <c r="K603" s="91">
        <v>45404</v>
      </c>
      <c r="L603" s="10" t="s">
        <v>97</v>
      </c>
      <c r="M603" s="10"/>
      <c r="N603" s="10"/>
      <c r="O603" s="10"/>
    </row>
    <row r="604" spans="1:15" ht="30" x14ac:dyDescent="0.25">
      <c r="A604" s="9" t="s">
        <v>61</v>
      </c>
      <c r="B604" s="13">
        <f>VLOOKUP(Table2[[#This Row],[Location 
(drop-down)]],'List source'!D$2:E$59,2,FALSE)</f>
        <v>120</v>
      </c>
      <c r="C604" s="11" t="s">
        <v>1565</v>
      </c>
      <c r="D604" s="117" t="str">
        <f t="shared" si="13"/>
        <v>C603-120-23</v>
      </c>
      <c r="E604" s="117" t="str">
        <f>VLOOKUP(Table2[[#This Row],[Location 
(drop-down)]],Table1[#All],3,FALSE)</f>
        <v>USGC</v>
      </c>
      <c r="F604" s="13" t="s">
        <v>94</v>
      </c>
      <c r="G604" s="9" t="s">
        <v>1566</v>
      </c>
      <c r="H604" s="12">
        <v>45187</v>
      </c>
      <c r="I604" s="12" t="s">
        <v>443</v>
      </c>
      <c r="J604" s="91" t="s">
        <v>821</v>
      </c>
      <c r="K604" s="91">
        <v>45426</v>
      </c>
      <c r="L604" s="10" t="s">
        <v>97</v>
      </c>
      <c r="M604" s="10"/>
      <c r="N604" s="10"/>
      <c r="O604" s="10"/>
    </row>
    <row r="605" spans="1:15" ht="30" x14ac:dyDescent="0.25">
      <c r="A605" s="9" t="s">
        <v>61</v>
      </c>
      <c r="B605" s="13">
        <f>VLOOKUP(Table2[[#This Row],[Location 
(drop-down)]],'List source'!D$2:E$59,2,FALSE)</f>
        <v>120</v>
      </c>
      <c r="C605" s="11" t="s">
        <v>1567</v>
      </c>
      <c r="D605" s="117" t="str">
        <f t="shared" si="13"/>
        <v>C604-120-23</v>
      </c>
      <c r="E605" s="117" t="str">
        <f>VLOOKUP(Table2[[#This Row],[Location 
(drop-down)]],Table1[#All],3,FALSE)</f>
        <v>USGC</v>
      </c>
      <c r="F605" s="13" t="s">
        <v>94</v>
      </c>
      <c r="G605" s="9" t="s">
        <v>1568</v>
      </c>
      <c r="H605" s="12">
        <v>45187</v>
      </c>
      <c r="I605" s="12" t="s">
        <v>443</v>
      </c>
      <c r="J605" s="91" t="s">
        <v>1569</v>
      </c>
      <c r="K605" s="91">
        <v>45427</v>
      </c>
      <c r="L605" s="10" t="s">
        <v>97</v>
      </c>
      <c r="M605" s="10"/>
      <c r="N605" s="10"/>
      <c r="O605" s="10"/>
    </row>
    <row r="606" spans="1:15" ht="30" x14ac:dyDescent="0.25">
      <c r="A606" s="9" t="s">
        <v>61</v>
      </c>
      <c r="B606" s="13">
        <f>VLOOKUP(Table2[[#This Row],[Location 
(drop-down)]],'List source'!D$2:E$59,2,FALSE)</f>
        <v>120</v>
      </c>
      <c r="C606" s="11" t="s">
        <v>1570</v>
      </c>
      <c r="D606" s="117" t="str">
        <f t="shared" si="13"/>
        <v>C605-120-23</v>
      </c>
      <c r="E606" s="117" t="str">
        <f>VLOOKUP(Table2[[#This Row],[Location 
(drop-down)]],Table1[#All],3,FALSE)</f>
        <v>USGC</v>
      </c>
      <c r="F606" s="13" t="s">
        <v>94</v>
      </c>
      <c r="G606" s="9" t="s">
        <v>1571</v>
      </c>
      <c r="H606" s="12">
        <v>45187</v>
      </c>
      <c r="I606" s="12" t="s">
        <v>443</v>
      </c>
      <c r="J606" s="91" t="s">
        <v>821</v>
      </c>
      <c r="K606" s="91">
        <v>45392</v>
      </c>
      <c r="L606" s="10" t="s">
        <v>97</v>
      </c>
      <c r="M606" s="10"/>
      <c r="N606" s="10"/>
      <c r="O606" s="10"/>
    </row>
    <row r="607" spans="1:15" ht="30" x14ac:dyDescent="0.25">
      <c r="A607" s="9" t="s">
        <v>61</v>
      </c>
      <c r="B607" s="13">
        <f>VLOOKUP(Table2[[#This Row],[Location 
(drop-down)]],'List source'!D$2:E$59,2,FALSE)</f>
        <v>120</v>
      </c>
      <c r="C607" s="11" t="s">
        <v>1572</v>
      </c>
      <c r="D607" s="117" t="str">
        <f t="shared" si="13"/>
        <v>C606-120-23</v>
      </c>
      <c r="E607" s="117" t="str">
        <f>VLOOKUP(Table2[[#This Row],[Location 
(drop-down)]],Table1[#All],3,FALSE)</f>
        <v>USGC</v>
      </c>
      <c r="F607" s="13" t="s">
        <v>94</v>
      </c>
      <c r="G607" s="9" t="s">
        <v>1130</v>
      </c>
      <c r="H607" s="12">
        <v>45187</v>
      </c>
      <c r="I607" s="12" t="s">
        <v>443</v>
      </c>
      <c r="J607" s="91" t="s">
        <v>821</v>
      </c>
      <c r="K607" s="91">
        <v>45643</v>
      </c>
      <c r="L607" s="10" t="s">
        <v>97</v>
      </c>
      <c r="M607" s="10"/>
      <c r="N607" s="10"/>
      <c r="O607" s="10"/>
    </row>
    <row r="608" spans="1:15" ht="30" x14ac:dyDescent="0.25">
      <c r="A608" s="9" t="s">
        <v>61</v>
      </c>
      <c r="B608" s="13">
        <f>VLOOKUP(Table2[[#This Row],[Location 
(drop-down)]],'List source'!D$2:E$59,2,FALSE)</f>
        <v>120</v>
      </c>
      <c r="C608" s="11" t="s">
        <v>1573</v>
      </c>
      <c r="D608" s="117" t="str">
        <f t="shared" si="13"/>
        <v>C607-120-23</v>
      </c>
      <c r="E608" s="117" t="str">
        <f>VLOOKUP(Table2[[#This Row],[Location 
(drop-down)]],Table1[#All],3,FALSE)</f>
        <v>USGC</v>
      </c>
      <c r="F608" s="13" t="s">
        <v>94</v>
      </c>
      <c r="G608" s="9" t="s">
        <v>1574</v>
      </c>
      <c r="H608" s="12">
        <v>45187</v>
      </c>
      <c r="I608" s="12" t="s">
        <v>443</v>
      </c>
      <c r="J608" s="91" t="s">
        <v>1569</v>
      </c>
      <c r="K608" s="91">
        <v>45582</v>
      </c>
      <c r="L608" s="10" t="s">
        <v>97</v>
      </c>
      <c r="M608" s="10"/>
      <c r="N608" s="10"/>
      <c r="O608" s="10"/>
    </row>
    <row r="609" spans="1:15" ht="30" x14ac:dyDescent="0.25">
      <c r="A609" s="9" t="s">
        <v>61</v>
      </c>
      <c r="B609" s="13">
        <f>VLOOKUP(Table2[[#This Row],[Location 
(drop-down)]],'List source'!D$2:E$59,2,FALSE)</f>
        <v>120</v>
      </c>
      <c r="C609" s="11" t="s">
        <v>1575</v>
      </c>
      <c r="D609" s="304" t="str">
        <f t="shared" si="13"/>
        <v>C608-120-23</v>
      </c>
      <c r="E609" s="117" t="str">
        <f>VLOOKUP(Table2[[#This Row],[Location 
(drop-down)]],Table1[#All],3,FALSE)</f>
        <v>USGC</v>
      </c>
      <c r="F609" s="13" t="s">
        <v>94</v>
      </c>
      <c r="G609" s="9" t="s">
        <v>1576</v>
      </c>
      <c r="H609" s="12">
        <v>45187</v>
      </c>
      <c r="I609" s="12" t="s">
        <v>443</v>
      </c>
      <c r="J609" s="305" t="s">
        <v>821</v>
      </c>
      <c r="K609" s="305">
        <v>45554</v>
      </c>
      <c r="L609" s="353" t="s">
        <v>97</v>
      </c>
      <c r="M609" s="10" t="s">
        <v>857</v>
      </c>
      <c r="N609" s="10" t="s">
        <v>858</v>
      </c>
      <c r="O609" s="10"/>
    </row>
    <row r="610" spans="1:15" ht="30" x14ac:dyDescent="0.25">
      <c r="A610" s="9" t="s">
        <v>61</v>
      </c>
      <c r="B610" s="13">
        <f>VLOOKUP(Table2[[#This Row],[Location 
(drop-down)]],'List source'!D$2:E$59,2,FALSE)</f>
        <v>120</v>
      </c>
      <c r="C610" s="11" t="s">
        <v>1577</v>
      </c>
      <c r="D610" s="117" t="str">
        <f t="shared" si="13"/>
        <v>C609-120-23</v>
      </c>
      <c r="E610" s="117" t="str">
        <f>VLOOKUP(Table2[[#This Row],[Location 
(drop-down)]],Table1[#All],3,FALSE)</f>
        <v>USGC</v>
      </c>
      <c r="F610" s="13" t="s">
        <v>94</v>
      </c>
      <c r="G610" s="9" t="s">
        <v>1578</v>
      </c>
      <c r="H610" s="12">
        <v>45187</v>
      </c>
      <c r="I610" s="12" t="s">
        <v>443</v>
      </c>
      <c r="J610" s="91" t="s">
        <v>1569</v>
      </c>
      <c r="K610" s="91">
        <v>45587</v>
      </c>
      <c r="L610" s="10" t="s">
        <v>97</v>
      </c>
      <c r="M610" s="10"/>
      <c r="N610" s="10"/>
      <c r="O610" s="10"/>
    </row>
    <row r="611" spans="1:15" ht="30" x14ac:dyDescent="0.25">
      <c r="A611" s="9" t="s">
        <v>61</v>
      </c>
      <c r="B611" s="13">
        <f>VLOOKUP(Table2[[#This Row],[Location 
(drop-down)]],'List source'!D$2:E$59,2,FALSE)</f>
        <v>120</v>
      </c>
      <c r="C611" s="11" t="s">
        <v>1579</v>
      </c>
      <c r="D611" s="117" t="str">
        <f t="shared" si="13"/>
        <v>C610-120-23</v>
      </c>
      <c r="E611" s="117" t="str">
        <f>VLOOKUP(Table2[[#This Row],[Location 
(drop-down)]],Table1[#All],3,FALSE)</f>
        <v>USGC</v>
      </c>
      <c r="F611" s="13" t="s">
        <v>94</v>
      </c>
      <c r="G611" s="9" t="s">
        <v>1580</v>
      </c>
      <c r="H611" s="12">
        <v>45187</v>
      </c>
      <c r="I611" s="12" t="s">
        <v>443</v>
      </c>
      <c r="J611" s="91" t="s">
        <v>1569</v>
      </c>
      <c r="K611" s="91">
        <v>45643</v>
      </c>
      <c r="L611" s="10" t="s">
        <v>97</v>
      </c>
      <c r="M611" s="10"/>
      <c r="N611" s="10"/>
      <c r="O611" s="10"/>
    </row>
    <row r="612" spans="1:15" ht="30" x14ac:dyDescent="0.25">
      <c r="A612" s="9" t="s">
        <v>61</v>
      </c>
      <c r="B612" s="13">
        <f>VLOOKUP(Table2[[#This Row],[Location 
(drop-down)]],'List source'!D$2:E$59,2,FALSE)</f>
        <v>120</v>
      </c>
      <c r="C612" s="11" t="s">
        <v>1581</v>
      </c>
      <c r="D612" s="117" t="str">
        <f t="shared" si="13"/>
        <v>C611-120-23</v>
      </c>
      <c r="E612" s="117" t="str">
        <f>VLOOKUP(Table2[[#This Row],[Location 
(drop-down)]],Table1[#All],3,FALSE)</f>
        <v>USGC</v>
      </c>
      <c r="F612" s="13" t="s">
        <v>94</v>
      </c>
      <c r="G612" s="9" t="s">
        <v>1582</v>
      </c>
      <c r="H612" s="12">
        <v>45187</v>
      </c>
      <c r="I612" s="12" t="s">
        <v>443</v>
      </c>
      <c r="J612" s="91" t="s">
        <v>1569</v>
      </c>
      <c r="K612" s="91">
        <v>45427</v>
      </c>
      <c r="L612" s="10" t="s">
        <v>97</v>
      </c>
      <c r="M612" s="10"/>
      <c r="N612" s="10"/>
      <c r="O612" s="10"/>
    </row>
    <row r="613" spans="1:15" ht="30" x14ac:dyDescent="0.25">
      <c r="A613" s="9" t="s">
        <v>27</v>
      </c>
      <c r="B613" s="13">
        <f>VLOOKUP(Table2[[#This Row],[Location 
(drop-down)]],'List source'!D$2:E$59,2,FALSE)</f>
        <v>132</v>
      </c>
      <c r="C613" s="11" t="s">
        <v>1583</v>
      </c>
      <c r="D613" s="304" t="str">
        <f t="shared" si="13"/>
        <v>C612-132-23</v>
      </c>
      <c r="E613" s="117" t="str">
        <f>VLOOKUP(Table2[[#This Row],[Location 
(drop-down)]],Table1[#All],3,FALSE)</f>
        <v>USWC</v>
      </c>
      <c r="F613" s="13" t="s">
        <v>94</v>
      </c>
      <c r="G613" s="9" t="s">
        <v>1584</v>
      </c>
      <c r="H613" s="12">
        <v>45183</v>
      </c>
      <c r="I613" s="12" t="s">
        <v>440</v>
      </c>
      <c r="J613" s="305">
        <v>45708</v>
      </c>
      <c r="K613" s="305">
        <v>45708</v>
      </c>
      <c r="L613" s="10" t="s">
        <v>97</v>
      </c>
      <c r="M613" s="10"/>
      <c r="N613" s="10"/>
      <c r="O613" s="10"/>
    </row>
    <row r="614" spans="1:15" ht="30" x14ac:dyDescent="0.25">
      <c r="A614" s="9" t="s">
        <v>27</v>
      </c>
      <c r="B614" s="13">
        <f>VLOOKUP(Table2[[#This Row],[Location 
(drop-down)]],'List source'!D$2:E$59,2,FALSE)</f>
        <v>132</v>
      </c>
      <c r="C614" s="11" t="s">
        <v>1585</v>
      </c>
      <c r="D614" s="117" t="str">
        <f t="shared" si="13"/>
        <v>C613-132-23</v>
      </c>
      <c r="E614" s="117" t="str">
        <f>VLOOKUP(Table2[[#This Row],[Location 
(drop-down)]],Table1[#All],3,FALSE)</f>
        <v>USWC</v>
      </c>
      <c r="F614" s="13" t="s">
        <v>94</v>
      </c>
      <c r="G614" s="9" t="s">
        <v>1586</v>
      </c>
      <c r="H614" s="12">
        <v>45183</v>
      </c>
      <c r="I614" s="12" t="s">
        <v>440</v>
      </c>
      <c r="J614" s="91" t="s">
        <v>821</v>
      </c>
      <c r="K614" s="91">
        <v>45273</v>
      </c>
      <c r="L614" s="10" t="s">
        <v>97</v>
      </c>
      <c r="M614" s="10" t="s">
        <v>903</v>
      </c>
      <c r="N614" s="10" t="s">
        <v>858</v>
      </c>
      <c r="O614" s="10"/>
    </row>
    <row r="615" spans="1:15" ht="30" x14ac:dyDescent="0.25">
      <c r="A615" s="9" t="s">
        <v>27</v>
      </c>
      <c r="B615" s="13">
        <f>VLOOKUP(Table2[[#This Row],[Location 
(drop-down)]],'List source'!D$2:E$59,2,FALSE)</f>
        <v>132</v>
      </c>
      <c r="C615" s="11" t="s">
        <v>1587</v>
      </c>
      <c r="D615" s="117" t="str">
        <f t="shared" si="13"/>
        <v>C614-132-23</v>
      </c>
      <c r="E615" s="117" t="str">
        <f>VLOOKUP(Table2[[#This Row],[Location 
(drop-down)]],Table1[#All],3,FALSE)</f>
        <v>USWC</v>
      </c>
      <c r="F615" s="13" t="s">
        <v>94</v>
      </c>
      <c r="G615" s="9" t="s">
        <v>1588</v>
      </c>
      <c r="H615" s="12">
        <v>45183</v>
      </c>
      <c r="I615" s="12" t="s">
        <v>440</v>
      </c>
      <c r="J615" s="91" t="s">
        <v>821</v>
      </c>
      <c r="K615" s="91">
        <v>45273</v>
      </c>
      <c r="L615" s="10" t="s">
        <v>97</v>
      </c>
      <c r="M615" s="10" t="s">
        <v>903</v>
      </c>
      <c r="N615" s="10" t="s">
        <v>858</v>
      </c>
      <c r="O615" s="10"/>
    </row>
    <row r="616" spans="1:15" ht="30" x14ac:dyDescent="0.25">
      <c r="A616" s="9" t="s">
        <v>27</v>
      </c>
      <c r="B616" s="13">
        <f>VLOOKUP(Table2[[#This Row],[Location 
(drop-down)]],'List source'!D$2:E$59,2,FALSE)</f>
        <v>132</v>
      </c>
      <c r="C616" s="11" t="s">
        <v>1589</v>
      </c>
      <c r="D616" s="117" t="str">
        <f t="shared" si="13"/>
        <v>C615-132-23</v>
      </c>
      <c r="E616" s="117" t="str">
        <f>VLOOKUP(Table2[[#This Row],[Location 
(drop-down)]],Table1[#All],3,FALSE)</f>
        <v>USWC</v>
      </c>
      <c r="F616" s="13" t="s">
        <v>94</v>
      </c>
      <c r="G616" s="9" t="s">
        <v>1590</v>
      </c>
      <c r="H616" s="12">
        <v>45183</v>
      </c>
      <c r="I616" s="12" t="s">
        <v>440</v>
      </c>
      <c r="J616" s="91" t="s">
        <v>898</v>
      </c>
      <c r="K616" s="91">
        <v>45783</v>
      </c>
      <c r="L616" s="10" t="s">
        <v>97</v>
      </c>
      <c r="M616" s="10"/>
      <c r="N616" s="10"/>
      <c r="O616" s="10"/>
    </row>
    <row r="617" spans="1:15" ht="30" x14ac:dyDescent="0.25">
      <c r="A617" s="9" t="s">
        <v>27</v>
      </c>
      <c r="B617" s="13">
        <f>VLOOKUP(Table2[[#This Row],[Location 
(drop-down)]],'List source'!D$2:E$59,2,FALSE)</f>
        <v>132</v>
      </c>
      <c r="C617" s="11" t="s">
        <v>1591</v>
      </c>
      <c r="D617" s="117" t="str">
        <f t="shared" si="13"/>
        <v>C616-132-23</v>
      </c>
      <c r="E617" s="117" t="str">
        <f>VLOOKUP(Table2[[#This Row],[Location 
(drop-down)]],Table1[#All],3,FALSE)</f>
        <v>USWC</v>
      </c>
      <c r="F617" s="13" t="s">
        <v>94</v>
      </c>
      <c r="G617" s="9" t="s">
        <v>1592</v>
      </c>
      <c r="H617" s="12">
        <v>45183</v>
      </c>
      <c r="I617" s="12" t="s">
        <v>440</v>
      </c>
      <c r="J617" s="91" t="s">
        <v>821</v>
      </c>
      <c r="K617" s="91">
        <v>45273</v>
      </c>
      <c r="L617" s="10" t="s">
        <v>97</v>
      </c>
      <c r="M617" s="10" t="s">
        <v>857</v>
      </c>
      <c r="N617" s="10" t="s">
        <v>837</v>
      </c>
      <c r="O617" s="10"/>
    </row>
    <row r="618" spans="1:15" ht="30" x14ac:dyDescent="0.25">
      <c r="A618" s="9" t="s">
        <v>27</v>
      </c>
      <c r="B618" s="13">
        <f>VLOOKUP(Table2[[#This Row],[Location 
(drop-down)]],'List source'!D$2:E$59,2,FALSE)</f>
        <v>132</v>
      </c>
      <c r="C618" s="11" t="s">
        <v>1593</v>
      </c>
      <c r="D618" s="319" t="str">
        <f t="shared" si="13"/>
        <v>C617-132-23</v>
      </c>
      <c r="E618" s="117" t="str">
        <f>VLOOKUP(Table2[[#This Row],[Location 
(drop-down)]],Table1[#All],3,FALSE)</f>
        <v>USWC</v>
      </c>
      <c r="F618" s="13" t="s">
        <v>94</v>
      </c>
      <c r="G618" s="9" t="s">
        <v>1594</v>
      </c>
      <c r="H618" s="12">
        <v>45183</v>
      </c>
      <c r="I618" s="12" t="s">
        <v>440</v>
      </c>
      <c r="J618" s="318" t="s">
        <v>821</v>
      </c>
      <c r="K618" s="318">
        <v>45342</v>
      </c>
      <c r="L618" s="10" t="s">
        <v>97</v>
      </c>
      <c r="M618" s="10" t="s">
        <v>854</v>
      </c>
      <c r="N618" s="10" t="s">
        <v>832</v>
      </c>
      <c r="O618" s="10"/>
    </row>
    <row r="619" spans="1:15" ht="44.85" customHeight="1" x14ac:dyDescent="0.25">
      <c r="A619" s="9" t="s">
        <v>27</v>
      </c>
      <c r="B619" s="13">
        <f>VLOOKUP(Table2[[#This Row],[Location 
(drop-down)]],'List source'!D$2:E$59,2,FALSE)</f>
        <v>132</v>
      </c>
      <c r="C619" s="11" t="s">
        <v>1595</v>
      </c>
      <c r="D619" s="117" t="str">
        <f t="shared" si="13"/>
        <v>C618-132-23</v>
      </c>
      <c r="E619" s="117" t="str">
        <f>VLOOKUP(Table2[[#This Row],[Location 
(drop-down)]],Table1[#All],3,FALSE)</f>
        <v>USWC</v>
      </c>
      <c r="F619" s="13" t="s">
        <v>94</v>
      </c>
      <c r="G619" s="9" t="s">
        <v>1596</v>
      </c>
      <c r="H619" s="12">
        <v>45183</v>
      </c>
      <c r="I619" s="12" t="s">
        <v>440</v>
      </c>
      <c r="J619" s="91">
        <v>45946</v>
      </c>
      <c r="K619" s="91">
        <v>45946</v>
      </c>
      <c r="L619" s="10" t="s">
        <v>97</v>
      </c>
      <c r="M619" s="10"/>
      <c r="N619" s="10"/>
      <c r="O619" s="10"/>
    </row>
    <row r="620" spans="1:15" ht="30" x14ac:dyDescent="0.25">
      <c r="A620" s="9" t="s">
        <v>27</v>
      </c>
      <c r="B620" s="13">
        <f>VLOOKUP(Table2[[#This Row],[Location 
(drop-down)]],'List source'!D$2:E$59,2,FALSE)</f>
        <v>132</v>
      </c>
      <c r="C620" s="11" t="s">
        <v>1597</v>
      </c>
      <c r="D620" s="117" t="str">
        <f t="shared" si="13"/>
        <v>C619-132-23</v>
      </c>
      <c r="E620" s="117" t="str">
        <f>VLOOKUP(Table2[[#This Row],[Location 
(drop-down)]],Table1[#All],3,FALSE)</f>
        <v>USWC</v>
      </c>
      <c r="F620" s="13" t="s">
        <v>94</v>
      </c>
      <c r="G620" s="9" t="s">
        <v>1598</v>
      </c>
      <c r="H620" s="12">
        <v>45183</v>
      </c>
      <c r="I620" s="12" t="s">
        <v>440</v>
      </c>
      <c r="J620" s="91" t="s">
        <v>821</v>
      </c>
      <c r="K620" s="91">
        <v>45273</v>
      </c>
      <c r="L620" s="10" t="s">
        <v>97</v>
      </c>
      <c r="M620" s="10" t="s">
        <v>857</v>
      </c>
      <c r="N620" s="10" t="s">
        <v>858</v>
      </c>
      <c r="O620" s="10"/>
    </row>
    <row r="621" spans="1:15" ht="30" x14ac:dyDescent="0.25">
      <c r="A621" s="9" t="s">
        <v>27</v>
      </c>
      <c r="B621" s="13">
        <f>VLOOKUP(Table2[[#This Row],[Location 
(drop-down)]],'List source'!D$2:E$59,2,FALSE)</f>
        <v>132</v>
      </c>
      <c r="C621" s="11" t="s">
        <v>1599</v>
      </c>
      <c r="D621" s="117" t="str">
        <f t="shared" si="13"/>
        <v>C620-132-23</v>
      </c>
      <c r="E621" s="117" t="str">
        <f>VLOOKUP(Table2[[#This Row],[Location 
(drop-down)]],Table1[#All],3,FALSE)</f>
        <v>USWC</v>
      </c>
      <c r="F621" s="13" t="s">
        <v>94</v>
      </c>
      <c r="G621" s="9" t="s">
        <v>1600</v>
      </c>
      <c r="H621" s="12">
        <v>45183</v>
      </c>
      <c r="I621" s="12" t="s">
        <v>440</v>
      </c>
      <c r="J621" s="91" t="s">
        <v>821</v>
      </c>
      <c r="K621" s="91">
        <v>45309</v>
      </c>
      <c r="L621" s="10" t="s">
        <v>147</v>
      </c>
      <c r="M621" s="10" t="s">
        <v>857</v>
      </c>
      <c r="N621" s="10" t="s">
        <v>858</v>
      </c>
      <c r="O621" s="100">
        <v>44943</v>
      </c>
    </row>
    <row r="622" spans="1:15" ht="30" x14ac:dyDescent="0.25">
      <c r="A622" s="9" t="s">
        <v>27</v>
      </c>
      <c r="B622" s="13">
        <f>VLOOKUP(Table2[[#This Row],[Location 
(drop-down)]],'List source'!D$2:E$59,2,FALSE)</f>
        <v>132</v>
      </c>
      <c r="C622" s="11" t="s">
        <v>1601</v>
      </c>
      <c r="D622" s="117" t="str">
        <f t="shared" si="13"/>
        <v>C621-132-23</v>
      </c>
      <c r="E622" s="117" t="str">
        <f>VLOOKUP(Table2[[#This Row],[Location 
(drop-down)]],Table1[#All],3,FALSE)</f>
        <v>USWC</v>
      </c>
      <c r="F622" s="13" t="s">
        <v>94</v>
      </c>
      <c r="G622" s="9" t="s">
        <v>891</v>
      </c>
      <c r="H622" s="12">
        <v>45183</v>
      </c>
      <c r="I622" s="12" t="s">
        <v>440</v>
      </c>
      <c r="J622" s="91" t="s">
        <v>821</v>
      </c>
      <c r="K622" s="91">
        <v>45309</v>
      </c>
      <c r="L622" s="10" t="s">
        <v>147</v>
      </c>
      <c r="M622" s="10" t="s">
        <v>857</v>
      </c>
      <c r="N622" s="10" t="s">
        <v>858</v>
      </c>
      <c r="O622" s="100">
        <v>44943</v>
      </c>
    </row>
    <row r="623" spans="1:15" ht="30" x14ac:dyDescent="0.25">
      <c r="A623" s="9" t="s">
        <v>27</v>
      </c>
      <c r="B623" s="13">
        <f>VLOOKUP(Table2[[#This Row],[Location 
(drop-down)]],'List source'!D$2:E$59,2,FALSE)</f>
        <v>132</v>
      </c>
      <c r="C623" s="11" t="s">
        <v>1602</v>
      </c>
      <c r="D623" s="117" t="str">
        <f t="shared" si="13"/>
        <v>C622-132-23</v>
      </c>
      <c r="E623" s="117" t="str">
        <f>VLOOKUP(Table2[[#This Row],[Location 
(drop-down)]],Table1[#All],3,FALSE)</f>
        <v>USWC</v>
      </c>
      <c r="F623" s="13" t="s">
        <v>94</v>
      </c>
      <c r="G623" s="9" t="s">
        <v>1603</v>
      </c>
      <c r="H623" s="12">
        <v>45183</v>
      </c>
      <c r="I623" s="12" t="s">
        <v>440</v>
      </c>
      <c r="J623" s="91" t="s">
        <v>821</v>
      </c>
      <c r="K623" s="91">
        <v>45309</v>
      </c>
      <c r="L623" s="10" t="s">
        <v>147</v>
      </c>
      <c r="M623" s="10" t="s">
        <v>857</v>
      </c>
      <c r="N623" s="10" t="s">
        <v>858</v>
      </c>
      <c r="O623" s="100">
        <v>44943</v>
      </c>
    </row>
    <row r="624" spans="1:15" ht="30" x14ac:dyDescent="0.25">
      <c r="A624" s="9" t="s">
        <v>174</v>
      </c>
      <c r="B624" s="13">
        <f>VLOOKUP(Table2[[#This Row],[Location 
(drop-down)]],'List source'!D$2:E$59,2,FALSE)</f>
        <v>131</v>
      </c>
      <c r="C624" s="11" t="s">
        <v>1604</v>
      </c>
      <c r="D624" s="117" t="str">
        <f t="shared" si="13"/>
        <v>C623-131-23</v>
      </c>
      <c r="E624" s="117" t="str">
        <f>VLOOKUP(Table2[[#This Row],[Location 
(drop-down)]],Table1[#All],3,FALSE)</f>
        <v>USWC</v>
      </c>
      <c r="F624" s="13" t="s">
        <v>269</v>
      </c>
      <c r="G624" s="9" t="s">
        <v>1605</v>
      </c>
      <c r="H624" s="12">
        <v>45183</v>
      </c>
      <c r="I624" s="12" t="s">
        <v>129</v>
      </c>
      <c r="J624" s="91" t="s">
        <v>821</v>
      </c>
      <c r="K624" s="91">
        <v>45215</v>
      </c>
      <c r="L624" s="10" t="s">
        <v>97</v>
      </c>
      <c r="M624" s="10" t="s">
        <v>862</v>
      </c>
      <c r="N624" s="10" t="s">
        <v>881</v>
      </c>
      <c r="O624" s="10"/>
    </row>
    <row r="625" spans="1:15" ht="37.5" x14ac:dyDescent="0.25">
      <c r="A625" s="9" t="s">
        <v>42</v>
      </c>
      <c r="B625" s="13">
        <f>VLOOKUP(Table2[[#This Row],[Location 
(drop-down)]],'List source'!D$2:E$59,2,FALSE)</f>
        <v>198</v>
      </c>
      <c r="C625" s="11" t="s">
        <v>1606</v>
      </c>
      <c r="D625" s="117" t="str">
        <f t="shared" si="13"/>
        <v>C624-198-23</v>
      </c>
      <c r="E625" s="117" t="str">
        <f>VLOOKUP(Table2[[#This Row],[Location 
(drop-down)]],Table1[#All],3,FALSE)</f>
        <v>USNE, USMW &amp; Canada</v>
      </c>
      <c r="F625" s="13" t="s">
        <v>94</v>
      </c>
      <c r="G625" s="9" t="s">
        <v>1607</v>
      </c>
      <c r="H625" s="12">
        <v>45188</v>
      </c>
      <c r="I625" s="12" t="s">
        <v>435</v>
      </c>
      <c r="J625" s="91" t="s">
        <v>821</v>
      </c>
      <c r="K625" s="91">
        <v>45371</v>
      </c>
      <c r="L625" s="10" t="s">
        <v>97</v>
      </c>
      <c r="M625" s="10"/>
      <c r="N625" s="10"/>
      <c r="O625" s="10"/>
    </row>
    <row r="626" spans="1:15" ht="37.5" x14ac:dyDescent="0.25">
      <c r="A626" s="9" t="s">
        <v>42</v>
      </c>
      <c r="B626" s="13">
        <f>VLOOKUP(Table2[[#This Row],[Location 
(drop-down)]],'List source'!D$2:E$59,2,FALSE)</f>
        <v>198</v>
      </c>
      <c r="C626" s="11" t="s">
        <v>1608</v>
      </c>
      <c r="D626" s="117" t="str">
        <f t="shared" si="13"/>
        <v>C625-198-23</v>
      </c>
      <c r="E626" s="117" t="str">
        <f>VLOOKUP(Table2[[#This Row],[Location 
(drop-down)]],Table1[#All],3,FALSE)</f>
        <v>USNE, USMW &amp; Canada</v>
      </c>
      <c r="F626" s="13" t="s">
        <v>94</v>
      </c>
      <c r="G626" s="9" t="s">
        <v>1609</v>
      </c>
      <c r="H626" s="12">
        <v>45188</v>
      </c>
      <c r="I626" s="12" t="s">
        <v>435</v>
      </c>
      <c r="J626" s="91" t="s">
        <v>821</v>
      </c>
      <c r="K626" s="91">
        <v>45371</v>
      </c>
      <c r="L626" s="10" t="s">
        <v>97</v>
      </c>
      <c r="M626" s="10" t="s">
        <v>862</v>
      </c>
      <c r="N626" s="10" t="s">
        <v>822</v>
      </c>
      <c r="O626" s="10"/>
    </row>
    <row r="627" spans="1:15" ht="37.5" x14ac:dyDescent="0.25">
      <c r="A627" s="9" t="s">
        <v>42</v>
      </c>
      <c r="B627" s="13">
        <f>VLOOKUP(Table2[[#This Row],[Location 
(drop-down)]],'List source'!D$2:E$59,2,FALSE)</f>
        <v>198</v>
      </c>
      <c r="C627" s="11" t="s">
        <v>1610</v>
      </c>
      <c r="D627" s="117" t="str">
        <f t="shared" si="13"/>
        <v>C626-198-23</v>
      </c>
      <c r="E627" s="117" t="str">
        <f>VLOOKUP(Table2[[#This Row],[Location 
(drop-down)]],Table1[#All],3,FALSE)</f>
        <v>USNE, USMW &amp; Canada</v>
      </c>
      <c r="F627" s="13" t="s">
        <v>94</v>
      </c>
      <c r="G627" s="9" t="s">
        <v>1611</v>
      </c>
      <c r="H627" s="12">
        <v>45188</v>
      </c>
      <c r="I627" s="12" t="s">
        <v>435</v>
      </c>
      <c r="J627" s="91" t="s">
        <v>821</v>
      </c>
      <c r="K627" s="91">
        <v>45300</v>
      </c>
      <c r="L627" s="10" t="s">
        <v>147</v>
      </c>
      <c r="M627" s="10" t="s">
        <v>857</v>
      </c>
      <c r="N627" s="10" t="s">
        <v>837</v>
      </c>
      <c r="O627" s="10"/>
    </row>
    <row r="628" spans="1:15" ht="37.5" x14ac:dyDescent="0.25">
      <c r="A628" s="9" t="s">
        <v>42</v>
      </c>
      <c r="B628" s="13">
        <f>VLOOKUP(Table2[[#This Row],[Location 
(drop-down)]],'List source'!D$2:E$59,2,FALSE)</f>
        <v>198</v>
      </c>
      <c r="C628" s="11" t="s">
        <v>1612</v>
      </c>
      <c r="D628" s="117" t="str">
        <f t="shared" si="13"/>
        <v>C627-198-23</v>
      </c>
      <c r="E628" s="117" t="str">
        <f>VLOOKUP(Table2[[#This Row],[Location 
(drop-down)]],Table1[#All],3,FALSE)</f>
        <v>USNE, USMW &amp; Canada</v>
      </c>
      <c r="F628" s="13" t="s">
        <v>94</v>
      </c>
      <c r="G628" s="9" t="s">
        <v>1613</v>
      </c>
      <c r="H628" s="12">
        <v>45188</v>
      </c>
      <c r="I628" s="12" t="s">
        <v>435</v>
      </c>
      <c r="J628" s="91" t="s">
        <v>821</v>
      </c>
      <c r="K628" s="91">
        <v>45379</v>
      </c>
      <c r="L628" s="10" t="s">
        <v>913</v>
      </c>
      <c r="M628" s="10" t="s">
        <v>857</v>
      </c>
      <c r="N628" s="10" t="s">
        <v>837</v>
      </c>
      <c r="O628" s="10"/>
    </row>
    <row r="629" spans="1:15" ht="37.5" x14ac:dyDescent="0.25">
      <c r="A629" s="9" t="s">
        <v>42</v>
      </c>
      <c r="B629" s="13">
        <f>VLOOKUP(Table2[[#This Row],[Location 
(drop-down)]],'List source'!D$2:E$59,2,FALSE)</f>
        <v>198</v>
      </c>
      <c r="C629" s="11" t="s">
        <v>1614</v>
      </c>
      <c r="D629" s="117" t="str">
        <f t="shared" si="13"/>
        <v>C628-198-23</v>
      </c>
      <c r="E629" s="117" t="str">
        <f>VLOOKUP(Table2[[#This Row],[Location 
(drop-down)]],Table1[#All],3,FALSE)</f>
        <v>USNE, USMW &amp; Canada</v>
      </c>
      <c r="F629" s="13" t="s">
        <v>94</v>
      </c>
      <c r="G629" s="9" t="s">
        <v>1615</v>
      </c>
      <c r="H629" s="12">
        <v>45188</v>
      </c>
      <c r="I629" s="12" t="s">
        <v>435</v>
      </c>
      <c r="J629" s="91" t="s">
        <v>821</v>
      </c>
      <c r="K629" s="91">
        <v>45309</v>
      </c>
      <c r="L629" s="10" t="s">
        <v>97</v>
      </c>
      <c r="M629" s="10" t="s">
        <v>862</v>
      </c>
      <c r="N629" s="10" t="s">
        <v>822</v>
      </c>
      <c r="O629" s="10"/>
    </row>
    <row r="630" spans="1:15" ht="37.5" x14ac:dyDescent="0.25">
      <c r="A630" s="9" t="s">
        <v>47</v>
      </c>
      <c r="B630" s="13">
        <f>VLOOKUP(Table2[[#This Row],[Location 
(drop-down)]],'List source'!D$2:E$59,2,FALSE)</f>
        <v>215</v>
      </c>
      <c r="C630" s="11" t="s">
        <v>1616</v>
      </c>
      <c r="D630" s="117" t="str">
        <f t="shared" si="13"/>
        <v>C629-215-23</v>
      </c>
      <c r="E630" s="117" t="str">
        <f>VLOOKUP(Table2[[#This Row],[Location 
(drop-down)]],Table1[#All],3,FALSE)</f>
        <v>SE &amp; Caribbean</v>
      </c>
      <c r="F630" s="13" t="s">
        <v>94</v>
      </c>
      <c r="G630" s="9" t="s">
        <v>1617</v>
      </c>
      <c r="H630" s="12">
        <v>45198</v>
      </c>
      <c r="I630" s="12" t="s">
        <v>129</v>
      </c>
      <c r="J630" s="91" t="s">
        <v>821</v>
      </c>
      <c r="K630" s="91">
        <v>45225</v>
      </c>
      <c r="L630" s="10" t="s">
        <v>97</v>
      </c>
      <c r="M630" s="10" t="s">
        <v>857</v>
      </c>
      <c r="N630" s="10" t="s">
        <v>858</v>
      </c>
      <c r="O630" s="10"/>
    </row>
    <row r="631" spans="1:15" ht="37.5" x14ac:dyDescent="0.25">
      <c r="A631" s="9" t="s">
        <v>47</v>
      </c>
      <c r="B631" s="13">
        <f>VLOOKUP(Table2[[#This Row],[Location 
(drop-down)]],'List source'!D$2:E$59,2,FALSE)</f>
        <v>215</v>
      </c>
      <c r="C631" s="11" t="s">
        <v>1618</v>
      </c>
      <c r="D631" s="117" t="str">
        <f t="shared" si="13"/>
        <v>C630-215-23</v>
      </c>
      <c r="E631" s="117" t="str">
        <f>VLOOKUP(Table2[[#This Row],[Location 
(drop-down)]],Table1[#All],3,FALSE)</f>
        <v>SE &amp; Caribbean</v>
      </c>
      <c r="F631" s="13" t="s">
        <v>94</v>
      </c>
      <c r="G631" s="9" t="s">
        <v>1619</v>
      </c>
      <c r="H631" s="12">
        <v>45198</v>
      </c>
      <c r="I631" s="12" t="s">
        <v>129</v>
      </c>
      <c r="J631" s="91" t="s">
        <v>821</v>
      </c>
      <c r="K631" s="91">
        <v>45268</v>
      </c>
      <c r="L631" s="10" t="s">
        <v>97</v>
      </c>
      <c r="M631" s="10" t="s">
        <v>857</v>
      </c>
      <c r="N631" s="10" t="s">
        <v>858</v>
      </c>
      <c r="O631" s="10"/>
    </row>
    <row r="632" spans="1:15" ht="37.5" x14ac:dyDescent="0.25">
      <c r="A632" s="9" t="s">
        <v>47</v>
      </c>
      <c r="B632" s="13">
        <f>VLOOKUP(Table2[[#This Row],[Location 
(drop-down)]],'List source'!D$2:E$59,2,FALSE)</f>
        <v>215</v>
      </c>
      <c r="C632" s="11" t="s">
        <v>1620</v>
      </c>
      <c r="D632" s="117" t="str">
        <f t="shared" si="13"/>
        <v>C631-215-23</v>
      </c>
      <c r="E632" s="117" t="str">
        <f>VLOOKUP(Table2[[#This Row],[Location 
(drop-down)]],Table1[#All],3,FALSE)</f>
        <v>SE &amp; Caribbean</v>
      </c>
      <c r="F632" s="13" t="s">
        <v>94</v>
      </c>
      <c r="G632" s="9" t="s">
        <v>1621</v>
      </c>
      <c r="H632" s="12">
        <v>45198</v>
      </c>
      <c r="I632" s="12" t="s">
        <v>129</v>
      </c>
      <c r="J632" s="91" t="s">
        <v>821</v>
      </c>
      <c r="K632" s="91">
        <v>45225</v>
      </c>
      <c r="L632" s="10" t="s">
        <v>97</v>
      </c>
      <c r="M632" s="10" t="s">
        <v>857</v>
      </c>
      <c r="N632" s="10" t="s">
        <v>822</v>
      </c>
      <c r="O632" s="10"/>
    </row>
    <row r="633" spans="1:15" ht="37.5" x14ac:dyDescent="0.25">
      <c r="A633" s="9" t="s">
        <v>47</v>
      </c>
      <c r="B633" s="13">
        <f>VLOOKUP(Table2[[#This Row],[Location 
(drop-down)]],'List source'!D$2:E$59,2,FALSE)</f>
        <v>215</v>
      </c>
      <c r="C633" s="11" t="s">
        <v>1622</v>
      </c>
      <c r="D633" s="117" t="str">
        <f t="shared" si="13"/>
        <v>C632-215-23</v>
      </c>
      <c r="E633" s="117" t="str">
        <f>VLOOKUP(Table2[[#This Row],[Location 
(drop-down)]],Table1[#All],3,FALSE)</f>
        <v>SE &amp; Caribbean</v>
      </c>
      <c r="F633" s="13" t="s">
        <v>94</v>
      </c>
      <c r="G633" s="9" t="s">
        <v>1623</v>
      </c>
      <c r="H633" s="12">
        <v>45198</v>
      </c>
      <c r="I633" s="12" t="s">
        <v>129</v>
      </c>
      <c r="J633" s="91" t="s">
        <v>821</v>
      </c>
      <c r="K633" s="91">
        <v>45268</v>
      </c>
      <c r="L633" s="10" t="s">
        <v>97</v>
      </c>
      <c r="M633" s="10" t="s">
        <v>854</v>
      </c>
      <c r="N633" s="10" t="s">
        <v>858</v>
      </c>
      <c r="O633" s="10"/>
    </row>
    <row r="634" spans="1:15" ht="37.5" x14ac:dyDescent="0.25">
      <c r="A634" s="9" t="s">
        <v>47</v>
      </c>
      <c r="B634" s="13">
        <f>VLOOKUP(Table2[[#This Row],[Location 
(drop-down)]],'List source'!D$2:E$59,2,FALSE)</f>
        <v>215</v>
      </c>
      <c r="C634" s="11" t="s">
        <v>1624</v>
      </c>
      <c r="D634" s="117" t="str">
        <f t="shared" si="13"/>
        <v>C633-215-23</v>
      </c>
      <c r="E634" s="117" t="str">
        <f>VLOOKUP(Table2[[#This Row],[Location 
(drop-down)]],Table1[#All],3,FALSE)</f>
        <v>SE &amp; Caribbean</v>
      </c>
      <c r="F634" s="13" t="s">
        <v>94</v>
      </c>
      <c r="G634" s="9" t="s">
        <v>1625</v>
      </c>
      <c r="H634" s="12">
        <v>45198</v>
      </c>
      <c r="I634" s="12" t="s">
        <v>129</v>
      </c>
      <c r="J634" s="91" t="s">
        <v>821</v>
      </c>
      <c r="K634" s="91">
        <v>45274</v>
      </c>
      <c r="L634" s="10" t="s">
        <v>97</v>
      </c>
      <c r="M634" s="10" t="s">
        <v>857</v>
      </c>
      <c r="N634" s="10" t="s">
        <v>858</v>
      </c>
      <c r="O634" s="10"/>
    </row>
    <row r="635" spans="1:15" ht="37.5" x14ac:dyDescent="0.25">
      <c r="A635" s="9" t="s">
        <v>47</v>
      </c>
      <c r="B635" s="13">
        <f>VLOOKUP(Table2[[#This Row],[Location 
(drop-down)]],'List source'!D$2:E$59,2,FALSE)</f>
        <v>215</v>
      </c>
      <c r="C635" s="11" t="s">
        <v>1626</v>
      </c>
      <c r="D635" s="117" t="str">
        <f t="shared" si="13"/>
        <v>C634-215-23</v>
      </c>
      <c r="E635" s="117" t="str">
        <f>VLOOKUP(Table2[[#This Row],[Location 
(drop-down)]],Table1[#All],3,FALSE)</f>
        <v>SE &amp; Caribbean</v>
      </c>
      <c r="F635" s="13" t="s">
        <v>94</v>
      </c>
      <c r="G635" s="9" t="s">
        <v>1627</v>
      </c>
      <c r="H635" s="12">
        <v>45198</v>
      </c>
      <c r="I635" s="12" t="s">
        <v>129</v>
      </c>
      <c r="J635" s="91" t="s">
        <v>821</v>
      </c>
      <c r="K635" s="91">
        <v>45225</v>
      </c>
      <c r="L635" s="10" t="s">
        <v>913</v>
      </c>
      <c r="M635" s="10" t="s">
        <v>857</v>
      </c>
      <c r="N635" s="10" t="s">
        <v>858</v>
      </c>
      <c r="O635" s="10"/>
    </row>
    <row r="636" spans="1:15" ht="37.5" x14ac:dyDescent="0.25">
      <c r="A636" s="9" t="s">
        <v>47</v>
      </c>
      <c r="B636" s="13">
        <f>VLOOKUP(Table2[[#This Row],[Location 
(drop-down)]],'List source'!D$2:E$59,2,FALSE)</f>
        <v>215</v>
      </c>
      <c r="C636" s="11" t="s">
        <v>1628</v>
      </c>
      <c r="D636" s="117" t="str">
        <f t="shared" si="13"/>
        <v>C635-215-23</v>
      </c>
      <c r="E636" s="117" t="str">
        <f>VLOOKUP(Table2[[#This Row],[Location 
(drop-down)]],Table1[#All],3,FALSE)</f>
        <v>SE &amp; Caribbean</v>
      </c>
      <c r="F636" s="13" t="s">
        <v>94</v>
      </c>
      <c r="G636" s="9" t="s">
        <v>1629</v>
      </c>
      <c r="H636" s="12">
        <v>45198</v>
      </c>
      <c r="I636" s="12" t="s">
        <v>129</v>
      </c>
      <c r="J636" s="91" t="s">
        <v>821</v>
      </c>
      <c r="K636" s="91">
        <v>45225</v>
      </c>
      <c r="L636" s="10" t="s">
        <v>97</v>
      </c>
      <c r="M636" s="10" t="s">
        <v>857</v>
      </c>
      <c r="N636" s="10" t="s">
        <v>858</v>
      </c>
      <c r="O636" s="10"/>
    </row>
    <row r="637" spans="1:15" ht="37.5" x14ac:dyDescent="0.25">
      <c r="A637" s="9" t="s">
        <v>47</v>
      </c>
      <c r="B637" s="13">
        <f>VLOOKUP(Table2[[#This Row],[Location 
(drop-down)]],'List source'!D$2:E$59,2,FALSE)</f>
        <v>215</v>
      </c>
      <c r="C637" s="11" t="s">
        <v>1630</v>
      </c>
      <c r="D637" s="117" t="str">
        <f t="shared" si="13"/>
        <v>C636-215-23</v>
      </c>
      <c r="E637" s="117" t="str">
        <f>VLOOKUP(Table2[[#This Row],[Location 
(drop-down)]],Table1[#All],3,FALSE)</f>
        <v>SE &amp; Caribbean</v>
      </c>
      <c r="F637" s="13" t="s">
        <v>94</v>
      </c>
      <c r="G637" s="9" t="s">
        <v>1631</v>
      </c>
      <c r="H637" s="12">
        <v>45198</v>
      </c>
      <c r="I637" s="12" t="s">
        <v>129</v>
      </c>
      <c r="J637" s="91" t="s">
        <v>821</v>
      </c>
      <c r="K637" s="91">
        <v>45225</v>
      </c>
      <c r="L637" s="10" t="s">
        <v>97</v>
      </c>
      <c r="M637" s="10" t="s">
        <v>854</v>
      </c>
      <c r="N637" s="10" t="s">
        <v>858</v>
      </c>
      <c r="O637" s="10"/>
    </row>
    <row r="638" spans="1:15" ht="37.5" x14ac:dyDescent="0.25">
      <c r="A638" s="9" t="s">
        <v>47</v>
      </c>
      <c r="B638" s="13">
        <f>VLOOKUP(Table2[[#This Row],[Location 
(drop-down)]],'List source'!D$2:E$59,2,FALSE)</f>
        <v>215</v>
      </c>
      <c r="C638" s="11" t="s">
        <v>1632</v>
      </c>
      <c r="D638" s="117" t="str">
        <f t="shared" si="13"/>
        <v>C637-215-23</v>
      </c>
      <c r="E638" s="117" t="str">
        <f>VLOOKUP(Table2[[#This Row],[Location 
(drop-down)]],Table1[#All],3,FALSE)</f>
        <v>SE &amp; Caribbean</v>
      </c>
      <c r="F638" s="13" t="s">
        <v>94</v>
      </c>
      <c r="G638" s="9" t="s">
        <v>1633</v>
      </c>
      <c r="H638" s="12">
        <v>45198</v>
      </c>
      <c r="I638" s="12" t="s">
        <v>129</v>
      </c>
      <c r="J638" s="91" t="s">
        <v>821</v>
      </c>
      <c r="K638" s="91">
        <v>45265</v>
      </c>
      <c r="L638" s="10" t="s">
        <v>97</v>
      </c>
      <c r="M638" s="10" t="s">
        <v>862</v>
      </c>
      <c r="N638" s="10" t="s">
        <v>858</v>
      </c>
      <c r="O638" s="10"/>
    </row>
    <row r="639" spans="1:15" ht="45" x14ac:dyDescent="0.25">
      <c r="A639" s="9" t="s">
        <v>27</v>
      </c>
      <c r="B639" s="13">
        <f>VLOOKUP(Table2[[#This Row],[Location 
(drop-down)]],'List source'!D$2:E$59,2,FALSE)</f>
        <v>132</v>
      </c>
      <c r="C639" s="11" t="s">
        <v>1634</v>
      </c>
      <c r="D639" s="117" t="str">
        <f t="shared" si="13"/>
        <v>C638-132-23</v>
      </c>
      <c r="E639" s="117" t="str">
        <f>VLOOKUP(Table2[[#This Row],[Location 
(drop-down)]],Table1[#All],3,FALSE)</f>
        <v>USWC</v>
      </c>
      <c r="F639" s="13" t="s">
        <v>852</v>
      </c>
      <c r="G639" s="9" t="s">
        <v>1635</v>
      </c>
      <c r="H639" s="12">
        <v>45194</v>
      </c>
      <c r="I639" s="12" t="s">
        <v>129</v>
      </c>
      <c r="J639" s="91" t="s">
        <v>821</v>
      </c>
      <c r="K639" s="91">
        <v>45329</v>
      </c>
      <c r="L639" s="10" t="s">
        <v>97</v>
      </c>
      <c r="M639" s="10"/>
      <c r="N639" s="10"/>
      <c r="O639" s="10"/>
    </row>
    <row r="640" spans="1:15" ht="30" x14ac:dyDescent="0.25">
      <c r="A640" s="9" t="s">
        <v>171</v>
      </c>
      <c r="B640" s="13">
        <f>VLOOKUP(Table2[[#This Row],[Location 
(drop-down)]],'List source'!D$2:E$59,2,FALSE)</f>
        <v>160</v>
      </c>
      <c r="C640" s="11" t="s">
        <v>1636</v>
      </c>
      <c r="D640" s="117" t="str">
        <f t="shared" si="13"/>
        <v>C639-160-23</v>
      </c>
      <c r="E640" s="117" t="str">
        <f>VLOOKUP(Table2[[#This Row],[Location 
(drop-down)]],Table1[#All],3,FALSE)</f>
        <v>USGC</v>
      </c>
      <c r="F640" s="13" t="s">
        <v>269</v>
      </c>
      <c r="G640" s="9" t="s">
        <v>1637</v>
      </c>
      <c r="H640" s="12">
        <v>45195</v>
      </c>
      <c r="I640" s="12" t="s">
        <v>129</v>
      </c>
      <c r="J640" s="91" t="s">
        <v>821</v>
      </c>
      <c r="K640" s="91">
        <v>45195</v>
      </c>
      <c r="L640" s="10" t="s">
        <v>147</v>
      </c>
      <c r="M640" s="10" t="s">
        <v>870</v>
      </c>
      <c r="N640" s="10" t="s">
        <v>822</v>
      </c>
      <c r="O640" s="10"/>
    </row>
    <row r="641" spans="1:15" ht="37.5" x14ac:dyDescent="0.25">
      <c r="A641" s="9" t="s">
        <v>72</v>
      </c>
      <c r="B641" s="13">
        <f>VLOOKUP(Table2[[#This Row],[Location 
(drop-down)]],'List source'!D$2:E$59,2,FALSE)</f>
        <v>197</v>
      </c>
      <c r="C641" s="11" t="s">
        <v>1638</v>
      </c>
      <c r="D641" s="117" t="str">
        <f t="shared" si="13"/>
        <v>C640-197-23</v>
      </c>
      <c r="E641" s="117" t="str">
        <f>VLOOKUP(Table2[[#This Row],[Location 
(drop-down)]],Table1[#All],3,FALSE)</f>
        <v>USNE, USMW &amp; Canada</v>
      </c>
      <c r="F641" s="13" t="s">
        <v>935</v>
      </c>
      <c r="G641" s="9" t="s">
        <v>1639</v>
      </c>
      <c r="H641" s="12">
        <v>45197</v>
      </c>
      <c r="I641" s="12" t="s">
        <v>443</v>
      </c>
      <c r="J641" s="91" t="s">
        <v>821</v>
      </c>
      <c r="K641" s="91">
        <v>45229</v>
      </c>
      <c r="L641" s="10" t="s">
        <v>97</v>
      </c>
      <c r="M641" s="10"/>
      <c r="N641" s="10"/>
      <c r="O641" s="10"/>
    </row>
    <row r="642" spans="1:15" ht="37.5" x14ac:dyDescent="0.25">
      <c r="A642" s="9" t="s">
        <v>72</v>
      </c>
      <c r="B642" s="13">
        <f>VLOOKUP(Table2[[#This Row],[Location 
(drop-down)]],'List source'!D$2:E$59,2,FALSE)</f>
        <v>197</v>
      </c>
      <c r="C642" s="11" t="s">
        <v>1640</v>
      </c>
      <c r="D642" s="117" t="str">
        <f t="shared" si="13"/>
        <v>C641-197-23</v>
      </c>
      <c r="E642" s="117" t="str">
        <f>VLOOKUP(Table2[[#This Row],[Location 
(drop-down)]],Table1[#All],3,FALSE)</f>
        <v>USNE, USMW &amp; Canada</v>
      </c>
      <c r="F642" s="13" t="s">
        <v>935</v>
      </c>
      <c r="G642" s="9" t="s">
        <v>1641</v>
      </c>
      <c r="H642" s="12">
        <v>45197</v>
      </c>
      <c r="I642" s="12" t="s">
        <v>443</v>
      </c>
      <c r="J642" s="91" t="s">
        <v>821</v>
      </c>
      <c r="K642" s="91">
        <v>45229</v>
      </c>
      <c r="L642" s="10" t="s">
        <v>97</v>
      </c>
      <c r="M642" s="10"/>
      <c r="N642" s="10"/>
      <c r="O642" s="10"/>
    </row>
    <row r="643" spans="1:15" ht="37.5" x14ac:dyDescent="0.25">
      <c r="A643" s="9" t="s">
        <v>72</v>
      </c>
      <c r="B643" s="13">
        <f>VLOOKUP(Table2[[#This Row],[Location 
(drop-down)]],'List source'!D$2:E$59,2,FALSE)</f>
        <v>197</v>
      </c>
      <c r="C643" s="25" t="s">
        <v>1642</v>
      </c>
      <c r="D643" s="117" t="str">
        <f t="shared" si="13"/>
        <v>C642-197-23</v>
      </c>
      <c r="E643" s="117" t="str">
        <f>VLOOKUP(Table2[[#This Row],[Location 
(drop-down)]],Table1[#All],3,FALSE)</f>
        <v>USNE, USMW &amp; Canada</v>
      </c>
      <c r="F643" s="13" t="s">
        <v>935</v>
      </c>
      <c r="G643" s="9" t="s">
        <v>1643</v>
      </c>
      <c r="H643" s="12">
        <v>45197</v>
      </c>
      <c r="I643" s="12" t="s">
        <v>443</v>
      </c>
      <c r="J643" s="91" t="s">
        <v>821</v>
      </c>
      <c r="K643" s="91">
        <v>45229</v>
      </c>
      <c r="L643" s="10" t="s">
        <v>97</v>
      </c>
      <c r="M643" s="10"/>
      <c r="N643" s="10"/>
      <c r="O643" s="10"/>
    </row>
    <row r="644" spans="1:15" ht="37.5" x14ac:dyDescent="0.25">
      <c r="A644" s="9" t="s">
        <v>72</v>
      </c>
      <c r="B644" s="13">
        <f>VLOOKUP(Table2[[#This Row],[Location 
(drop-down)]],'List source'!D$2:E$59,2,FALSE)</f>
        <v>197</v>
      </c>
      <c r="C644" s="25" t="s">
        <v>1644</v>
      </c>
      <c r="D644" s="117" t="str">
        <f t="shared" si="13"/>
        <v>C643-197-23</v>
      </c>
      <c r="E644" s="117" t="str">
        <f>VLOOKUP(Table2[[#This Row],[Location 
(drop-down)]],Table1[#All],3,FALSE)</f>
        <v>USNE, USMW &amp; Canada</v>
      </c>
      <c r="F644" s="13" t="s">
        <v>935</v>
      </c>
      <c r="G644" s="9" t="s">
        <v>1645</v>
      </c>
      <c r="H644" s="12">
        <v>45197</v>
      </c>
      <c r="I644" s="12" t="s">
        <v>443</v>
      </c>
      <c r="J644" s="91" t="s">
        <v>821</v>
      </c>
      <c r="K644" s="91">
        <v>45229</v>
      </c>
      <c r="L644" s="10" t="s">
        <v>97</v>
      </c>
      <c r="M644" s="10"/>
      <c r="N644" s="10"/>
      <c r="O644" s="10"/>
    </row>
    <row r="645" spans="1:15" ht="37.5" x14ac:dyDescent="0.25">
      <c r="A645" s="9" t="s">
        <v>72</v>
      </c>
      <c r="B645" s="13">
        <f>VLOOKUP(Table2[[#This Row],[Location 
(drop-down)]],'List source'!D$2:E$59,2,FALSE)</f>
        <v>197</v>
      </c>
      <c r="C645" s="25" t="s">
        <v>1646</v>
      </c>
      <c r="D645" s="117" t="str">
        <f t="shared" si="13"/>
        <v>C644-197-23</v>
      </c>
      <c r="E645" s="117" t="str">
        <f>VLOOKUP(Table2[[#This Row],[Location 
(drop-down)]],Table1[#All],3,FALSE)</f>
        <v>USNE, USMW &amp; Canada</v>
      </c>
      <c r="F645" s="13" t="s">
        <v>935</v>
      </c>
      <c r="G645" s="9" t="s">
        <v>1647</v>
      </c>
      <c r="H645" s="12">
        <v>45197</v>
      </c>
      <c r="I645" s="12" t="s">
        <v>443</v>
      </c>
      <c r="J645" s="91" t="s">
        <v>821</v>
      </c>
      <c r="K645" s="91">
        <v>45229</v>
      </c>
      <c r="L645" s="10" t="s">
        <v>97</v>
      </c>
      <c r="M645" s="10"/>
      <c r="N645" s="10"/>
      <c r="O645" s="10"/>
    </row>
    <row r="646" spans="1:15" ht="37.5" x14ac:dyDescent="0.25">
      <c r="A646" s="9" t="s">
        <v>72</v>
      </c>
      <c r="B646" s="13">
        <f>VLOOKUP(Table2[[#This Row],[Location 
(drop-down)]],'List source'!D$2:E$59,2,FALSE)</f>
        <v>197</v>
      </c>
      <c r="C646" s="25" t="s">
        <v>1648</v>
      </c>
      <c r="D646" s="117" t="str">
        <f t="shared" si="13"/>
        <v>C645-197-23</v>
      </c>
      <c r="E646" s="117" t="str">
        <f>VLOOKUP(Table2[[#This Row],[Location 
(drop-down)]],Table1[#All],3,FALSE)</f>
        <v>USNE, USMW &amp; Canada</v>
      </c>
      <c r="F646" s="13" t="s">
        <v>935</v>
      </c>
      <c r="G646" s="9" t="s">
        <v>1649</v>
      </c>
      <c r="H646" s="12">
        <v>45197</v>
      </c>
      <c r="I646" s="12" t="s">
        <v>443</v>
      </c>
      <c r="J646" s="91" t="s">
        <v>821</v>
      </c>
      <c r="K646" s="91">
        <v>45231</v>
      </c>
      <c r="L646" s="10" t="s">
        <v>97</v>
      </c>
      <c r="M646" s="10"/>
      <c r="N646" s="10"/>
      <c r="O646" s="10"/>
    </row>
    <row r="647" spans="1:15" ht="37.5" x14ac:dyDescent="0.25">
      <c r="A647" s="9" t="s">
        <v>324</v>
      </c>
      <c r="B647" s="13">
        <f>VLOOKUP(Table2[[#This Row],[Location 
(drop-down)]],'List source'!D$2:E$59,2,FALSE)</f>
        <v>170</v>
      </c>
      <c r="C647" s="25" t="s">
        <v>1650</v>
      </c>
      <c r="D647" s="117" t="str">
        <f t="shared" si="13"/>
        <v>C646-170-23</v>
      </c>
      <c r="E647" s="117" t="str">
        <f>VLOOKUP(Table2[[#This Row],[Location 
(drop-down)]],Table1[#All],3,FALSE)</f>
        <v>SE &amp; Caribbean</v>
      </c>
      <c r="F647" s="13" t="s">
        <v>935</v>
      </c>
      <c r="G647" s="9" t="s">
        <v>1651</v>
      </c>
      <c r="H647" s="12">
        <v>45177</v>
      </c>
      <c r="I647" s="12" t="s">
        <v>875</v>
      </c>
      <c r="J647" s="91" t="s">
        <v>821</v>
      </c>
      <c r="K647" s="91">
        <v>45204</v>
      </c>
      <c r="L647" s="10" t="s">
        <v>97</v>
      </c>
      <c r="M647" s="10" t="s">
        <v>857</v>
      </c>
      <c r="N647" s="10"/>
      <c r="O647" s="10"/>
    </row>
    <row r="648" spans="1:15" ht="37.5" x14ac:dyDescent="0.25">
      <c r="A648" s="9" t="s">
        <v>324</v>
      </c>
      <c r="B648" s="13">
        <f>VLOOKUP(Table2[[#This Row],[Location 
(drop-down)]],'List source'!D$2:E$59,2,FALSE)</f>
        <v>170</v>
      </c>
      <c r="C648" s="25" t="s">
        <v>1652</v>
      </c>
      <c r="D648" s="117" t="str">
        <f t="shared" si="13"/>
        <v>C647-170-23</v>
      </c>
      <c r="E648" s="117" t="str">
        <f>VLOOKUP(Table2[[#This Row],[Location 
(drop-down)]],Table1[#All],3,FALSE)</f>
        <v>SE &amp; Caribbean</v>
      </c>
      <c r="F648" s="29" t="s">
        <v>935</v>
      </c>
      <c r="G648" s="9" t="s">
        <v>1653</v>
      </c>
      <c r="H648" s="12">
        <v>45177</v>
      </c>
      <c r="I648" s="12" t="s">
        <v>875</v>
      </c>
      <c r="J648" s="91" t="s">
        <v>821</v>
      </c>
      <c r="K648" s="91">
        <v>45204</v>
      </c>
      <c r="L648" s="10" t="s">
        <v>97</v>
      </c>
      <c r="M648" s="10" t="s">
        <v>862</v>
      </c>
      <c r="N648" s="10"/>
      <c r="O648" s="10"/>
    </row>
    <row r="649" spans="1:15" ht="37.5" x14ac:dyDescent="0.25">
      <c r="A649" s="9" t="s">
        <v>42</v>
      </c>
      <c r="B649" s="13">
        <f>VLOOKUP(Table2[[#This Row],[Location 
(drop-down)]],'List source'!D$2:E$59,2,FALSE)</f>
        <v>198</v>
      </c>
      <c r="C649" s="25" t="s">
        <v>1654</v>
      </c>
      <c r="D649" s="117" t="str">
        <f t="shared" si="13"/>
        <v>C648-198-23</v>
      </c>
      <c r="E649" s="117" t="str">
        <f>VLOOKUP(Table2[[#This Row],[Location 
(drop-down)]],Table1[#All],3,FALSE)</f>
        <v>USNE, USMW &amp; Canada</v>
      </c>
      <c r="F649" s="29" t="s">
        <v>159</v>
      </c>
      <c r="G649" s="9" t="s">
        <v>1655</v>
      </c>
      <c r="H649" s="12">
        <v>45177</v>
      </c>
      <c r="I649" s="12" t="s">
        <v>443</v>
      </c>
      <c r="J649" s="91" t="s">
        <v>821</v>
      </c>
      <c r="K649" s="91">
        <v>45308</v>
      </c>
      <c r="L649" s="10" t="s">
        <v>97</v>
      </c>
      <c r="M649" s="10" t="s">
        <v>857</v>
      </c>
      <c r="N649" s="10" t="s">
        <v>822</v>
      </c>
      <c r="O649" s="10"/>
    </row>
    <row r="650" spans="1:15" ht="37.5" x14ac:dyDescent="0.25">
      <c r="A650" s="9" t="s">
        <v>42</v>
      </c>
      <c r="B650" s="13">
        <f>VLOOKUP(Table2[[#This Row],[Location 
(drop-down)]],'List source'!D$2:E$59,2,FALSE)</f>
        <v>198</v>
      </c>
      <c r="C650" s="25" t="s">
        <v>1656</v>
      </c>
      <c r="D650" s="117" t="str">
        <f t="shared" si="13"/>
        <v>C649-198-23</v>
      </c>
      <c r="E650" s="117" t="str">
        <f>VLOOKUP(Table2[[#This Row],[Location 
(drop-down)]],Table1[#All],3,FALSE)</f>
        <v>USNE, USMW &amp; Canada</v>
      </c>
      <c r="F650" s="29" t="s">
        <v>159</v>
      </c>
      <c r="G650" s="9" t="s">
        <v>1657</v>
      </c>
      <c r="H650" s="12">
        <v>45177</v>
      </c>
      <c r="I650" s="12" t="s">
        <v>443</v>
      </c>
      <c r="J650" s="91" t="s">
        <v>821</v>
      </c>
      <c r="K650" s="91">
        <v>45373</v>
      </c>
      <c r="L650" s="10" t="s">
        <v>97</v>
      </c>
      <c r="M650" s="10"/>
      <c r="N650" s="10"/>
      <c r="O650" s="10"/>
    </row>
    <row r="651" spans="1:15" ht="30" x14ac:dyDescent="0.25">
      <c r="A651" s="9" t="s">
        <v>1658</v>
      </c>
      <c r="B651" s="13">
        <f>VLOOKUP(Table2[[#This Row],[Location 
(drop-down)]],'List source'!D$2:E$59,2,FALSE)</f>
        <v>159</v>
      </c>
      <c r="C651" s="25" t="s">
        <v>1659</v>
      </c>
      <c r="D651" s="117" t="str">
        <f t="shared" si="13"/>
        <v>C650-159-23</v>
      </c>
      <c r="E651" s="117" t="str">
        <f>VLOOKUP(Table2[[#This Row],[Location 
(drop-down)]],Table1[#All],3,FALSE)</f>
        <v>USGC</v>
      </c>
      <c r="F651" s="29" t="s">
        <v>94</v>
      </c>
      <c r="G651" s="9" t="s">
        <v>1660</v>
      </c>
      <c r="H651" s="12">
        <v>45216</v>
      </c>
      <c r="I651" s="12" t="s">
        <v>129</v>
      </c>
      <c r="J651" s="91" t="s">
        <v>821</v>
      </c>
      <c r="K651" s="91">
        <v>45370</v>
      </c>
      <c r="L651" s="10" t="s">
        <v>97</v>
      </c>
      <c r="M651" s="10"/>
      <c r="N651" s="10"/>
      <c r="O651" s="10"/>
    </row>
    <row r="652" spans="1:15" ht="30" x14ac:dyDescent="0.25">
      <c r="A652" s="9" t="s">
        <v>1658</v>
      </c>
      <c r="B652" s="13">
        <f>VLOOKUP(Table2[[#This Row],[Location 
(drop-down)]],'List source'!D$2:E$59,2,FALSE)</f>
        <v>159</v>
      </c>
      <c r="C652" s="25" t="s">
        <v>1661</v>
      </c>
      <c r="D652" s="117" t="str">
        <f t="shared" si="13"/>
        <v>C651-159-23</v>
      </c>
      <c r="E652" s="117" t="str">
        <f>VLOOKUP(Table2[[#This Row],[Location 
(drop-down)]],Table1[#All],3,FALSE)</f>
        <v>USGC</v>
      </c>
      <c r="F652" s="29" t="s">
        <v>94</v>
      </c>
      <c r="G652" s="9" t="s">
        <v>1283</v>
      </c>
      <c r="H652" s="12">
        <v>45216</v>
      </c>
      <c r="I652" s="12" t="s">
        <v>129</v>
      </c>
      <c r="J652" s="91" t="s">
        <v>821</v>
      </c>
      <c r="K652" s="91">
        <v>45323</v>
      </c>
      <c r="L652" s="10" t="s">
        <v>97</v>
      </c>
      <c r="M652" s="10"/>
      <c r="N652" s="10"/>
      <c r="O652" s="10"/>
    </row>
    <row r="653" spans="1:15" ht="30" x14ac:dyDescent="0.25">
      <c r="A653" s="9" t="s">
        <v>1658</v>
      </c>
      <c r="B653" s="13">
        <f>VLOOKUP(Table2[[#This Row],[Location 
(drop-down)]],'List source'!D$2:E$59,2,FALSE)</f>
        <v>159</v>
      </c>
      <c r="C653" s="25" t="s">
        <v>1662</v>
      </c>
      <c r="D653" s="117" t="str">
        <f t="shared" si="13"/>
        <v>C652-159-23</v>
      </c>
      <c r="E653" s="117" t="str">
        <f>VLOOKUP(Table2[[#This Row],[Location 
(drop-down)]],Table1[#All],3,FALSE)</f>
        <v>USGC</v>
      </c>
      <c r="F653" s="29" t="s">
        <v>94</v>
      </c>
      <c r="G653" s="9" t="s">
        <v>1663</v>
      </c>
      <c r="H653" s="12">
        <v>45216</v>
      </c>
      <c r="I653" s="12" t="s">
        <v>129</v>
      </c>
      <c r="J653" s="91" t="s">
        <v>821</v>
      </c>
      <c r="K653" s="91">
        <v>45337</v>
      </c>
      <c r="L653" s="10" t="s">
        <v>97</v>
      </c>
      <c r="M653" s="10"/>
      <c r="N653" s="10"/>
      <c r="O653" s="10"/>
    </row>
    <row r="654" spans="1:15" ht="30" x14ac:dyDescent="0.25">
      <c r="A654" s="9" t="s">
        <v>1658</v>
      </c>
      <c r="B654" s="13">
        <f>VLOOKUP(Table2[[#This Row],[Location 
(drop-down)]],'List source'!D$2:E$59,2,FALSE)</f>
        <v>159</v>
      </c>
      <c r="C654" s="25" t="s">
        <v>1664</v>
      </c>
      <c r="D654" s="117" t="str">
        <f t="shared" si="13"/>
        <v>C653-159-23</v>
      </c>
      <c r="E654" s="117" t="str">
        <f>VLOOKUP(Table2[[#This Row],[Location 
(drop-down)]],Table1[#All],3,FALSE)</f>
        <v>USGC</v>
      </c>
      <c r="F654" s="29" t="s">
        <v>94</v>
      </c>
      <c r="G654" s="9" t="s">
        <v>987</v>
      </c>
      <c r="H654" s="12">
        <v>45216</v>
      </c>
      <c r="I654" s="12" t="s">
        <v>129</v>
      </c>
      <c r="J654" s="91" t="s">
        <v>821</v>
      </c>
      <c r="K654" s="91">
        <v>45243</v>
      </c>
      <c r="L654" s="10" t="s">
        <v>913</v>
      </c>
      <c r="M654" s="10" t="s">
        <v>857</v>
      </c>
      <c r="N654" s="10" t="s">
        <v>858</v>
      </c>
      <c r="O654" s="10"/>
    </row>
    <row r="655" spans="1:15" ht="30" x14ac:dyDescent="0.25">
      <c r="A655" s="9" t="s">
        <v>1658</v>
      </c>
      <c r="B655" s="13">
        <f>VLOOKUP(Table2[[#This Row],[Location 
(drop-down)]],'List source'!D$2:E$59,2,FALSE)</f>
        <v>159</v>
      </c>
      <c r="C655" s="25" t="s">
        <v>1665</v>
      </c>
      <c r="D655" s="117" t="str">
        <f t="shared" si="13"/>
        <v>C654-159-23</v>
      </c>
      <c r="E655" s="117" t="str">
        <f>VLOOKUP(Table2[[#This Row],[Location 
(drop-down)]],Table1[#All],3,FALSE)</f>
        <v>USGC</v>
      </c>
      <c r="F655" s="29" t="s">
        <v>94</v>
      </c>
      <c r="G655" s="9" t="s">
        <v>1666</v>
      </c>
      <c r="H655" s="12">
        <v>45216</v>
      </c>
      <c r="I655" s="12" t="s">
        <v>129</v>
      </c>
      <c r="J655" s="91" t="s">
        <v>821</v>
      </c>
      <c r="K655" s="91">
        <v>45299</v>
      </c>
      <c r="L655" s="10" t="s">
        <v>97</v>
      </c>
      <c r="M655" s="10"/>
      <c r="N655" s="10"/>
      <c r="O655" s="10"/>
    </row>
    <row r="656" spans="1:15" ht="30" x14ac:dyDescent="0.25">
      <c r="A656" s="9" t="s">
        <v>1658</v>
      </c>
      <c r="B656" s="13">
        <f>VLOOKUP(Table2[[#This Row],[Location 
(drop-down)]],'List source'!D$2:E$59,2,FALSE)</f>
        <v>159</v>
      </c>
      <c r="C656" s="25" t="s">
        <v>1667</v>
      </c>
      <c r="D656" s="117" t="str">
        <f t="shared" si="13"/>
        <v>C655-159-23</v>
      </c>
      <c r="E656" s="117" t="str">
        <f>VLOOKUP(Table2[[#This Row],[Location 
(drop-down)]],Table1[#All],3,FALSE)</f>
        <v>USGC</v>
      </c>
      <c r="F656" s="29" t="s">
        <v>94</v>
      </c>
      <c r="G656" s="9" t="s">
        <v>1668</v>
      </c>
      <c r="H656" s="12">
        <v>45216</v>
      </c>
      <c r="I656" s="12" t="s">
        <v>129</v>
      </c>
      <c r="J656" s="91" t="s">
        <v>821</v>
      </c>
      <c r="K656" s="91">
        <v>45278</v>
      </c>
      <c r="L656" s="10" t="s">
        <v>97</v>
      </c>
      <c r="M656" s="10" t="s">
        <v>857</v>
      </c>
      <c r="N656" s="10" t="s">
        <v>858</v>
      </c>
      <c r="O656" s="10"/>
    </row>
    <row r="657" spans="1:15" ht="30" x14ac:dyDescent="0.25">
      <c r="A657" s="9" t="s">
        <v>171</v>
      </c>
      <c r="B657" s="13">
        <f>VLOOKUP(Table2[[#This Row],[Location 
(drop-down)]],'List source'!D$2:E$59,2,FALSE)</f>
        <v>160</v>
      </c>
      <c r="C657" s="25" t="s">
        <v>1669</v>
      </c>
      <c r="D657" s="117" t="str">
        <f t="shared" si="13"/>
        <v>C656-160-23</v>
      </c>
      <c r="E657" s="117" t="str">
        <f>VLOOKUP(Table2[[#This Row],[Location 
(drop-down)]],Table1[#All],3,FALSE)</f>
        <v>USGC</v>
      </c>
      <c r="F657" s="29" t="s">
        <v>159</v>
      </c>
      <c r="G657" s="9" t="s">
        <v>1670</v>
      </c>
      <c r="H657" s="12">
        <v>45208</v>
      </c>
      <c r="I657" s="12" t="s">
        <v>161</v>
      </c>
      <c r="J657" s="91" t="s">
        <v>821</v>
      </c>
      <c r="K657" s="91">
        <v>45279</v>
      </c>
      <c r="L657" s="10" t="s">
        <v>97</v>
      </c>
      <c r="M657" s="10" t="s">
        <v>914</v>
      </c>
      <c r="N657" s="10"/>
      <c r="O657" s="10"/>
    </row>
    <row r="658" spans="1:15" ht="30" x14ac:dyDescent="0.25">
      <c r="A658" s="9" t="s">
        <v>171</v>
      </c>
      <c r="B658" s="13">
        <f>VLOOKUP(Table2[[#This Row],[Location 
(drop-down)]],'List source'!D$2:E$59,2,FALSE)</f>
        <v>160</v>
      </c>
      <c r="C658" s="25" t="s">
        <v>1671</v>
      </c>
      <c r="D658" s="117" t="str">
        <f t="shared" si="13"/>
        <v>C657-160-23</v>
      </c>
      <c r="E658" s="117" t="str">
        <f>VLOOKUP(Table2[[#This Row],[Location 
(drop-down)]],Table1[#All],3,FALSE)</f>
        <v>USGC</v>
      </c>
      <c r="F658" s="29" t="s">
        <v>159</v>
      </c>
      <c r="G658" s="9" t="s">
        <v>1672</v>
      </c>
      <c r="H658" s="12">
        <v>45208</v>
      </c>
      <c r="I658" s="12" t="s">
        <v>161</v>
      </c>
      <c r="J658" s="91" t="s">
        <v>821</v>
      </c>
      <c r="K658" s="91">
        <v>45279</v>
      </c>
      <c r="L658" s="10" t="s">
        <v>97</v>
      </c>
      <c r="M658" s="10" t="s">
        <v>914</v>
      </c>
      <c r="N658" s="10"/>
      <c r="O658" s="10"/>
    </row>
    <row r="659" spans="1:15" ht="30" x14ac:dyDescent="0.25">
      <c r="A659" s="9" t="s">
        <v>171</v>
      </c>
      <c r="B659" s="13">
        <f>VLOOKUP(Table2[[#This Row],[Location 
(drop-down)]],'List source'!D$2:E$59,2,FALSE)</f>
        <v>160</v>
      </c>
      <c r="C659" s="25" t="s">
        <v>1673</v>
      </c>
      <c r="D659" s="117" t="str">
        <f t="shared" si="13"/>
        <v>C658-160-23</v>
      </c>
      <c r="E659" s="117" t="str">
        <f>VLOOKUP(Table2[[#This Row],[Location 
(drop-down)]],Table1[#All],3,FALSE)</f>
        <v>USGC</v>
      </c>
      <c r="F659" s="29" t="s">
        <v>159</v>
      </c>
      <c r="G659" s="9" t="s">
        <v>1674</v>
      </c>
      <c r="H659" s="12">
        <v>45208</v>
      </c>
      <c r="I659" s="12" t="s">
        <v>161</v>
      </c>
      <c r="J659" s="91" t="s">
        <v>821</v>
      </c>
      <c r="K659" s="91">
        <v>45279</v>
      </c>
      <c r="L659" s="10" t="s">
        <v>97</v>
      </c>
      <c r="M659" s="10" t="s">
        <v>914</v>
      </c>
      <c r="N659" s="10"/>
      <c r="O659" s="10"/>
    </row>
    <row r="660" spans="1:15" ht="33" customHeight="1" x14ac:dyDescent="0.25">
      <c r="A660" s="9" t="s">
        <v>131</v>
      </c>
      <c r="B660" s="13" t="str">
        <f>VLOOKUP(Table2[[#This Row],[Location 
(drop-down)]],'List source'!D$2:E$59,2,FALSE)</f>
        <v>VOID</v>
      </c>
      <c r="C660" s="25" t="s">
        <v>1675</v>
      </c>
      <c r="D660" s="117" t="str">
        <f t="shared" si="13"/>
        <v>C659-VOID-23</v>
      </c>
      <c r="E660" s="117" t="str">
        <f>VLOOKUP(Table2[[#This Row],[Location 
(drop-down)]],Table1[#All],3,FALSE)</f>
        <v>VOID</v>
      </c>
      <c r="F660" s="29" t="s">
        <v>50</v>
      </c>
      <c r="G660" s="9" t="s">
        <v>1676</v>
      </c>
      <c r="H660" s="12" t="s">
        <v>50</v>
      </c>
      <c r="I660" s="12" t="s">
        <v>50</v>
      </c>
      <c r="J660" s="91" t="s">
        <v>50</v>
      </c>
      <c r="K660" s="91" t="s">
        <v>50</v>
      </c>
      <c r="L660" s="10" t="s">
        <v>50</v>
      </c>
      <c r="M660" s="10" t="s">
        <v>50</v>
      </c>
      <c r="N660" s="10" t="s">
        <v>50</v>
      </c>
      <c r="O660" s="10"/>
    </row>
    <row r="661" spans="1:15" ht="30" x14ac:dyDescent="0.25">
      <c r="A661" s="9" t="s">
        <v>171</v>
      </c>
      <c r="B661" s="13">
        <f>VLOOKUP(Table2[[#This Row],[Location 
(drop-down)]],'List source'!D$2:E$59,2,FALSE)</f>
        <v>160</v>
      </c>
      <c r="C661" s="25" t="s">
        <v>1677</v>
      </c>
      <c r="D661" s="117" t="str">
        <f t="shared" si="13"/>
        <v>C660-160-23</v>
      </c>
      <c r="E661" s="117" t="str">
        <f>VLOOKUP(Table2[[#This Row],[Location 
(drop-down)]],Table1[#All],3,FALSE)</f>
        <v>USGC</v>
      </c>
      <c r="F661" s="29" t="s">
        <v>159</v>
      </c>
      <c r="G661" s="9" t="s">
        <v>1678</v>
      </c>
      <c r="H661" s="12">
        <v>45208</v>
      </c>
      <c r="I661" s="12" t="s">
        <v>161</v>
      </c>
      <c r="J661" s="91" t="s">
        <v>821</v>
      </c>
      <c r="K661" s="91">
        <v>45280</v>
      </c>
      <c r="L661" s="10" t="s">
        <v>97</v>
      </c>
      <c r="M661" s="10" t="s">
        <v>914</v>
      </c>
      <c r="N661" s="10"/>
      <c r="O661" s="10"/>
    </row>
    <row r="662" spans="1:15" ht="30" x14ac:dyDescent="0.25">
      <c r="A662" s="9" t="s">
        <v>171</v>
      </c>
      <c r="B662" s="13">
        <f>VLOOKUP(Table2[[#This Row],[Location 
(drop-down)]],'List source'!D$2:E$59,2,FALSE)</f>
        <v>160</v>
      </c>
      <c r="C662" s="25" t="s">
        <v>1679</v>
      </c>
      <c r="D662" s="117" t="str">
        <f t="shared" si="13"/>
        <v>C661-160-23</v>
      </c>
      <c r="E662" s="117" t="str">
        <f>VLOOKUP(Table2[[#This Row],[Location 
(drop-down)]],Table1[#All],3,FALSE)</f>
        <v>USGC</v>
      </c>
      <c r="F662" s="29" t="s">
        <v>159</v>
      </c>
      <c r="G662" s="9" t="s">
        <v>1680</v>
      </c>
      <c r="H662" s="12">
        <v>45208</v>
      </c>
      <c r="I662" s="12" t="s">
        <v>161</v>
      </c>
      <c r="J662" s="91" t="s">
        <v>821</v>
      </c>
      <c r="K662" s="91">
        <v>45280</v>
      </c>
      <c r="L662" s="10" t="s">
        <v>97</v>
      </c>
      <c r="M662" s="10" t="s">
        <v>914</v>
      </c>
      <c r="N662" s="10"/>
      <c r="O662" s="10"/>
    </row>
    <row r="663" spans="1:15" ht="18.75" x14ac:dyDescent="0.25">
      <c r="A663" s="9" t="s">
        <v>171</v>
      </c>
      <c r="B663" s="13">
        <f>VLOOKUP(Table2[[#This Row],[Location 
(drop-down)]],'List source'!D$2:E$59,2,FALSE)</f>
        <v>160</v>
      </c>
      <c r="C663" s="25" t="s">
        <v>1681</v>
      </c>
      <c r="D663" s="117" t="str">
        <f t="shared" si="13"/>
        <v>C662-160-23</v>
      </c>
      <c r="E663" s="117" t="str">
        <f>VLOOKUP(Table2[[#This Row],[Location 
(drop-down)]],Table1[#All],3,FALSE)</f>
        <v>USGC</v>
      </c>
      <c r="F663" s="29" t="s">
        <v>159</v>
      </c>
      <c r="G663" s="9" t="s">
        <v>1682</v>
      </c>
      <c r="H663" s="12">
        <v>45208</v>
      </c>
      <c r="I663" s="12" t="s">
        <v>161</v>
      </c>
      <c r="J663" s="91" t="s">
        <v>821</v>
      </c>
      <c r="K663" s="91">
        <v>45239</v>
      </c>
      <c r="L663" s="10" t="s">
        <v>97</v>
      </c>
      <c r="M663" s="10" t="s">
        <v>870</v>
      </c>
      <c r="N663" s="10" t="s">
        <v>910</v>
      </c>
      <c r="O663" s="10"/>
    </row>
    <row r="664" spans="1:15" ht="37.5" x14ac:dyDescent="0.25">
      <c r="A664" s="9" t="s">
        <v>924</v>
      </c>
      <c r="B664" s="13">
        <f>VLOOKUP(Table2[[#This Row],[Location 
(drop-down)]],'List source'!D$2:E$59,2,FALSE)</f>
        <v>144</v>
      </c>
      <c r="C664" s="25" t="s">
        <v>1683</v>
      </c>
      <c r="D664" s="117" t="str">
        <f t="shared" si="13"/>
        <v>C663-144-23</v>
      </c>
      <c r="E664" s="117" t="str">
        <f>VLOOKUP(Table2[[#This Row],[Location 
(drop-down)]],Table1[#All],3,FALSE)</f>
        <v>SE &amp; Caribbean</v>
      </c>
      <c r="F664" s="29" t="s">
        <v>94</v>
      </c>
      <c r="G664" s="9" t="s">
        <v>1684</v>
      </c>
      <c r="H664" s="12">
        <v>45218</v>
      </c>
      <c r="I664" s="12" t="s">
        <v>440</v>
      </c>
      <c r="J664" s="91" t="s">
        <v>898</v>
      </c>
      <c r="K664" s="91">
        <v>45520</v>
      </c>
      <c r="L664" s="10" t="s">
        <v>97</v>
      </c>
      <c r="M664" s="10" t="s">
        <v>854</v>
      </c>
      <c r="N664" s="10" t="s">
        <v>822</v>
      </c>
      <c r="O664" s="10"/>
    </row>
    <row r="665" spans="1:15" ht="35.1" customHeight="1" x14ac:dyDescent="0.25">
      <c r="A665" s="9" t="s">
        <v>924</v>
      </c>
      <c r="B665" s="13">
        <f>VLOOKUP(Table2[[#This Row],[Location 
(drop-down)]],'List source'!D$2:E$59,2,FALSE)</f>
        <v>144</v>
      </c>
      <c r="C665" s="25" t="s">
        <v>1685</v>
      </c>
      <c r="D665" s="117" t="str">
        <f t="shared" si="13"/>
        <v>C664-144-23</v>
      </c>
      <c r="E665" s="117" t="str">
        <f>VLOOKUP(Table2[[#This Row],[Location 
(drop-down)]],Table1[#All],3,FALSE)</f>
        <v>SE &amp; Caribbean</v>
      </c>
      <c r="F665" s="29" t="s">
        <v>94</v>
      </c>
      <c r="G665" s="9" t="s">
        <v>1686</v>
      </c>
      <c r="H665" s="12">
        <v>45218</v>
      </c>
      <c r="I665" s="12" t="s">
        <v>440</v>
      </c>
      <c r="J665" s="91" t="s">
        <v>821</v>
      </c>
      <c r="K665" s="91">
        <v>45386</v>
      </c>
      <c r="L665" s="10" t="s">
        <v>97</v>
      </c>
      <c r="M665" s="10" t="s">
        <v>903</v>
      </c>
      <c r="N665" s="10"/>
      <c r="O665" s="10"/>
    </row>
    <row r="666" spans="1:15" ht="30.6" customHeight="1" x14ac:dyDescent="0.25">
      <c r="A666" s="9" t="s">
        <v>924</v>
      </c>
      <c r="B666" s="13">
        <f>VLOOKUP(Table2[[#This Row],[Location 
(drop-down)]],'List source'!D$2:E$59,2,FALSE)</f>
        <v>144</v>
      </c>
      <c r="C666" s="25" t="s">
        <v>1687</v>
      </c>
      <c r="D666" s="117" t="str">
        <f t="shared" si="13"/>
        <v>C665-144-23</v>
      </c>
      <c r="E666" s="117" t="str">
        <f>VLOOKUP(Table2[[#This Row],[Location 
(drop-down)]],Table1[#All],3,FALSE)</f>
        <v>SE &amp; Caribbean</v>
      </c>
      <c r="F666" s="29" t="s">
        <v>94</v>
      </c>
      <c r="G666" s="9" t="s">
        <v>1688</v>
      </c>
      <c r="H666" s="12">
        <v>45218</v>
      </c>
      <c r="I666" s="12" t="s">
        <v>440</v>
      </c>
      <c r="J666" s="91" t="s">
        <v>898</v>
      </c>
      <c r="K666" s="91">
        <v>45377</v>
      </c>
      <c r="L666" s="10" t="s">
        <v>97</v>
      </c>
      <c r="M666" s="10" t="s">
        <v>857</v>
      </c>
      <c r="N666" s="10"/>
      <c r="O666" s="10"/>
    </row>
    <row r="667" spans="1:15" ht="33.6" customHeight="1" x14ac:dyDescent="0.25">
      <c r="A667" s="9" t="s">
        <v>924</v>
      </c>
      <c r="B667" s="13">
        <f>VLOOKUP(Table2[[#This Row],[Location 
(drop-down)]],'List source'!D$2:E$59,2,FALSE)</f>
        <v>144</v>
      </c>
      <c r="C667" s="25" t="s">
        <v>1689</v>
      </c>
      <c r="D667" s="117" t="str">
        <f t="shared" ref="D667:D730" si="14">"C" &amp; C667 &amp; "-" &amp; B667 &amp; "-" &amp; "23"</f>
        <v>C666-144-23</v>
      </c>
      <c r="E667" s="117" t="str">
        <f>VLOOKUP(Table2[[#This Row],[Location 
(drop-down)]],Table1[#All],3,FALSE)</f>
        <v>SE &amp; Caribbean</v>
      </c>
      <c r="F667" s="29" t="s">
        <v>94</v>
      </c>
      <c r="G667" s="9" t="s">
        <v>1690</v>
      </c>
      <c r="H667" s="12">
        <v>45218</v>
      </c>
      <c r="I667" s="12" t="s">
        <v>440</v>
      </c>
      <c r="J667" s="91" t="s">
        <v>898</v>
      </c>
      <c r="K667" s="91">
        <v>45377</v>
      </c>
      <c r="L667" s="10" t="s">
        <v>97</v>
      </c>
      <c r="M667" s="10" t="s">
        <v>854</v>
      </c>
      <c r="N667" s="10"/>
      <c r="O667" s="10"/>
    </row>
    <row r="668" spans="1:15" ht="37.5" x14ac:dyDescent="0.25">
      <c r="A668" s="9" t="s">
        <v>924</v>
      </c>
      <c r="B668" s="13">
        <f>VLOOKUP(Table2[[#This Row],[Location 
(drop-down)]],'List source'!D$2:E$59,2,FALSE)</f>
        <v>144</v>
      </c>
      <c r="C668" s="25" t="s">
        <v>1691</v>
      </c>
      <c r="D668" s="117" t="str">
        <f t="shared" si="14"/>
        <v>C667-144-23</v>
      </c>
      <c r="E668" s="117" t="str">
        <f>VLOOKUP(Table2[[#This Row],[Location 
(drop-down)]],Table1[#All],3,FALSE)</f>
        <v>SE &amp; Caribbean</v>
      </c>
      <c r="F668" s="29" t="s">
        <v>94</v>
      </c>
      <c r="G668" s="9" t="s">
        <v>1603</v>
      </c>
      <c r="H668" s="12">
        <v>45218</v>
      </c>
      <c r="I668" s="12" t="s">
        <v>440</v>
      </c>
      <c r="J668" s="91" t="s">
        <v>898</v>
      </c>
      <c r="K668" s="91">
        <v>45520</v>
      </c>
      <c r="L668" s="10" t="s">
        <v>97</v>
      </c>
      <c r="M668" s="10" t="s">
        <v>857</v>
      </c>
      <c r="N668" s="10"/>
      <c r="O668" s="10" t="s">
        <v>1692</v>
      </c>
    </row>
    <row r="669" spans="1:15" ht="37.5" x14ac:dyDescent="0.25">
      <c r="A669" s="9" t="s">
        <v>924</v>
      </c>
      <c r="B669" s="13">
        <f>VLOOKUP(Table2[[#This Row],[Location 
(drop-down)]],'List source'!D$2:E$59,2,FALSE)</f>
        <v>144</v>
      </c>
      <c r="C669" s="25" t="s">
        <v>1693</v>
      </c>
      <c r="D669" s="117" t="str">
        <f t="shared" si="14"/>
        <v>C668-144-23</v>
      </c>
      <c r="E669" s="117" t="str">
        <f>VLOOKUP(Table2[[#This Row],[Location 
(drop-down)]],Table1[#All],3,FALSE)</f>
        <v>SE &amp; Caribbean</v>
      </c>
      <c r="F669" s="29" t="s">
        <v>94</v>
      </c>
      <c r="G669" s="9" t="s">
        <v>1694</v>
      </c>
      <c r="H669" s="12">
        <v>45218</v>
      </c>
      <c r="I669" s="12" t="s">
        <v>440</v>
      </c>
      <c r="J669" s="91" t="s">
        <v>898</v>
      </c>
      <c r="K669" s="91">
        <v>45309</v>
      </c>
      <c r="L669" s="10" t="s">
        <v>147</v>
      </c>
      <c r="M669" s="10" t="s">
        <v>914</v>
      </c>
      <c r="N669" s="10" t="s">
        <v>822</v>
      </c>
      <c r="O669" s="10"/>
    </row>
    <row r="670" spans="1:15" ht="28.5" customHeight="1" x14ac:dyDescent="0.25">
      <c r="A670" s="9" t="s">
        <v>924</v>
      </c>
      <c r="B670" s="13">
        <f>VLOOKUP(Table2[[#This Row],[Location 
(drop-down)]],'List source'!D$2:E$59,2,FALSE)</f>
        <v>144</v>
      </c>
      <c r="C670" s="25" t="s">
        <v>1695</v>
      </c>
      <c r="D670" s="117" t="str">
        <f t="shared" si="14"/>
        <v>C669-144-23</v>
      </c>
      <c r="E670" s="117" t="str">
        <f>VLOOKUP(Table2[[#This Row],[Location 
(drop-down)]],Table1[#All],3,FALSE)</f>
        <v>SE &amp; Caribbean</v>
      </c>
      <c r="F670" s="29" t="s">
        <v>94</v>
      </c>
      <c r="G670" s="9" t="s">
        <v>1696</v>
      </c>
      <c r="H670" s="12">
        <v>45218</v>
      </c>
      <c r="I670" s="12" t="s">
        <v>440</v>
      </c>
      <c r="J670" s="91" t="s">
        <v>821</v>
      </c>
      <c r="K670" s="91">
        <v>45309</v>
      </c>
      <c r="L670" s="10" t="s">
        <v>147</v>
      </c>
      <c r="M670" s="10" t="s">
        <v>914</v>
      </c>
      <c r="N670" s="10" t="s">
        <v>822</v>
      </c>
      <c r="O670" s="10"/>
    </row>
    <row r="671" spans="1:15" ht="37.5" x14ac:dyDescent="0.25">
      <c r="A671" s="9" t="s">
        <v>924</v>
      </c>
      <c r="B671" s="13">
        <f>VLOOKUP(Table2[[#This Row],[Location 
(drop-down)]],'List source'!D$2:E$59,2,FALSE)</f>
        <v>144</v>
      </c>
      <c r="C671" s="25" t="s">
        <v>1697</v>
      </c>
      <c r="D671" s="117" t="str">
        <f t="shared" si="14"/>
        <v>C670-144-23</v>
      </c>
      <c r="E671" s="117" t="str">
        <f>VLOOKUP(Table2[[#This Row],[Location 
(drop-down)]],Table1[#All],3,FALSE)</f>
        <v>SE &amp; Caribbean</v>
      </c>
      <c r="F671" s="29" t="s">
        <v>94</v>
      </c>
      <c r="G671" s="9" t="s">
        <v>1698</v>
      </c>
      <c r="H671" s="12">
        <v>45218</v>
      </c>
      <c r="I671" s="12" t="s">
        <v>440</v>
      </c>
      <c r="J671" s="91" t="s">
        <v>821</v>
      </c>
      <c r="K671" s="91">
        <v>45331</v>
      </c>
      <c r="L671" s="10" t="s">
        <v>147</v>
      </c>
      <c r="M671" s="10" t="s">
        <v>857</v>
      </c>
      <c r="N671" s="10" t="s">
        <v>822</v>
      </c>
      <c r="O671" s="10"/>
    </row>
    <row r="672" spans="1:15" ht="18.75" x14ac:dyDescent="0.25">
      <c r="A672" s="9" t="s">
        <v>66</v>
      </c>
      <c r="B672" s="13">
        <f>VLOOKUP(Table2[[#This Row],[Location 
(drop-down)]],'List source'!D$2:E$59,2,FALSE)</f>
        <v>165</v>
      </c>
      <c r="C672" s="25" t="s">
        <v>1699</v>
      </c>
      <c r="D672" s="117" t="str">
        <f t="shared" si="14"/>
        <v>C671-165-23</v>
      </c>
      <c r="E672" s="117" t="str">
        <f>VLOOKUP(Table2[[#This Row],[Location 
(drop-down)]],Table1[#All],3,FALSE)</f>
        <v>USGC</v>
      </c>
      <c r="F672" s="29" t="s">
        <v>159</v>
      </c>
      <c r="G672" s="9" t="s">
        <v>1672</v>
      </c>
      <c r="H672" s="12">
        <v>45218</v>
      </c>
      <c r="I672" s="12" t="s">
        <v>443</v>
      </c>
      <c r="J672" s="91" t="s">
        <v>821</v>
      </c>
      <c r="K672" s="91">
        <v>45273</v>
      </c>
      <c r="L672" s="10" t="s">
        <v>97</v>
      </c>
      <c r="M672" s="10"/>
      <c r="N672" s="10"/>
      <c r="O672" s="10"/>
    </row>
    <row r="673" spans="1:15" ht="30" x14ac:dyDescent="0.25">
      <c r="A673" s="9" t="s">
        <v>66</v>
      </c>
      <c r="B673" s="13">
        <f>VLOOKUP(Table2[[#This Row],[Location 
(drop-down)]],'List source'!D$2:E$59,2,FALSE)</f>
        <v>165</v>
      </c>
      <c r="C673" s="25" t="s">
        <v>1700</v>
      </c>
      <c r="D673" s="117" t="str">
        <f t="shared" si="14"/>
        <v>C672-165-23</v>
      </c>
      <c r="E673" s="117" t="str">
        <f>VLOOKUP(Table2[[#This Row],[Location 
(drop-down)]],Table1[#All],3,FALSE)</f>
        <v>USGC</v>
      </c>
      <c r="F673" s="29" t="s">
        <v>159</v>
      </c>
      <c r="G673" s="9" t="s">
        <v>1674</v>
      </c>
      <c r="H673" s="12">
        <v>45218</v>
      </c>
      <c r="I673" s="12" t="s">
        <v>443</v>
      </c>
      <c r="J673" s="91" t="s">
        <v>821</v>
      </c>
      <c r="K673" s="91">
        <v>45273</v>
      </c>
      <c r="L673" s="10" t="s">
        <v>97</v>
      </c>
      <c r="M673" s="10" t="s">
        <v>914</v>
      </c>
      <c r="N673" s="10" t="s">
        <v>858</v>
      </c>
      <c r="O673" s="10"/>
    </row>
    <row r="674" spans="1:15" ht="30" x14ac:dyDescent="0.25">
      <c r="A674" s="9" t="s">
        <v>22</v>
      </c>
      <c r="B674" s="13">
        <f>VLOOKUP(Table2[[#This Row],[Location 
(drop-down)]],'List source'!D$2:E$59,2,FALSE)</f>
        <v>130</v>
      </c>
      <c r="C674" s="25" t="s">
        <v>1701</v>
      </c>
      <c r="D674" s="319" t="str">
        <f t="shared" si="14"/>
        <v>C673-130-23</v>
      </c>
      <c r="E674" s="117" t="str">
        <f>VLOOKUP(Table2[[#This Row],[Location 
(drop-down)]],Table1[#All],3,FALSE)</f>
        <v>USWC</v>
      </c>
      <c r="F674" s="29" t="s">
        <v>269</v>
      </c>
      <c r="G674" s="9" t="s">
        <v>1702</v>
      </c>
      <c r="H674" s="12">
        <v>45219</v>
      </c>
      <c r="I674" s="12" t="s">
        <v>435</v>
      </c>
      <c r="J674" s="318" t="s">
        <v>898</v>
      </c>
      <c r="K674" s="318">
        <v>45485</v>
      </c>
      <c r="L674" s="10" t="s">
        <v>97</v>
      </c>
      <c r="M674" s="10"/>
      <c r="N674" s="10"/>
      <c r="O674" s="10"/>
    </row>
    <row r="675" spans="1:15" ht="30" x14ac:dyDescent="0.25">
      <c r="A675" s="9" t="s">
        <v>57</v>
      </c>
      <c r="B675" s="13">
        <f>VLOOKUP(Table2[[#This Row],[Location 
(drop-down)]],'List source'!D$2:E$59,2,FALSE)</f>
        <v>155</v>
      </c>
      <c r="C675" s="25" t="s">
        <v>1703</v>
      </c>
      <c r="D675" s="117" t="str">
        <f t="shared" si="14"/>
        <v>C674-155-23</v>
      </c>
      <c r="E675" s="117" t="str">
        <f>VLOOKUP(Table2[[#This Row],[Location 
(drop-down)]],Table1[#All],3,FALSE)</f>
        <v>USGC</v>
      </c>
      <c r="F675" s="29" t="s">
        <v>159</v>
      </c>
      <c r="G675" s="9" t="s">
        <v>1704</v>
      </c>
      <c r="H675" s="12">
        <v>45223</v>
      </c>
      <c r="I675" s="12" t="s">
        <v>129</v>
      </c>
      <c r="J675" s="91" t="s">
        <v>821</v>
      </c>
      <c r="K675" s="91">
        <v>45239</v>
      </c>
      <c r="L675" s="10" t="s">
        <v>147</v>
      </c>
      <c r="M675" s="10" t="s">
        <v>857</v>
      </c>
      <c r="N675" s="10" t="s">
        <v>858</v>
      </c>
      <c r="O675" s="10" t="s">
        <v>1705</v>
      </c>
    </row>
    <row r="676" spans="1:15" ht="28.5" customHeight="1" x14ac:dyDescent="0.25">
      <c r="A676" s="9" t="s">
        <v>1023</v>
      </c>
      <c r="B676" s="13">
        <f>VLOOKUP(Table2[[#This Row],[Location 
(drop-down)]],'List source'!D$2:E$59,2,FALSE)</f>
        <v>128</v>
      </c>
      <c r="C676" s="25" t="s">
        <v>1706</v>
      </c>
      <c r="D676" s="117" t="str">
        <f t="shared" si="14"/>
        <v>C675-128-23</v>
      </c>
      <c r="E676" s="117" t="str">
        <f>VLOOKUP(Table2[[#This Row],[Location 
(drop-down)]],Table1[#All],3,FALSE)</f>
        <v>USGC</v>
      </c>
      <c r="F676" s="29" t="s">
        <v>852</v>
      </c>
      <c r="G676" s="20" t="s">
        <v>1707</v>
      </c>
      <c r="H676" s="12">
        <v>45223</v>
      </c>
      <c r="I676" s="12" t="s">
        <v>129</v>
      </c>
      <c r="J676" s="91" t="s">
        <v>821</v>
      </c>
      <c r="K676" s="91">
        <v>45228</v>
      </c>
      <c r="L676" s="10" t="s">
        <v>147</v>
      </c>
      <c r="M676" s="10" t="s">
        <v>857</v>
      </c>
      <c r="N676" s="10" t="s">
        <v>858</v>
      </c>
      <c r="O676" s="105"/>
    </row>
    <row r="677" spans="1:15" ht="26.65" customHeight="1" x14ac:dyDescent="0.25">
      <c r="A677" s="9" t="s">
        <v>126</v>
      </c>
      <c r="B677" s="13">
        <f>VLOOKUP(Table2[[#This Row],[Location 
(drop-down)]],'List source'!D$2:E$59,2,FALSE)</f>
        <v>125</v>
      </c>
      <c r="C677" s="25" t="s">
        <v>1708</v>
      </c>
      <c r="D677" s="117" t="str">
        <f t="shared" si="14"/>
        <v>C676-125-23</v>
      </c>
      <c r="E677" s="117" t="str">
        <f>VLOOKUP(Table2[[#This Row],[Location 
(drop-down)]],Table1[#All],3,FALSE)</f>
        <v>SE &amp; Caribbean</v>
      </c>
      <c r="F677" s="29" t="s">
        <v>159</v>
      </c>
      <c r="G677" s="9" t="s">
        <v>1709</v>
      </c>
      <c r="H677" s="12">
        <v>45223</v>
      </c>
      <c r="I677" s="12" t="s">
        <v>1438</v>
      </c>
      <c r="J677" s="91" t="s">
        <v>821</v>
      </c>
      <c r="K677" s="91">
        <v>45281</v>
      </c>
      <c r="L677" s="10" t="s">
        <v>97</v>
      </c>
      <c r="M677" s="10" t="s">
        <v>854</v>
      </c>
      <c r="N677" s="10"/>
      <c r="O677" s="10"/>
    </row>
    <row r="678" spans="1:15" ht="45" x14ac:dyDescent="0.25">
      <c r="A678" s="9" t="s">
        <v>208</v>
      </c>
      <c r="B678" s="13">
        <f>VLOOKUP(Table2[[#This Row],[Location 
(drop-down)]],'List source'!D$2:E$59,2,FALSE)</f>
        <v>142</v>
      </c>
      <c r="C678" s="25" t="s">
        <v>1710</v>
      </c>
      <c r="D678" s="117" t="str">
        <f t="shared" si="14"/>
        <v>C677-142-23</v>
      </c>
      <c r="E678" s="117" t="str">
        <f>VLOOKUP(Table2[[#This Row],[Location 
(drop-down)]],Table1[#All],3,FALSE)</f>
        <v>USNE, USMW &amp; Canada</v>
      </c>
      <c r="F678" s="29" t="s">
        <v>159</v>
      </c>
      <c r="G678" s="9" t="s">
        <v>1711</v>
      </c>
      <c r="H678" s="12">
        <v>45225</v>
      </c>
      <c r="I678" s="12" t="s">
        <v>96</v>
      </c>
      <c r="J678" s="91" t="s">
        <v>821</v>
      </c>
      <c r="K678" s="91">
        <v>45265</v>
      </c>
      <c r="L678" s="10" t="s">
        <v>97</v>
      </c>
      <c r="M678" s="10" t="s">
        <v>854</v>
      </c>
      <c r="N678" s="10" t="s">
        <v>858</v>
      </c>
      <c r="O678" s="10"/>
    </row>
    <row r="679" spans="1:15" ht="37.5" x14ac:dyDescent="0.25">
      <c r="A679" s="9" t="s">
        <v>79</v>
      </c>
      <c r="B679" s="13">
        <f>VLOOKUP(Table2[[#This Row],[Location 
(drop-down)]],'List source'!D$2:E$59,2,FALSE)</f>
        <v>141</v>
      </c>
      <c r="C679" s="25" t="s">
        <v>1712</v>
      </c>
      <c r="D679" s="117" t="str">
        <f t="shared" si="14"/>
        <v>C678-141-23</v>
      </c>
      <c r="E679" s="117" t="str">
        <f>VLOOKUP(Table2[[#This Row],[Location 
(drop-down)]],Table1[#All],3,FALSE)</f>
        <v>USNE, USMW &amp; Canada</v>
      </c>
      <c r="F679" s="29" t="s">
        <v>159</v>
      </c>
      <c r="G679" s="9" t="s">
        <v>1713</v>
      </c>
      <c r="H679" s="12">
        <v>45225</v>
      </c>
      <c r="I679" s="12" t="s">
        <v>96</v>
      </c>
      <c r="J679" s="91" t="s">
        <v>898</v>
      </c>
      <c r="K679" s="91">
        <v>45265</v>
      </c>
      <c r="L679" s="10" t="s">
        <v>97</v>
      </c>
      <c r="M679" s="10" t="s">
        <v>862</v>
      </c>
      <c r="N679" s="10" t="s">
        <v>822</v>
      </c>
      <c r="O679" s="10"/>
    </row>
    <row r="680" spans="1:15" ht="18.75" x14ac:dyDescent="0.25">
      <c r="A680" s="9" t="s">
        <v>61</v>
      </c>
      <c r="B680" s="13">
        <f>VLOOKUP(Table2[[#This Row],[Location 
(drop-down)]],'List source'!D$2:E$59,2,FALSE)</f>
        <v>120</v>
      </c>
      <c r="C680" s="25" t="s">
        <v>1714</v>
      </c>
      <c r="D680" s="117" t="str">
        <f t="shared" si="14"/>
        <v>C679-120-23</v>
      </c>
      <c r="E680" s="117" t="str">
        <f>VLOOKUP(Table2[[#This Row],[Location 
(drop-down)]],Table1[#All],3,FALSE)</f>
        <v>USGC</v>
      </c>
      <c r="F680" s="29" t="s">
        <v>159</v>
      </c>
      <c r="G680" s="9" t="s">
        <v>1715</v>
      </c>
      <c r="H680" s="12">
        <v>45230</v>
      </c>
      <c r="I680" s="12" t="s">
        <v>443</v>
      </c>
      <c r="J680" s="91" t="s">
        <v>821</v>
      </c>
      <c r="K680" s="91">
        <v>45294</v>
      </c>
      <c r="L680" s="10" t="s">
        <v>97</v>
      </c>
      <c r="M680" s="10"/>
      <c r="N680" s="10"/>
      <c r="O680" s="10"/>
    </row>
    <row r="681" spans="1:15" ht="37.5" x14ac:dyDescent="0.25">
      <c r="A681" s="9" t="s">
        <v>1020</v>
      </c>
      <c r="B681" s="13">
        <f>VLOOKUP(Table2[[#This Row],[Location 
(drop-down)]],'List source'!D$2:E$59,2,FALSE)</f>
        <v>199</v>
      </c>
      <c r="C681" s="25" t="s">
        <v>1716</v>
      </c>
      <c r="D681" s="117" t="str">
        <f t="shared" si="14"/>
        <v>C680-199-23</v>
      </c>
      <c r="E681" s="117" t="str">
        <f>VLOOKUP(Table2[[#This Row],[Location 
(drop-down)]],Table1[#All],3,FALSE)</f>
        <v>USNE, USMW &amp; Canada</v>
      </c>
      <c r="F681" s="29" t="s">
        <v>159</v>
      </c>
      <c r="G681" s="9" t="s">
        <v>1717</v>
      </c>
      <c r="H681" s="12">
        <v>45211</v>
      </c>
      <c r="I681" s="12" t="s">
        <v>449</v>
      </c>
      <c r="J681" s="91">
        <v>45203</v>
      </c>
      <c r="K681" s="91">
        <v>45239</v>
      </c>
      <c r="L681" s="10" t="s">
        <v>147</v>
      </c>
      <c r="M681" s="10" t="s">
        <v>854</v>
      </c>
      <c r="N681" s="10" t="s">
        <v>832</v>
      </c>
      <c r="O681" s="10"/>
    </row>
    <row r="682" spans="1:15" ht="37.5" x14ac:dyDescent="0.25">
      <c r="A682" s="9" t="s">
        <v>1020</v>
      </c>
      <c r="B682" s="13">
        <f>VLOOKUP(Table2[[#This Row],[Location 
(drop-down)]],'List source'!D$2:E$59,2,FALSE)</f>
        <v>199</v>
      </c>
      <c r="C682" s="25" t="s">
        <v>1718</v>
      </c>
      <c r="D682" s="117" t="str">
        <f t="shared" si="14"/>
        <v>C681-199-23</v>
      </c>
      <c r="E682" s="117" t="str">
        <f>VLOOKUP(Table2[[#This Row],[Location 
(drop-down)]],Table1[#All],3,FALSE)</f>
        <v>USNE, USMW &amp; Canada</v>
      </c>
      <c r="F682" s="29" t="s">
        <v>159</v>
      </c>
      <c r="G682" s="9" t="s">
        <v>1719</v>
      </c>
      <c r="H682" s="12">
        <v>45211</v>
      </c>
      <c r="I682" s="12" t="s">
        <v>449</v>
      </c>
      <c r="J682" s="91" t="s">
        <v>821</v>
      </c>
      <c r="K682" s="91">
        <v>45271</v>
      </c>
      <c r="L682" s="10" t="s">
        <v>147</v>
      </c>
      <c r="M682" s="10" t="s">
        <v>857</v>
      </c>
      <c r="N682" s="10" t="s">
        <v>858</v>
      </c>
      <c r="O682" s="10"/>
    </row>
    <row r="683" spans="1:15" ht="30" x14ac:dyDescent="0.25">
      <c r="A683" s="9" t="s">
        <v>1720</v>
      </c>
      <c r="B683" s="13">
        <f>VLOOKUP(Table2[[#This Row],[Location 
(drop-down)]],'List source'!D$2:E$59,2,FALSE)</f>
        <v>137</v>
      </c>
      <c r="C683" s="25" t="s">
        <v>1721</v>
      </c>
      <c r="D683" s="304" t="str">
        <f t="shared" si="14"/>
        <v>C682-137-23</v>
      </c>
      <c r="E683" s="117" t="str">
        <f>VLOOKUP(Table2[[#This Row],[Location 
(drop-down)]],Table1[#All],3,FALSE)</f>
        <v>USWC</v>
      </c>
      <c r="F683" s="29" t="s">
        <v>94</v>
      </c>
      <c r="G683" s="9" t="s">
        <v>1722</v>
      </c>
      <c r="H683" s="12">
        <v>45257</v>
      </c>
      <c r="I683" s="12" t="s">
        <v>440</v>
      </c>
      <c r="J683" s="305" t="s">
        <v>1569</v>
      </c>
      <c r="K683" s="305">
        <v>45506</v>
      </c>
      <c r="L683" s="10" t="s">
        <v>97</v>
      </c>
      <c r="M683" s="10" t="s">
        <v>857</v>
      </c>
      <c r="N683" s="10" t="s">
        <v>858</v>
      </c>
      <c r="O683" s="10"/>
    </row>
    <row r="684" spans="1:15" ht="30" x14ac:dyDescent="0.25">
      <c r="A684" s="9" t="s">
        <v>1720</v>
      </c>
      <c r="B684" s="13">
        <f>VLOOKUP(Table2[[#This Row],[Location 
(drop-down)]],'List source'!D$2:E$59,2,FALSE)</f>
        <v>137</v>
      </c>
      <c r="C684" s="25" t="s">
        <v>1723</v>
      </c>
      <c r="D684" s="216" t="str">
        <f t="shared" si="14"/>
        <v>C683-137-23</v>
      </c>
      <c r="E684" s="117" t="str">
        <f>VLOOKUP(Table2[[#This Row],[Location 
(drop-down)]],Table1[#All],3,FALSE)</f>
        <v>USWC</v>
      </c>
      <c r="F684" s="29" t="s">
        <v>94</v>
      </c>
      <c r="G684" s="9" t="s">
        <v>1066</v>
      </c>
      <c r="H684" s="12">
        <v>45257</v>
      </c>
      <c r="I684" s="12" t="s">
        <v>440</v>
      </c>
      <c r="J684" s="218">
        <v>46048</v>
      </c>
      <c r="K684" s="218">
        <v>46048</v>
      </c>
      <c r="L684" s="10" t="s">
        <v>97</v>
      </c>
      <c r="M684" s="10"/>
      <c r="N684" s="10"/>
      <c r="O684" s="10"/>
    </row>
    <row r="685" spans="1:15" ht="30" x14ac:dyDescent="0.25">
      <c r="A685" s="9" t="s">
        <v>1720</v>
      </c>
      <c r="B685" s="13">
        <f>VLOOKUP(Table2[[#This Row],[Location 
(drop-down)]],'List source'!D$2:E$59,2,FALSE)</f>
        <v>137</v>
      </c>
      <c r="C685" s="25" t="s">
        <v>1724</v>
      </c>
      <c r="D685" s="216" t="str">
        <f t="shared" si="14"/>
        <v>C684-137-23</v>
      </c>
      <c r="E685" s="117" t="str">
        <f>VLOOKUP(Table2[[#This Row],[Location 
(drop-down)]],Table1[#All],3,FALSE)</f>
        <v>USWC</v>
      </c>
      <c r="F685" s="29" t="s">
        <v>94</v>
      </c>
      <c r="G685" s="9" t="s">
        <v>1725</v>
      </c>
      <c r="H685" s="12">
        <v>45257</v>
      </c>
      <c r="I685" s="12" t="s">
        <v>440</v>
      </c>
      <c r="J685" s="218">
        <v>46048</v>
      </c>
      <c r="K685" s="218">
        <v>46048</v>
      </c>
      <c r="L685" s="10" t="s">
        <v>97</v>
      </c>
      <c r="M685" s="10"/>
      <c r="N685" s="10"/>
      <c r="O685" s="10"/>
    </row>
    <row r="686" spans="1:15" ht="30" x14ac:dyDescent="0.25">
      <c r="A686" s="9" t="s">
        <v>1720</v>
      </c>
      <c r="B686" s="13">
        <f>VLOOKUP(Table2[[#This Row],[Location 
(drop-down)]],'List source'!D$2:E$59,2,FALSE)</f>
        <v>137</v>
      </c>
      <c r="C686" s="25" t="s">
        <v>1726</v>
      </c>
      <c r="D686" s="216" t="str">
        <f t="shared" si="14"/>
        <v>C685-137-23</v>
      </c>
      <c r="E686" s="117" t="str">
        <f>VLOOKUP(Table2[[#This Row],[Location 
(drop-down)]],Table1[#All],3,FALSE)</f>
        <v>USWC</v>
      </c>
      <c r="F686" s="29" t="s">
        <v>94</v>
      </c>
      <c r="G686" s="9" t="s">
        <v>1727</v>
      </c>
      <c r="H686" s="12">
        <v>45257</v>
      </c>
      <c r="I686" s="12" t="s">
        <v>440</v>
      </c>
      <c r="J686" s="218">
        <v>46048</v>
      </c>
      <c r="K686" s="218">
        <v>46048</v>
      </c>
      <c r="L686" s="10" t="s">
        <v>97</v>
      </c>
      <c r="M686" s="10"/>
      <c r="N686" s="10"/>
      <c r="O686" s="10"/>
    </row>
    <row r="687" spans="1:15" ht="37.5" x14ac:dyDescent="0.25">
      <c r="A687" s="9" t="s">
        <v>108</v>
      </c>
      <c r="B687" s="13">
        <f>VLOOKUP(Table2[[#This Row],[Location 
(drop-down)]],'List source'!D$2:E$59,2,FALSE)</f>
        <v>191</v>
      </c>
      <c r="C687" s="25" t="s">
        <v>1728</v>
      </c>
      <c r="D687" s="117" t="str">
        <f t="shared" si="14"/>
        <v>C686-191-23</v>
      </c>
      <c r="E687" s="117" t="str">
        <f>VLOOKUP(Table2[[#This Row],[Location 
(drop-down)]],Table1[#All],3,FALSE)</f>
        <v>SE &amp; Caribbean</v>
      </c>
      <c r="F687" s="29" t="s">
        <v>94</v>
      </c>
      <c r="G687" s="9" t="s">
        <v>1729</v>
      </c>
      <c r="H687" s="12">
        <v>45233</v>
      </c>
      <c r="I687" s="12" t="s">
        <v>435</v>
      </c>
      <c r="J687" s="91" t="s">
        <v>821</v>
      </c>
      <c r="K687" s="91">
        <v>45281</v>
      </c>
      <c r="L687" s="10" t="s">
        <v>97</v>
      </c>
      <c r="M687" s="10" t="s">
        <v>857</v>
      </c>
      <c r="N687" s="10" t="s">
        <v>822</v>
      </c>
      <c r="O687" s="10"/>
    </row>
    <row r="688" spans="1:15" ht="37.5" x14ac:dyDescent="0.25">
      <c r="A688" s="9" t="s">
        <v>108</v>
      </c>
      <c r="B688" s="13">
        <f>VLOOKUP(Table2[[#This Row],[Location 
(drop-down)]],'List source'!D$2:E$59,2,FALSE)</f>
        <v>191</v>
      </c>
      <c r="C688" s="25" t="s">
        <v>1730</v>
      </c>
      <c r="D688" s="117" t="str">
        <f t="shared" si="14"/>
        <v>C687-191-23</v>
      </c>
      <c r="E688" s="117" t="str">
        <f>VLOOKUP(Table2[[#This Row],[Location 
(drop-down)]],Table1[#All],3,FALSE)</f>
        <v>SE &amp; Caribbean</v>
      </c>
      <c r="F688" s="29" t="s">
        <v>94</v>
      </c>
      <c r="G688" s="9" t="s">
        <v>1731</v>
      </c>
      <c r="H688" s="12">
        <v>45233</v>
      </c>
      <c r="I688" s="12" t="s">
        <v>435</v>
      </c>
      <c r="J688" s="91" t="s">
        <v>821</v>
      </c>
      <c r="K688" s="91">
        <v>45287</v>
      </c>
      <c r="L688" s="10" t="s">
        <v>97</v>
      </c>
      <c r="M688" s="10"/>
      <c r="N688" s="10"/>
      <c r="O688" s="10"/>
    </row>
    <row r="689" spans="1:15" ht="37.5" x14ac:dyDescent="0.25">
      <c r="A689" s="9" t="s">
        <v>108</v>
      </c>
      <c r="B689" s="13">
        <f>VLOOKUP(Table2[[#This Row],[Location 
(drop-down)]],'List source'!D$2:E$59,2,FALSE)</f>
        <v>191</v>
      </c>
      <c r="C689" s="25" t="s">
        <v>1732</v>
      </c>
      <c r="D689" s="117" t="str">
        <f t="shared" si="14"/>
        <v>C688-191-23</v>
      </c>
      <c r="E689" s="117" t="str">
        <f>VLOOKUP(Table2[[#This Row],[Location 
(drop-down)]],Table1[#All],3,FALSE)</f>
        <v>SE &amp; Caribbean</v>
      </c>
      <c r="F689" s="29" t="s">
        <v>94</v>
      </c>
      <c r="G689" s="9" t="s">
        <v>1733</v>
      </c>
      <c r="H689" s="12">
        <v>45233</v>
      </c>
      <c r="I689" s="12" t="s">
        <v>435</v>
      </c>
      <c r="J689" s="91" t="s">
        <v>821</v>
      </c>
      <c r="K689" s="91">
        <v>45286</v>
      </c>
      <c r="L689" s="10" t="s">
        <v>97</v>
      </c>
      <c r="M689" s="10" t="s">
        <v>903</v>
      </c>
      <c r="N689" s="10" t="s">
        <v>858</v>
      </c>
      <c r="O689" s="10"/>
    </row>
    <row r="690" spans="1:15" ht="37.5" x14ac:dyDescent="0.25">
      <c r="A690" s="9" t="s">
        <v>108</v>
      </c>
      <c r="B690" s="13">
        <f>VLOOKUP(Table2[[#This Row],[Location 
(drop-down)]],'List source'!D$2:E$59,2,FALSE)</f>
        <v>191</v>
      </c>
      <c r="C690" s="25" t="s">
        <v>1734</v>
      </c>
      <c r="D690" s="117" t="str">
        <f t="shared" si="14"/>
        <v>C689-191-23</v>
      </c>
      <c r="E690" s="117" t="str">
        <f>VLOOKUP(Table2[[#This Row],[Location 
(drop-down)]],Table1[#All],3,FALSE)</f>
        <v>SE &amp; Caribbean</v>
      </c>
      <c r="F690" s="29" t="s">
        <v>94</v>
      </c>
      <c r="G690" s="9" t="s">
        <v>1342</v>
      </c>
      <c r="H690" s="12">
        <v>45233</v>
      </c>
      <c r="I690" s="12" t="s">
        <v>435</v>
      </c>
      <c r="J690" s="91" t="s">
        <v>821</v>
      </c>
      <c r="K690" s="91">
        <v>45294</v>
      </c>
      <c r="L690" s="10" t="s">
        <v>97</v>
      </c>
      <c r="M690" s="10"/>
      <c r="N690" s="10"/>
      <c r="O690" s="10"/>
    </row>
    <row r="691" spans="1:15" ht="37.5" x14ac:dyDescent="0.25">
      <c r="A691" s="9" t="s">
        <v>108</v>
      </c>
      <c r="B691" s="13">
        <f>VLOOKUP(Table2[[#This Row],[Location 
(drop-down)]],'List source'!D$2:E$59,2,FALSE)</f>
        <v>191</v>
      </c>
      <c r="C691" s="25" t="s">
        <v>1735</v>
      </c>
      <c r="D691" s="117" t="str">
        <f t="shared" si="14"/>
        <v>C690-191-23</v>
      </c>
      <c r="E691" s="117" t="str">
        <f>VLOOKUP(Table2[[#This Row],[Location 
(drop-down)]],Table1[#All],3,FALSE)</f>
        <v>SE &amp; Caribbean</v>
      </c>
      <c r="F691" s="29" t="s">
        <v>94</v>
      </c>
      <c r="G691" s="9" t="s">
        <v>1736</v>
      </c>
      <c r="H691" s="12">
        <v>45233</v>
      </c>
      <c r="I691" s="12" t="s">
        <v>435</v>
      </c>
      <c r="J691" s="91" t="s">
        <v>821</v>
      </c>
      <c r="K691" s="91">
        <v>45371</v>
      </c>
      <c r="L691" s="10" t="s">
        <v>97</v>
      </c>
      <c r="M691" s="10" t="s">
        <v>854</v>
      </c>
      <c r="N691" s="10" t="s">
        <v>822</v>
      </c>
      <c r="O691" s="10"/>
    </row>
    <row r="692" spans="1:15" ht="37.5" x14ac:dyDescent="0.25">
      <c r="A692" s="9" t="s">
        <v>108</v>
      </c>
      <c r="B692" s="13">
        <f>VLOOKUP(Table2[[#This Row],[Location 
(drop-down)]],'List source'!D$2:E$59,2,FALSE)</f>
        <v>191</v>
      </c>
      <c r="C692" s="25" t="s">
        <v>1737</v>
      </c>
      <c r="D692" s="117" t="str">
        <f t="shared" si="14"/>
        <v>C691-191-23</v>
      </c>
      <c r="E692" s="117" t="str">
        <f>VLOOKUP(Table2[[#This Row],[Location 
(drop-down)]],Table1[#All],3,FALSE)</f>
        <v>SE &amp; Caribbean</v>
      </c>
      <c r="F692" s="29" t="s">
        <v>94</v>
      </c>
      <c r="G692" s="9" t="s">
        <v>1738</v>
      </c>
      <c r="H692" s="12">
        <v>45233</v>
      </c>
      <c r="I692" s="12" t="s">
        <v>435</v>
      </c>
      <c r="J692" s="91" t="s">
        <v>821</v>
      </c>
      <c r="K692" s="91">
        <v>45299</v>
      </c>
      <c r="L692" s="10" t="s">
        <v>97</v>
      </c>
      <c r="M692" s="10"/>
      <c r="N692" s="10"/>
      <c r="O692" s="10"/>
    </row>
    <row r="693" spans="1:15" ht="37.5" x14ac:dyDescent="0.25">
      <c r="A693" s="9" t="s">
        <v>1094</v>
      </c>
      <c r="B693" s="13">
        <f>VLOOKUP(Table2[[#This Row],[Location 
(drop-down)]],'List source'!D$2:E$59,2,FALSE)</f>
        <v>189</v>
      </c>
      <c r="C693" s="25" t="s">
        <v>1739</v>
      </c>
      <c r="D693" s="117" t="str">
        <f t="shared" si="14"/>
        <v>C692-189-23</v>
      </c>
      <c r="E693" s="117" t="str">
        <f>VLOOKUP(Table2[[#This Row],[Location 
(drop-down)]],Table1[#All],3,FALSE)</f>
        <v>USNE, USMW &amp; Canada</v>
      </c>
      <c r="F693" s="29" t="s">
        <v>94</v>
      </c>
      <c r="G693" s="9" t="s">
        <v>1740</v>
      </c>
      <c r="H693" s="12">
        <v>45243</v>
      </c>
      <c r="I693" s="12" t="s">
        <v>443</v>
      </c>
      <c r="J693" s="91" t="s">
        <v>821</v>
      </c>
      <c r="K693" s="91">
        <v>45317</v>
      </c>
      <c r="L693" s="10" t="s">
        <v>97</v>
      </c>
      <c r="M693" s="10"/>
      <c r="N693" s="10"/>
      <c r="O693" s="10"/>
    </row>
    <row r="694" spans="1:15" ht="37.5" x14ac:dyDescent="0.25">
      <c r="A694" s="9" t="s">
        <v>1094</v>
      </c>
      <c r="B694" s="13">
        <f>VLOOKUP(Table2[[#This Row],[Location 
(drop-down)]],'List source'!D$2:E$59,2,FALSE)</f>
        <v>189</v>
      </c>
      <c r="C694" s="25" t="s">
        <v>1741</v>
      </c>
      <c r="D694" s="304" t="str">
        <f t="shared" si="14"/>
        <v>C693-189-23</v>
      </c>
      <c r="E694" s="117" t="str">
        <f>VLOOKUP(Table2[[#This Row],[Location 
(drop-down)]],Table1[#All],3,FALSE)</f>
        <v>USNE, USMW &amp; Canada</v>
      </c>
      <c r="F694" s="29" t="s">
        <v>94</v>
      </c>
      <c r="G694" s="9" t="s">
        <v>1742</v>
      </c>
      <c r="H694" s="12">
        <v>45243</v>
      </c>
      <c r="I694" s="12" t="s">
        <v>443</v>
      </c>
      <c r="J694" s="91" t="s">
        <v>821</v>
      </c>
      <c r="K694" s="91">
        <v>45394</v>
      </c>
      <c r="L694" s="10" t="s">
        <v>147</v>
      </c>
      <c r="M694" s="10"/>
      <c r="N694" s="10"/>
      <c r="O694" s="10"/>
    </row>
    <row r="695" spans="1:15" ht="37.5" x14ac:dyDescent="0.25">
      <c r="A695" s="9" t="s">
        <v>1094</v>
      </c>
      <c r="B695" s="13">
        <f>VLOOKUP(Table2[[#This Row],[Location 
(drop-down)]],'List source'!D$2:E$59,2,FALSE)</f>
        <v>189</v>
      </c>
      <c r="C695" s="25" t="s">
        <v>1743</v>
      </c>
      <c r="D695" s="117" t="str">
        <f t="shared" si="14"/>
        <v>C694-189-23</v>
      </c>
      <c r="E695" s="117" t="str">
        <f>VLOOKUP(Table2[[#This Row],[Location 
(drop-down)]],Table1[#All],3,FALSE)</f>
        <v>USNE, USMW &amp; Canada</v>
      </c>
      <c r="F695" s="29" t="s">
        <v>94</v>
      </c>
      <c r="G695" s="9" t="s">
        <v>1067</v>
      </c>
      <c r="H695" s="12">
        <v>45243</v>
      </c>
      <c r="I695" s="12" t="s">
        <v>443</v>
      </c>
      <c r="J695" s="91" t="s">
        <v>821</v>
      </c>
      <c r="K695" s="91">
        <v>45317</v>
      </c>
      <c r="L695" s="10" t="s">
        <v>97</v>
      </c>
      <c r="M695" s="10"/>
      <c r="N695" s="10"/>
      <c r="O695" s="10"/>
    </row>
    <row r="696" spans="1:15" ht="37.5" x14ac:dyDescent="0.25">
      <c r="A696" s="9" t="s">
        <v>1094</v>
      </c>
      <c r="B696" s="13">
        <f>VLOOKUP(Table2[[#This Row],[Location 
(drop-down)]],'List source'!D$2:E$59,2,FALSE)</f>
        <v>189</v>
      </c>
      <c r="C696" s="25" t="s">
        <v>1744</v>
      </c>
      <c r="D696" s="117" t="str">
        <f t="shared" si="14"/>
        <v>C695-189-23</v>
      </c>
      <c r="E696" s="117" t="str">
        <f>VLOOKUP(Table2[[#This Row],[Location 
(drop-down)]],Table1[#All],3,FALSE)</f>
        <v>USNE, USMW &amp; Canada</v>
      </c>
      <c r="F696" s="29" t="s">
        <v>94</v>
      </c>
      <c r="G696" s="9" t="s">
        <v>1745</v>
      </c>
      <c r="H696" s="12">
        <v>45243</v>
      </c>
      <c r="I696" s="12" t="s">
        <v>443</v>
      </c>
      <c r="J696" s="91" t="s">
        <v>821</v>
      </c>
      <c r="K696" s="91">
        <v>45387</v>
      </c>
      <c r="L696" s="10" t="s">
        <v>97</v>
      </c>
      <c r="M696" s="10"/>
      <c r="N696" s="10"/>
      <c r="O696" s="10"/>
    </row>
    <row r="697" spans="1:15" ht="37.5" x14ac:dyDescent="0.25">
      <c r="A697" s="9" t="s">
        <v>1094</v>
      </c>
      <c r="B697" s="13">
        <f>VLOOKUP(Table2[[#This Row],[Location 
(drop-down)]],'List source'!D$2:E$59,2,FALSE)</f>
        <v>189</v>
      </c>
      <c r="C697" s="25" t="s">
        <v>1746</v>
      </c>
      <c r="D697" s="117" t="str">
        <f t="shared" si="14"/>
        <v>C696-189-23</v>
      </c>
      <c r="E697" s="117" t="str">
        <f>VLOOKUP(Table2[[#This Row],[Location 
(drop-down)]],Table1[#All],3,FALSE)</f>
        <v>USNE, USMW &amp; Canada</v>
      </c>
      <c r="F697" s="29" t="s">
        <v>94</v>
      </c>
      <c r="G697" s="9" t="s">
        <v>1747</v>
      </c>
      <c r="H697" s="12">
        <v>45243</v>
      </c>
      <c r="I697" s="12" t="s">
        <v>443</v>
      </c>
      <c r="J697" s="91" t="s">
        <v>821</v>
      </c>
      <c r="K697" s="91">
        <v>45310</v>
      </c>
      <c r="L697" s="10" t="s">
        <v>97</v>
      </c>
      <c r="M697" s="10"/>
      <c r="N697" s="10"/>
      <c r="O697" s="10"/>
    </row>
    <row r="698" spans="1:15" ht="37.5" x14ac:dyDescent="0.25">
      <c r="A698" s="9" t="s">
        <v>1094</v>
      </c>
      <c r="B698" s="13">
        <f>VLOOKUP(Table2[[#This Row],[Location 
(drop-down)]],'List source'!D$2:E$59,2,FALSE)</f>
        <v>189</v>
      </c>
      <c r="C698" s="25" t="s">
        <v>1748</v>
      </c>
      <c r="D698" s="117" t="str">
        <f t="shared" si="14"/>
        <v>C697-189-23</v>
      </c>
      <c r="E698" s="117" t="str">
        <f>VLOOKUP(Table2[[#This Row],[Location 
(drop-down)]],Table1[#All],3,FALSE)</f>
        <v>USNE, USMW &amp; Canada</v>
      </c>
      <c r="F698" s="29" t="s">
        <v>94</v>
      </c>
      <c r="G698" s="9" t="s">
        <v>1749</v>
      </c>
      <c r="H698" s="12">
        <v>45243</v>
      </c>
      <c r="I698" s="12" t="s">
        <v>443</v>
      </c>
      <c r="J698" s="91" t="s">
        <v>821</v>
      </c>
      <c r="K698" s="91">
        <v>45310</v>
      </c>
      <c r="L698" s="10" t="s">
        <v>97</v>
      </c>
      <c r="M698" s="10"/>
      <c r="N698" s="10"/>
      <c r="O698" s="10"/>
    </row>
    <row r="699" spans="1:15" ht="37.5" x14ac:dyDescent="0.25">
      <c r="A699" s="9" t="s">
        <v>1094</v>
      </c>
      <c r="B699" s="13">
        <f>VLOOKUP(Table2[[#This Row],[Location 
(drop-down)]],'List source'!D$2:E$59,2,FALSE)</f>
        <v>189</v>
      </c>
      <c r="C699" s="25" t="s">
        <v>1750</v>
      </c>
      <c r="D699" s="117" t="str">
        <f t="shared" si="14"/>
        <v>C698-189-23</v>
      </c>
      <c r="E699" s="117" t="str">
        <f>VLOOKUP(Table2[[#This Row],[Location 
(drop-down)]],Table1[#All],3,FALSE)</f>
        <v>USNE, USMW &amp; Canada</v>
      </c>
      <c r="F699" s="29" t="s">
        <v>94</v>
      </c>
      <c r="G699" s="9" t="s">
        <v>1751</v>
      </c>
      <c r="H699" s="12">
        <v>45243</v>
      </c>
      <c r="I699" s="12" t="s">
        <v>443</v>
      </c>
      <c r="J699" s="91" t="s">
        <v>821</v>
      </c>
      <c r="K699" s="91">
        <v>45317</v>
      </c>
      <c r="L699" s="10"/>
      <c r="M699" s="10"/>
      <c r="N699" s="10"/>
      <c r="O699" s="10"/>
    </row>
    <row r="700" spans="1:15" ht="37.5" x14ac:dyDescent="0.25">
      <c r="A700" s="9" t="s">
        <v>1094</v>
      </c>
      <c r="B700" s="13">
        <f>VLOOKUP(Table2[[#This Row],[Location 
(drop-down)]],'List source'!D$2:E$59,2,FALSE)</f>
        <v>189</v>
      </c>
      <c r="C700" s="25" t="s">
        <v>1752</v>
      </c>
      <c r="D700" s="117" t="str">
        <f t="shared" si="14"/>
        <v>C699-189-23</v>
      </c>
      <c r="E700" s="117" t="str">
        <f>VLOOKUP(Table2[[#This Row],[Location 
(drop-down)]],Table1[#All],3,FALSE)</f>
        <v>USNE, USMW &amp; Canada</v>
      </c>
      <c r="F700" s="29" t="s">
        <v>94</v>
      </c>
      <c r="G700" s="9" t="s">
        <v>1753</v>
      </c>
      <c r="H700" s="12">
        <v>45243</v>
      </c>
      <c r="I700" s="12" t="s">
        <v>443</v>
      </c>
      <c r="J700" s="91" t="s">
        <v>821</v>
      </c>
      <c r="K700" s="91">
        <v>45307</v>
      </c>
      <c r="L700" s="10" t="s">
        <v>147</v>
      </c>
      <c r="M700" s="10"/>
      <c r="N700" s="10"/>
      <c r="O700" s="10"/>
    </row>
    <row r="701" spans="1:15" ht="45" x14ac:dyDescent="0.25">
      <c r="A701" s="9" t="s">
        <v>953</v>
      </c>
      <c r="B701" s="13">
        <f>VLOOKUP(Table2[[#This Row],[Location 
(drop-down)]],'List source'!D$2:E$59,2,FALSE)</f>
        <v>121</v>
      </c>
      <c r="C701" s="25" t="s">
        <v>1754</v>
      </c>
      <c r="D701" s="117" t="str">
        <f t="shared" si="14"/>
        <v>C700-121-23</v>
      </c>
      <c r="E701" s="117" t="str">
        <f>VLOOKUP(Table2[[#This Row],[Location 
(drop-down)]],Table1[#All],3,FALSE)</f>
        <v>USGC</v>
      </c>
      <c r="F701" s="118" t="s">
        <v>852</v>
      </c>
      <c r="G701" s="172" t="s">
        <v>1755</v>
      </c>
      <c r="H701" s="12">
        <v>45243</v>
      </c>
      <c r="I701" s="12" t="s">
        <v>129</v>
      </c>
      <c r="J701" s="91" t="s">
        <v>821</v>
      </c>
      <c r="K701" s="91">
        <v>45247</v>
      </c>
      <c r="L701" s="10" t="s">
        <v>147</v>
      </c>
      <c r="M701" s="10" t="s">
        <v>857</v>
      </c>
      <c r="N701" s="10" t="s">
        <v>858</v>
      </c>
      <c r="O701" s="10" t="s">
        <v>1756</v>
      </c>
    </row>
    <row r="702" spans="1:15" ht="84" customHeight="1" x14ac:dyDescent="0.25">
      <c r="A702" s="111" t="s">
        <v>131</v>
      </c>
      <c r="B702" s="112" t="str">
        <f>VLOOKUP(Table2[[#This Row],[Location 
(drop-down)]],'List source'!D$2:E$59,2,FALSE)</f>
        <v>VOID</v>
      </c>
      <c r="C702" s="25" t="s">
        <v>1757</v>
      </c>
      <c r="D702" s="117" t="str">
        <f t="shared" si="14"/>
        <v>C701-VOID-23</v>
      </c>
      <c r="E702" s="117" t="str">
        <f>VLOOKUP(Table2[[#This Row],[Location 
(drop-down)]],Table1[#All],3,FALSE)</f>
        <v>VOID</v>
      </c>
      <c r="F702" s="196" t="s">
        <v>50</v>
      </c>
      <c r="G702" s="9" t="s">
        <v>1758</v>
      </c>
      <c r="H702" s="12" t="s">
        <v>50</v>
      </c>
      <c r="I702" s="12" t="s">
        <v>50</v>
      </c>
      <c r="J702" s="114" t="s">
        <v>50</v>
      </c>
      <c r="K702" s="114" t="s">
        <v>50</v>
      </c>
      <c r="L702" s="10" t="s">
        <v>50</v>
      </c>
      <c r="M702" s="10" t="s">
        <v>50</v>
      </c>
      <c r="N702" s="10" t="s">
        <v>50</v>
      </c>
      <c r="O702" s="115" t="s">
        <v>1759</v>
      </c>
    </row>
    <row r="703" spans="1:15" ht="165" x14ac:dyDescent="0.25">
      <c r="A703" s="9" t="s">
        <v>13</v>
      </c>
      <c r="B703" s="13">
        <f>VLOOKUP(Table2[[#This Row],[Location 
(drop-down)]],'List source'!D$2:E$59,2,FALSE)</f>
        <v>126</v>
      </c>
      <c r="C703" s="25" t="s">
        <v>1760</v>
      </c>
      <c r="D703" s="117" t="str">
        <f t="shared" si="14"/>
        <v>C702-126-23</v>
      </c>
      <c r="E703" s="117" t="str">
        <f>VLOOKUP(Table2[[#This Row],[Location 
(drop-down)]],Table1[#All],3,FALSE)</f>
        <v>SE &amp; Caribbean</v>
      </c>
      <c r="F703" s="197" t="s">
        <v>935</v>
      </c>
      <c r="G703" s="9" t="s">
        <v>1761</v>
      </c>
      <c r="H703" s="12">
        <v>45244</v>
      </c>
      <c r="I703" s="12" t="s">
        <v>1762</v>
      </c>
      <c r="J703" s="91" t="s">
        <v>821</v>
      </c>
      <c r="K703" s="91">
        <v>45281</v>
      </c>
      <c r="L703" s="10" t="s">
        <v>97</v>
      </c>
      <c r="M703" s="10"/>
      <c r="N703" s="10"/>
      <c r="O703" s="10"/>
    </row>
    <row r="704" spans="1:15" ht="37.5" x14ac:dyDescent="0.25">
      <c r="A704" s="9" t="s">
        <v>126</v>
      </c>
      <c r="B704" s="13">
        <f>VLOOKUP(Table2[[#This Row],[Location 
(drop-down)]],'List source'!D$2:E$59,2,FALSE)</f>
        <v>125</v>
      </c>
      <c r="C704" s="128" t="s">
        <v>1763</v>
      </c>
      <c r="D704" s="117" t="str">
        <f t="shared" si="14"/>
        <v>C703-125-23</v>
      </c>
      <c r="E704" s="117" t="str">
        <f>VLOOKUP(Table2[[#This Row],[Location 
(drop-down)]],Table1[#All],3,FALSE)</f>
        <v>SE &amp; Caribbean</v>
      </c>
      <c r="F704" s="197" t="s">
        <v>935</v>
      </c>
      <c r="G704" s="119" t="s">
        <v>1764</v>
      </c>
      <c r="H704" s="12">
        <v>45246</v>
      </c>
      <c r="I704" s="12" t="s">
        <v>1765</v>
      </c>
      <c r="J704" s="91" t="s">
        <v>821</v>
      </c>
      <c r="K704" s="91">
        <v>45281</v>
      </c>
      <c r="L704" s="10" t="s">
        <v>97</v>
      </c>
      <c r="M704" s="10"/>
      <c r="N704" s="10"/>
      <c r="O704" s="10"/>
    </row>
    <row r="705" spans="1:15" ht="37.5" x14ac:dyDescent="0.25">
      <c r="A705" s="9" t="s">
        <v>126</v>
      </c>
      <c r="B705" s="13">
        <f>VLOOKUP(Table2[[#This Row],[Location 
(drop-down)]],'List source'!D$2:E$59,2,FALSE)</f>
        <v>125</v>
      </c>
      <c r="C705" s="128" t="s">
        <v>1766</v>
      </c>
      <c r="D705" s="117" t="str">
        <f t="shared" si="14"/>
        <v>C704-125-23</v>
      </c>
      <c r="E705" s="117" t="str">
        <f>VLOOKUP(Table2[[#This Row],[Location 
(drop-down)]],Table1[#All],3,FALSE)</f>
        <v>SE &amp; Caribbean</v>
      </c>
      <c r="F705" s="197" t="s">
        <v>935</v>
      </c>
      <c r="G705" s="146" t="s">
        <v>1767</v>
      </c>
      <c r="H705" s="12">
        <v>45246</v>
      </c>
      <c r="I705" s="12" t="s">
        <v>1765</v>
      </c>
      <c r="J705" s="91" t="s">
        <v>821</v>
      </c>
      <c r="K705" s="91">
        <v>45281</v>
      </c>
      <c r="L705" s="10" t="s">
        <v>97</v>
      </c>
      <c r="M705" s="10"/>
      <c r="N705" s="10"/>
      <c r="O705" s="10"/>
    </row>
    <row r="706" spans="1:15" ht="37.5" x14ac:dyDescent="0.25">
      <c r="A706" s="9" t="s">
        <v>75</v>
      </c>
      <c r="B706" s="13">
        <f>VLOOKUP(Table2[[#This Row],[Location 
(drop-down)]],'List source'!D$2:E$59,2,FALSE)</f>
        <v>180</v>
      </c>
      <c r="C706" s="128" t="s">
        <v>1768</v>
      </c>
      <c r="D706" s="117" t="str">
        <f t="shared" si="14"/>
        <v>C705-180-23</v>
      </c>
      <c r="E706" s="117" t="str">
        <f>VLOOKUP(Table2[[#This Row],[Location 
(drop-down)]],Table1[#All],3,FALSE)</f>
        <v>SE &amp; Caribbean</v>
      </c>
      <c r="F706" s="197" t="s">
        <v>935</v>
      </c>
      <c r="G706" s="9" t="s">
        <v>1769</v>
      </c>
      <c r="H706" s="12">
        <v>45257</v>
      </c>
      <c r="I706" s="12" t="s">
        <v>443</v>
      </c>
      <c r="J706" s="91">
        <v>45266</v>
      </c>
      <c r="K706" s="91">
        <v>45267</v>
      </c>
      <c r="L706" s="10" t="s">
        <v>97</v>
      </c>
      <c r="M706" s="10"/>
      <c r="N706" s="10"/>
      <c r="O706" s="10"/>
    </row>
    <row r="707" spans="1:15" ht="30" x14ac:dyDescent="0.25">
      <c r="A707" s="9" t="s">
        <v>22</v>
      </c>
      <c r="B707" s="13">
        <f>VLOOKUP(Table2[[#This Row],[Location 
(drop-down)]],'List source'!D$2:E$59,2,FALSE)</f>
        <v>130</v>
      </c>
      <c r="C707" s="25" t="s">
        <v>1770</v>
      </c>
      <c r="D707" s="304" t="str">
        <f t="shared" si="14"/>
        <v>C706-130-23</v>
      </c>
      <c r="E707" s="117" t="str">
        <f>VLOOKUP(Table2[[#This Row],[Location 
(drop-down)]],Table1[#All],3,FALSE)</f>
        <v>USWC</v>
      </c>
      <c r="F707" s="197" t="s">
        <v>159</v>
      </c>
      <c r="G707" s="9" t="s">
        <v>1771</v>
      </c>
      <c r="H707" s="12">
        <v>45257</v>
      </c>
      <c r="I707" s="12" t="s">
        <v>443</v>
      </c>
      <c r="J707" s="305">
        <v>45295</v>
      </c>
      <c r="K707" s="305">
        <v>45509</v>
      </c>
      <c r="L707" s="10" t="s">
        <v>97</v>
      </c>
      <c r="M707" s="10" t="s">
        <v>862</v>
      </c>
      <c r="N707" s="10" t="s">
        <v>822</v>
      </c>
      <c r="O707" s="10"/>
    </row>
    <row r="708" spans="1:15" ht="18.75" x14ac:dyDescent="0.25">
      <c r="A708" s="9" t="s">
        <v>22</v>
      </c>
      <c r="B708" s="13">
        <f>VLOOKUP(Table2[[#This Row],[Location 
(drop-down)]],'List source'!D$2:E$59,2,FALSE)</f>
        <v>130</v>
      </c>
      <c r="C708" s="25" t="s">
        <v>1772</v>
      </c>
      <c r="D708" s="117" t="str">
        <f t="shared" si="14"/>
        <v>C707-130-23</v>
      </c>
      <c r="E708" s="117" t="str">
        <f>VLOOKUP(Table2[[#This Row],[Location 
(drop-down)]],Table1[#All],3,FALSE)</f>
        <v>USWC</v>
      </c>
      <c r="F708" s="197" t="s">
        <v>159</v>
      </c>
      <c r="G708" s="9" t="s">
        <v>1773</v>
      </c>
      <c r="H708" s="12">
        <v>45257</v>
      </c>
      <c r="I708" s="12" t="s">
        <v>443</v>
      </c>
      <c r="J708" s="91" t="s">
        <v>821</v>
      </c>
      <c r="K708" s="91">
        <v>45295</v>
      </c>
      <c r="L708" s="10"/>
      <c r="M708" s="10"/>
      <c r="N708" s="10"/>
      <c r="O708" s="10"/>
    </row>
    <row r="709" spans="1:15" ht="37.5" x14ac:dyDescent="0.25">
      <c r="A709" s="9" t="s">
        <v>331</v>
      </c>
      <c r="B709" s="13">
        <f>VLOOKUP(Table2[[#This Row],[Location 
(drop-down)]],'List source'!D$2:E$59,2,FALSE)</f>
        <v>146</v>
      </c>
      <c r="C709" s="25" t="s">
        <v>1774</v>
      </c>
      <c r="D709" s="117" t="str">
        <f t="shared" si="14"/>
        <v>C708-146-23</v>
      </c>
      <c r="E709" s="117" t="str">
        <f>VLOOKUP(Table2[[#This Row],[Location 
(drop-down)]],Table1[#All],3,FALSE)</f>
        <v>SE &amp; Caribbean</v>
      </c>
      <c r="F709" s="29" t="s">
        <v>94</v>
      </c>
      <c r="G709" s="9" t="s">
        <v>1775</v>
      </c>
      <c r="H709" s="12">
        <v>45258</v>
      </c>
      <c r="I709" s="12" t="s">
        <v>435</v>
      </c>
      <c r="J709" s="91" t="s">
        <v>821</v>
      </c>
      <c r="K709" s="91">
        <v>45272</v>
      </c>
      <c r="L709" s="10" t="s">
        <v>147</v>
      </c>
      <c r="M709" s="10" t="s">
        <v>857</v>
      </c>
      <c r="N709" s="10" t="s">
        <v>858</v>
      </c>
      <c r="O709" s="10"/>
    </row>
    <row r="710" spans="1:15" ht="37.5" x14ac:dyDescent="0.25">
      <c r="A710" s="9" t="s">
        <v>331</v>
      </c>
      <c r="B710" s="13">
        <f>VLOOKUP(Table2[[#This Row],[Location 
(drop-down)]],'List source'!D$2:E$59,2,FALSE)</f>
        <v>146</v>
      </c>
      <c r="C710" s="25" t="s">
        <v>1776</v>
      </c>
      <c r="D710" s="117" t="str">
        <f t="shared" si="14"/>
        <v>C709-146-23</v>
      </c>
      <c r="E710" s="117" t="str">
        <f>VLOOKUP(Table2[[#This Row],[Location 
(drop-down)]],Table1[#All],3,FALSE)</f>
        <v>SE &amp; Caribbean</v>
      </c>
      <c r="F710" s="29" t="s">
        <v>94</v>
      </c>
      <c r="G710" s="9" t="s">
        <v>1777</v>
      </c>
      <c r="H710" s="12">
        <v>45258</v>
      </c>
      <c r="I710" s="12" t="s">
        <v>435</v>
      </c>
      <c r="J710" s="91" t="s">
        <v>821</v>
      </c>
      <c r="K710" s="91">
        <v>45287</v>
      </c>
      <c r="L710" s="10" t="s">
        <v>97</v>
      </c>
      <c r="M710" s="10"/>
      <c r="N710" s="10"/>
      <c r="O710" s="10"/>
    </row>
    <row r="711" spans="1:15" ht="37.5" x14ac:dyDescent="0.25">
      <c r="A711" s="9" t="s">
        <v>331</v>
      </c>
      <c r="B711" s="13">
        <f>VLOOKUP(Table2[[#This Row],[Location 
(drop-down)]],'List source'!D$2:E$59,2,FALSE)</f>
        <v>146</v>
      </c>
      <c r="C711" s="25" t="s">
        <v>1778</v>
      </c>
      <c r="D711" s="117" t="str">
        <f t="shared" si="14"/>
        <v>C710-146-23</v>
      </c>
      <c r="E711" s="117" t="str">
        <f>VLOOKUP(Table2[[#This Row],[Location 
(drop-down)]],Table1[#All],3,FALSE)</f>
        <v>SE &amp; Caribbean</v>
      </c>
      <c r="F711" s="197" t="s">
        <v>94</v>
      </c>
      <c r="G711" s="9" t="s">
        <v>1779</v>
      </c>
      <c r="H711" s="12">
        <v>45258</v>
      </c>
      <c r="I711" s="12" t="s">
        <v>435</v>
      </c>
      <c r="J711" s="91" t="s">
        <v>821</v>
      </c>
      <c r="K711" s="91">
        <v>45310</v>
      </c>
      <c r="L711" s="10" t="s">
        <v>97</v>
      </c>
      <c r="M711" s="10"/>
      <c r="N711" s="10"/>
      <c r="O711" s="10"/>
    </row>
    <row r="712" spans="1:15" ht="37.5" x14ac:dyDescent="0.25">
      <c r="A712" s="9" t="s">
        <v>331</v>
      </c>
      <c r="B712" s="13">
        <f>VLOOKUP(Table2[[#This Row],[Location 
(drop-down)]],'List source'!D$2:E$59,2,FALSE)</f>
        <v>146</v>
      </c>
      <c r="C712" s="25" t="s">
        <v>1780</v>
      </c>
      <c r="D712" s="117" t="str">
        <f t="shared" si="14"/>
        <v>C711-146-23</v>
      </c>
      <c r="E712" s="117" t="str">
        <f>VLOOKUP(Table2[[#This Row],[Location 
(drop-down)]],Table1[#All],3,FALSE)</f>
        <v>SE &amp; Caribbean</v>
      </c>
      <c r="F712" s="197" t="s">
        <v>94</v>
      </c>
      <c r="G712" s="9" t="s">
        <v>1781</v>
      </c>
      <c r="H712" s="12">
        <v>45258</v>
      </c>
      <c r="I712" s="12" t="s">
        <v>435</v>
      </c>
      <c r="J712" s="91" t="s">
        <v>821</v>
      </c>
      <c r="K712" s="91">
        <v>45310</v>
      </c>
      <c r="L712" s="10" t="s">
        <v>97</v>
      </c>
      <c r="M712" s="10"/>
      <c r="N712" s="10"/>
      <c r="O712" s="10"/>
    </row>
    <row r="713" spans="1:15" ht="37.5" x14ac:dyDescent="0.25">
      <c r="A713" s="9" t="s">
        <v>331</v>
      </c>
      <c r="B713" s="13">
        <f>VLOOKUP(Table2[[#This Row],[Location 
(drop-down)]],'List source'!D$2:E$59,2,FALSE)</f>
        <v>146</v>
      </c>
      <c r="C713" s="25" t="s">
        <v>1782</v>
      </c>
      <c r="D713" s="117" t="str">
        <f t="shared" si="14"/>
        <v>C712-146-23</v>
      </c>
      <c r="E713" s="117" t="str">
        <f>VLOOKUP(Table2[[#This Row],[Location 
(drop-down)]],Table1[#All],3,FALSE)</f>
        <v>SE &amp; Caribbean</v>
      </c>
      <c r="F713" s="197" t="s">
        <v>94</v>
      </c>
      <c r="G713" s="9" t="s">
        <v>1783</v>
      </c>
      <c r="H713" s="12">
        <v>45258</v>
      </c>
      <c r="I713" s="12" t="s">
        <v>435</v>
      </c>
      <c r="J713" s="91" t="s">
        <v>821</v>
      </c>
      <c r="K713" s="91">
        <v>45310</v>
      </c>
      <c r="L713" s="10" t="s">
        <v>97</v>
      </c>
      <c r="M713" s="10"/>
      <c r="N713" s="10"/>
      <c r="O713" s="10"/>
    </row>
    <row r="714" spans="1:15" ht="37.5" x14ac:dyDescent="0.25">
      <c r="A714" s="9" t="s">
        <v>331</v>
      </c>
      <c r="B714" s="13">
        <f>VLOOKUP(Table2[[#This Row],[Location 
(drop-down)]],'List source'!D$2:E$59,2,FALSE)</f>
        <v>146</v>
      </c>
      <c r="C714" s="25" t="s">
        <v>1784</v>
      </c>
      <c r="D714" s="117" t="str">
        <f t="shared" si="14"/>
        <v>C713-146-23</v>
      </c>
      <c r="E714" s="117" t="str">
        <f>VLOOKUP(Table2[[#This Row],[Location 
(drop-down)]],Table1[#All],3,FALSE)</f>
        <v>SE &amp; Caribbean</v>
      </c>
      <c r="F714" s="197" t="s">
        <v>94</v>
      </c>
      <c r="G714" s="9" t="s">
        <v>1785</v>
      </c>
      <c r="H714" s="12">
        <v>45258</v>
      </c>
      <c r="I714" s="12" t="s">
        <v>435</v>
      </c>
      <c r="J714" s="91" t="s">
        <v>821</v>
      </c>
      <c r="K714" s="91">
        <v>45278</v>
      </c>
      <c r="L714" s="10" t="s">
        <v>97</v>
      </c>
      <c r="M714" s="10" t="s">
        <v>857</v>
      </c>
      <c r="N714" s="10" t="s">
        <v>858</v>
      </c>
      <c r="O714" s="10"/>
    </row>
    <row r="715" spans="1:15" ht="30" x14ac:dyDescent="0.25">
      <c r="A715" s="9" t="s">
        <v>66</v>
      </c>
      <c r="B715" s="13">
        <f>VLOOKUP(Table2[[#This Row],[Location 
(drop-down)]],'List source'!D$2:E$59,2,FALSE)</f>
        <v>165</v>
      </c>
      <c r="C715" s="25" t="s">
        <v>1786</v>
      </c>
      <c r="D715" s="117" t="str">
        <f t="shared" si="14"/>
        <v>C714-165-23</v>
      </c>
      <c r="E715" s="117" t="str">
        <f>VLOOKUP(Table2[[#This Row],[Location 
(drop-down)]],Table1[#All],3,FALSE)</f>
        <v>USGC</v>
      </c>
      <c r="F715" s="197" t="s">
        <v>935</v>
      </c>
      <c r="G715" s="9" t="s">
        <v>1787</v>
      </c>
      <c r="H715" s="12">
        <v>45246</v>
      </c>
      <c r="I715" s="12" t="s">
        <v>161</v>
      </c>
      <c r="J715" s="91" t="s">
        <v>821</v>
      </c>
      <c r="K715" s="91">
        <v>45281</v>
      </c>
      <c r="L715" s="10" t="s">
        <v>97</v>
      </c>
      <c r="M715" s="10"/>
      <c r="N715" s="10"/>
      <c r="O715" s="10"/>
    </row>
    <row r="716" spans="1:15" ht="30" x14ac:dyDescent="0.25">
      <c r="A716" s="9" t="s">
        <v>66</v>
      </c>
      <c r="B716" s="13">
        <f>VLOOKUP(Table2[[#This Row],[Location 
(drop-down)]],'List source'!D$2:E$59,2,FALSE)</f>
        <v>165</v>
      </c>
      <c r="C716" s="25" t="s">
        <v>1788</v>
      </c>
      <c r="D716" s="117" t="str">
        <f t="shared" si="14"/>
        <v>C715-165-23</v>
      </c>
      <c r="E716" s="117" t="str">
        <f>VLOOKUP(Table2[[#This Row],[Location 
(drop-down)]],Table1[#All],3,FALSE)</f>
        <v>USGC</v>
      </c>
      <c r="F716" s="197" t="s">
        <v>935</v>
      </c>
      <c r="G716" s="9" t="s">
        <v>1789</v>
      </c>
      <c r="H716" s="12">
        <v>45246</v>
      </c>
      <c r="I716" s="12" t="s">
        <v>161</v>
      </c>
      <c r="J716" s="91" t="s">
        <v>821</v>
      </c>
      <c r="K716" s="91">
        <v>45281</v>
      </c>
      <c r="L716" s="10" t="s">
        <v>97</v>
      </c>
      <c r="M716" s="10"/>
      <c r="N716" s="10"/>
      <c r="O716" s="10"/>
    </row>
    <row r="717" spans="1:15" ht="30" x14ac:dyDescent="0.25">
      <c r="A717" s="9" t="s">
        <v>66</v>
      </c>
      <c r="B717" s="13">
        <f>VLOOKUP(Table2[[#This Row],[Location 
(drop-down)]],'List source'!D$2:E$59,2,FALSE)</f>
        <v>165</v>
      </c>
      <c r="C717" s="25" t="s">
        <v>1790</v>
      </c>
      <c r="D717" s="117" t="str">
        <f t="shared" si="14"/>
        <v>C716-165-23</v>
      </c>
      <c r="E717" s="117" t="str">
        <f>VLOOKUP(Table2[[#This Row],[Location 
(drop-down)]],Table1[#All],3,FALSE)</f>
        <v>USGC</v>
      </c>
      <c r="F717" s="197" t="s">
        <v>935</v>
      </c>
      <c r="G717" s="9" t="s">
        <v>1791</v>
      </c>
      <c r="H717" s="12">
        <v>45246</v>
      </c>
      <c r="I717" s="12" t="s">
        <v>161</v>
      </c>
      <c r="J717" s="91" t="s">
        <v>821</v>
      </c>
      <c r="K717" s="91">
        <v>45281</v>
      </c>
      <c r="L717" s="10" t="s">
        <v>97</v>
      </c>
      <c r="M717" s="10"/>
      <c r="N717" s="10"/>
      <c r="O717" s="10"/>
    </row>
    <row r="718" spans="1:15" ht="30" x14ac:dyDescent="0.25">
      <c r="A718" s="9" t="s">
        <v>66</v>
      </c>
      <c r="B718" s="13">
        <f>VLOOKUP(Table2[[#This Row],[Location 
(drop-down)]],'List source'!D$2:E$59,2,FALSE)</f>
        <v>165</v>
      </c>
      <c r="C718" s="25" t="s">
        <v>1792</v>
      </c>
      <c r="D718" s="117" t="str">
        <f t="shared" si="14"/>
        <v>C717-165-23</v>
      </c>
      <c r="E718" s="117" t="str">
        <f>VLOOKUP(Table2[[#This Row],[Location 
(drop-down)]],Table1[#All],3,FALSE)</f>
        <v>USGC</v>
      </c>
      <c r="F718" s="197" t="s">
        <v>935</v>
      </c>
      <c r="G718" s="9" t="s">
        <v>1793</v>
      </c>
      <c r="H718" s="12">
        <v>45246</v>
      </c>
      <c r="I718" s="12" t="s">
        <v>161</v>
      </c>
      <c r="J718" s="91" t="s">
        <v>821</v>
      </c>
      <c r="K718" s="91">
        <v>45281</v>
      </c>
      <c r="L718" s="10" t="s">
        <v>97</v>
      </c>
      <c r="M718" s="10"/>
      <c r="N718" s="10"/>
      <c r="O718" s="10"/>
    </row>
    <row r="719" spans="1:15" ht="37.5" x14ac:dyDescent="0.25">
      <c r="A719" s="9" t="s">
        <v>47</v>
      </c>
      <c r="B719" s="13">
        <f>VLOOKUP(Table2[[#This Row],[Location 
(drop-down)]],'List source'!D$2:E$59,2,FALSE)</f>
        <v>215</v>
      </c>
      <c r="C719" s="25" t="s">
        <v>1794</v>
      </c>
      <c r="D719" s="306" t="str">
        <f t="shared" si="14"/>
        <v>C718-215-23</v>
      </c>
      <c r="E719" s="117" t="str">
        <f>VLOOKUP(Table2[[#This Row],[Location 
(drop-down)]],Table1[#All],3,FALSE)</f>
        <v>SE &amp; Caribbean</v>
      </c>
      <c r="F719" s="197" t="s">
        <v>935</v>
      </c>
      <c r="G719" s="9" t="s">
        <v>1795</v>
      </c>
      <c r="H719" s="12">
        <v>45261</v>
      </c>
      <c r="I719" s="12" t="s">
        <v>1765</v>
      </c>
      <c r="J719" s="91" t="s">
        <v>898</v>
      </c>
      <c r="K719" s="91">
        <v>45317</v>
      </c>
      <c r="L719" s="10" t="s">
        <v>97</v>
      </c>
      <c r="M719" s="10"/>
      <c r="N719" s="10"/>
      <c r="O719" s="10"/>
    </row>
    <row r="720" spans="1:15" ht="37.5" x14ac:dyDescent="0.25">
      <c r="A720" s="9" t="s">
        <v>47</v>
      </c>
      <c r="B720" s="13">
        <f>VLOOKUP(Table2[[#This Row],[Location 
(drop-down)]],'List source'!D$2:E$59,2,FALSE)</f>
        <v>215</v>
      </c>
      <c r="C720" s="11" t="s">
        <v>1796</v>
      </c>
      <c r="D720" s="117" t="str">
        <f t="shared" si="14"/>
        <v>C719-215-23</v>
      </c>
      <c r="E720" s="117" t="str">
        <f>VLOOKUP(Table2[[#This Row],[Location 
(drop-down)]],Table1[#All],3,FALSE)</f>
        <v>SE &amp; Caribbean</v>
      </c>
      <c r="F720" s="197" t="s">
        <v>935</v>
      </c>
      <c r="G720" s="9" t="s">
        <v>1797</v>
      </c>
      <c r="H720" s="12">
        <v>45261</v>
      </c>
      <c r="I720" s="12" t="s">
        <v>1765</v>
      </c>
      <c r="J720" s="91" t="s">
        <v>821</v>
      </c>
      <c r="K720" s="91">
        <v>45315</v>
      </c>
      <c r="L720" s="10" t="s">
        <v>97</v>
      </c>
      <c r="M720" s="10"/>
      <c r="N720" s="10"/>
      <c r="O720" s="10"/>
    </row>
    <row r="721" spans="1:15" ht="37.5" x14ac:dyDescent="0.25">
      <c r="A721" s="9" t="s">
        <v>47</v>
      </c>
      <c r="B721" s="13">
        <f>VLOOKUP(Table2[[#This Row],[Location 
(drop-down)]],'List source'!D$2:E$59,2,FALSE)</f>
        <v>215</v>
      </c>
      <c r="C721" s="11" t="s">
        <v>1798</v>
      </c>
      <c r="D721" s="117" t="str">
        <f t="shared" si="14"/>
        <v>C720-215-23</v>
      </c>
      <c r="E721" s="117" t="str">
        <f>VLOOKUP(Table2[[#This Row],[Location 
(drop-down)]],Table1[#All],3,FALSE)</f>
        <v>SE &amp; Caribbean</v>
      </c>
      <c r="F721" s="197" t="s">
        <v>935</v>
      </c>
      <c r="G721" s="9" t="s">
        <v>1799</v>
      </c>
      <c r="H721" s="12">
        <v>45261</v>
      </c>
      <c r="I721" s="12" t="s">
        <v>1765</v>
      </c>
      <c r="J721" s="91" t="s">
        <v>898</v>
      </c>
      <c r="K721" s="91">
        <v>45320</v>
      </c>
      <c r="L721" s="10" t="s">
        <v>97</v>
      </c>
      <c r="M721" s="10"/>
      <c r="N721" s="10"/>
      <c r="O721" s="10"/>
    </row>
    <row r="722" spans="1:15" ht="60" x14ac:dyDescent="0.25">
      <c r="A722" s="9" t="s">
        <v>47</v>
      </c>
      <c r="B722" s="13">
        <f>VLOOKUP(Table2[[#This Row],[Location 
(drop-down)]],'List source'!D$2:E$59,2,FALSE)</f>
        <v>215</v>
      </c>
      <c r="C722" s="11" t="s">
        <v>1800</v>
      </c>
      <c r="D722" s="117" t="str">
        <f t="shared" si="14"/>
        <v>C721-215-23</v>
      </c>
      <c r="E722" s="117" t="str">
        <f>VLOOKUP(Table2[[#This Row],[Location 
(drop-down)]],Table1[#All],3,FALSE)</f>
        <v>SE &amp; Caribbean</v>
      </c>
      <c r="F722" s="197" t="s">
        <v>935</v>
      </c>
      <c r="G722" s="9" t="s">
        <v>1801</v>
      </c>
      <c r="H722" s="12">
        <v>45261</v>
      </c>
      <c r="I722" s="12" t="s">
        <v>1765</v>
      </c>
      <c r="J722" s="91" t="s">
        <v>898</v>
      </c>
      <c r="K722" s="91">
        <v>45315</v>
      </c>
      <c r="L722" s="10" t="s">
        <v>97</v>
      </c>
      <c r="M722" s="10"/>
      <c r="N722" s="10"/>
      <c r="O722" s="10"/>
    </row>
    <row r="723" spans="1:15" ht="45" x14ac:dyDescent="0.25">
      <c r="A723" s="9" t="s">
        <v>47</v>
      </c>
      <c r="B723" s="13">
        <f>VLOOKUP(Table2[[#This Row],[Location 
(drop-down)]],'List source'!D$2:E$59,2,FALSE)</f>
        <v>215</v>
      </c>
      <c r="C723" s="11" t="s">
        <v>1802</v>
      </c>
      <c r="D723" s="117" t="str">
        <f t="shared" si="14"/>
        <v>C722-215-23</v>
      </c>
      <c r="E723" s="117" t="str">
        <f>VLOOKUP(Table2[[#This Row],[Location 
(drop-down)]],Table1[#All],3,FALSE)</f>
        <v>SE &amp; Caribbean</v>
      </c>
      <c r="F723" s="197" t="s">
        <v>935</v>
      </c>
      <c r="G723" s="9" t="s">
        <v>1803</v>
      </c>
      <c r="H723" s="12">
        <v>45261</v>
      </c>
      <c r="I723" s="12" t="s">
        <v>1765</v>
      </c>
      <c r="J723" s="91" t="s">
        <v>898</v>
      </c>
      <c r="K723" s="91">
        <v>45315</v>
      </c>
      <c r="L723" s="10" t="s">
        <v>97</v>
      </c>
      <c r="M723" s="10"/>
      <c r="N723" s="10"/>
      <c r="O723" s="10"/>
    </row>
    <row r="724" spans="1:15" ht="37.5" x14ac:dyDescent="0.25">
      <c r="A724" s="9" t="s">
        <v>47</v>
      </c>
      <c r="B724" s="13">
        <f>VLOOKUP(Table2[[#This Row],[Location 
(drop-down)]],'List source'!D$2:E$59,2,FALSE)</f>
        <v>215</v>
      </c>
      <c r="C724" s="11" t="s">
        <v>1804</v>
      </c>
      <c r="D724" s="117" t="str">
        <f t="shared" si="14"/>
        <v>C723-215-23</v>
      </c>
      <c r="E724" s="117" t="str">
        <f>VLOOKUP(Table2[[#This Row],[Location 
(drop-down)]],Table1[#All],3,FALSE)</f>
        <v>SE &amp; Caribbean</v>
      </c>
      <c r="F724" s="197" t="s">
        <v>935</v>
      </c>
      <c r="G724" s="9" t="s">
        <v>1805</v>
      </c>
      <c r="H724" s="12">
        <v>45261</v>
      </c>
      <c r="I724" s="12" t="s">
        <v>1765</v>
      </c>
      <c r="J724" s="91" t="s">
        <v>898</v>
      </c>
      <c r="K724" s="91">
        <v>45309</v>
      </c>
      <c r="L724" s="10" t="s">
        <v>97</v>
      </c>
      <c r="M724" s="10"/>
      <c r="N724" s="10"/>
      <c r="O724" s="10"/>
    </row>
    <row r="725" spans="1:15" ht="45" x14ac:dyDescent="0.25">
      <c r="A725" s="9" t="s">
        <v>47</v>
      </c>
      <c r="B725" s="13">
        <f>VLOOKUP(Table2[[#This Row],[Location 
(drop-down)]],'List source'!D$2:E$59,2,FALSE)</f>
        <v>215</v>
      </c>
      <c r="C725" s="11" t="s">
        <v>1806</v>
      </c>
      <c r="D725" s="117" t="str">
        <f t="shared" si="14"/>
        <v>C724-215-23</v>
      </c>
      <c r="E725" s="117" t="str">
        <f>VLOOKUP(Table2[[#This Row],[Location 
(drop-down)]],Table1[#All],3,FALSE)</f>
        <v>SE &amp; Caribbean</v>
      </c>
      <c r="F725" s="197" t="s">
        <v>935</v>
      </c>
      <c r="G725" s="9" t="s">
        <v>1807</v>
      </c>
      <c r="H725" s="12">
        <v>45261</v>
      </c>
      <c r="I725" s="12" t="s">
        <v>1765</v>
      </c>
      <c r="J725" s="91" t="s">
        <v>898</v>
      </c>
      <c r="K725" s="91">
        <v>45315</v>
      </c>
      <c r="L725" s="10" t="s">
        <v>97</v>
      </c>
      <c r="M725" s="10"/>
      <c r="N725" s="10"/>
      <c r="O725" s="10"/>
    </row>
    <row r="726" spans="1:15" ht="37.5" x14ac:dyDescent="0.25">
      <c r="A726" s="9" t="s">
        <v>47</v>
      </c>
      <c r="B726" s="13">
        <f>VLOOKUP(Table2[[#This Row],[Location 
(drop-down)]],'List source'!D$2:E$59,2,FALSE)</f>
        <v>215</v>
      </c>
      <c r="C726" s="11" t="s">
        <v>1808</v>
      </c>
      <c r="D726" s="117" t="str">
        <f t="shared" si="14"/>
        <v>C725-215-23</v>
      </c>
      <c r="E726" s="117" t="str">
        <f>VLOOKUP(Table2[[#This Row],[Location 
(drop-down)]],Table1[#All],3,FALSE)</f>
        <v>SE &amp; Caribbean</v>
      </c>
      <c r="F726" s="197" t="s">
        <v>935</v>
      </c>
      <c r="G726" s="9" t="s">
        <v>1809</v>
      </c>
      <c r="H726" s="12">
        <v>45261</v>
      </c>
      <c r="I726" s="12" t="s">
        <v>1765</v>
      </c>
      <c r="J726" s="91" t="s">
        <v>821</v>
      </c>
      <c r="K726" s="91">
        <v>45313</v>
      </c>
      <c r="L726" s="10" t="s">
        <v>97</v>
      </c>
      <c r="M726" s="10"/>
      <c r="N726" s="10"/>
      <c r="O726" s="10"/>
    </row>
    <row r="727" spans="1:15" ht="30" x14ac:dyDescent="0.25">
      <c r="A727" s="9" t="s">
        <v>27</v>
      </c>
      <c r="B727" s="13">
        <f>VLOOKUP(Table2[[#This Row],[Location 
(drop-down)]],'List source'!D$2:E$59,2,FALSE)</f>
        <v>132</v>
      </c>
      <c r="C727" s="11" t="s">
        <v>1810</v>
      </c>
      <c r="D727" s="117" t="str">
        <f t="shared" si="14"/>
        <v>C726-132-23</v>
      </c>
      <c r="E727" s="117" t="str">
        <f>VLOOKUP(Table2[[#This Row],[Location 
(drop-down)]],Table1[#All],3,FALSE)</f>
        <v>USWC</v>
      </c>
      <c r="F727" s="197" t="s">
        <v>852</v>
      </c>
      <c r="G727" s="9" t="s">
        <v>1811</v>
      </c>
      <c r="H727" s="12">
        <v>45266</v>
      </c>
      <c r="I727" s="12" t="s">
        <v>129</v>
      </c>
      <c r="J727" s="91" t="s">
        <v>821</v>
      </c>
      <c r="K727" s="91">
        <v>45281</v>
      </c>
      <c r="L727" s="10" t="s">
        <v>147</v>
      </c>
      <c r="M727" s="10" t="s">
        <v>857</v>
      </c>
      <c r="N727" s="10" t="s">
        <v>822</v>
      </c>
      <c r="O727" s="10" t="s">
        <v>1812</v>
      </c>
    </row>
    <row r="728" spans="1:15" ht="37.5" x14ac:dyDescent="0.25">
      <c r="A728" s="9" t="s">
        <v>226</v>
      </c>
      <c r="B728" s="13">
        <f>VLOOKUP(Table2[[#This Row],[Location 
(drop-down)]],'List source'!D$2:E$59,2,FALSE)</f>
        <v>110</v>
      </c>
      <c r="C728" s="11" t="s">
        <v>1813</v>
      </c>
      <c r="D728" s="117" t="str">
        <f t="shared" si="14"/>
        <v>C727-110-23</v>
      </c>
      <c r="E728" s="117" t="str">
        <f>VLOOKUP(Table2[[#This Row],[Location 
(drop-down)]],Table1[#All],3,FALSE)</f>
        <v>USNE, USMW &amp; Canada</v>
      </c>
      <c r="F728" s="197" t="s">
        <v>94</v>
      </c>
      <c r="G728" s="9" t="s">
        <v>1814</v>
      </c>
      <c r="H728" s="12">
        <v>45275</v>
      </c>
      <c r="I728" s="12" t="s">
        <v>129</v>
      </c>
      <c r="J728" s="91" t="s">
        <v>821</v>
      </c>
      <c r="K728" s="91">
        <v>45359</v>
      </c>
      <c r="L728" s="10" t="s">
        <v>147</v>
      </c>
      <c r="M728" s="10" t="s">
        <v>857</v>
      </c>
      <c r="N728" s="10" t="s">
        <v>858</v>
      </c>
      <c r="O728" s="10"/>
    </row>
    <row r="729" spans="1:15" ht="37.5" x14ac:dyDescent="0.25">
      <c r="A729" s="9" t="s">
        <v>226</v>
      </c>
      <c r="B729" s="13">
        <f>VLOOKUP(Table2[[#This Row],[Location 
(drop-down)]],'List source'!D$2:E$59,2,FALSE)</f>
        <v>110</v>
      </c>
      <c r="C729" s="11" t="s">
        <v>1815</v>
      </c>
      <c r="D729" s="117" t="str">
        <f t="shared" si="14"/>
        <v>C728-110-23</v>
      </c>
      <c r="E729" s="117" t="str">
        <f>VLOOKUP(Table2[[#This Row],[Location 
(drop-down)]],Table1[#All],3,FALSE)</f>
        <v>USNE, USMW &amp; Canada</v>
      </c>
      <c r="F729" s="197" t="s">
        <v>94</v>
      </c>
      <c r="G729" s="9" t="s">
        <v>1816</v>
      </c>
      <c r="H729" s="12">
        <v>45275</v>
      </c>
      <c r="I729" s="12" t="s">
        <v>129</v>
      </c>
      <c r="J729" s="91" t="s">
        <v>821</v>
      </c>
      <c r="K729" s="91">
        <v>45337</v>
      </c>
      <c r="L729" s="10" t="s">
        <v>147</v>
      </c>
      <c r="M729" s="10" t="s">
        <v>857</v>
      </c>
      <c r="N729" s="10" t="s">
        <v>881</v>
      </c>
      <c r="O729" s="10"/>
    </row>
    <row r="730" spans="1:15" ht="37.5" x14ac:dyDescent="0.25">
      <c r="A730" s="9" t="s">
        <v>226</v>
      </c>
      <c r="B730" s="13">
        <f>VLOOKUP(Table2[[#This Row],[Location 
(drop-down)]],'List source'!D$2:E$59,2,FALSE)</f>
        <v>110</v>
      </c>
      <c r="C730" s="11" t="s">
        <v>1817</v>
      </c>
      <c r="D730" s="117" t="str">
        <f t="shared" si="14"/>
        <v>C729-110-23</v>
      </c>
      <c r="E730" s="117" t="str">
        <f>VLOOKUP(Table2[[#This Row],[Location 
(drop-down)]],Table1[#All],3,FALSE)</f>
        <v>USNE, USMW &amp; Canada</v>
      </c>
      <c r="F730" s="197" t="s">
        <v>94</v>
      </c>
      <c r="G730" s="9" t="s">
        <v>1284</v>
      </c>
      <c r="H730" s="12">
        <v>45275</v>
      </c>
      <c r="I730" s="12" t="s">
        <v>129</v>
      </c>
      <c r="J730" s="91" t="s">
        <v>821</v>
      </c>
      <c r="K730" s="91">
        <v>45414</v>
      </c>
      <c r="L730" s="10" t="s">
        <v>97</v>
      </c>
      <c r="M730" s="10"/>
      <c r="N730" s="10"/>
      <c r="O730" s="10" t="s">
        <v>1818</v>
      </c>
    </row>
    <row r="731" spans="1:15" ht="37.5" x14ac:dyDescent="0.25">
      <c r="A731" s="9" t="s">
        <v>168</v>
      </c>
      <c r="B731" s="13">
        <f>VLOOKUP(Table2[[#This Row],[Location 
(drop-down)]],'List source'!D$2:E$59,2,FALSE)</f>
        <v>136</v>
      </c>
      <c r="C731" s="11" t="s">
        <v>1819</v>
      </c>
      <c r="D731" s="117" t="str">
        <f t="shared" ref="D731:D794" si="15">"C" &amp; C731 &amp; "-" &amp; B731 &amp; "-" &amp; "23"</f>
        <v>C730-136-23</v>
      </c>
      <c r="E731" s="117" t="str">
        <f>VLOOKUP(Table2[[#This Row],[Location 
(drop-down)]],Table1[#All],3,FALSE)</f>
        <v>SE &amp; Caribbean</v>
      </c>
      <c r="F731" s="197" t="s">
        <v>159</v>
      </c>
      <c r="G731" s="9" t="s">
        <v>1820</v>
      </c>
      <c r="H731" s="12">
        <v>45272</v>
      </c>
      <c r="I731" s="12" t="s">
        <v>129</v>
      </c>
      <c r="J731" s="91" t="s">
        <v>821</v>
      </c>
      <c r="K731" s="91">
        <v>45278</v>
      </c>
      <c r="L731" s="10" t="s">
        <v>97</v>
      </c>
      <c r="M731" s="10" t="s">
        <v>857</v>
      </c>
      <c r="N731" s="10" t="s">
        <v>858</v>
      </c>
      <c r="O731" s="10"/>
    </row>
    <row r="732" spans="1:15" ht="37.5" x14ac:dyDescent="0.25">
      <c r="A732" s="9" t="s">
        <v>1385</v>
      </c>
      <c r="B732" s="13">
        <f>VLOOKUP(Table2[[#This Row],[Location 
(drop-down)]],'List source'!D$2:E$59,2,FALSE)</f>
        <v>139</v>
      </c>
      <c r="C732" s="11" t="s">
        <v>1821</v>
      </c>
      <c r="D732" s="117" t="str">
        <f t="shared" si="15"/>
        <v>C731-139-23</v>
      </c>
      <c r="E732" s="117" t="str">
        <f>VLOOKUP(Table2[[#This Row],[Location 
(drop-down)]],Table1[#All],3,FALSE)</f>
        <v>SE &amp; Caribbean</v>
      </c>
      <c r="F732" s="197" t="s">
        <v>94</v>
      </c>
      <c r="G732" s="9" t="s">
        <v>1822</v>
      </c>
      <c r="H732" s="12">
        <v>45272</v>
      </c>
      <c r="I732" s="12" t="s">
        <v>440</v>
      </c>
      <c r="J732" s="91" t="s">
        <v>821</v>
      </c>
      <c r="K732" s="91">
        <v>45386</v>
      </c>
      <c r="L732" s="10" t="s">
        <v>97</v>
      </c>
      <c r="M732" s="10" t="s">
        <v>903</v>
      </c>
      <c r="N732" s="10" t="s">
        <v>822</v>
      </c>
      <c r="O732" s="10"/>
    </row>
    <row r="733" spans="1:15" ht="37.5" x14ac:dyDescent="0.25">
      <c r="A733" s="9" t="s">
        <v>1385</v>
      </c>
      <c r="B733" s="13">
        <f>VLOOKUP(Table2[[#This Row],[Location 
(drop-down)]],'List source'!D$2:E$59,2,FALSE)</f>
        <v>139</v>
      </c>
      <c r="C733" s="11" t="s">
        <v>1823</v>
      </c>
      <c r="D733" s="117" t="str">
        <f t="shared" si="15"/>
        <v>C732-139-23</v>
      </c>
      <c r="E733" s="117" t="str">
        <f>VLOOKUP(Table2[[#This Row],[Location 
(drop-down)]],Table1[#All],3,FALSE)</f>
        <v>SE &amp; Caribbean</v>
      </c>
      <c r="F733" s="197" t="s">
        <v>94</v>
      </c>
      <c r="G733" s="9" t="s">
        <v>1824</v>
      </c>
      <c r="H733" s="12">
        <v>45272</v>
      </c>
      <c r="I733" s="12" t="s">
        <v>440</v>
      </c>
      <c r="J733" s="91" t="s">
        <v>821</v>
      </c>
      <c r="K733" s="91">
        <v>45469</v>
      </c>
      <c r="L733" s="10" t="s">
        <v>97</v>
      </c>
      <c r="M733" s="10"/>
      <c r="N733" s="10"/>
      <c r="O733" s="10"/>
    </row>
    <row r="734" spans="1:15" ht="37.5" x14ac:dyDescent="0.25">
      <c r="A734" s="9" t="s">
        <v>1385</v>
      </c>
      <c r="B734" s="13">
        <f>VLOOKUP(Table2[[#This Row],[Location 
(drop-down)]],'List source'!D$2:E$59,2,FALSE)</f>
        <v>139</v>
      </c>
      <c r="C734" s="11" t="s">
        <v>1825</v>
      </c>
      <c r="D734" s="117" t="str">
        <f t="shared" si="15"/>
        <v>C733-139-23</v>
      </c>
      <c r="E734" s="117" t="str">
        <f>VLOOKUP(Table2[[#This Row],[Location 
(drop-down)]],Table1[#All],3,FALSE)</f>
        <v>SE &amp; Caribbean</v>
      </c>
      <c r="F734" s="197" t="s">
        <v>94</v>
      </c>
      <c r="G734" s="9" t="s">
        <v>1826</v>
      </c>
      <c r="H734" s="12">
        <v>45272</v>
      </c>
      <c r="I734" s="12" t="s">
        <v>440</v>
      </c>
      <c r="J734" s="91" t="s">
        <v>821</v>
      </c>
      <c r="K734" s="91">
        <v>45394</v>
      </c>
      <c r="L734" s="10" t="s">
        <v>97</v>
      </c>
      <c r="M734" s="10" t="s">
        <v>857</v>
      </c>
      <c r="N734" s="10" t="s">
        <v>837</v>
      </c>
      <c r="O734" s="10"/>
    </row>
    <row r="735" spans="1:15" ht="37.5" x14ac:dyDescent="0.25">
      <c r="A735" s="9" t="s">
        <v>1385</v>
      </c>
      <c r="B735" s="13">
        <f>VLOOKUP(Table2[[#This Row],[Location 
(drop-down)]],'List source'!D$2:E$59,2,FALSE)</f>
        <v>139</v>
      </c>
      <c r="C735" s="11" t="s">
        <v>1827</v>
      </c>
      <c r="D735" s="117" t="str">
        <f t="shared" si="15"/>
        <v>C734-139-23</v>
      </c>
      <c r="E735" s="117" t="str">
        <f>VLOOKUP(Table2[[#This Row],[Location 
(drop-down)]],Table1[#All],3,FALSE)</f>
        <v>SE &amp; Caribbean</v>
      </c>
      <c r="F735" s="197" t="s">
        <v>94</v>
      </c>
      <c r="G735" s="9" t="s">
        <v>1828</v>
      </c>
      <c r="H735" s="12">
        <v>45272</v>
      </c>
      <c r="I735" s="12" t="s">
        <v>440</v>
      </c>
      <c r="J735" s="91" t="s">
        <v>1569</v>
      </c>
      <c r="K735" s="91">
        <v>45473</v>
      </c>
      <c r="L735" s="10" t="s">
        <v>147</v>
      </c>
      <c r="M735" s="10"/>
      <c r="N735" s="10"/>
      <c r="O735" s="10"/>
    </row>
    <row r="736" spans="1:15" ht="37.5" x14ac:dyDescent="0.25">
      <c r="A736" s="9" t="s">
        <v>1385</v>
      </c>
      <c r="B736" s="13">
        <f>VLOOKUP(Table2[[#This Row],[Location 
(drop-down)]],'List source'!D$2:E$59,2,FALSE)</f>
        <v>139</v>
      </c>
      <c r="C736" s="11" t="s">
        <v>1829</v>
      </c>
      <c r="D736" s="117" t="str">
        <f t="shared" si="15"/>
        <v>C735-139-23</v>
      </c>
      <c r="E736" s="117" t="str">
        <f>VLOOKUP(Table2[[#This Row],[Location 
(drop-down)]],Table1[#All],3,FALSE)</f>
        <v>SE &amp; Caribbean</v>
      </c>
      <c r="F736" s="197" t="s">
        <v>94</v>
      </c>
      <c r="G736" s="9" t="s">
        <v>1830</v>
      </c>
      <c r="H736" s="12">
        <v>45272</v>
      </c>
      <c r="I736" s="12" t="s">
        <v>440</v>
      </c>
      <c r="J736" s="91">
        <v>45435</v>
      </c>
      <c r="K736" s="91">
        <v>45435</v>
      </c>
      <c r="L736" s="10" t="s">
        <v>97</v>
      </c>
      <c r="M736" s="10" t="s">
        <v>914</v>
      </c>
      <c r="N736" s="10" t="s">
        <v>837</v>
      </c>
      <c r="O736" s="10"/>
    </row>
    <row r="737" spans="1:15" ht="37.5" x14ac:dyDescent="0.25">
      <c r="A737" s="9" t="s">
        <v>131</v>
      </c>
      <c r="B737" s="13" t="str">
        <f>VLOOKUP(Table2[[#This Row],[Location 
(drop-down)]],'List source'!D$2:E$59,2,FALSE)</f>
        <v>VOID</v>
      </c>
      <c r="C737" s="11" t="s">
        <v>1831</v>
      </c>
      <c r="D737" s="117" t="str">
        <f t="shared" si="15"/>
        <v>C736-VOID-23</v>
      </c>
      <c r="E737" s="117" t="str">
        <f>VLOOKUP(Table2[[#This Row],[Location 
(drop-down)]],Table1[#All],3,FALSE)</f>
        <v>VOID</v>
      </c>
      <c r="F737" s="197" t="s">
        <v>50</v>
      </c>
      <c r="G737" s="9" t="s">
        <v>1832</v>
      </c>
      <c r="H737" s="12" t="s">
        <v>50</v>
      </c>
      <c r="I737" s="12" t="s">
        <v>50</v>
      </c>
      <c r="J737" s="91" t="s">
        <v>50</v>
      </c>
      <c r="K737" s="91" t="s">
        <v>50</v>
      </c>
      <c r="L737" s="10" t="s">
        <v>50</v>
      </c>
      <c r="M737" s="10" t="s">
        <v>50</v>
      </c>
      <c r="N737" s="10" t="s">
        <v>50</v>
      </c>
      <c r="O737" s="10"/>
    </row>
    <row r="738" spans="1:15" ht="37.5" x14ac:dyDescent="0.25">
      <c r="A738" s="9" t="s">
        <v>1385</v>
      </c>
      <c r="B738" s="13">
        <f>VLOOKUP(Table2[[#This Row],[Location 
(drop-down)]],'List source'!D$2:E$59,2,FALSE)</f>
        <v>139</v>
      </c>
      <c r="C738" s="11" t="s">
        <v>1833</v>
      </c>
      <c r="D738" s="117" t="str">
        <f t="shared" si="15"/>
        <v>C737-139-23</v>
      </c>
      <c r="E738" s="117" t="str">
        <f>VLOOKUP(Table2[[#This Row],[Location 
(drop-down)]],Table1[#All],3,FALSE)</f>
        <v>SE &amp; Caribbean</v>
      </c>
      <c r="F738" s="197" t="s">
        <v>94</v>
      </c>
      <c r="G738" s="9" t="s">
        <v>1834</v>
      </c>
      <c r="H738" s="12">
        <v>45272</v>
      </c>
      <c r="I738" s="12" t="s">
        <v>440</v>
      </c>
      <c r="J738" s="91" t="s">
        <v>1569</v>
      </c>
      <c r="K738" s="91">
        <v>45473</v>
      </c>
      <c r="L738" s="10" t="s">
        <v>97</v>
      </c>
      <c r="M738" s="10"/>
      <c r="N738" s="10"/>
      <c r="O738" s="10"/>
    </row>
    <row r="739" spans="1:15" ht="30" x14ac:dyDescent="0.25">
      <c r="A739" s="9" t="s">
        <v>22</v>
      </c>
      <c r="B739" s="13">
        <f>VLOOKUP(Table2[[#This Row],[Location 
(drop-down)]],'List source'!D$2:E$59,2,FALSE)</f>
        <v>130</v>
      </c>
      <c r="C739" s="11" t="s">
        <v>1835</v>
      </c>
      <c r="D739" s="117" t="str">
        <f t="shared" si="15"/>
        <v>C738-130-23</v>
      </c>
      <c r="E739" s="117" t="str">
        <f>VLOOKUP(Table2[[#This Row],[Location 
(drop-down)]],Table1[#All],3,FALSE)</f>
        <v>USWC</v>
      </c>
      <c r="F739" s="197" t="s">
        <v>935</v>
      </c>
      <c r="G739" s="9" t="s">
        <v>1836</v>
      </c>
      <c r="H739" s="12">
        <v>45268</v>
      </c>
      <c r="I739" s="12" t="s">
        <v>443</v>
      </c>
      <c r="J739" s="91" t="s">
        <v>821</v>
      </c>
      <c r="K739" s="91">
        <v>45310</v>
      </c>
      <c r="L739" s="10"/>
      <c r="M739" s="10"/>
      <c r="N739" s="10"/>
      <c r="O739" s="10"/>
    </row>
    <row r="740" spans="1:15" ht="30" x14ac:dyDescent="0.25">
      <c r="A740" s="9" t="s">
        <v>22</v>
      </c>
      <c r="B740" s="13">
        <f>VLOOKUP(Table2[[#This Row],[Location 
(drop-down)]],'List source'!D$2:E$59,2,FALSE)</f>
        <v>130</v>
      </c>
      <c r="C740" s="11" t="s">
        <v>1837</v>
      </c>
      <c r="D740" s="117" t="str">
        <f t="shared" si="15"/>
        <v>C739-130-23</v>
      </c>
      <c r="E740" s="117" t="str">
        <f>VLOOKUP(Table2[[#This Row],[Location 
(drop-down)]],Table1[#All],3,FALSE)</f>
        <v>USWC</v>
      </c>
      <c r="F740" s="197" t="s">
        <v>935</v>
      </c>
      <c r="G740" s="9" t="s">
        <v>1838</v>
      </c>
      <c r="H740" s="12">
        <v>45268</v>
      </c>
      <c r="I740" s="12" t="s">
        <v>443</v>
      </c>
      <c r="J740" s="91" t="s">
        <v>821</v>
      </c>
      <c r="K740" s="91">
        <v>45317</v>
      </c>
      <c r="L740" s="10"/>
      <c r="M740" s="10"/>
      <c r="N740" s="10"/>
      <c r="O740" s="10"/>
    </row>
    <row r="741" spans="1:15" ht="30" x14ac:dyDescent="0.25">
      <c r="A741" s="9" t="s">
        <v>22</v>
      </c>
      <c r="B741" s="13">
        <f>VLOOKUP(Table2[[#This Row],[Location 
(drop-down)]],'List source'!D$2:E$59,2,FALSE)</f>
        <v>130</v>
      </c>
      <c r="C741" s="11" t="s">
        <v>1839</v>
      </c>
      <c r="D741" s="117" t="str">
        <f t="shared" si="15"/>
        <v>C740-130-23</v>
      </c>
      <c r="E741" s="117" t="str">
        <f>VLOOKUP(Table2[[#This Row],[Location 
(drop-down)]],Table1[#All],3,FALSE)</f>
        <v>USWC</v>
      </c>
      <c r="F741" s="197" t="s">
        <v>935</v>
      </c>
      <c r="G741" s="9" t="s">
        <v>1840</v>
      </c>
      <c r="H741" s="12">
        <v>45268</v>
      </c>
      <c r="I741" s="12" t="s">
        <v>443</v>
      </c>
      <c r="J741" s="91" t="s">
        <v>821</v>
      </c>
      <c r="K741" s="91">
        <v>45317</v>
      </c>
      <c r="L741" s="10"/>
      <c r="M741" s="10"/>
      <c r="N741" s="10"/>
      <c r="O741" s="10"/>
    </row>
    <row r="742" spans="1:15" ht="30" x14ac:dyDescent="0.25">
      <c r="A742" s="9" t="s">
        <v>22</v>
      </c>
      <c r="B742" s="13">
        <f>VLOOKUP(Table2[[#This Row],[Location 
(drop-down)]],'List source'!D$2:E$59,2,FALSE)</f>
        <v>130</v>
      </c>
      <c r="C742" s="11" t="s">
        <v>1841</v>
      </c>
      <c r="D742" s="117" t="str">
        <f t="shared" si="15"/>
        <v>C741-130-23</v>
      </c>
      <c r="E742" s="117" t="str">
        <f>VLOOKUP(Table2[[#This Row],[Location 
(drop-down)]],Table1[#All],3,FALSE)</f>
        <v>USWC</v>
      </c>
      <c r="F742" s="197" t="s">
        <v>935</v>
      </c>
      <c r="G742" s="9" t="s">
        <v>1842</v>
      </c>
      <c r="H742" s="12">
        <v>45268</v>
      </c>
      <c r="I742" s="12" t="s">
        <v>443</v>
      </c>
      <c r="J742" s="91" t="s">
        <v>821</v>
      </c>
      <c r="K742" s="91">
        <v>45306</v>
      </c>
      <c r="L742" s="10" t="s">
        <v>97</v>
      </c>
      <c r="M742" s="10" t="s">
        <v>862</v>
      </c>
      <c r="N742" s="10" t="s">
        <v>822</v>
      </c>
      <c r="O742" s="10"/>
    </row>
    <row r="743" spans="1:15" ht="30" x14ac:dyDescent="0.25">
      <c r="A743" s="9" t="s">
        <v>27</v>
      </c>
      <c r="B743" s="13">
        <f>VLOOKUP(Table2[[#This Row],[Location 
(drop-down)]],'List source'!D$2:E$59,2,FALSE)</f>
        <v>132</v>
      </c>
      <c r="C743" s="11" t="s">
        <v>1843</v>
      </c>
      <c r="D743" s="304" t="str">
        <f t="shared" si="15"/>
        <v>C742-132-23</v>
      </c>
      <c r="E743" s="117" t="str">
        <f>VLOOKUP(Table2[[#This Row],[Location 
(drop-down)]],Table1[#All],3,FALSE)</f>
        <v>USWC</v>
      </c>
      <c r="F743" s="197" t="s">
        <v>935</v>
      </c>
      <c r="G743" s="9" t="s">
        <v>1844</v>
      </c>
      <c r="H743" s="12">
        <v>45273</v>
      </c>
      <c r="I743" s="12" t="s">
        <v>443</v>
      </c>
      <c r="J743" s="91" t="s">
        <v>821</v>
      </c>
      <c r="K743" s="305">
        <v>45314</v>
      </c>
      <c r="L743" s="10"/>
      <c r="M743" s="10"/>
      <c r="N743" s="10"/>
      <c r="O743" s="10"/>
    </row>
    <row r="744" spans="1:15" ht="30" x14ac:dyDescent="0.25">
      <c r="A744" s="9" t="s">
        <v>27</v>
      </c>
      <c r="B744" s="13">
        <f>VLOOKUP(Table2[[#This Row],[Location 
(drop-down)]],'List source'!D$2:E$59,2,FALSE)</f>
        <v>132</v>
      </c>
      <c r="C744" s="11" t="s">
        <v>1845</v>
      </c>
      <c r="D744" s="117" t="str">
        <f t="shared" si="15"/>
        <v>C743-132-23</v>
      </c>
      <c r="E744" s="117" t="str">
        <f>VLOOKUP(Table2[[#This Row],[Location 
(drop-down)]],Table1[#All],3,FALSE)</f>
        <v>USWC</v>
      </c>
      <c r="F744" s="197" t="s">
        <v>935</v>
      </c>
      <c r="G744" s="9" t="s">
        <v>1846</v>
      </c>
      <c r="H744" s="12">
        <v>45273</v>
      </c>
      <c r="I744" s="12" t="s">
        <v>443</v>
      </c>
      <c r="J744" s="91" t="s">
        <v>821</v>
      </c>
      <c r="K744" s="91">
        <v>45320</v>
      </c>
      <c r="L744" s="10"/>
      <c r="M744" s="10"/>
      <c r="N744" s="10"/>
      <c r="O744" s="10"/>
    </row>
    <row r="745" spans="1:15" ht="30" x14ac:dyDescent="0.25">
      <c r="A745" s="9" t="s">
        <v>27</v>
      </c>
      <c r="B745" s="13">
        <f>VLOOKUP(Table2[[#This Row],[Location 
(drop-down)]],'List source'!D$2:E$59,2,FALSE)</f>
        <v>132</v>
      </c>
      <c r="C745" s="11" t="s">
        <v>1847</v>
      </c>
      <c r="D745" s="117" t="str">
        <f t="shared" si="15"/>
        <v>C744-132-23</v>
      </c>
      <c r="E745" s="117" t="str">
        <f>VLOOKUP(Table2[[#This Row],[Location 
(drop-down)]],Table1[#All],3,FALSE)</f>
        <v>USWC</v>
      </c>
      <c r="F745" s="197" t="s">
        <v>935</v>
      </c>
      <c r="G745" s="9" t="s">
        <v>1848</v>
      </c>
      <c r="H745" s="12">
        <v>45273</v>
      </c>
      <c r="I745" s="12" t="s">
        <v>443</v>
      </c>
      <c r="J745" s="91" t="s">
        <v>821</v>
      </c>
      <c r="K745" s="91">
        <v>45317</v>
      </c>
      <c r="L745" s="10"/>
      <c r="M745" s="10"/>
      <c r="N745" s="10"/>
      <c r="O745" s="10"/>
    </row>
    <row r="746" spans="1:15" ht="30" x14ac:dyDescent="0.25">
      <c r="A746" s="9" t="s">
        <v>174</v>
      </c>
      <c r="B746" s="13">
        <f>VLOOKUP(Table2[[#This Row],[Location 
(drop-down)]],'List source'!D$2:E$59,2,FALSE)</f>
        <v>131</v>
      </c>
      <c r="C746" s="11" t="s">
        <v>1849</v>
      </c>
      <c r="D746" s="117" t="str">
        <f t="shared" si="15"/>
        <v>C745-131-23</v>
      </c>
      <c r="E746" s="117" t="str">
        <f>VLOOKUP(Table2[[#This Row],[Location 
(drop-down)]],Table1[#All],3,FALSE)</f>
        <v>USWC</v>
      </c>
      <c r="F746" s="197" t="s">
        <v>269</v>
      </c>
      <c r="G746" s="9" t="s">
        <v>1850</v>
      </c>
      <c r="H746" s="12">
        <v>45279</v>
      </c>
      <c r="I746" s="12" t="s">
        <v>129</v>
      </c>
      <c r="J746" s="91" t="s">
        <v>821</v>
      </c>
      <c r="K746" s="91">
        <v>45294</v>
      </c>
      <c r="L746" s="10" t="s">
        <v>147</v>
      </c>
      <c r="M746" s="10" t="s">
        <v>862</v>
      </c>
      <c r="N746" s="10" t="s">
        <v>858</v>
      </c>
      <c r="O746" s="10" t="s">
        <v>1851</v>
      </c>
    </row>
    <row r="747" spans="1:15" ht="30" x14ac:dyDescent="0.25">
      <c r="A747" s="9" t="s">
        <v>22</v>
      </c>
      <c r="B747" s="13">
        <f>VLOOKUP(Table2[[#This Row],[Location 
(drop-down)]],'List source'!D$2:E$59,2,FALSE)</f>
        <v>130</v>
      </c>
      <c r="C747" s="11" t="s">
        <v>1852</v>
      </c>
      <c r="D747" s="117" t="str">
        <f t="shared" si="15"/>
        <v>C746-130-23</v>
      </c>
      <c r="E747" s="117" t="str">
        <f>VLOOKUP(Table2[[#This Row],[Location 
(drop-down)]],Table1[#All],3,FALSE)</f>
        <v>USWC</v>
      </c>
      <c r="F747" s="197" t="s">
        <v>935</v>
      </c>
      <c r="G747" s="9" t="s">
        <v>1853</v>
      </c>
      <c r="H747" s="12">
        <v>45258</v>
      </c>
      <c r="I747" s="12" t="s">
        <v>435</v>
      </c>
      <c r="J747" s="91" t="s">
        <v>821</v>
      </c>
      <c r="K747" s="91">
        <v>45280</v>
      </c>
      <c r="L747" s="10" t="s">
        <v>97</v>
      </c>
      <c r="M747" s="10" t="s">
        <v>857</v>
      </c>
      <c r="N747" s="10" t="s">
        <v>858</v>
      </c>
      <c r="O747" s="10"/>
    </row>
    <row r="748" spans="1:15" ht="30" x14ac:dyDescent="0.25">
      <c r="A748" s="349" t="s">
        <v>22</v>
      </c>
      <c r="B748" s="350">
        <f>VLOOKUP(Table2[[#This Row],[Location 
(drop-down)]],'List source'!D$2:E$59,2,FALSE)</f>
        <v>130</v>
      </c>
      <c r="C748" s="351" t="s">
        <v>1854</v>
      </c>
      <c r="D748" s="319" t="str">
        <f t="shared" si="15"/>
        <v>C747-130-23</v>
      </c>
      <c r="E748" s="319" t="str">
        <f>VLOOKUP(Table2[[#This Row],[Location 
(drop-down)]],Table1[#All],3,FALSE)</f>
        <v>USWC</v>
      </c>
      <c r="F748" s="369" t="s">
        <v>935</v>
      </c>
      <c r="G748" s="349" t="s">
        <v>1855</v>
      </c>
      <c r="H748" s="352">
        <v>45258</v>
      </c>
      <c r="I748" s="352" t="s">
        <v>435</v>
      </c>
      <c r="J748" s="318">
        <v>45295</v>
      </c>
      <c r="K748" s="318">
        <v>45509</v>
      </c>
      <c r="L748" s="10" t="s">
        <v>97</v>
      </c>
      <c r="M748" s="10" t="s">
        <v>857</v>
      </c>
      <c r="N748" s="10" t="s">
        <v>858</v>
      </c>
      <c r="O748" s="10"/>
    </row>
    <row r="749" spans="1:15" ht="30" x14ac:dyDescent="0.25">
      <c r="A749" s="9" t="s">
        <v>22</v>
      </c>
      <c r="B749" s="13">
        <f>VLOOKUP(Table2[[#This Row],[Location 
(drop-down)]],'List source'!D$2:E$59,2,FALSE)</f>
        <v>130</v>
      </c>
      <c r="C749" s="11" t="s">
        <v>1856</v>
      </c>
      <c r="D749" s="117" t="str">
        <f t="shared" si="15"/>
        <v>C748-130-23</v>
      </c>
      <c r="E749" s="117" t="str">
        <f>VLOOKUP(Table2[[#This Row],[Location 
(drop-down)]],Table1[#All],3,FALSE)</f>
        <v>USWC</v>
      </c>
      <c r="F749" s="197" t="s">
        <v>935</v>
      </c>
      <c r="G749" s="9" t="s">
        <v>1857</v>
      </c>
      <c r="H749" s="12">
        <v>45258</v>
      </c>
      <c r="I749" s="12" t="s">
        <v>435</v>
      </c>
      <c r="J749" s="91" t="s">
        <v>821</v>
      </c>
      <c r="K749" s="91">
        <v>45281</v>
      </c>
      <c r="L749" s="10" t="s">
        <v>97</v>
      </c>
      <c r="M749" s="10" t="s">
        <v>857</v>
      </c>
      <c r="N749" s="10" t="s">
        <v>822</v>
      </c>
      <c r="O749" s="10"/>
    </row>
    <row r="750" spans="1:15" ht="37.5" x14ac:dyDescent="0.25">
      <c r="A750" s="9" t="s">
        <v>324</v>
      </c>
      <c r="B750" s="13">
        <f>VLOOKUP(Table2[[#This Row],[Location 
(drop-down)]],'List source'!D$2:E$59,2,FALSE)</f>
        <v>170</v>
      </c>
      <c r="C750" s="11" t="s">
        <v>1858</v>
      </c>
      <c r="D750" s="117" t="str">
        <f t="shared" si="15"/>
        <v>C749-170-23</v>
      </c>
      <c r="E750" s="117" t="str">
        <f>VLOOKUP(Table2[[#This Row],[Location 
(drop-down)]],Table1[#All],3,FALSE)</f>
        <v>SE &amp; Caribbean</v>
      </c>
      <c r="F750" s="197" t="s">
        <v>852</v>
      </c>
      <c r="G750" s="9" t="s">
        <v>1859</v>
      </c>
      <c r="H750" s="12">
        <v>45287</v>
      </c>
      <c r="I750" s="12" t="s">
        <v>875</v>
      </c>
      <c r="J750" s="91" t="s">
        <v>821</v>
      </c>
      <c r="K750" s="91">
        <v>45310</v>
      </c>
      <c r="L750" s="10" t="s">
        <v>97</v>
      </c>
      <c r="M750" s="10" t="s">
        <v>854</v>
      </c>
      <c r="N750" s="10" t="s">
        <v>822</v>
      </c>
      <c r="O750" s="10" t="s">
        <v>1860</v>
      </c>
    </row>
    <row r="751" spans="1:15" ht="18.75" x14ac:dyDescent="0.25">
      <c r="A751" s="9" t="s">
        <v>61</v>
      </c>
      <c r="B751" s="13">
        <f>VLOOKUP(Table2[[#This Row],[Location 
(drop-down)]],'List source'!D$2:E$59,2,FALSE)</f>
        <v>120</v>
      </c>
      <c r="C751" s="11" t="s">
        <v>1861</v>
      </c>
      <c r="D751" s="117" t="str">
        <f t="shared" si="15"/>
        <v>C750-120-23</v>
      </c>
      <c r="E751" s="117" t="str">
        <f>VLOOKUP(Table2[[#This Row],[Location 
(drop-down)]],Table1[#All],3,FALSE)</f>
        <v>USGC</v>
      </c>
      <c r="F751" s="197" t="s">
        <v>159</v>
      </c>
      <c r="G751" s="9" t="s">
        <v>1862</v>
      </c>
      <c r="H751" s="12">
        <v>45293</v>
      </c>
      <c r="I751" s="12" t="s">
        <v>161</v>
      </c>
      <c r="J751" s="91" t="s">
        <v>821</v>
      </c>
      <c r="K751" s="91">
        <v>45330</v>
      </c>
      <c r="L751" s="10" t="s">
        <v>97</v>
      </c>
      <c r="M751" s="10"/>
      <c r="N751" s="10"/>
      <c r="O751" s="10"/>
    </row>
    <row r="752" spans="1:15" ht="30" x14ac:dyDescent="0.25">
      <c r="A752" s="9" t="s">
        <v>61</v>
      </c>
      <c r="B752" s="13">
        <f>VLOOKUP(Table2[[#This Row],[Location 
(drop-down)]],'List source'!D$2:E$59,2,FALSE)</f>
        <v>120</v>
      </c>
      <c r="C752" s="11" t="s">
        <v>1863</v>
      </c>
      <c r="D752" s="117" t="str">
        <f t="shared" si="15"/>
        <v>C751-120-23</v>
      </c>
      <c r="E752" s="117" t="str">
        <f>VLOOKUP(Table2[[#This Row],[Location 
(drop-down)]],Table1[#All],3,FALSE)</f>
        <v>USGC</v>
      </c>
      <c r="F752" s="197" t="s">
        <v>159</v>
      </c>
      <c r="G752" s="9" t="s">
        <v>1864</v>
      </c>
      <c r="H752" s="12">
        <v>45293</v>
      </c>
      <c r="I752" s="12" t="s">
        <v>161</v>
      </c>
      <c r="J752" s="91" t="s">
        <v>821</v>
      </c>
      <c r="K752" s="91">
        <v>45330</v>
      </c>
      <c r="L752" s="10" t="s">
        <v>97</v>
      </c>
      <c r="M752" s="10"/>
      <c r="N752" s="10"/>
      <c r="O752" s="10"/>
    </row>
    <row r="753" spans="1:15" ht="30" x14ac:dyDescent="0.25">
      <c r="A753" s="9" t="s">
        <v>61</v>
      </c>
      <c r="B753" s="13">
        <f>VLOOKUP(Table2[[#This Row],[Location 
(drop-down)]],'List source'!D$2:E$59,2,FALSE)</f>
        <v>120</v>
      </c>
      <c r="C753" s="11" t="s">
        <v>1865</v>
      </c>
      <c r="D753" s="117" t="str">
        <f t="shared" si="15"/>
        <v>C752-120-23</v>
      </c>
      <c r="E753" s="117" t="str">
        <f>VLOOKUP(Table2[[#This Row],[Location 
(drop-down)]],Table1[#All],3,FALSE)</f>
        <v>USGC</v>
      </c>
      <c r="F753" s="197" t="s">
        <v>159</v>
      </c>
      <c r="G753" s="9" t="s">
        <v>1866</v>
      </c>
      <c r="H753" s="12">
        <v>45293</v>
      </c>
      <c r="I753" s="12" t="s">
        <v>161</v>
      </c>
      <c r="J753" s="91" t="s">
        <v>821</v>
      </c>
      <c r="K753" s="91">
        <v>45330</v>
      </c>
      <c r="L753" s="10" t="s">
        <v>97</v>
      </c>
      <c r="M753" s="10"/>
      <c r="N753" s="10"/>
      <c r="O753" s="10"/>
    </row>
    <row r="754" spans="1:15" ht="18.75" x14ac:dyDescent="0.25">
      <c r="A754" s="9" t="s">
        <v>61</v>
      </c>
      <c r="B754" s="13">
        <f>VLOOKUP(Table2[[#This Row],[Location 
(drop-down)]],'List source'!D$2:E$59,2,FALSE)</f>
        <v>120</v>
      </c>
      <c r="C754" s="11" t="s">
        <v>1867</v>
      </c>
      <c r="D754" s="117" t="str">
        <f t="shared" si="15"/>
        <v>C753-120-23</v>
      </c>
      <c r="E754" s="117" t="str">
        <f>VLOOKUP(Table2[[#This Row],[Location 
(drop-down)]],Table1[#All],3,FALSE)</f>
        <v>USGC</v>
      </c>
      <c r="F754" s="197" t="s">
        <v>159</v>
      </c>
      <c r="G754" s="9" t="s">
        <v>1868</v>
      </c>
      <c r="H754" s="12">
        <v>45293</v>
      </c>
      <c r="I754" s="12" t="s">
        <v>161</v>
      </c>
      <c r="J754" s="91" t="s">
        <v>821</v>
      </c>
      <c r="K754" s="91">
        <v>45330</v>
      </c>
      <c r="L754" s="10" t="s">
        <v>97</v>
      </c>
      <c r="M754" s="10"/>
      <c r="N754" s="10"/>
      <c r="O754" s="10"/>
    </row>
    <row r="755" spans="1:15" ht="47.1" customHeight="1" x14ac:dyDescent="0.25">
      <c r="A755" s="9" t="s">
        <v>61</v>
      </c>
      <c r="B755" s="13">
        <f>VLOOKUP(Table2[[#This Row],[Location 
(drop-down)]],'List source'!D$2:E$59,2,FALSE)</f>
        <v>120</v>
      </c>
      <c r="C755" s="11" t="s">
        <v>1869</v>
      </c>
      <c r="D755" s="117" t="str">
        <f t="shared" si="15"/>
        <v>C754-120-23</v>
      </c>
      <c r="E755" s="117" t="str">
        <f>VLOOKUP(Table2[[#This Row],[Location 
(drop-down)]],Table1[#All],3,FALSE)</f>
        <v>USGC</v>
      </c>
      <c r="F755" s="197" t="s">
        <v>159</v>
      </c>
      <c r="G755" s="9" t="s">
        <v>1870</v>
      </c>
      <c r="H755" s="12">
        <v>45293</v>
      </c>
      <c r="I755" s="12" t="s">
        <v>161</v>
      </c>
      <c r="J755" s="91" t="s">
        <v>821</v>
      </c>
      <c r="K755" s="91">
        <v>45330</v>
      </c>
      <c r="L755" s="10" t="s">
        <v>97</v>
      </c>
      <c r="M755" s="10"/>
      <c r="N755" s="10"/>
      <c r="O755" s="10"/>
    </row>
    <row r="756" spans="1:15" ht="37.5" x14ac:dyDescent="0.25">
      <c r="A756" s="9" t="s">
        <v>331</v>
      </c>
      <c r="B756" s="13">
        <f>VLOOKUP(Table2[[#This Row],[Location 
(drop-down)]],'List source'!D$2:E$59,2,FALSE)</f>
        <v>146</v>
      </c>
      <c r="C756" s="11" t="s">
        <v>1871</v>
      </c>
      <c r="D756" s="117" t="str">
        <f t="shared" si="15"/>
        <v>C755-146-23</v>
      </c>
      <c r="E756" s="117" t="str">
        <f>VLOOKUP(Table2[[#This Row],[Location 
(drop-down)]],Table1[#All],3,FALSE)</f>
        <v>SE &amp; Caribbean</v>
      </c>
      <c r="F756" s="197" t="s">
        <v>159</v>
      </c>
      <c r="G756" s="9" t="s">
        <v>1872</v>
      </c>
      <c r="H756" s="12">
        <v>45293</v>
      </c>
      <c r="I756" s="12" t="s">
        <v>129</v>
      </c>
      <c r="J756" s="91" t="s">
        <v>821</v>
      </c>
      <c r="K756" s="91">
        <v>45296</v>
      </c>
      <c r="L756" s="10" t="s">
        <v>147</v>
      </c>
      <c r="M756" s="10" t="s">
        <v>862</v>
      </c>
      <c r="N756" s="10" t="s">
        <v>858</v>
      </c>
      <c r="O756" s="10"/>
    </row>
    <row r="757" spans="1:15" ht="37.5" x14ac:dyDescent="0.25">
      <c r="A757" s="9" t="s">
        <v>331</v>
      </c>
      <c r="B757" s="13">
        <f>VLOOKUP(Table2[[#This Row],[Location 
(drop-down)]],'List source'!D$2:E$59,2,FALSE)</f>
        <v>146</v>
      </c>
      <c r="C757" s="11" t="s">
        <v>1873</v>
      </c>
      <c r="D757" s="117" t="str">
        <f t="shared" si="15"/>
        <v>C756-146-23</v>
      </c>
      <c r="E757" s="117" t="str">
        <f>VLOOKUP(Table2[[#This Row],[Location 
(drop-down)]],Table1[#All],3,FALSE)</f>
        <v>SE &amp; Caribbean</v>
      </c>
      <c r="F757" s="197" t="s">
        <v>159</v>
      </c>
      <c r="G757" s="9" t="s">
        <v>1874</v>
      </c>
      <c r="H757" s="12">
        <v>45293</v>
      </c>
      <c r="I757" s="12" t="s">
        <v>129</v>
      </c>
      <c r="J757" s="91" t="s">
        <v>821</v>
      </c>
      <c r="K757" s="91">
        <v>45296</v>
      </c>
      <c r="L757" s="10" t="s">
        <v>147</v>
      </c>
      <c r="M757" s="10" t="s">
        <v>862</v>
      </c>
      <c r="N757" s="10" t="s">
        <v>822</v>
      </c>
      <c r="O757" s="10"/>
    </row>
    <row r="758" spans="1:15" ht="37.5" x14ac:dyDescent="0.25">
      <c r="A758" s="9" t="s">
        <v>331</v>
      </c>
      <c r="B758" s="13">
        <f>VLOOKUP(Table2[[#This Row],[Location 
(drop-down)]],'List source'!D$2:E$59,2,FALSE)</f>
        <v>146</v>
      </c>
      <c r="C758" s="11" t="s">
        <v>1875</v>
      </c>
      <c r="D758" s="117" t="str">
        <f t="shared" si="15"/>
        <v>C757-146-23</v>
      </c>
      <c r="E758" s="117" t="str">
        <f>VLOOKUP(Table2[[#This Row],[Location 
(drop-down)]],Table1[#All],3,FALSE)</f>
        <v>SE &amp; Caribbean</v>
      </c>
      <c r="F758" s="197" t="s">
        <v>159</v>
      </c>
      <c r="G758" s="9" t="s">
        <v>1876</v>
      </c>
      <c r="H758" s="12">
        <v>45293</v>
      </c>
      <c r="I758" s="12" t="s">
        <v>129</v>
      </c>
      <c r="J758" s="91" t="s">
        <v>821</v>
      </c>
      <c r="K758" s="91">
        <v>45300</v>
      </c>
      <c r="L758" s="10" t="s">
        <v>147</v>
      </c>
      <c r="M758" s="10" t="s">
        <v>862</v>
      </c>
      <c r="N758" s="10" t="s">
        <v>822</v>
      </c>
      <c r="O758" s="10"/>
    </row>
    <row r="759" spans="1:15" ht="37.5" x14ac:dyDescent="0.25">
      <c r="A759" s="9" t="s">
        <v>331</v>
      </c>
      <c r="B759" s="13">
        <f>VLOOKUP(Table2[[#This Row],[Location 
(drop-down)]],'List source'!D$2:E$59,2,FALSE)</f>
        <v>146</v>
      </c>
      <c r="C759" s="11" t="s">
        <v>1877</v>
      </c>
      <c r="D759" s="117" t="str">
        <f t="shared" si="15"/>
        <v>C758-146-23</v>
      </c>
      <c r="E759" s="117" t="str">
        <f>VLOOKUP(Table2[[#This Row],[Location 
(drop-down)]],Table1[#All],3,FALSE)</f>
        <v>SE &amp; Caribbean</v>
      </c>
      <c r="F759" s="197" t="s">
        <v>159</v>
      </c>
      <c r="G759" s="9" t="s">
        <v>1878</v>
      </c>
      <c r="H759" s="12">
        <v>45293</v>
      </c>
      <c r="I759" s="12" t="s">
        <v>129</v>
      </c>
      <c r="J759" s="91" t="s">
        <v>821</v>
      </c>
      <c r="K759" s="91">
        <v>45296</v>
      </c>
      <c r="L759" s="10" t="s">
        <v>147</v>
      </c>
      <c r="M759" s="10" t="s">
        <v>862</v>
      </c>
      <c r="N759" s="10" t="s">
        <v>822</v>
      </c>
      <c r="O759" s="10"/>
    </row>
    <row r="760" spans="1:15" ht="37.5" x14ac:dyDescent="0.25">
      <c r="A760" s="9" t="s">
        <v>324</v>
      </c>
      <c r="B760" s="13">
        <f>VLOOKUP(Table2[[#This Row],[Location 
(drop-down)]],'List source'!D$2:E$59,2,FALSE)</f>
        <v>170</v>
      </c>
      <c r="C760" s="11" t="s">
        <v>1879</v>
      </c>
      <c r="D760" s="117" t="str">
        <f t="shared" si="15"/>
        <v>C759-170-23</v>
      </c>
      <c r="E760" s="117" t="str">
        <f>VLOOKUP(Table2[[#This Row],[Location 
(drop-down)]],Table1[#All],3,FALSE)</f>
        <v>SE &amp; Caribbean</v>
      </c>
      <c r="F760" s="197" t="s">
        <v>269</v>
      </c>
      <c r="G760" s="107" t="s">
        <v>1880</v>
      </c>
      <c r="H760" s="12">
        <v>45295</v>
      </c>
      <c r="I760" s="12" t="s">
        <v>875</v>
      </c>
      <c r="J760" s="91" t="s">
        <v>821</v>
      </c>
      <c r="K760" s="91">
        <v>45342</v>
      </c>
      <c r="L760" s="10" t="s">
        <v>147</v>
      </c>
      <c r="M760" s="10" t="s">
        <v>862</v>
      </c>
      <c r="N760" s="10" t="s">
        <v>881</v>
      </c>
      <c r="O760" s="10" t="s">
        <v>1881</v>
      </c>
    </row>
    <row r="761" spans="1:15" ht="18.75" x14ac:dyDescent="0.25">
      <c r="A761" s="9"/>
      <c r="B761" s="13" t="e">
        <f>VLOOKUP(Table2[[#This Row],[Location 
(drop-down)]],'List source'!D$2:E$59,2,FALSE)</f>
        <v>#N/A</v>
      </c>
      <c r="C761" s="11" t="s">
        <v>1882</v>
      </c>
      <c r="D761" s="117" t="e">
        <f t="shared" si="15"/>
        <v>#N/A</v>
      </c>
      <c r="E761" s="117" t="e">
        <f>VLOOKUP(Table2[[#This Row],[Location 
(drop-down)]],Table1[#All],3,FALSE)</f>
        <v>#N/A</v>
      </c>
      <c r="F761" s="197"/>
      <c r="G761" s="9"/>
      <c r="H761" s="12"/>
      <c r="I761" s="12"/>
      <c r="J761" s="91"/>
      <c r="K761" s="91"/>
      <c r="L761" s="10"/>
      <c r="M761" s="10"/>
      <c r="N761" s="10"/>
      <c r="O761" s="10"/>
    </row>
    <row r="762" spans="1:15" ht="18.75" x14ac:dyDescent="0.25">
      <c r="A762" s="9"/>
      <c r="B762" s="13" t="e">
        <f>VLOOKUP(Table2[[#This Row],[Location 
(drop-down)]],'List source'!D$2:E$59,2,FALSE)</f>
        <v>#N/A</v>
      </c>
      <c r="C762" s="11" t="s">
        <v>1883</v>
      </c>
      <c r="D762" s="117" t="e">
        <f t="shared" si="15"/>
        <v>#N/A</v>
      </c>
      <c r="E762" s="117" t="e">
        <f>VLOOKUP(Table2[[#This Row],[Location 
(drop-down)]],Table1[#All],3,FALSE)</f>
        <v>#N/A</v>
      </c>
      <c r="F762" s="197"/>
      <c r="G762" s="9"/>
      <c r="H762" s="12"/>
      <c r="I762" s="12"/>
      <c r="J762" s="91"/>
      <c r="K762" s="91"/>
      <c r="L762" s="10"/>
      <c r="M762" s="10"/>
      <c r="N762" s="10"/>
      <c r="O762" s="10"/>
    </row>
    <row r="763" spans="1:15" ht="18.75" x14ac:dyDescent="0.25">
      <c r="A763" s="9"/>
      <c r="B763" s="13" t="e">
        <f>VLOOKUP(Table2[[#This Row],[Location 
(drop-down)]],'List source'!D$2:E$59,2,FALSE)</f>
        <v>#N/A</v>
      </c>
      <c r="C763" s="11" t="s">
        <v>1884</v>
      </c>
      <c r="D763" s="117" t="e">
        <f t="shared" si="15"/>
        <v>#N/A</v>
      </c>
      <c r="E763" s="117" t="e">
        <f>VLOOKUP(Table2[[#This Row],[Location 
(drop-down)]],Table1[#All],3,FALSE)</f>
        <v>#N/A</v>
      </c>
      <c r="F763" s="197"/>
      <c r="G763" s="9"/>
      <c r="H763" s="12"/>
      <c r="I763" s="12"/>
      <c r="J763" s="91"/>
      <c r="K763" s="91"/>
      <c r="L763" s="10"/>
      <c r="M763" s="10"/>
      <c r="N763" s="10"/>
      <c r="O763" s="10"/>
    </row>
    <row r="764" spans="1:15" ht="18.75" x14ac:dyDescent="0.25">
      <c r="A764" s="9"/>
      <c r="B764" s="13" t="e">
        <f>VLOOKUP(Table2[[#This Row],[Location 
(drop-down)]],'List source'!D$2:E$59,2,FALSE)</f>
        <v>#N/A</v>
      </c>
      <c r="C764" s="11" t="s">
        <v>1885</v>
      </c>
      <c r="D764" s="117" t="e">
        <f t="shared" si="15"/>
        <v>#N/A</v>
      </c>
      <c r="E764" s="117" t="e">
        <f>VLOOKUP(Table2[[#This Row],[Location 
(drop-down)]],Table1[#All],3,FALSE)</f>
        <v>#N/A</v>
      </c>
      <c r="F764" s="197"/>
      <c r="G764" s="9"/>
      <c r="H764" s="12"/>
      <c r="I764" s="12"/>
      <c r="J764" s="91"/>
      <c r="K764" s="91"/>
      <c r="L764" s="10"/>
      <c r="M764" s="10"/>
      <c r="N764" s="10"/>
      <c r="O764" s="10"/>
    </row>
    <row r="765" spans="1:15" ht="18.75" x14ac:dyDescent="0.25">
      <c r="A765" s="9"/>
      <c r="B765" s="13" t="e">
        <f>VLOOKUP(Table2[[#This Row],[Location 
(drop-down)]],'List source'!D$2:E$59,2,FALSE)</f>
        <v>#N/A</v>
      </c>
      <c r="C765" s="11" t="s">
        <v>1886</v>
      </c>
      <c r="D765" s="117" t="e">
        <f t="shared" si="15"/>
        <v>#N/A</v>
      </c>
      <c r="E765" s="117" t="e">
        <f>VLOOKUP(Table2[[#This Row],[Location 
(drop-down)]],Table1[#All],3,FALSE)</f>
        <v>#N/A</v>
      </c>
      <c r="F765" s="197"/>
      <c r="G765" s="9"/>
      <c r="H765" s="12"/>
      <c r="I765" s="12"/>
      <c r="J765" s="91"/>
      <c r="K765" s="91"/>
      <c r="L765" s="10"/>
      <c r="M765" s="10"/>
      <c r="N765" s="10"/>
      <c r="O765" s="10"/>
    </row>
    <row r="766" spans="1:15" ht="18.75" x14ac:dyDescent="0.25">
      <c r="A766" s="9"/>
      <c r="B766" s="13" t="e">
        <f>VLOOKUP(Table2[[#This Row],[Location 
(drop-down)]],'List source'!D$2:E$59,2,FALSE)</f>
        <v>#N/A</v>
      </c>
      <c r="C766" s="11" t="s">
        <v>1887</v>
      </c>
      <c r="D766" s="117" t="e">
        <f t="shared" si="15"/>
        <v>#N/A</v>
      </c>
      <c r="E766" s="117" t="e">
        <f>VLOOKUP(Table2[[#This Row],[Location 
(drop-down)]],Table1[#All],3,FALSE)</f>
        <v>#N/A</v>
      </c>
      <c r="F766" s="197"/>
      <c r="G766" s="9"/>
      <c r="H766" s="12"/>
      <c r="I766" s="12"/>
      <c r="J766" s="91"/>
      <c r="K766" s="91"/>
      <c r="L766" s="10"/>
      <c r="M766" s="10"/>
      <c r="N766" s="10"/>
      <c r="O766" s="10"/>
    </row>
    <row r="767" spans="1:15" ht="18.75" x14ac:dyDescent="0.25">
      <c r="A767" s="9"/>
      <c r="B767" s="13" t="e">
        <f>VLOOKUP(Table2[[#This Row],[Location 
(drop-down)]],'List source'!D$2:E$59,2,FALSE)</f>
        <v>#N/A</v>
      </c>
      <c r="C767" s="11" t="s">
        <v>1888</v>
      </c>
      <c r="D767" s="117" t="e">
        <f t="shared" si="15"/>
        <v>#N/A</v>
      </c>
      <c r="E767" s="117" t="e">
        <f>VLOOKUP(Table2[[#This Row],[Location 
(drop-down)]],Table1[#All],3,FALSE)</f>
        <v>#N/A</v>
      </c>
      <c r="F767" s="197"/>
      <c r="G767" s="9"/>
      <c r="H767" s="12"/>
      <c r="I767" s="12"/>
      <c r="J767" s="91"/>
      <c r="K767" s="91"/>
      <c r="L767" s="10"/>
      <c r="M767" s="10"/>
      <c r="N767" s="10"/>
      <c r="O767" s="10"/>
    </row>
    <row r="768" spans="1:15" ht="18.75" x14ac:dyDescent="0.25">
      <c r="A768" s="9"/>
      <c r="B768" s="13" t="e">
        <f>VLOOKUP(Table2[[#This Row],[Location 
(drop-down)]],'List source'!D$2:E$59,2,FALSE)</f>
        <v>#N/A</v>
      </c>
      <c r="C768" s="11" t="s">
        <v>1889</v>
      </c>
      <c r="D768" s="117" t="e">
        <f t="shared" si="15"/>
        <v>#N/A</v>
      </c>
      <c r="E768" s="117" t="e">
        <f>VLOOKUP(Table2[[#This Row],[Location 
(drop-down)]],Table1[#All],3,FALSE)</f>
        <v>#N/A</v>
      </c>
      <c r="F768" s="197"/>
      <c r="G768" s="9"/>
      <c r="H768" s="12"/>
      <c r="I768" s="12"/>
      <c r="J768" s="91"/>
      <c r="K768" s="91"/>
      <c r="L768" s="10"/>
      <c r="M768" s="10"/>
      <c r="N768" s="10"/>
      <c r="O768" s="10"/>
    </row>
    <row r="769" spans="1:15" ht="18.75" x14ac:dyDescent="0.25">
      <c r="A769" s="9"/>
      <c r="B769" s="13" t="e">
        <f>VLOOKUP(Table2[[#This Row],[Location 
(drop-down)]],'List source'!D$2:E$59,2,FALSE)</f>
        <v>#N/A</v>
      </c>
      <c r="C769" s="11" t="s">
        <v>1890</v>
      </c>
      <c r="D769" s="117" t="e">
        <f t="shared" si="15"/>
        <v>#N/A</v>
      </c>
      <c r="E769" s="117" t="e">
        <f>VLOOKUP(Table2[[#This Row],[Location 
(drop-down)]],Table1[#All],3,FALSE)</f>
        <v>#N/A</v>
      </c>
      <c r="F769" s="197"/>
      <c r="G769" s="9"/>
      <c r="H769" s="12"/>
      <c r="I769" s="12"/>
      <c r="J769" s="91"/>
      <c r="K769" s="91"/>
      <c r="L769" s="10"/>
      <c r="M769" s="10"/>
      <c r="N769" s="10"/>
      <c r="O769" s="10"/>
    </row>
    <row r="770" spans="1:15" ht="18.75" x14ac:dyDescent="0.25">
      <c r="A770" s="9"/>
      <c r="B770" s="13" t="e">
        <f>VLOOKUP(Table2[[#This Row],[Location 
(drop-down)]],'List source'!D$2:E$59,2,FALSE)</f>
        <v>#N/A</v>
      </c>
      <c r="C770" s="11" t="s">
        <v>1891</v>
      </c>
      <c r="D770" s="117" t="e">
        <f t="shared" si="15"/>
        <v>#N/A</v>
      </c>
      <c r="E770" s="117" t="e">
        <f>VLOOKUP(Table2[[#This Row],[Location 
(drop-down)]],Table1[#All],3,FALSE)</f>
        <v>#N/A</v>
      </c>
      <c r="F770" s="197"/>
      <c r="G770" s="9"/>
      <c r="H770" s="12"/>
      <c r="I770" s="12"/>
      <c r="J770" s="91"/>
      <c r="K770" s="91"/>
      <c r="L770" s="10"/>
      <c r="M770" s="10"/>
      <c r="N770" s="10"/>
      <c r="O770" s="10"/>
    </row>
    <row r="771" spans="1:15" ht="18.75" x14ac:dyDescent="0.25">
      <c r="A771" s="9"/>
      <c r="B771" s="13" t="e">
        <f>VLOOKUP(Table2[[#This Row],[Location 
(drop-down)]],'List source'!D$2:E$59,2,FALSE)</f>
        <v>#N/A</v>
      </c>
      <c r="C771" s="11" t="s">
        <v>1892</v>
      </c>
      <c r="D771" s="117" t="e">
        <f t="shared" si="15"/>
        <v>#N/A</v>
      </c>
      <c r="E771" s="117" t="e">
        <f>VLOOKUP(Table2[[#This Row],[Location 
(drop-down)]],Table1[#All],3,FALSE)</f>
        <v>#N/A</v>
      </c>
      <c r="F771" s="197"/>
      <c r="G771" s="9"/>
      <c r="H771" s="12"/>
      <c r="I771" s="12"/>
      <c r="J771" s="91"/>
      <c r="K771" s="91"/>
      <c r="L771" s="10"/>
      <c r="M771" s="10"/>
      <c r="N771" s="10"/>
      <c r="O771" s="10"/>
    </row>
    <row r="772" spans="1:15" ht="18.75" x14ac:dyDescent="0.25">
      <c r="A772" s="9"/>
      <c r="B772" s="13" t="e">
        <f>VLOOKUP(Table2[[#This Row],[Location 
(drop-down)]],'List source'!D$2:E$59,2,FALSE)</f>
        <v>#N/A</v>
      </c>
      <c r="C772" s="11" t="s">
        <v>1893</v>
      </c>
      <c r="D772" s="117" t="e">
        <f t="shared" si="15"/>
        <v>#N/A</v>
      </c>
      <c r="E772" s="117" t="e">
        <f>VLOOKUP(Table2[[#This Row],[Location 
(drop-down)]],Table1[#All],3,FALSE)</f>
        <v>#N/A</v>
      </c>
      <c r="F772" s="197"/>
      <c r="G772" s="9"/>
      <c r="H772" s="12"/>
      <c r="I772" s="12"/>
      <c r="J772" s="91"/>
      <c r="K772" s="91"/>
      <c r="L772" s="10"/>
      <c r="M772" s="10"/>
      <c r="N772" s="10"/>
      <c r="O772" s="10"/>
    </row>
    <row r="773" spans="1:15" ht="18.75" x14ac:dyDescent="0.25">
      <c r="A773" s="9"/>
      <c r="B773" s="13" t="e">
        <f>VLOOKUP(Table2[[#This Row],[Location 
(drop-down)]],'List source'!D$2:E$59,2,FALSE)</f>
        <v>#N/A</v>
      </c>
      <c r="C773" s="11" t="s">
        <v>1894</v>
      </c>
      <c r="D773" s="117" t="e">
        <f t="shared" si="15"/>
        <v>#N/A</v>
      </c>
      <c r="E773" s="117" t="e">
        <f>VLOOKUP(Table2[[#This Row],[Location 
(drop-down)]],Table1[#All],3,FALSE)</f>
        <v>#N/A</v>
      </c>
      <c r="F773" s="197"/>
      <c r="G773" s="9"/>
      <c r="H773" s="12"/>
      <c r="I773" s="12"/>
      <c r="J773" s="91"/>
      <c r="K773" s="91"/>
      <c r="L773" s="10"/>
      <c r="M773" s="10"/>
      <c r="N773" s="10"/>
      <c r="O773" s="10"/>
    </row>
    <row r="774" spans="1:15" ht="18.75" x14ac:dyDescent="0.25">
      <c r="A774" s="9"/>
      <c r="B774" s="13" t="e">
        <f>VLOOKUP(Table2[[#This Row],[Location 
(drop-down)]],'List source'!D$2:E$59,2,FALSE)</f>
        <v>#N/A</v>
      </c>
      <c r="C774" s="11" t="s">
        <v>1895</v>
      </c>
      <c r="D774" s="117" t="e">
        <f t="shared" si="15"/>
        <v>#N/A</v>
      </c>
      <c r="E774" s="117" t="e">
        <f>VLOOKUP(Table2[[#This Row],[Location 
(drop-down)]],Table1[#All],3,FALSE)</f>
        <v>#N/A</v>
      </c>
      <c r="F774" s="197"/>
      <c r="G774" s="9"/>
      <c r="H774" s="12"/>
      <c r="I774" s="12"/>
      <c r="J774" s="91"/>
      <c r="K774" s="91"/>
      <c r="L774" s="10"/>
      <c r="M774" s="10"/>
      <c r="N774" s="10"/>
      <c r="O774" s="10"/>
    </row>
    <row r="775" spans="1:15" ht="18.75" x14ac:dyDescent="0.25">
      <c r="A775" s="9"/>
      <c r="B775" s="13" t="e">
        <f>VLOOKUP(Table2[[#This Row],[Location 
(drop-down)]],'List source'!D$2:E$59,2,FALSE)</f>
        <v>#N/A</v>
      </c>
      <c r="C775" s="11" t="s">
        <v>1896</v>
      </c>
      <c r="D775" s="117" t="e">
        <f t="shared" si="15"/>
        <v>#N/A</v>
      </c>
      <c r="E775" s="117" t="e">
        <f>VLOOKUP(Table2[[#This Row],[Location 
(drop-down)]],Table1[#All],3,FALSE)</f>
        <v>#N/A</v>
      </c>
      <c r="F775" s="197"/>
      <c r="G775" s="9"/>
      <c r="H775" s="12"/>
      <c r="I775" s="12"/>
      <c r="J775" s="91"/>
      <c r="K775" s="91"/>
      <c r="L775" s="10"/>
      <c r="M775" s="10"/>
      <c r="N775" s="10"/>
      <c r="O775" s="10"/>
    </row>
    <row r="776" spans="1:15" ht="18.75" x14ac:dyDescent="0.25">
      <c r="A776" s="9"/>
      <c r="B776" s="13" t="e">
        <f>VLOOKUP(Table2[[#This Row],[Location 
(drop-down)]],'List source'!D$2:E$59,2,FALSE)</f>
        <v>#N/A</v>
      </c>
      <c r="C776" s="11" t="s">
        <v>1897</v>
      </c>
      <c r="D776" s="117" t="e">
        <f t="shared" si="15"/>
        <v>#N/A</v>
      </c>
      <c r="E776" s="117" t="e">
        <f>VLOOKUP(Table2[[#This Row],[Location 
(drop-down)]],Table1[#All],3,FALSE)</f>
        <v>#N/A</v>
      </c>
      <c r="F776" s="197"/>
      <c r="G776" s="9"/>
      <c r="H776" s="12"/>
      <c r="I776" s="12"/>
      <c r="J776" s="91"/>
      <c r="K776" s="91"/>
      <c r="L776" s="10"/>
      <c r="M776" s="10"/>
      <c r="N776" s="10"/>
      <c r="O776" s="10"/>
    </row>
    <row r="777" spans="1:15" ht="18.75" x14ac:dyDescent="0.25">
      <c r="A777" s="9"/>
      <c r="B777" s="13" t="e">
        <f>VLOOKUP(Table2[[#This Row],[Location 
(drop-down)]],'List source'!D$2:E$59,2,FALSE)</f>
        <v>#N/A</v>
      </c>
      <c r="C777" s="11" t="s">
        <v>1898</v>
      </c>
      <c r="D777" s="117" t="e">
        <f t="shared" si="15"/>
        <v>#N/A</v>
      </c>
      <c r="E777" s="117" t="e">
        <f>VLOOKUP(Table2[[#This Row],[Location 
(drop-down)]],Table1[#All],3,FALSE)</f>
        <v>#N/A</v>
      </c>
      <c r="F777" s="197"/>
      <c r="G777" s="9"/>
      <c r="H777" s="12"/>
      <c r="I777" s="12"/>
      <c r="J777" s="91"/>
      <c r="K777" s="91"/>
      <c r="L777" s="10"/>
      <c r="M777" s="10"/>
      <c r="N777" s="10"/>
      <c r="O777" s="10"/>
    </row>
    <row r="778" spans="1:15" ht="18.75" x14ac:dyDescent="0.25">
      <c r="A778" s="9"/>
      <c r="B778" s="13" t="e">
        <f>VLOOKUP(Table2[[#This Row],[Location 
(drop-down)]],'List source'!D$2:E$59,2,FALSE)</f>
        <v>#N/A</v>
      </c>
      <c r="C778" s="11" t="s">
        <v>1899</v>
      </c>
      <c r="D778" s="117" t="e">
        <f t="shared" si="15"/>
        <v>#N/A</v>
      </c>
      <c r="E778" s="117" t="e">
        <f>VLOOKUP(Table2[[#This Row],[Location 
(drop-down)]],Table1[#All],3,FALSE)</f>
        <v>#N/A</v>
      </c>
      <c r="F778" s="197"/>
      <c r="G778" s="9"/>
      <c r="H778" s="12"/>
      <c r="I778" s="12"/>
      <c r="J778" s="91"/>
      <c r="K778" s="91"/>
      <c r="L778" s="10"/>
      <c r="M778" s="10"/>
      <c r="N778" s="10"/>
      <c r="O778" s="10"/>
    </row>
    <row r="779" spans="1:15" ht="18.75" x14ac:dyDescent="0.25">
      <c r="A779" s="9"/>
      <c r="B779" s="13" t="e">
        <f>VLOOKUP(Table2[[#This Row],[Location 
(drop-down)]],'List source'!D$2:E$59,2,FALSE)</f>
        <v>#N/A</v>
      </c>
      <c r="C779" s="11" t="s">
        <v>1900</v>
      </c>
      <c r="D779" s="117" t="e">
        <f t="shared" si="15"/>
        <v>#N/A</v>
      </c>
      <c r="E779" s="117" t="e">
        <f>VLOOKUP(Table2[[#This Row],[Location 
(drop-down)]],Table1[#All],3,FALSE)</f>
        <v>#N/A</v>
      </c>
      <c r="F779" s="197"/>
      <c r="G779" s="9"/>
      <c r="H779" s="12"/>
      <c r="I779" s="12"/>
      <c r="J779" s="91"/>
      <c r="K779" s="91"/>
      <c r="L779" s="10"/>
      <c r="M779" s="10"/>
      <c r="N779" s="10"/>
      <c r="O779" s="10"/>
    </row>
    <row r="780" spans="1:15" ht="18.75" x14ac:dyDescent="0.25">
      <c r="A780" s="9"/>
      <c r="B780" s="13" t="e">
        <f>VLOOKUP(Table2[[#This Row],[Location 
(drop-down)]],'List source'!D$2:E$59,2,FALSE)</f>
        <v>#N/A</v>
      </c>
      <c r="C780" s="11" t="s">
        <v>1901</v>
      </c>
      <c r="D780" s="117" t="e">
        <f t="shared" si="15"/>
        <v>#N/A</v>
      </c>
      <c r="E780" s="117" t="e">
        <f>VLOOKUP(Table2[[#This Row],[Location 
(drop-down)]],Table1[#All],3,FALSE)</f>
        <v>#N/A</v>
      </c>
      <c r="F780" s="197"/>
      <c r="G780" s="9"/>
      <c r="H780" s="12"/>
      <c r="I780" s="12"/>
      <c r="J780" s="91"/>
      <c r="K780" s="91"/>
      <c r="L780" s="10"/>
      <c r="M780" s="10"/>
      <c r="N780" s="10"/>
      <c r="O780" s="10"/>
    </row>
    <row r="781" spans="1:15" ht="18.75" x14ac:dyDescent="0.25">
      <c r="A781" s="9"/>
      <c r="B781" s="13" t="e">
        <f>VLOOKUP(Table2[[#This Row],[Location 
(drop-down)]],'List source'!D$2:E$59,2,FALSE)</f>
        <v>#N/A</v>
      </c>
      <c r="C781" s="11" t="s">
        <v>1902</v>
      </c>
      <c r="D781" s="117" t="e">
        <f t="shared" si="15"/>
        <v>#N/A</v>
      </c>
      <c r="E781" s="117" t="e">
        <f>VLOOKUP(Table2[[#This Row],[Location 
(drop-down)]],Table1[#All],3,FALSE)</f>
        <v>#N/A</v>
      </c>
      <c r="F781" s="197"/>
      <c r="G781" s="9"/>
      <c r="H781" s="12"/>
      <c r="I781" s="12"/>
      <c r="J781" s="91"/>
      <c r="K781" s="91"/>
      <c r="L781" s="10"/>
      <c r="M781" s="10"/>
      <c r="N781" s="10"/>
      <c r="O781" s="10"/>
    </row>
    <row r="782" spans="1:15" ht="18.75" x14ac:dyDescent="0.25">
      <c r="A782" s="9"/>
      <c r="B782" s="13" t="e">
        <f>VLOOKUP(Table2[[#This Row],[Location 
(drop-down)]],'List source'!D$2:E$59,2,FALSE)</f>
        <v>#N/A</v>
      </c>
      <c r="C782" s="11" t="s">
        <v>1903</v>
      </c>
      <c r="D782" s="117" t="e">
        <f t="shared" si="15"/>
        <v>#N/A</v>
      </c>
      <c r="E782" s="117" t="e">
        <f>VLOOKUP(Table2[[#This Row],[Location 
(drop-down)]],Table1[#All],3,FALSE)</f>
        <v>#N/A</v>
      </c>
      <c r="F782" s="197"/>
      <c r="G782" s="9"/>
      <c r="H782" s="12"/>
      <c r="I782" s="12"/>
      <c r="J782" s="91"/>
      <c r="K782" s="91"/>
      <c r="L782" s="10"/>
      <c r="M782" s="10"/>
      <c r="N782" s="10"/>
      <c r="O782" s="10"/>
    </row>
    <row r="783" spans="1:15" ht="18.75" x14ac:dyDescent="0.25">
      <c r="A783" s="9"/>
      <c r="B783" s="13" t="e">
        <f>VLOOKUP(Table2[[#This Row],[Location 
(drop-down)]],'List source'!D$2:E$59,2,FALSE)</f>
        <v>#N/A</v>
      </c>
      <c r="C783" s="11" t="s">
        <v>1904</v>
      </c>
      <c r="D783" s="117" t="e">
        <f t="shared" si="15"/>
        <v>#N/A</v>
      </c>
      <c r="E783" s="117" t="e">
        <f>VLOOKUP(Table2[[#This Row],[Location 
(drop-down)]],Table1[#All],3,FALSE)</f>
        <v>#N/A</v>
      </c>
      <c r="F783" s="197"/>
      <c r="G783" s="9"/>
      <c r="H783" s="12"/>
      <c r="I783" s="12"/>
      <c r="J783" s="91"/>
      <c r="K783" s="91"/>
      <c r="L783" s="10"/>
      <c r="M783" s="10"/>
      <c r="N783" s="10"/>
      <c r="O783" s="10"/>
    </row>
    <row r="784" spans="1:15" ht="18.75" x14ac:dyDescent="0.25">
      <c r="A784" s="9"/>
      <c r="B784" s="13" t="e">
        <f>VLOOKUP(Table2[[#This Row],[Location 
(drop-down)]],'List source'!D$2:E$59,2,FALSE)</f>
        <v>#N/A</v>
      </c>
      <c r="C784" s="11" t="s">
        <v>1905</v>
      </c>
      <c r="D784" s="117" t="e">
        <f t="shared" si="15"/>
        <v>#N/A</v>
      </c>
      <c r="E784" s="117" t="e">
        <f>VLOOKUP(Table2[[#This Row],[Location 
(drop-down)]],Table1[#All],3,FALSE)</f>
        <v>#N/A</v>
      </c>
      <c r="F784" s="197"/>
      <c r="G784" s="9"/>
      <c r="H784" s="12"/>
      <c r="I784" s="12"/>
      <c r="J784" s="91"/>
      <c r="K784" s="91"/>
      <c r="L784" s="10"/>
      <c r="M784" s="10"/>
      <c r="N784" s="10"/>
      <c r="O784" s="10"/>
    </row>
    <row r="785" spans="1:15" ht="18.75" x14ac:dyDescent="0.25">
      <c r="A785" s="9"/>
      <c r="B785" s="13" t="e">
        <f>VLOOKUP(Table2[[#This Row],[Location 
(drop-down)]],'List source'!D$2:E$59,2,FALSE)</f>
        <v>#N/A</v>
      </c>
      <c r="C785" s="11" t="s">
        <v>1906</v>
      </c>
      <c r="D785" s="117" t="e">
        <f t="shared" si="15"/>
        <v>#N/A</v>
      </c>
      <c r="E785" s="117" t="e">
        <f>VLOOKUP(Table2[[#This Row],[Location 
(drop-down)]],Table1[#All],3,FALSE)</f>
        <v>#N/A</v>
      </c>
      <c r="F785" s="197"/>
      <c r="G785" s="9"/>
      <c r="H785" s="12"/>
      <c r="I785" s="12"/>
      <c r="J785" s="91"/>
      <c r="K785" s="91"/>
      <c r="L785" s="10"/>
      <c r="M785" s="10"/>
      <c r="N785" s="10"/>
      <c r="O785" s="10"/>
    </row>
    <row r="786" spans="1:15" ht="18.75" x14ac:dyDescent="0.25">
      <c r="A786" s="9"/>
      <c r="B786" s="13" t="e">
        <f>VLOOKUP(Table2[[#This Row],[Location 
(drop-down)]],'List source'!D$2:E$59,2,FALSE)</f>
        <v>#N/A</v>
      </c>
      <c r="C786" s="11" t="s">
        <v>1907</v>
      </c>
      <c r="D786" s="117" t="e">
        <f t="shared" si="15"/>
        <v>#N/A</v>
      </c>
      <c r="E786" s="117" t="e">
        <f>VLOOKUP(Table2[[#This Row],[Location 
(drop-down)]],Table1[#All],3,FALSE)</f>
        <v>#N/A</v>
      </c>
      <c r="F786" s="197"/>
      <c r="G786" s="9"/>
      <c r="H786" s="12"/>
      <c r="I786" s="12"/>
      <c r="J786" s="91"/>
      <c r="K786" s="91"/>
      <c r="L786" s="10"/>
      <c r="M786" s="10"/>
      <c r="N786" s="10"/>
      <c r="O786" s="10"/>
    </row>
    <row r="787" spans="1:15" ht="18.75" x14ac:dyDescent="0.25">
      <c r="A787" s="9"/>
      <c r="B787" s="13" t="e">
        <f>VLOOKUP(Table2[[#This Row],[Location 
(drop-down)]],'List source'!D$2:E$59,2,FALSE)</f>
        <v>#N/A</v>
      </c>
      <c r="C787" s="11" t="s">
        <v>1908</v>
      </c>
      <c r="D787" s="117" t="e">
        <f t="shared" si="15"/>
        <v>#N/A</v>
      </c>
      <c r="E787" s="117" t="e">
        <f>VLOOKUP(Table2[[#This Row],[Location 
(drop-down)]],Table1[#All],3,FALSE)</f>
        <v>#N/A</v>
      </c>
      <c r="F787" s="197"/>
      <c r="G787" s="9"/>
      <c r="H787" s="12"/>
      <c r="I787" s="12"/>
      <c r="J787" s="91"/>
      <c r="K787" s="91"/>
      <c r="L787" s="10"/>
      <c r="M787" s="10"/>
      <c r="N787" s="10"/>
      <c r="O787" s="10"/>
    </row>
    <row r="788" spans="1:15" ht="18.75" x14ac:dyDescent="0.25">
      <c r="A788" s="9"/>
      <c r="B788" s="13" t="e">
        <f>VLOOKUP(Table2[[#This Row],[Location 
(drop-down)]],'List source'!D$2:E$59,2,FALSE)</f>
        <v>#N/A</v>
      </c>
      <c r="C788" s="11" t="s">
        <v>1909</v>
      </c>
      <c r="D788" s="117" t="e">
        <f t="shared" si="15"/>
        <v>#N/A</v>
      </c>
      <c r="E788" s="117" t="e">
        <f>VLOOKUP(Table2[[#This Row],[Location 
(drop-down)]],Table1[#All],3,FALSE)</f>
        <v>#N/A</v>
      </c>
      <c r="F788" s="197"/>
      <c r="G788" s="9"/>
      <c r="H788" s="12"/>
      <c r="I788" s="12"/>
      <c r="J788" s="91"/>
      <c r="K788" s="91"/>
      <c r="L788" s="10"/>
      <c r="M788" s="10"/>
      <c r="N788" s="10"/>
      <c r="O788" s="10"/>
    </row>
    <row r="789" spans="1:15" ht="18.75" x14ac:dyDescent="0.25">
      <c r="A789" s="9"/>
      <c r="B789" s="13" t="e">
        <f>VLOOKUP(Table2[[#This Row],[Location 
(drop-down)]],'List source'!D$2:E$59,2,FALSE)</f>
        <v>#N/A</v>
      </c>
      <c r="C789" s="11" t="s">
        <v>1910</v>
      </c>
      <c r="D789" s="117" t="e">
        <f t="shared" si="15"/>
        <v>#N/A</v>
      </c>
      <c r="E789" s="117" t="e">
        <f>VLOOKUP(Table2[[#This Row],[Location 
(drop-down)]],Table1[#All],3,FALSE)</f>
        <v>#N/A</v>
      </c>
      <c r="F789" s="197"/>
      <c r="G789" s="9"/>
      <c r="H789" s="12"/>
      <c r="I789" s="12"/>
      <c r="J789" s="91"/>
      <c r="K789" s="91"/>
      <c r="L789" s="10"/>
      <c r="M789" s="10"/>
      <c r="N789" s="10"/>
      <c r="O789" s="10"/>
    </row>
    <row r="790" spans="1:15" ht="18.75" x14ac:dyDescent="0.25">
      <c r="A790" s="9"/>
      <c r="B790" s="13" t="e">
        <f>VLOOKUP(Table2[[#This Row],[Location 
(drop-down)]],'List source'!D$2:E$59,2,FALSE)</f>
        <v>#N/A</v>
      </c>
      <c r="C790" s="11" t="s">
        <v>1911</v>
      </c>
      <c r="D790" s="117" t="e">
        <f t="shared" si="15"/>
        <v>#N/A</v>
      </c>
      <c r="E790" s="117" t="e">
        <f>VLOOKUP(Table2[[#This Row],[Location 
(drop-down)]],Table1[#All],3,FALSE)</f>
        <v>#N/A</v>
      </c>
      <c r="F790" s="197"/>
      <c r="G790" s="9"/>
      <c r="H790" s="12"/>
      <c r="I790" s="12"/>
      <c r="J790" s="91"/>
      <c r="K790" s="91"/>
      <c r="L790" s="10"/>
      <c r="M790" s="10"/>
      <c r="N790" s="10"/>
      <c r="O790" s="10"/>
    </row>
    <row r="791" spans="1:15" ht="18.75" x14ac:dyDescent="0.25">
      <c r="A791" s="9"/>
      <c r="B791" s="13" t="e">
        <f>VLOOKUP(Table2[[#This Row],[Location 
(drop-down)]],'List source'!D$2:E$59,2,FALSE)</f>
        <v>#N/A</v>
      </c>
      <c r="C791" s="11" t="s">
        <v>1912</v>
      </c>
      <c r="D791" s="117" t="e">
        <f t="shared" si="15"/>
        <v>#N/A</v>
      </c>
      <c r="E791" s="117" t="e">
        <f>VLOOKUP(Table2[[#This Row],[Location 
(drop-down)]],Table1[#All],3,FALSE)</f>
        <v>#N/A</v>
      </c>
      <c r="F791" s="197"/>
      <c r="G791" s="9"/>
      <c r="H791" s="12"/>
      <c r="I791" s="12"/>
      <c r="J791" s="91"/>
      <c r="K791" s="91"/>
      <c r="L791" s="10"/>
      <c r="M791" s="10"/>
      <c r="N791" s="10"/>
      <c r="O791" s="10"/>
    </row>
    <row r="792" spans="1:15" ht="18.75" x14ac:dyDescent="0.25">
      <c r="A792" s="9"/>
      <c r="B792" s="13" t="e">
        <f>VLOOKUP(Table2[[#This Row],[Location 
(drop-down)]],'List source'!D$2:E$59,2,FALSE)</f>
        <v>#N/A</v>
      </c>
      <c r="C792" s="11" t="s">
        <v>1913</v>
      </c>
      <c r="D792" s="117" t="e">
        <f t="shared" si="15"/>
        <v>#N/A</v>
      </c>
      <c r="E792" s="117" t="e">
        <f>VLOOKUP(Table2[[#This Row],[Location 
(drop-down)]],Table1[#All],3,FALSE)</f>
        <v>#N/A</v>
      </c>
      <c r="F792" s="197"/>
      <c r="G792" s="9"/>
      <c r="H792" s="12"/>
      <c r="I792" s="12"/>
      <c r="J792" s="91"/>
      <c r="K792" s="91"/>
      <c r="L792" s="10"/>
      <c r="M792" s="10"/>
      <c r="N792" s="10"/>
      <c r="O792" s="10"/>
    </row>
    <row r="793" spans="1:15" ht="18.75" x14ac:dyDescent="0.25">
      <c r="A793" s="9"/>
      <c r="B793" s="13" t="e">
        <f>VLOOKUP(Table2[[#This Row],[Location 
(drop-down)]],'List source'!D$2:E$59,2,FALSE)</f>
        <v>#N/A</v>
      </c>
      <c r="C793" s="11" t="s">
        <v>1914</v>
      </c>
      <c r="D793" s="117" t="e">
        <f t="shared" si="15"/>
        <v>#N/A</v>
      </c>
      <c r="E793" s="117" t="e">
        <f>VLOOKUP(Table2[[#This Row],[Location 
(drop-down)]],Table1[#All],3,FALSE)</f>
        <v>#N/A</v>
      </c>
      <c r="F793" s="197"/>
      <c r="G793" s="9"/>
      <c r="H793" s="12"/>
      <c r="I793" s="12"/>
      <c r="J793" s="91"/>
      <c r="K793" s="91"/>
      <c r="L793" s="10"/>
      <c r="M793" s="10"/>
      <c r="N793" s="10"/>
      <c r="O793" s="10"/>
    </row>
    <row r="794" spans="1:15" ht="18.75" x14ac:dyDescent="0.25">
      <c r="A794" s="9"/>
      <c r="B794" s="13" t="e">
        <f>VLOOKUP(Table2[[#This Row],[Location 
(drop-down)]],'List source'!D$2:E$59,2,FALSE)</f>
        <v>#N/A</v>
      </c>
      <c r="C794" s="11" t="s">
        <v>1915</v>
      </c>
      <c r="D794" s="117" t="e">
        <f t="shared" si="15"/>
        <v>#N/A</v>
      </c>
      <c r="E794" s="117" t="e">
        <f>VLOOKUP(Table2[[#This Row],[Location 
(drop-down)]],Table1[#All],3,FALSE)</f>
        <v>#N/A</v>
      </c>
      <c r="F794" s="197"/>
      <c r="G794" s="9"/>
      <c r="H794" s="12"/>
      <c r="I794" s="12"/>
      <c r="J794" s="91"/>
      <c r="K794" s="91"/>
      <c r="L794" s="10"/>
      <c r="M794" s="10"/>
      <c r="N794" s="10"/>
      <c r="O794" s="10"/>
    </row>
    <row r="795" spans="1:15" ht="18.75" x14ac:dyDescent="0.25">
      <c r="A795" s="9"/>
      <c r="B795" s="13" t="e">
        <f>VLOOKUP(Table2[[#This Row],[Location 
(drop-down)]],'List source'!D$2:E$59,2,FALSE)</f>
        <v>#N/A</v>
      </c>
      <c r="C795" s="11" t="s">
        <v>1916</v>
      </c>
      <c r="D795" s="117" t="e">
        <f t="shared" ref="D795:D858" si="16">"C" &amp; C795 &amp; "-" &amp; B795 &amp; "-" &amp; "23"</f>
        <v>#N/A</v>
      </c>
      <c r="E795" s="117" t="e">
        <f>VLOOKUP(Table2[[#This Row],[Location 
(drop-down)]],Table1[#All],3,FALSE)</f>
        <v>#N/A</v>
      </c>
      <c r="F795" s="197"/>
      <c r="G795" s="9"/>
      <c r="H795" s="12"/>
      <c r="I795" s="12"/>
      <c r="J795" s="91"/>
      <c r="K795" s="91"/>
      <c r="L795" s="10"/>
      <c r="M795" s="10"/>
      <c r="N795" s="10"/>
      <c r="O795" s="10"/>
    </row>
    <row r="796" spans="1:15" ht="18.75" x14ac:dyDescent="0.25">
      <c r="A796" s="9"/>
      <c r="B796" s="13" t="e">
        <f>VLOOKUP(Table2[[#This Row],[Location 
(drop-down)]],'List source'!D$2:E$59,2,FALSE)</f>
        <v>#N/A</v>
      </c>
      <c r="C796" s="11" t="s">
        <v>1917</v>
      </c>
      <c r="D796" s="117" t="e">
        <f t="shared" si="16"/>
        <v>#N/A</v>
      </c>
      <c r="E796" s="117" t="e">
        <f>VLOOKUP(Table2[[#This Row],[Location 
(drop-down)]],Table1[#All],3,FALSE)</f>
        <v>#N/A</v>
      </c>
      <c r="F796" s="197"/>
      <c r="G796" s="9"/>
      <c r="H796" s="12"/>
      <c r="I796" s="12"/>
      <c r="J796" s="91"/>
      <c r="K796" s="91"/>
      <c r="L796" s="10"/>
      <c r="M796" s="10"/>
      <c r="N796" s="10"/>
      <c r="O796" s="10"/>
    </row>
    <row r="797" spans="1:15" ht="18.75" x14ac:dyDescent="0.25">
      <c r="A797" s="9"/>
      <c r="B797" s="13" t="e">
        <f>VLOOKUP(Table2[[#This Row],[Location 
(drop-down)]],'List source'!D$2:E$59,2,FALSE)</f>
        <v>#N/A</v>
      </c>
      <c r="C797" s="11" t="s">
        <v>1918</v>
      </c>
      <c r="D797" s="117" t="e">
        <f t="shared" si="16"/>
        <v>#N/A</v>
      </c>
      <c r="E797" s="117" t="e">
        <f>VLOOKUP(Table2[[#This Row],[Location 
(drop-down)]],Table1[#All],3,FALSE)</f>
        <v>#N/A</v>
      </c>
      <c r="F797" s="197"/>
      <c r="G797" s="9"/>
      <c r="H797" s="12"/>
      <c r="I797" s="12"/>
      <c r="J797" s="91"/>
      <c r="K797" s="91"/>
      <c r="L797" s="10"/>
      <c r="M797" s="10"/>
      <c r="N797" s="10"/>
      <c r="O797" s="10"/>
    </row>
    <row r="798" spans="1:15" ht="18.75" x14ac:dyDescent="0.25">
      <c r="A798" s="9"/>
      <c r="B798" s="13" t="e">
        <f>VLOOKUP(Table2[[#This Row],[Location 
(drop-down)]],'List source'!D$2:E$59,2,FALSE)</f>
        <v>#N/A</v>
      </c>
      <c r="C798" s="11" t="s">
        <v>1919</v>
      </c>
      <c r="D798" s="117" t="e">
        <f t="shared" si="16"/>
        <v>#N/A</v>
      </c>
      <c r="E798" s="117" t="e">
        <f>VLOOKUP(Table2[[#This Row],[Location 
(drop-down)]],Table1[#All],3,FALSE)</f>
        <v>#N/A</v>
      </c>
      <c r="F798" s="197"/>
      <c r="G798" s="9"/>
      <c r="H798" s="12"/>
      <c r="I798" s="12"/>
      <c r="J798" s="91"/>
      <c r="K798" s="91"/>
      <c r="L798" s="10"/>
      <c r="M798" s="10"/>
      <c r="N798" s="10"/>
      <c r="O798" s="10"/>
    </row>
    <row r="799" spans="1:15" ht="18.75" x14ac:dyDescent="0.25">
      <c r="A799" s="9"/>
      <c r="B799" s="13" t="e">
        <f>VLOOKUP(Table2[[#This Row],[Location 
(drop-down)]],'List source'!D$2:E$59,2,FALSE)</f>
        <v>#N/A</v>
      </c>
      <c r="C799" s="11" t="s">
        <v>1920</v>
      </c>
      <c r="D799" s="117" t="e">
        <f t="shared" si="16"/>
        <v>#N/A</v>
      </c>
      <c r="E799" s="117" t="e">
        <f>VLOOKUP(Table2[[#This Row],[Location 
(drop-down)]],Table1[#All],3,FALSE)</f>
        <v>#N/A</v>
      </c>
      <c r="F799" s="197"/>
      <c r="G799" s="9"/>
      <c r="H799" s="12"/>
      <c r="I799" s="12"/>
      <c r="J799" s="91"/>
      <c r="K799" s="91"/>
      <c r="L799" s="10"/>
      <c r="M799" s="10"/>
      <c r="N799" s="10"/>
      <c r="O799" s="10"/>
    </row>
    <row r="800" spans="1:15" ht="18.75" x14ac:dyDescent="0.25">
      <c r="A800" s="9"/>
      <c r="B800" s="13" t="e">
        <f>VLOOKUP(Table2[[#This Row],[Location 
(drop-down)]],'List source'!D$2:E$59,2,FALSE)</f>
        <v>#N/A</v>
      </c>
      <c r="C800" s="11" t="s">
        <v>1921</v>
      </c>
      <c r="D800" s="117" t="e">
        <f t="shared" si="16"/>
        <v>#N/A</v>
      </c>
      <c r="E800" s="117" t="e">
        <f>VLOOKUP(Table2[[#This Row],[Location 
(drop-down)]],Table1[#All],3,FALSE)</f>
        <v>#N/A</v>
      </c>
      <c r="F800" s="197"/>
      <c r="G800" s="9"/>
      <c r="H800" s="12"/>
      <c r="I800" s="12"/>
      <c r="J800" s="91"/>
      <c r="K800" s="91"/>
      <c r="L800" s="10"/>
      <c r="M800" s="10"/>
      <c r="N800" s="10"/>
      <c r="O800" s="10"/>
    </row>
    <row r="801" spans="1:15" ht="18.75" x14ac:dyDescent="0.25">
      <c r="A801" s="9"/>
      <c r="B801" s="13" t="e">
        <f>VLOOKUP(Table2[[#This Row],[Location 
(drop-down)]],'List source'!D$2:E$59,2,FALSE)</f>
        <v>#N/A</v>
      </c>
      <c r="C801" s="11" t="s">
        <v>1922</v>
      </c>
      <c r="D801" s="117" t="e">
        <f t="shared" si="16"/>
        <v>#N/A</v>
      </c>
      <c r="E801" s="117" t="e">
        <f>VLOOKUP(Table2[[#This Row],[Location 
(drop-down)]],Table1[#All],3,FALSE)</f>
        <v>#N/A</v>
      </c>
      <c r="F801" s="196"/>
      <c r="G801" s="9"/>
      <c r="H801" s="12"/>
      <c r="I801" s="12"/>
      <c r="J801" s="91"/>
      <c r="K801" s="91"/>
      <c r="L801" s="10"/>
      <c r="M801" s="10"/>
      <c r="N801" s="10"/>
      <c r="O801" s="10"/>
    </row>
    <row r="802" spans="1:15" ht="18.75" x14ac:dyDescent="0.25">
      <c r="A802" s="111"/>
      <c r="B802" s="112" t="e">
        <f>VLOOKUP(Table2[[#This Row],[Location 
(drop-down)]],'List source'!D$2:E$59,2,FALSE)</f>
        <v>#N/A</v>
      </c>
      <c r="C802" s="129" t="s">
        <v>1923</v>
      </c>
      <c r="D802" s="117" t="e">
        <f t="shared" si="16"/>
        <v>#N/A</v>
      </c>
      <c r="E802" s="117" t="e">
        <f>VLOOKUP(Table2[[#This Row],[Location 
(drop-down)]],Table1[#All],3,FALSE)</f>
        <v>#N/A</v>
      </c>
      <c r="F802" s="196"/>
      <c r="G802" s="111"/>
      <c r="H802" s="113"/>
      <c r="I802" s="113"/>
      <c r="J802" s="114"/>
      <c r="K802" s="114"/>
      <c r="L802" s="115"/>
      <c r="M802" s="115"/>
      <c r="N802" s="115"/>
      <c r="O802" s="115"/>
    </row>
    <row r="803" spans="1:15" ht="18.75" x14ac:dyDescent="0.25">
      <c r="A803" s="111"/>
      <c r="B803" s="112" t="e">
        <f>VLOOKUP(Table2[[#This Row],[Location 
(drop-down)]],'List source'!D$2:E$59,2,FALSE)</f>
        <v>#N/A</v>
      </c>
      <c r="C803" s="129" t="s">
        <v>1924</v>
      </c>
      <c r="D803" s="117" t="e">
        <f t="shared" si="16"/>
        <v>#N/A</v>
      </c>
      <c r="E803" s="117" t="e">
        <f>VLOOKUP(Table2[[#This Row],[Location 
(drop-down)]],Table1[#All],3,FALSE)</f>
        <v>#N/A</v>
      </c>
      <c r="F803" s="196"/>
      <c r="G803" s="111"/>
      <c r="H803" s="113"/>
      <c r="I803" s="113"/>
      <c r="J803" s="114"/>
      <c r="K803" s="114"/>
      <c r="L803" s="115"/>
      <c r="M803" s="115"/>
      <c r="N803" s="115"/>
      <c r="O803" s="115"/>
    </row>
    <row r="804" spans="1:15" ht="18.75" x14ac:dyDescent="0.25">
      <c r="A804" s="111"/>
      <c r="B804" s="112" t="e">
        <f>VLOOKUP(Table2[[#This Row],[Location 
(drop-down)]],'List source'!D$2:E$59,2,FALSE)</f>
        <v>#N/A</v>
      </c>
      <c r="C804" s="129" t="s">
        <v>1925</v>
      </c>
      <c r="D804" s="117" t="e">
        <f t="shared" si="16"/>
        <v>#N/A</v>
      </c>
      <c r="E804" s="117" t="e">
        <f>VLOOKUP(Table2[[#This Row],[Location 
(drop-down)]],Table1[#All],3,FALSE)</f>
        <v>#N/A</v>
      </c>
      <c r="F804" s="196"/>
      <c r="G804" s="111"/>
      <c r="H804" s="113"/>
      <c r="I804" s="113"/>
      <c r="J804" s="114"/>
      <c r="K804" s="114"/>
      <c r="L804" s="115"/>
      <c r="M804" s="115"/>
      <c r="N804" s="115"/>
      <c r="O804" s="115"/>
    </row>
    <row r="805" spans="1:15" ht="18.75" x14ac:dyDescent="0.25">
      <c r="A805" s="111"/>
      <c r="B805" s="112" t="e">
        <f>VLOOKUP(Table2[[#This Row],[Location 
(drop-down)]],'List source'!D$2:E$59,2,FALSE)</f>
        <v>#N/A</v>
      </c>
      <c r="C805" s="129" t="s">
        <v>1926</v>
      </c>
      <c r="D805" s="117" t="e">
        <f t="shared" si="16"/>
        <v>#N/A</v>
      </c>
      <c r="E805" s="117" t="e">
        <f>VLOOKUP(Table2[[#This Row],[Location 
(drop-down)]],Table1[#All],3,FALSE)</f>
        <v>#N/A</v>
      </c>
      <c r="F805" s="196"/>
      <c r="G805" s="111"/>
      <c r="H805" s="113"/>
      <c r="I805" s="113"/>
      <c r="J805" s="114"/>
      <c r="K805" s="114"/>
      <c r="L805" s="115"/>
      <c r="M805" s="115"/>
      <c r="N805" s="115"/>
      <c r="O805" s="115"/>
    </row>
    <row r="806" spans="1:15" ht="18.75" x14ac:dyDescent="0.25">
      <c r="A806" s="111"/>
      <c r="B806" s="112" t="e">
        <f>VLOOKUP(Table2[[#This Row],[Location 
(drop-down)]],'List source'!D$2:E$59,2,FALSE)</f>
        <v>#N/A</v>
      </c>
      <c r="C806" s="129" t="s">
        <v>1927</v>
      </c>
      <c r="D806" s="117" t="e">
        <f t="shared" si="16"/>
        <v>#N/A</v>
      </c>
      <c r="E806" s="117" t="e">
        <f>VLOOKUP(Table2[[#This Row],[Location 
(drop-down)]],Table1[#All],3,FALSE)</f>
        <v>#N/A</v>
      </c>
      <c r="F806" s="196"/>
      <c r="G806" s="111"/>
      <c r="H806" s="113"/>
      <c r="I806" s="113"/>
      <c r="J806" s="114"/>
      <c r="K806" s="114"/>
      <c r="L806" s="115"/>
      <c r="M806" s="115"/>
      <c r="N806" s="115"/>
      <c r="O806" s="115"/>
    </row>
    <row r="807" spans="1:15" ht="18.75" x14ac:dyDescent="0.25">
      <c r="A807" s="111"/>
      <c r="B807" s="112" t="e">
        <f>VLOOKUP(Table2[[#This Row],[Location 
(drop-down)]],'List source'!D$2:E$59,2,FALSE)</f>
        <v>#N/A</v>
      </c>
      <c r="C807" s="129" t="s">
        <v>1928</v>
      </c>
      <c r="D807" s="117" t="e">
        <f t="shared" si="16"/>
        <v>#N/A</v>
      </c>
      <c r="E807" s="117" t="e">
        <f>VLOOKUP(Table2[[#This Row],[Location 
(drop-down)]],Table1[#All],3,FALSE)</f>
        <v>#N/A</v>
      </c>
      <c r="F807" s="196"/>
      <c r="G807" s="111"/>
      <c r="H807" s="113"/>
      <c r="I807" s="113"/>
      <c r="J807" s="114"/>
      <c r="K807" s="114"/>
      <c r="L807" s="115"/>
      <c r="M807" s="115"/>
      <c r="N807" s="115"/>
      <c r="O807" s="115"/>
    </row>
    <row r="808" spans="1:15" ht="18.75" x14ac:dyDescent="0.25">
      <c r="A808" s="111"/>
      <c r="B808" s="112" t="e">
        <f>VLOOKUP(Table2[[#This Row],[Location 
(drop-down)]],'List source'!D$2:E$59,2,FALSE)</f>
        <v>#N/A</v>
      </c>
      <c r="C808" s="129" t="s">
        <v>1929</v>
      </c>
      <c r="D808" s="117" t="e">
        <f t="shared" si="16"/>
        <v>#N/A</v>
      </c>
      <c r="E808" s="117" t="e">
        <f>VLOOKUP(Table2[[#This Row],[Location 
(drop-down)]],Table1[#All],3,FALSE)</f>
        <v>#N/A</v>
      </c>
      <c r="F808" s="196"/>
      <c r="G808" s="111"/>
      <c r="H808" s="113"/>
      <c r="I808" s="113"/>
      <c r="J808" s="114"/>
      <c r="K808" s="114"/>
      <c r="L808" s="115"/>
      <c r="M808" s="115"/>
      <c r="N808" s="115"/>
      <c r="O808" s="115"/>
    </row>
    <row r="809" spans="1:15" ht="18.75" x14ac:dyDescent="0.25">
      <c r="A809" s="111"/>
      <c r="B809" s="112" t="e">
        <f>VLOOKUP(Table2[[#This Row],[Location 
(drop-down)]],'List source'!D$2:E$59,2,FALSE)</f>
        <v>#N/A</v>
      </c>
      <c r="C809" s="129" t="s">
        <v>1930</v>
      </c>
      <c r="D809" s="117" t="e">
        <f t="shared" si="16"/>
        <v>#N/A</v>
      </c>
      <c r="E809" s="117" t="e">
        <f>VLOOKUP(Table2[[#This Row],[Location 
(drop-down)]],Table1[#All],3,FALSE)</f>
        <v>#N/A</v>
      </c>
      <c r="F809" s="196"/>
      <c r="G809" s="111"/>
      <c r="H809" s="113"/>
      <c r="I809" s="113"/>
      <c r="J809" s="114"/>
      <c r="K809" s="114"/>
      <c r="L809" s="115"/>
      <c r="M809" s="115"/>
      <c r="N809" s="115"/>
      <c r="O809" s="115"/>
    </row>
    <row r="810" spans="1:15" ht="18.75" x14ac:dyDescent="0.25">
      <c r="A810" s="111"/>
      <c r="B810" s="112" t="e">
        <f>VLOOKUP(Table2[[#This Row],[Location 
(drop-down)]],'List source'!D$2:E$59,2,FALSE)</f>
        <v>#N/A</v>
      </c>
      <c r="C810" s="129" t="s">
        <v>1931</v>
      </c>
      <c r="D810" s="117" t="e">
        <f t="shared" si="16"/>
        <v>#N/A</v>
      </c>
      <c r="E810" s="117" t="e">
        <f>VLOOKUP(Table2[[#This Row],[Location 
(drop-down)]],Table1[#All],3,FALSE)</f>
        <v>#N/A</v>
      </c>
      <c r="F810" s="196"/>
      <c r="G810" s="111"/>
      <c r="H810" s="113"/>
      <c r="I810" s="113"/>
      <c r="J810" s="114"/>
      <c r="K810" s="114"/>
      <c r="L810" s="115"/>
      <c r="M810" s="115"/>
      <c r="N810" s="115"/>
      <c r="O810" s="115"/>
    </row>
    <row r="811" spans="1:15" ht="18.75" x14ac:dyDescent="0.25">
      <c r="A811" s="111"/>
      <c r="B811" s="112" t="e">
        <f>VLOOKUP(Table2[[#This Row],[Location 
(drop-down)]],'List source'!D$2:E$59,2,FALSE)</f>
        <v>#N/A</v>
      </c>
      <c r="C811" s="129" t="s">
        <v>1932</v>
      </c>
      <c r="D811" s="117" t="e">
        <f t="shared" si="16"/>
        <v>#N/A</v>
      </c>
      <c r="E811" s="117" t="e">
        <f>VLOOKUP(Table2[[#This Row],[Location 
(drop-down)]],Table1[#All],3,FALSE)</f>
        <v>#N/A</v>
      </c>
      <c r="F811" s="196"/>
      <c r="G811" s="111"/>
      <c r="H811" s="113"/>
      <c r="I811" s="113"/>
      <c r="J811" s="114"/>
      <c r="K811" s="114"/>
      <c r="L811" s="115"/>
      <c r="M811" s="115"/>
      <c r="N811" s="115"/>
      <c r="O811" s="115"/>
    </row>
    <row r="812" spans="1:15" ht="18.75" x14ac:dyDescent="0.25">
      <c r="A812" s="111"/>
      <c r="B812" s="112" t="e">
        <f>VLOOKUP(Table2[[#This Row],[Location 
(drop-down)]],'List source'!D$2:E$59,2,FALSE)</f>
        <v>#N/A</v>
      </c>
      <c r="C812" s="129" t="s">
        <v>1933</v>
      </c>
      <c r="D812" s="117" t="e">
        <f t="shared" si="16"/>
        <v>#N/A</v>
      </c>
      <c r="E812" s="117" t="e">
        <f>VLOOKUP(Table2[[#This Row],[Location 
(drop-down)]],Table1[#All],3,FALSE)</f>
        <v>#N/A</v>
      </c>
      <c r="F812" s="196"/>
      <c r="G812" s="111"/>
      <c r="H812" s="113"/>
      <c r="I812" s="113"/>
      <c r="J812" s="114"/>
      <c r="K812" s="114"/>
      <c r="L812" s="115"/>
      <c r="M812" s="115"/>
      <c r="N812" s="115"/>
      <c r="O812" s="115"/>
    </row>
    <row r="813" spans="1:15" ht="18.75" x14ac:dyDescent="0.25">
      <c r="A813" s="111"/>
      <c r="B813" s="112" t="e">
        <f>VLOOKUP(Table2[[#This Row],[Location 
(drop-down)]],'List source'!D$2:E$59,2,FALSE)</f>
        <v>#N/A</v>
      </c>
      <c r="C813" s="129" t="s">
        <v>1934</v>
      </c>
      <c r="D813" s="117" t="e">
        <f t="shared" si="16"/>
        <v>#N/A</v>
      </c>
      <c r="E813" s="117" t="e">
        <f>VLOOKUP(Table2[[#This Row],[Location 
(drop-down)]],Table1[#All],3,FALSE)</f>
        <v>#N/A</v>
      </c>
      <c r="F813" s="196"/>
      <c r="G813" s="111"/>
      <c r="H813" s="113"/>
      <c r="I813" s="113"/>
      <c r="J813" s="114"/>
      <c r="K813" s="114"/>
      <c r="L813" s="115"/>
      <c r="M813" s="115"/>
      <c r="N813" s="115"/>
      <c r="O813" s="115"/>
    </row>
    <row r="814" spans="1:15" ht="18.75" x14ac:dyDescent="0.25">
      <c r="A814" s="111"/>
      <c r="B814" s="112" t="e">
        <f>VLOOKUP(Table2[[#This Row],[Location 
(drop-down)]],'List source'!D$2:E$59,2,FALSE)</f>
        <v>#N/A</v>
      </c>
      <c r="C814" s="129" t="s">
        <v>1935</v>
      </c>
      <c r="D814" s="117" t="e">
        <f t="shared" si="16"/>
        <v>#N/A</v>
      </c>
      <c r="E814" s="117" t="e">
        <f>VLOOKUP(Table2[[#This Row],[Location 
(drop-down)]],Table1[#All],3,FALSE)</f>
        <v>#N/A</v>
      </c>
      <c r="F814" s="196"/>
      <c r="G814" s="111"/>
      <c r="H814" s="113"/>
      <c r="I814" s="113"/>
      <c r="J814" s="114"/>
      <c r="K814" s="114"/>
      <c r="L814" s="115"/>
      <c r="M814" s="115"/>
      <c r="N814" s="115"/>
      <c r="O814" s="115"/>
    </row>
    <row r="815" spans="1:15" ht="18.75" x14ac:dyDescent="0.25">
      <c r="A815" s="111"/>
      <c r="B815" s="112" t="e">
        <f>VLOOKUP(Table2[[#This Row],[Location 
(drop-down)]],'List source'!D$2:E$59,2,FALSE)</f>
        <v>#N/A</v>
      </c>
      <c r="C815" s="129" t="s">
        <v>1936</v>
      </c>
      <c r="D815" s="117" t="e">
        <f t="shared" si="16"/>
        <v>#N/A</v>
      </c>
      <c r="E815" s="117" t="e">
        <f>VLOOKUP(Table2[[#This Row],[Location 
(drop-down)]],Table1[#All],3,FALSE)</f>
        <v>#N/A</v>
      </c>
      <c r="F815" s="196"/>
      <c r="G815" s="111"/>
      <c r="H815" s="113"/>
      <c r="I815" s="113"/>
      <c r="J815" s="114"/>
      <c r="K815" s="114"/>
      <c r="L815" s="115"/>
      <c r="M815" s="115"/>
      <c r="N815" s="115"/>
      <c r="O815" s="115"/>
    </row>
    <row r="816" spans="1:15" ht="18.75" x14ac:dyDescent="0.25">
      <c r="A816" s="111"/>
      <c r="B816" s="112" t="e">
        <f>VLOOKUP(Table2[[#This Row],[Location 
(drop-down)]],'List source'!D$2:E$59,2,FALSE)</f>
        <v>#N/A</v>
      </c>
      <c r="C816" s="129" t="s">
        <v>1937</v>
      </c>
      <c r="D816" s="117" t="e">
        <f t="shared" si="16"/>
        <v>#N/A</v>
      </c>
      <c r="E816" s="117" t="e">
        <f>VLOOKUP(Table2[[#This Row],[Location 
(drop-down)]],Table1[#All],3,FALSE)</f>
        <v>#N/A</v>
      </c>
      <c r="F816" s="196"/>
      <c r="G816" s="111"/>
      <c r="H816" s="113"/>
      <c r="I816" s="113"/>
      <c r="J816" s="114"/>
      <c r="K816" s="114"/>
      <c r="L816" s="115"/>
      <c r="M816" s="115"/>
      <c r="N816" s="115"/>
      <c r="O816" s="115"/>
    </row>
    <row r="817" spans="1:15" ht="18.75" x14ac:dyDescent="0.25">
      <c r="A817" s="111"/>
      <c r="B817" s="112" t="e">
        <f>VLOOKUP(Table2[[#This Row],[Location 
(drop-down)]],'List source'!D$2:E$59,2,FALSE)</f>
        <v>#N/A</v>
      </c>
      <c r="C817" s="129" t="s">
        <v>1938</v>
      </c>
      <c r="D817" s="117" t="e">
        <f t="shared" si="16"/>
        <v>#N/A</v>
      </c>
      <c r="E817" s="117" t="e">
        <f>VLOOKUP(Table2[[#This Row],[Location 
(drop-down)]],Table1[#All],3,FALSE)</f>
        <v>#N/A</v>
      </c>
      <c r="F817" s="196"/>
      <c r="G817" s="111"/>
      <c r="H817" s="113"/>
      <c r="I817" s="113"/>
      <c r="J817" s="114"/>
      <c r="K817" s="114"/>
      <c r="L817" s="115"/>
      <c r="M817" s="115"/>
      <c r="N817" s="115"/>
      <c r="O817" s="115"/>
    </row>
    <row r="818" spans="1:15" ht="18.75" x14ac:dyDescent="0.25">
      <c r="A818" s="111"/>
      <c r="B818" s="112" t="e">
        <f>VLOOKUP(Table2[[#This Row],[Location 
(drop-down)]],'List source'!D$2:E$59,2,FALSE)</f>
        <v>#N/A</v>
      </c>
      <c r="C818" s="129" t="s">
        <v>1939</v>
      </c>
      <c r="D818" s="117" t="e">
        <f t="shared" si="16"/>
        <v>#N/A</v>
      </c>
      <c r="E818" s="117" t="e">
        <f>VLOOKUP(Table2[[#This Row],[Location 
(drop-down)]],Table1[#All],3,FALSE)</f>
        <v>#N/A</v>
      </c>
      <c r="F818" s="196"/>
      <c r="G818" s="111"/>
      <c r="H818" s="113"/>
      <c r="I818" s="113"/>
      <c r="J818" s="114"/>
      <c r="K818" s="114"/>
      <c r="L818" s="115"/>
      <c r="M818" s="115"/>
      <c r="N818" s="115"/>
      <c r="O818" s="115"/>
    </row>
    <row r="819" spans="1:15" ht="18.75" x14ac:dyDescent="0.25">
      <c r="A819" s="111"/>
      <c r="B819" s="112" t="e">
        <f>VLOOKUP(Table2[[#This Row],[Location 
(drop-down)]],'List source'!D$2:E$59,2,FALSE)</f>
        <v>#N/A</v>
      </c>
      <c r="C819" s="129" t="s">
        <v>1940</v>
      </c>
      <c r="D819" s="117" t="e">
        <f t="shared" si="16"/>
        <v>#N/A</v>
      </c>
      <c r="E819" s="117" t="e">
        <f>VLOOKUP(Table2[[#This Row],[Location 
(drop-down)]],Table1[#All],3,FALSE)</f>
        <v>#N/A</v>
      </c>
      <c r="F819" s="196"/>
      <c r="G819" s="111"/>
      <c r="H819" s="113"/>
      <c r="I819" s="113"/>
      <c r="J819" s="114"/>
      <c r="K819" s="114"/>
      <c r="L819" s="115"/>
      <c r="M819" s="115"/>
      <c r="N819" s="115"/>
      <c r="O819" s="115"/>
    </row>
    <row r="820" spans="1:15" ht="18.75" x14ac:dyDescent="0.25">
      <c r="A820" s="111"/>
      <c r="B820" s="112" t="e">
        <f>VLOOKUP(Table2[[#This Row],[Location 
(drop-down)]],'List source'!D$2:E$59,2,FALSE)</f>
        <v>#N/A</v>
      </c>
      <c r="C820" s="129" t="s">
        <v>1941</v>
      </c>
      <c r="D820" s="117" t="e">
        <f t="shared" si="16"/>
        <v>#N/A</v>
      </c>
      <c r="E820" s="117" t="e">
        <f>VLOOKUP(Table2[[#This Row],[Location 
(drop-down)]],Table1[#All],3,FALSE)</f>
        <v>#N/A</v>
      </c>
      <c r="F820" s="196"/>
      <c r="G820" s="111"/>
      <c r="H820" s="113"/>
      <c r="I820" s="113"/>
      <c r="J820" s="114"/>
      <c r="K820" s="114"/>
      <c r="L820" s="115"/>
      <c r="M820" s="115"/>
      <c r="N820" s="115"/>
      <c r="O820" s="115"/>
    </row>
    <row r="821" spans="1:15" ht="18.75" x14ac:dyDescent="0.25">
      <c r="A821" s="111"/>
      <c r="B821" s="112" t="e">
        <f>VLOOKUP(Table2[[#This Row],[Location 
(drop-down)]],'List source'!D$2:E$59,2,FALSE)</f>
        <v>#N/A</v>
      </c>
      <c r="C821" s="129" t="s">
        <v>1942</v>
      </c>
      <c r="D821" s="117" t="e">
        <f t="shared" si="16"/>
        <v>#N/A</v>
      </c>
      <c r="E821" s="117" t="e">
        <f>VLOOKUP(Table2[[#This Row],[Location 
(drop-down)]],Table1[#All],3,FALSE)</f>
        <v>#N/A</v>
      </c>
      <c r="F821" s="196"/>
      <c r="G821" s="111"/>
      <c r="H821" s="113"/>
      <c r="I821" s="113"/>
      <c r="J821" s="114"/>
      <c r="K821" s="114"/>
      <c r="L821" s="115"/>
      <c r="M821" s="115"/>
      <c r="N821" s="115"/>
      <c r="O821" s="115"/>
    </row>
    <row r="822" spans="1:15" ht="18.75" x14ac:dyDescent="0.25">
      <c r="A822" s="111"/>
      <c r="B822" s="112" t="e">
        <f>VLOOKUP(Table2[[#This Row],[Location 
(drop-down)]],'List source'!D$2:E$59,2,FALSE)</f>
        <v>#N/A</v>
      </c>
      <c r="C822" s="129" t="s">
        <v>1943</v>
      </c>
      <c r="D822" s="117" t="e">
        <f t="shared" si="16"/>
        <v>#N/A</v>
      </c>
      <c r="E822" s="117" t="e">
        <f>VLOOKUP(Table2[[#This Row],[Location 
(drop-down)]],Table1[#All],3,FALSE)</f>
        <v>#N/A</v>
      </c>
      <c r="F822" s="196"/>
      <c r="G822" s="111"/>
      <c r="H822" s="113"/>
      <c r="I822" s="113"/>
      <c r="J822" s="114"/>
      <c r="K822" s="114"/>
      <c r="L822" s="115"/>
      <c r="M822" s="115"/>
      <c r="N822" s="115"/>
      <c r="O822" s="115"/>
    </row>
    <row r="823" spans="1:15" ht="18.75" x14ac:dyDescent="0.25">
      <c r="A823" s="111"/>
      <c r="B823" s="112" t="e">
        <f>VLOOKUP(Table2[[#This Row],[Location 
(drop-down)]],'List source'!D$2:E$59,2,FALSE)</f>
        <v>#N/A</v>
      </c>
      <c r="C823" s="129" t="s">
        <v>1944</v>
      </c>
      <c r="D823" s="117" t="e">
        <f t="shared" si="16"/>
        <v>#N/A</v>
      </c>
      <c r="E823" s="117" t="e">
        <f>VLOOKUP(Table2[[#This Row],[Location 
(drop-down)]],Table1[#All],3,FALSE)</f>
        <v>#N/A</v>
      </c>
      <c r="F823" s="196"/>
      <c r="G823" s="111"/>
      <c r="H823" s="113"/>
      <c r="I823" s="113"/>
      <c r="J823" s="114"/>
      <c r="K823" s="114"/>
      <c r="L823" s="115"/>
      <c r="M823" s="115"/>
      <c r="N823" s="115"/>
      <c r="O823" s="115"/>
    </row>
    <row r="824" spans="1:15" ht="18.75" x14ac:dyDescent="0.25">
      <c r="A824" s="111"/>
      <c r="B824" s="112" t="e">
        <f>VLOOKUP(Table2[[#This Row],[Location 
(drop-down)]],'List source'!D$2:E$59,2,FALSE)</f>
        <v>#N/A</v>
      </c>
      <c r="C824" s="129" t="s">
        <v>1945</v>
      </c>
      <c r="D824" s="117" t="e">
        <f t="shared" si="16"/>
        <v>#N/A</v>
      </c>
      <c r="E824" s="117" t="e">
        <f>VLOOKUP(Table2[[#This Row],[Location 
(drop-down)]],Table1[#All],3,FALSE)</f>
        <v>#N/A</v>
      </c>
      <c r="F824" s="196"/>
      <c r="G824" s="111"/>
      <c r="H824" s="113"/>
      <c r="I824" s="113"/>
      <c r="J824" s="114"/>
      <c r="K824" s="114"/>
      <c r="L824" s="115"/>
      <c r="M824" s="115"/>
      <c r="N824" s="115"/>
      <c r="O824" s="115"/>
    </row>
    <row r="825" spans="1:15" ht="18.75" x14ac:dyDescent="0.25">
      <c r="A825" s="111"/>
      <c r="B825" s="112" t="e">
        <f>VLOOKUP(Table2[[#This Row],[Location 
(drop-down)]],'List source'!D$2:E$59,2,FALSE)</f>
        <v>#N/A</v>
      </c>
      <c r="C825" s="129" t="s">
        <v>1946</v>
      </c>
      <c r="D825" s="117" t="e">
        <f t="shared" si="16"/>
        <v>#N/A</v>
      </c>
      <c r="E825" s="117" t="e">
        <f>VLOOKUP(Table2[[#This Row],[Location 
(drop-down)]],Table1[#All],3,FALSE)</f>
        <v>#N/A</v>
      </c>
      <c r="F825" s="196"/>
      <c r="G825" s="111"/>
      <c r="H825" s="113"/>
      <c r="I825" s="113"/>
      <c r="J825" s="114"/>
      <c r="K825" s="114"/>
      <c r="L825" s="115"/>
      <c r="M825" s="115"/>
      <c r="N825" s="115"/>
      <c r="O825" s="115"/>
    </row>
    <row r="826" spans="1:15" ht="18.75" x14ac:dyDescent="0.25">
      <c r="A826" s="111"/>
      <c r="B826" s="112" t="e">
        <f>VLOOKUP(Table2[[#This Row],[Location 
(drop-down)]],'List source'!D$2:E$59,2,FALSE)</f>
        <v>#N/A</v>
      </c>
      <c r="C826" s="129" t="s">
        <v>1947</v>
      </c>
      <c r="D826" s="117" t="e">
        <f t="shared" si="16"/>
        <v>#N/A</v>
      </c>
      <c r="E826" s="117" t="e">
        <f>VLOOKUP(Table2[[#This Row],[Location 
(drop-down)]],Table1[#All],3,FALSE)</f>
        <v>#N/A</v>
      </c>
      <c r="F826" s="196"/>
      <c r="G826" s="111"/>
      <c r="H826" s="113"/>
      <c r="I826" s="113"/>
      <c r="J826" s="114"/>
      <c r="K826" s="114"/>
      <c r="L826" s="115"/>
      <c r="M826" s="115"/>
      <c r="N826" s="115"/>
      <c r="O826" s="115"/>
    </row>
    <row r="827" spans="1:15" ht="18.75" x14ac:dyDescent="0.25">
      <c r="A827" s="111"/>
      <c r="B827" s="112" t="e">
        <f>VLOOKUP(Table2[[#This Row],[Location 
(drop-down)]],'List source'!D$2:E$59,2,FALSE)</f>
        <v>#N/A</v>
      </c>
      <c r="C827" s="129" t="s">
        <v>1948</v>
      </c>
      <c r="D827" s="117" t="e">
        <f t="shared" si="16"/>
        <v>#N/A</v>
      </c>
      <c r="E827" s="117" t="e">
        <f>VLOOKUP(Table2[[#This Row],[Location 
(drop-down)]],Table1[#All],3,FALSE)</f>
        <v>#N/A</v>
      </c>
      <c r="F827" s="196"/>
      <c r="G827" s="111"/>
      <c r="H827" s="113"/>
      <c r="I827" s="113"/>
      <c r="J827" s="114"/>
      <c r="K827" s="114"/>
      <c r="L827" s="115"/>
      <c r="M827" s="115"/>
      <c r="N827" s="115"/>
      <c r="O827" s="115"/>
    </row>
    <row r="828" spans="1:15" ht="18.75" x14ac:dyDescent="0.25">
      <c r="A828" s="111"/>
      <c r="B828" s="112" t="e">
        <f>VLOOKUP(Table2[[#This Row],[Location 
(drop-down)]],'List source'!D$2:E$59,2,FALSE)</f>
        <v>#N/A</v>
      </c>
      <c r="C828" s="129" t="s">
        <v>1949</v>
      </c>
      <c r="D828" s="117" t="e">
        <f t="shared" si="16"/>
        <v>#N/A</v>
      </c>
      <c r="E828" s="117" t="e">
        <f>VLOOKUP(Table2[[#This Row],[Location 
(drop-down)]],Table1[#All],3,FALSE)</f>
        <v>#N/A</v>
      </c>
      <c r="F828" s="196"/>
      <c r="G828" s="111"/>
      <c r="H828" s="113"/>
      <c r="I828" s="113"/>
      <c r="J828" s="114"/>
      <c r="K828" s="114"/>
      <c r="L828" s="115"/>
      <c r="M828" s="115"/>
      <c r="N828" s="115"/>
      <c r="O828" s="115"/>
    </row>
    <row r="829" spans="1:15" ht="18.75" x14ac:dyDescent="0.25">
      <c r="A829" s="111"/>
      <c r="B829" s="112" t="e">
        <f>VLOOKUP(Table2[[#This Row],[Location 
(drop-down)]],'List source'!D$2:E$59,2,FALSE)</f>
        <v>#N/A</v>
      </c>
      <c r="C829" s="129" t="s">
        <v>1950</v>
      </c>
      <c r="D829" s="117" t="e">
        <f t="shared" si="16"/>
        <v>#N/A</v>
      </c>
      <c r="E829" s="117" t="e">
        <f>VLOOKUP(Table2[[#This Row],[Location 
(drop-down)]],Table1[#All],3,FALSE)</f>
        <v>#N/A</v>
      </c>
      <c r="F829" s="196"/>
      <c r="G829" s="111"/>
      <c r="H829" s="113"/>
      <c r="I829" s="113"/>
      <c r="J829" s="114"/>
      <c r="K829" s="114"/>
      <c r="L829" s="115"/>
      <c r="M829" s="115"/>
      <c r="N829" s="115"/>
      <c r="O829" s="115"/>
    </row>
    <row r="830" spans="1:15" ht="18.75" x14ac:dyDescent="0.25">
      <c r="A830" s="111"/>
      <c r="B830" s="112" t="e">
        <f>VLOOKUP(Table2[[#This Row],[Location 
(drop-down)]],'List source'!D$2:E$59,2,FALSE)</f>
        <v>#N/A</v>
      </c>
      <c r="C830" s="129" t="s">
        <v>1951</v>
      </c>
      <c r="D830" s="117" t="e">
        <f t="shared" si="16"/>
        <v>#N/A</v>
      </c>
      <c r="E830" s="117" t="e">
        <f>VLOOKUP(Table2[[#This Row],[Location 
(drop-down)]],Table1[#All],3,FALSE)</f>
        <v>#N/A</v>
      </c>
      <c r="F830" s="196"/>
      <c r="G830" s="111"/>
      <c r="H830" s="113"/>
      <c r="I830" s="113"/>
      <c r="J830" s="114"/>
      <c r="K830" s="114"/>
      <c r="L830" s="115"/>
      <c r="M830" s="115"/>
      <c r="N830" s="115"/>
      <c r="O830" s="115"/>
    </row>
    <row r="831" spans="1:15" ht="18.75" x14ac:dyDescent="0.25">
      <c r="A831" s="111"/>
      <c r="B831" s="112" t="e">
        <f>VLOOKUP(Table2[[#This Row],[Location 
(drop-down)]],'List source'!D$2:E$59,2,FALSE)</f>
        <v>#N/A</v>
      </c>
      <c r="C831" s="129" t="s">
        <v>1952</v>
      </c>
      <c r="D831" s="117" t="e">
        <f t="shared" si="16"/>
        <v>#N/A</v>
      </c>
      <c r="E831" s="117" t="e">
        <f>VLOOKUP(Table2[[#This Row],[Location 
(drop-down)]],Table1[#All],3,FALSE)</f>
        <v>#N/A</v>
      </c>
      <c r="F831" s="196"/>
      <c r="G831" s="111"/>
      <c r="H831" s="113"/>
      <c r="I831" s="113"/>
      <c r="J831" s="114"/>
      <c r="K831" s="114"/>
      <c r="L831" s="115"/>
      <c r="M831" s="115"/>
      <c r="N831" s="115"/>
      <c r="O831" s="115"/>
    </row>
    <row r="832" spans="1:15" ht="18.75" x14ac:dyDescent="0.25">
      <c r="A832" s="111"/>
      <c r="B832" s="112" t="e">
        <f>VLOOKUP(Table2[[#This Row],[Location 
(drop-down)]],'List source'!D$2:E$59,2,FALSE)</f>
        <v>#N/A</v>
      </c>
      <c r="C832" s="129" t="s">
        <v>1953</v>
      </c>
      <c r="D832" s="117" t="e">
        <f t="shared" si="16"/>
        <v>#N/A</v>
      </c>
      <c r="E832" s="117" t="e">
        <f>VLOOKUP(Table2[[#This Row],[Location 
(drop-down)]],Table1[#All],3,FALSE)</f>
        <v>#N/A</v>
      </c>
      <c r="F832" s="196"/>
      <c r="G832" s="111"/>
      <c r="H832" s="113"/>
      <c r="I832" s="113"/>
      <c r="J832" s="114"/>
      <c r="K832" s="114"/>
      <c r="L832" s="115"/>
      <c r="M832" s="115"/>
      <c r="N832" s="115"/>
      <c r="O832" s="115"/>
    </row>
    <row r="833" spans="1:15" ht="18.75" x14ac:dyDescent="0.25">
      <c r="A833" s="111"/>
      <c r="B833" s="112" t="e">
        <f>VLOOKUP(Table2[[#This Row],[Location 
(drop-down)]],'List source'!D$2:E$59,2,FALSE)</f>
        <v>#N/A</v>
      </c>
      <c r="C833" s="129" t="s">
        <v>1954</v>
      </c>
      <c r="D833" s="117" t="e">
        <f t="shared" si="16"/>
        <v>#N/A</v>
      </c>
      <c r="E833" s="117" t="e">
        <f>VLOOKUP(Table2[[#This Row],[Location 
(drop-down)]],Table1[#All],3,FALSE)</f>
        <v>#N/A</v>
      </c>
      <c r="F833" s="196"/>
      <c r="G833" s="111"/>
      <c r="H833" s="113"/>
      <c r="I833" s="113"/>
      <c r="J833" s="114"/>
      <c r="K833" s="114"/>
      <c r="L833" s="115"/>
      <c r="M833" s="115"/>
      <c r="N833" s="115"/>
      <c r="O833" s="115"/>
    </row>
    <row r="834" spans="1:15" ht="18.75" x14ac:dyDescent="0.25">
      <c r="A834" s="111"/>
      <c r="B834" s="112" t="e">
        <f>VLOOKUP(Table2[[#This Row],[Location 
(drop-down)]],'List source'!D$2:E$59,2,FALSE)</f>
        <v>#N/A</v>
      </c>
      <c r="C834" s="129" t="s">
        <v>1955</v>
      </c>
      <c r="D834" s="117" t="e">
        <f t="shared" si="16"/>
        <v>#N/A</v>
      </c>
      <c r="E834" s="117" t="e">
        <f>VLOOKUP(Table2[[#This Row],[Location 
(drop-down)]],Table1[#All],3,FALSE)</f>
        <v>#N/A</v>
      </c>
      <c r="F834" s="196"/>
      <c r="G834" s="111"/>
      <c r="H834" s="113"/>
      <c r="I834" s="113"/>
      <c r="J834" s="114"/>
      <c r="K834" s="114"/>
      <c r="L834" s="115"/>
      <c r="M834" s="115"/>
      <c r="N834" s="115"/>
      <c r="O834" s="115"/>
    </row>
    <row r="835" spans="1:15" ht="18.75" x14ac:dyDescent="0.25">
      <c r="A835" s="111"/>
      <c r="B835" s="112" t="e">
        <f>VLOOKUP(Table2[[#This Row],[Location 
(drop-down)]],'List source'!D$2:E$59,2,FALSE)</f>
        <v>#N/A</v>
      </c>
      <c r="C835" s="129" t="s">
        <v>1956</v>
      </c>
      <c r="D835" s="117" t="e">
        <f t="shared" si="16"/>
        <v>#N/A</v>
      </c>
      <c r="E835" s="117" t="e">
        <f>VLOOKUP(Table2[[#This Row],[Location 
(drop-down)]],Table1[#All],3,FALSE)</f>
        <v>#N/A</v>
      </c>
      <c r="F835" s="196"/>
      <c r="G835" s="111"/>
      <c r="H835" s="113"/>
      <c r="I835" s="113"/>
      <c r="J835" s="114"/>
      <c r="K835" s="114"/>
      <c r="L835" s="115"/>
      <c r="M835" s="115"/>
      <c r="N835" s="115"/>
      <c r="O835" s="115"/>
    </row>
    <row r="836" spans="1:15" ht="18.75" x14ac:dyDescent="0.25">
      <c r="A836" s="111"/>
      <c r="B836" s="112" t="e">
        <f>VLOOKUP(Table2[[#This Row],[Location 
(drop-down)]],'List source'!D$2:E$59,2,FALSE)</f>
        <v>#N/A</v>
      </c>
      <c r="C836" s="129" t="s">
        <v>1957</v>
      </c>
      <c r="D836" s="117" t="e">
        <f t="shared" si="16"/>
        <v>#N/A</v>
      </c>
      <c r="E836" s="117" t="e">
        <f>VLOOKUP(Table2[[#This Row],[Location 
(drop-down)]],Table1[#All],3,FALSE)</f>
        <v>#N/A</v>
      </c>
      <c r="F836" s="196"/>
      <c r="G836" s="111"/>
      <c r="H836" s="113"/>
      <c r="I836" s="113"/>
      <c r="J836" s="114"/>
      <c r="K836" s="114"/>
      <c r="L836" s="115"/>
      <c r="M836" s="115"/>
      <c r="N836" s="115"/>
      <c r="O836" s="115"/>
    </row>
    <row r="837" spans="1:15" ht="18.75" x14ac:dyDescent="0.25">
      <c r="A837" s="111"/>
      <c r="B837" s="112" t="e">
        <f>VLOOKUP(Table2[[#This Row],[Location 
(drop-down)]],'List source'!D$2:E$59,2,FALSE)</f>
        <v>#N/A</v>
      </c>
      <c r="C837" s="129" t="s">
        <v>1958</v>
      </c>
      <c r="D837" s="117" t="e">
        <f t="shared" si="16"/>
        <v>#N/A</v>
      </c>
      <c r="E837" s="117" t="e">
        <f>VLOOKUP(Table2[[#This Row],[Location 
(drop-down)]],Table1[#All],3,FALSE)</f>
        <v>#N/A</v>
      </c>
      <c r="F837" s="196"/>
      <c r="G837" s="111"/>
      <c r="H837" s="113"/>
      <c r="I837" s="113"/>
      <c r="J837" s="114"/>
      <c r="K837" s="114"/>
      <c r="L837" s="115"/>
      <c r="M837" s="115"/>
      <c r="N837" s="115"/>
      <c r="O837" s="115"/>
    </row>
    <row r="838" spans="1:15" ht="18.75" x14ac:dyDescent="0.25">
      <c r="A838" s="111"/>
      <c r="B838" s="112" t="e">
        <f>VLOOKUP(Table2[[#This Row],[Location 
(drop-down)]],'List source'!D$2:E$59,2,FALSE)</f>
        <v>#N/A</v>
      </c>
      <c r="C838" s="129" t="s">
        <v>1959</v>
      </c>
      <c r="D838" s="117" t="e">
        <f t="shared" si="16"/>
        <v>#N/A</v>
      </c>
      <c r="E838" s="117" t="e">
        <f>VLOOKUP(Table2[[#This Row],[Location 
(drop-down)]],Table1[#All],3,FALSE)</f>
        <v>#N/A</v>
      </c>
      <c r="F838" s="196"/>
      <c r="G838" s="111"/>
      <c r="H838" s="113"/>
      <c r="I838" s="113"/>
      <c r="J838" s="114"/>
      <c r="K838" s="114"/>
      <c r="L838" s="115"/>
      <c r="M838" s="115"/>
      <c r="N838" s="115"/>
      <c r="O838" s="115"/>
    </row>
    <row r="839" spans="1:15" ht="18.75" x14ac:dyDescent="0.25">
      <c r="A839" s="111"/>
      <c r="B839" s="112" t="e">
        <f>VLOOKUP(Table2[[#This Row],[Location 
(drop-down)]],'List source'!D$2:E$59,2,FALSE)</f>
        <v>#N/A</v>
      </c>
      <c r="C839" s="129" t="s">
        <v>1960</v>
      </c>
      <c r="D839" s="117" t="e">
        <f t="shared" si="16"/>
        <v>#N/A</v>
      </c>
      <c r="E839" s="117" t="e">
        <f>VLOOKUP(Table2[[#This Row],[Location 
(drop-down)]],Table1[#All],3,FALSE)</f>
        <v>#N/A</v>
      </c>
      <c r="F839" s="196"/>
      <c r="G839" s="111"/>
      <c r="H839" s="113"/>
      <c r="I839" s="113"/>
      <c r="J839" s="114"/>
      <c r="K839" s="114"/>
      <c r="L839" s="115"/>
      <c r="M839" s="115"/>
      <c r="N839" s="115"/>
      <c r="O839" s="115"/>
    </row>
    <row r="840" spans="1:15" ht="18.75" x14ac:dyDescent="0.25">
      <c r="A840" s="111"/>
      <c r="B840" s="112" t="e">
        <f>VLOOKUP(Table2[[#This Row],[Location 
(drop-down)]],'List source'!D$2:E$59,2,FALSE)</f>
        <v>#N/A</v>
      </c>
      <c r="C840" s="129" t="s">
        <v>1961</v>
      </c>
      <c r="D840" s="117" t="e">
        <f t="shared" si="16"/>
        <v>#N/A</v>
      </c>
      <c r="E840" s="117" t="e">
        <f>VLOOKUP(Table2[[#This Row],[Location 
(drop-down)]],Table1[#All],3,FALSE)</f>
        <v>#N/A</v>
      </c>
      <c r="F840" s="196"/>
      <c r="G840" s="111"/>
      <c r="H840" s="113"/>
      <c r="I840" s="113"/>
      <c r="J840" s="114"/>
      <c r="K840" s="114"/>
      <c r="L840" s="115"/>
      <c r="M840" s="115"/>
      <c r="N840" s="115"/>
      <c r="O840" s="115"/>
    </row>
    <row r="841" spans="1:15" ht="18.75" x14ac:dyDescent="0.25">
      <c r="A841" s="111"/>
      <c r="B841" s="112" t="e">
        <f>VLOOKUP(Table2[[#This Row],[Location 
(drop-down)]],'List source'!D$2:E$59,2,FALSE)</f>
        <v>#N/A</v>
      </c>
      <c r="C841" s="129" t="s">
        <v>1962</v>
      </c>
      <c r="D841" s="117" t="e">
        <f t="shared" si="16"/>
        <v>#N/A</v>
      </c>
      <c r="E841" s="117" t="e">
        <f>VLOOKUP(Table2[[#This Row],[Location 
(drop-down)]],Table1[#All],3,FALSE)</f>
        <v>#N/A</v>
      </c>
      <c r="F841" s="196"/>
      <c r="G841" s="111"/>
      <c r="H841" s="113"/>
      <c r="I841" s="113"/>
      <c r="J841" s="114"/>
      <c r="K841" s="114"/>
      <c r="L841" s="115"/>
      <c r="M841" s="115"/>
      <c r="N841" s="115"/>
      <c r="O841" s="115"/>
    </row>
    <row r="842" spans="1:15" ht="18.75" x14ac:dyDescent="0.25">
      <c r="A842" s="111"/>
      <c r="B842" s="112" t="e">
        <f>VLOOKUP(Table2[[#This Row],[Location 
(drop-down)]],'List source'!D$2:E$59,2,FALSE)</f>
        <v>#N/A</v>
      </c>
      <c r="C842" s="129" t="s">
        <v>1963</v>
      </c>
      <c r="D842" s="117" t="e">
        <f t="shared" si="16"/>
        <v>#N/A</v>
      </c>
      <c r="E842" s="117" t="e">
        <f>VLOOKUP(Table2[[#This Row],[Location 
(drop-down)]],Table1[#All],3,FALSE)</f>
        <v>#N/A</v>
      </c>
      <c r="F842" s="196"/>
      <c r="G842" s="111"/>
      <c r="H842" s="113"/>
      <c r="I842" s="113"/>
      <c r="J842" s="114"/>
      <c r="K842" s="114"/>
      <c r="L842" s="115"/>
      <c r="M842" s="115"/>
      <c r="N842" s="115"/>
      <c r="O842" s="115"/>
    </row>
    <row r="843" spans="1:15" ht="18.75" x14ac:dyDescent="0.25">
      <c r="A843" s="111"/>
      <c r="B843" s="112" t="e">
        <f>VLOOKUP(Table2[[#This Row],[Location 
(drop-down)]],'List source'!D$2:E$59,2,FALSE)</f>
        <v>#N/A</v>
      </c>
      <c r="C843" s="129" t="s">
        <v>1964</v>
      </c>
      <c r="D843" s="117" t="e">
        <f t="shared" si="16"/>
        <v>#N/A</v>
      </c>
      <c r="E843" s="117" t="e">
        <f>VLOOKUP(Table2[[#This Row],[Location 
(drop-down)]],Table1[#All],3,FALSE)</f>
        <v>#N/A</v>
      </c>
      <c r="F843" s="196"/>
      <c r="G843" s="111"/>
      <c r="H843" s="113"/>
      <c r="I843" s="113"/>
      <c r="J843" s="114"/>
      <c r="K843" s="114"/>
      <c r="L843" s="115"/>
      <c r="M843" s="115"/>
      <c r="N843" s="115"/>
      <c r="O843" s="115"/>
    </row>
    <row r="844" spans="1:15" ht="18.75" x14ac:dyDescent="0.25">
      <c r="A844" s="111"/>
      <c r="B844" s="112" t="e">
        <f>VLOOKUP(Table2[[#This Row],[Location 
(drop-down)]],'List source'!D$2:E$59,2,FALSE)</f>
        <v>#N/A</v>
      </c>
      <c r="C844" s="129" t="s">
        <v>1965</v>
      </c>
      <c r="D844" s="117" t="e">
        <f t="shared" si="16"/>
        <v>#N/A</v>
      </c>
      <c r="E844" s="117" t="e">
        <f>VLOOKUP(Table2[[#This Row],[Location 
(drop-down)]],Table1[#All],3,FALSE)</f>
        <v>#N/A</v>
      </c>
      <c r="F844" s="196"/>
      <c r="G844" s="111"/>
      <c r="H844" s="113"/>
      <c r="I844" s="113"/>
      <c r="J844" s="114"/>
      <c r="K844" s="114"/>
      <c r="L844" s="115"/>
      <c r="M844" s="115"/>
      <c r="N844" s="115"/>
      <c r="O844" s="115"/>
    </row>
    <row r="845" spans="1:15" ht="18.75" x14ac:dyDescent="0.25">
      <c r="A845" s="111"/>
      <c r="B845" s="112" t="e">
        <f>VLOOKUP(Table2[[#This Row],[Location 
(drop-down)]],'List source'!D$2:E$59,2,FALSE)</f>
        <v>#N/A</v>
      </c>
      <c r="C845" s="129" t="s">
        <v>1966</v>
      </c>
      <c r="D845" s="117" t="e">
        <f t="shared" si="16"/>
        <v>#N/A</v>
      </c>
      <c r="E845" s="117" t="e">
        <f>VLOOKUP(Table2[[#This Row],[Location 
(drop-down)]],Table1[#All],3,FALSE)</f>
        <v>#N/A</v>
      </c>
      <c r="F845" s="196"/>
      <c r="G845" s="111"/>
      <c r="H845" s="113"/>
      <c r="I845" s="113"/>
      <c r="J845" s="114"/>
      <c r="K845" s="114"/>
      <c r="L845" s="115"/>
      <c r="M845" s="115"/>
      <c r="N845" s="115"/>
      <c r="O845" s="115"/>
    </row>
    <row r="846" spans="1:15" ht="18.75" x14ac:dyDescent="0.25">
      <c r="A846" s="111"/>
      <c r="B846" s="112" t="e">
        <f>VLOOKUP(Table2[[#This Row],[Location 
(drop-down)]],'List source'!D$2:E$59,2,FALSE)</f>
        <v>#N/A</v>
      </c>
      <c r="C846" s="129" t="s">
        <v>1967</v>
      </c>
      <c r="D846" s="117" t="e">
        <f t="shared" si="16"/>
        <v>#N/A</v>
      </c>
      <c r="E846" s="117" t="e">
        <f>VLOOKUP(Table2[[#This Row],[Location 
(drop-down)]],Table1[#All],3,FALSE)</f>
        <v>#N/A</v>
      </c>
      <c r="F846" s="196"/>
      <c r="G846" s="111"/>
      <c r="H846" s="113"/>
      <c r="I846" s="113"/>
      <c r="J846" s="114"/>
      <c r="K846" s="114"/>
      <c r="L846" s="115"/>
      <c r="M846" s="115"/>
      <c r="N846" s="115"/>
      <c r="O846" s="115"/>
    </row>
    <row r="847" spans="1:15" ht="18.75" x14ac:dyDescent="0.25">
      <c r="A847" s="111"/>
      <c r="B847" s="112" t="e">
        <f>VLOOKUP(Table2[[#This Row],[Location 
(drop-down)]],'List source'!D$2:E$59,2,FALSE)</f>
        <v>#N/A</v>
      </c>
      <c r="C847" s="129" t="s">
        <v>1968</v>
      </c>
      <c r="D847" s="117" t="e">
        <f t="shared" si="16"/>
        <v>#N/A</v>
      </c>
      <c r="E847" s="117" t="e">
        <f>VLOOKUP(Table2[[#This Row],[Location 
(drop-down)]],Table1[#All],3,FALSE)</f>
        <v>#N/A</v>
      </c>
      <c r="F847" s="196"/>
      <c r="G847" s="111"/>
      <c r="H847" s="113"/>
      <c r="I847" s="113"/>
      <c r="J847" s="114"/>
      <c r="K847" s="114"/>
      <c r="L847" s="115"/>
      <c r="M847" s="115"/>
      <c r="N847" s="115"/>
      <c r="O847" s="115"/>
    </row>
    <row r="848" spans="1:15" ht="18.75" x14ac:dyDescent="0.25">
      <c r="A848" s="111"/>
      <c r="B848" s="112" t="e">
        <f>VLOOKUP(Table2[[#This Row],[Location 
(drop-down)]],'List source'!D$2:E$59,2,FALSE)</f>
        <v>#N/A</v>
      </c>
      <c r="C848" s="129" t="s">
        <v>1969</v>
      </c>
      <c r="D848" s="117" t="e">
        <f t="shared" si="16"/>
        <v>#N/A</v>
      </c>
      <c r="E848" s="117" t="e">
        <f>VLOOKUP(Table2[[#This Row],[Location 
(drop-down)]],Table1[#All],3,FALSE)</f>
        <v>#N/A</v>
      </c>
      <c r="F848" s="196"/>
      <c r="G848" s="111"/>
      <c r="H848" s="113"/>
      <c r="I848" s="113"/>
      <c r="J848" s="114"/>
      <c r="K848" s="114"/>
      <c r="L848" s="115"/>
      <c r="M848" s="115"/>
      <c r="N848" s="115"/>
      <c r="O848" s="115"/>
    </row>
    <row r="849" spans="1:15" ht="18.75" x14ac:dyDescent="0.25">
      <c r="A849" s="111"/>
      <c r="B849" s="112" t="e">
        <f>VLOOKUP(Table2[[#This Row],[Location 
(drop-down)]],'List source'!D$2:E$59,2,FALSE)</f>
        <v>#N/A</v>
      </c>
      <c r="C849" s="129" t="s">
        <v>1970</v>
      </c>
      <c r="D849" s="117" t="e">
        <f t="shared" si="16"/>
        <v>#N/A</v>
      </c>
      <c r="E849" s="117" t="e">
        <f>VLOOKUP(Table2[[#This Row],[Location 
(drop-down)]],Table1[#All],3,FALSE)</f>
        <v>#N/A</v>
      </c>
      <c r="F849" s="196"/>
      <c r="G849" s="111"/>
      <c r="H849" s="113"/>
      <c r="I849" s="113"/>
      <c r="J849" s="114"/>
      <c r="K849" s="114"/>
      <c r="L849" s="115"/>
      <c r="M849" s="115"/>
      <c r="N849" s="115"/>
      <c r="O849" s="115"/>
    </row>
    <row r="850" spans="1:15" ht="18.75" x14ac:dyDescent="0.25">
      <c r="A850" s="111"/>
      <c r="B850" s="112" t="e">
        <f>VLOOKUP(Table2[[#This Row],[Location 
(drop-down)]],'List source'!D$2:E$59,2,FALSE)</f>
        <v>#N/A</v>
      </c>
      <c r="C850" s="129" t="s">
        <v>1971</v>
      </c>
      <c r="D850" s="117" t="e">
        <f t="shared" si="16"/>
        <v>#N/A</v>
      </c>
      <c r="E850" s="117" t="e">
        <f>VLOOKUP(Table2[[#This Row],[Location 
(drop-down)]],Table1[#All],3,FALSE)</f>
        <v>#N/A</v>
      </c>
      <c r="F850" s="196"/>
      <c r="G850" s="111"/>
      <c r="H850" s="113"/>
      <c r="I850" s="113"/>
      <c r="J850" s="114"/>
      <c r="K850" s="114"/>
      <c r="L850" s="115"/>
      <c r="M850" s="115"/>
      <c r="N850" s="115"/>
      <c r="O850" s="115"/>
    </row>
    <row r="851" spans="1:15" ht="18.75" x14ac:dyDescent="0.25">
      <c r="A851" s="111"/>
      <c r="B851" s="112" t="e">
        <f>VLOOKUP(Table2[[#This Row],[Location 
(drop-down)]],'List source'!D$2:E$59,2,FALSE)</f>
        <v>#N/A</v>
      </c>
      <c r="C851" s="129" t="s">
        <v>1972</v>
      </c>
      <c r="D851" s="117" t="e">
        <f t="shared" si="16"/>
        <v>#N/A</v>
      </c>
      <c r="E851" s="117" t="e">
        <f>VLOOKUP(Table2[[#This Row],[Location 
(drop-down)]],Table1[#All],3,FALSE)</f>
        <v>#N/A</v>
      </c>
      <c r="F851" s="196"/>
      <c r="G851" s="111"/>
      <c r="H851" s="113"/>
      <c r="I851" s="113"/>
      <c r="J851" s="114"/>
      <c r="K851" s="114"/>
      <c r="L851" s="115"/>
      <c r="M851" s="115"/>
      <c r="N851" s="115"/>
      <c r="O851" s="115"/>
    </row>
    <row r="852" spans="1:15" ht="18.75" x14ac:dyDescent="0.25">
      <c r="A852" s="111"/>
      <c r="B852" s="112" t="e">
        <f>VLOOKUP(Table2[[#This Row],[Location 
(drop-down)]],'List source'!D$2:E$59,2,FALSE)</f>
        <v>#N/A</v>
      </c>
      <c r="C852" s="129" t="s">
        <v>1973</v>
      </c>
      <c r="D852" s="117" t="e">
        <f t="shared" si="16"/>
        <v>#N/A</v>
      </c>
      <c r="E852" s="117" t="e">
        <f>VLOOKUP(Table2[[#This Row],[Location 
(drop-down)]],Table1[#All],3,FALSE)</f>
        <v>#N/A</v>
      </c>
      <c r="F852" s="196"/>
      <c r="G852" s="111"/>
      <c r="H852" s="113"/>
      <c r="I852" s="113"/>
      <c r="J852" s="114"/>
      <c r="K852" s="114"/>
      <c r="L852" s="115"/>
      <c r="M852" s="115"/>
      <c r="N852" s="115"/>
      <c r="O852" s="115"/>
    </row>
    <row r="853" spans="1:15" ht="18.75" x14ac:dyDescent="0.25">
      <c r="A853" s="9"/>
      <c r="B853" s="112" t="e">
        <f>VLOOKUP(Table2[[#This Row],[Location 
(drop-down)]],'List source'!D$2:E$59,2,FALSE)</f>
        <v>#N/A</v>
      </c>
      <c r="C853" s="129" t="s">
        <v>1974</v>
      </c>
      <c r="D853" s="117" t="e">
        <f t="shared" si="16"/>
        <v>#N/A</v>
      </c>
      <c r="E853" s="117" t="e">
        <f>VLOOKUP(Table2[[#This Row],[Location 
(drop-down)]],Table1[#All],3,FALSE)</f>
        <v>#N/A</v>
      </c>
      <c r="F853" s="197"/>
      <c r="G853" s="9"/>
      <c r="H853" s="12"/>
      <c r="I853" s="12"/>
      <c r="J853" s="91"/>
      <c r="K853" s="91"/>
      <c r="L853" s="10"/>
      <c r="M853" s="10"/>
      <c r="N853" s="10"/>
      <c r="O853" s="10"/>
    </row>
    <row r="854" spans="1:15" ht="18.75" x14ac:dyDescent="0.25">
      <c r="A854" s="9"/>
      <c r="B854" s="112" t="e">
        <f>VLOOKUP(Table2[[#This Row],[Location 
(drop-down)]],'List source'!D$2:E$59,2,FALSE)</f>
        <v>#N/A</v>
      </c>
      <c r="C854" s="129" t="s">
        <v>1975</v>
      </c>
      <c r="D854" s="117" t="e">
        <f t="shared" si="16"/>
        <v>#N/A</v>
      </c>
      <c r="E854" s="117" t="e">
        <f>VLOOKUP(Table2[[#This Row],[Location 
(drop-down)]],Table1[#All],3,FALSE)</f>
        <v>#N/A</v>
      </c>
      <c r="F854" s="197"/>
      <c r="G854" s="9"/>
      <c r="H854" s="12"/>
      <c r="I854" s="12"/>
      <c r="J854" s="91"/>
      <c r="K854" s="91"/>
      <c r="L854" s="10"/>
      <c r="M854" s="10"/>
      <c r="N854" s="10"/>
      <c r="O854" s="10"/>
    </row>
    <row r="855" spans="1:15" ht="18.75" x14ac:dyDescent="0.25">
      <c r="A855" s="9"/>
      <c r="B855" s="112" t="e">
        <f>VLOOKUP(Table2[[#This Row],[Location 
(drop-down)]],'List source'!D$2:E$59,2,FALSE)</f>
        <v>#N/A</v>
      </c>
      <c r="C855" s="129" t="s">
        <v>1976</v>
      </c>
      <c r="D855" s="117" t="e">
        <f t="shared" si="16"/>
        <v>#N/A</v>
      </c>
      <c r="E855" s="117" t="e">
        <f>VLOOKUP(Table2[[#This Row],[Location 
(drop-down)]],Table1[#All],3,FALSE)</f>
        <v>#N/A</v>
      </c>
      <c r="F855" s="197"/>
      <c r="G855" s="9"/>
      <c r="H855" s="12"/>
      <c r="I855" s="12"/>
      <c r="J855" s="91"/>
      <c r="K855" s="91"/>
      <c r="L855" s="10"/>
      <c r="M855" s="10"/>
      <c r="N855" s="10"/>
      <c r="O855" s="10"/>
    </row>
    <row r="856" spans="1:15" ht="18.75" x14ac:dyDescent="0.25">
      <c r="A856" s="9"/>
      <c r="B856" s="112" t="e">
        <f>VLOOKUP(Table2[[#This Row],[Location 
(drop-down)]],'List source'!D$2:E$59,2,FALSE)</f>
        <v>#N/A</v>
      </c>
      <c r="C856" s="129" t="s">
        <v>1977</v>
      </c>
      <c r="D856" s="117" t="e">
        <f t="shared" si="16"/>
        <v>#N/A</v>
      </c>
      <c r="E856" s="117" t="e">
        <f>VLOOKUP(Table2[[#This Row],[Location 
(drop-down)]],Table1[#All],3,FALSE)</f>
        <v>#N/A</v>
      </c>
      <c r="F856" s="197"/>
      <c r="G856" s="9"/>
      <c r="H856" s="12"/>
      <c r="I856" s="12"/>
      <c r="J856" s="91"/>
      <c r="K856" s="91"/>
      <c r="L856" s="10"/>
      <c r="M856" s="10"/>
      <c r="N856" s="10"/>
      <c r="O856" s="10"/>
    </row>
    <row r="857" spans="1:15" ht="18.75" x14ac:dyDescent="0.25">
      <c r="A857" s="9"/>
      <c r="B857" s="112" t="e">
        <f>VLOOKUP(Table2[[#This Row],[Location 
(drop-down)]],'List source'!D$2:E$59,2,FALSE)</f>
        <v>#N/A</v>
      </c>
      <c r="C857" s="129" t="s">
        <v>1978</v>
      </c>
      <c r="D857" s="117" t="e">
        <f t="shared" si="16"/>
        <v>#N/A</v>
      </c>
      <c r="E857" s="117" t="e">
        <f>VLOOKUP(Table2[[#This Row],[Location 
(drop-down)]],Table1[#All],3,FALSE)</f>
        <v>#N/A</v>
      </c>
      <c r="F857" s="197"/>
      <c r="G857" s="9"/>
      <c r="H857" s="12"/>
      <c r="I857" s="12"/>
      <c r="J857" s="91"/>
      <c r="K857" s="91"/>
      <c r="L857" s="10"/>
      <c r="M857" s="10"/>
      <c r="N857" s="10"/>
      <c r="O857" s="10"/>
    </row>
    <row r="858" spans="1:15" ht="18.75" x14ac:dyDescent="0.25">
      <c r="A858" s="9"/>
      <c r="B858" s="112" t="e">
        <f>VLOOKUP(Table2[[#This Row],[Location 
(drop-down)]],'List source'!D$2:E$59,2,FALSE)</f>
        <v>#N/A</v>
      </c>
      <c r="C858" s="129" t="s">
        <v>1979</v>
      </c>
      <c r="D858" s="117" t="e">
        <f t="shared" si="16"/>
        <v>#N/A</v>
      </c>
      <c r="E858" s="117" t="e">
        <f>VLOOKUP(Table2[[#This Row],[Location 
(drop-down)]],Table1[#All],3,FALSE)</f>
        <v>#N/A</v>
      </c>
      <c r="F858" s="197"/>
      <c r="G858" s="9"/>
      <c r="H858" s="12"/>
      <c r="I858" s="12"/>
      <c r="J858" s="91"/>
      <c r="K858" s="91"/>
      <c r="L858" s="10"/>
      <c r="M858" s="10"/>
      <c r="N858" s="10"/>
      <c r="O858" s="10"/>
    </row>
    <row r="859" spans="1:15" ht="18.75" x14ac:dyDescent="0.25">
      <c r="A859" s="9"/>
      <c r="B859" s="112" t="e">
        <f>VLOOKUP(Table2[[#This Row],[Location 
(drop-down)]],'List source'!D$2:E$59,2,FALSE)</f>
        <v>#N/A</v>
      </c>
      <c r="C859" s="129" t="s">
        <v>1980</v>
      </c>
      <c r="D859" s="117" t="e">
        <f t="shared" ref="D859:D922" si="17">"C" &amp; C859 &amp; "-" &amp; B859 &amp; "-" &amp; "23"</f>
        <v>#N/A</v>
      </c>
      <c r="E859" s="117" t="e">
        <f>VLOOKUP(Table2[[#This Row],[Location 
(drop-down)]],Table1[#All],3,FALSE)</f>
        <v>#N/A</v>
      </c>
      <c r="F859" s="197"/>
      <c r="G859" s="9"/>
      <c r="H859" s="12"/>
      <c r="I859" s="12"/>
      <c r="J859" s="91"/>
      <c r="K859" s="91"/>
      <c r="L859" s="10"/>
      <c r="M859" s="10"/>
      <c r="N859" s="10"/>
      <c r="O859" s="10"/>
    </row>
    <row r="860" spans="1:15" ht="18.75" x14ac:dyDescent="0.25">
      <c r="A860" s="9"/>
      <c r="B860" s="112" t="e">
        <f>VLOOKUP(Table2[[#This Row],[Location 
(drop-down)]],'List source'!D$2:E$59,2,FALSE)</f>
        <v>#N/A</v>
      </c>
      <c r="C860" s="129" t="s">
        <v>1981</v>
      </c>
      <c r="D860" s="117" t="e">
        <f t="shared" si="17"/>
        <v>#N/A</v>
      </c>
      <c r="E860" s="117" t="e">
        <f>VLOOKUP(Table2[[#This Row],[Location 
(drop-down)]],Table1[#All],3,FALSE)</f>
        <v>#N/A</v>
      </c>
      <c r="F860" s="197"/>
      <c r="G860" s="9"/>
      <c r="H860" s="12"/>
      <c r="I860" s="12"/>
      <c r="J860" s="91"/>
      <c r="K860" s="91"/>
      <c r="L860" s="10"/>
      <c r="M860" s="10"/>
      <c r="N860" s="10"/>
      <c r="O860" s="10"/>
    </row>
    <row r="861" spans="1:15" ht="18.75" x14ac:dyDescent="0.25">
      <c r="A861" s="9"/>
      <c r="B861" s="112" t="e">
        <f>VLOOKUP(Table2[[#This Row],[Location 
(drop-down)]],'List source'!D$2:E$59,2,FALSE)</f>
        <v>#N/A</v>
      </c>
      <c r="C861" s="129" t="s">
        <v>1982</v>
      </c>
      <c r="D861" s="117" t="e">
        <f t="shared" si="17"/>
        <v>#N/A</v>
      </c>
      <c r="E861" s="117" t="e">
        <f>VLOOKUP(Table2[[#This Row],[Location 
(drop-down)]],Table1[#All],3,FALSE)</f>
        <v>#N/A</v>
      </c>
      <c r="F861" s="197"/>
      <c r="G861" s="9"/>
      <c r="H861" s="12"/>
      <c r="I861" s="12"/>
      <c r="J861" s="91"/>
      <c r="K861" s="91"/>
      <c r="L861" s="10"/>
      <c r="M861" s="10"/>
      <c r="N861" s="10"/>
      <c r="O861" s="10"/>
    </row>
    <row r="862" spans="1:15" ht="18.75" x14ac:dyDescent="0.25">
      <c r="A862" s="9"/>
      <c r="B862" s="112" t="e">
        <f>VLOOKUP(Table2[[#This Row],[Location 
(drop-down)]],'List source'!D$2:E$59,2,FALSE)</f>
        <v>#N/A</v>
      </c>
      <c r="C862" s="129" t="s">
        <v>1983</v>
      </c>
      <c r="D862" s="117" t="e">
        <f t="shared" si="17"/>
        <v>#N/A</v>
      </c>
      <c r="E862" s="117" t="e">
        <f>VLOOKUP(Table2[[#This Row],[Location 
(drop-down)]],Table1[#All],3,FALSE)</f>
        <v>#N/A</v>
      </c>
      <c r="F862" s="197"/>
      <c r="G862" s="9"/>
      <c r="H862" s="12"/>
      <c r="I862" s="12"/>
      <c r="J862" s="91"/>
      <c r="K862" s="91"/>
      <c r="L862" s="10"/>
      <c r="M862" s="10"/>
      <c r="N862" s="10"/>
      <c r="O862" s="10"/>
    </row>
    <row r="863" spans="1:15" ht="18.75" x14ac:dyDescent="0.25">
      <c r="A863" s="9"/>
      <c r="B863" s="112" t="e">
        <f>VLOOKUP(Table2[[#This Row],[Location 
(drop-down)]],'List source'!D$2:E$59,2,FALSE)</f>
        <v>#N/A</v>
      </c>
      <c r="C863" s="129" t="s">
        <v>1984</v>
      </c>
      <c r="D863" s="117" t="e">
        <f t="shared" si="17"/>
        <v>#N/A</v>
      </c>
      <c r="E863" s="117" t="e">
        <f>VLOOKUP(Table2[[#This Row],[Location 
(drop-down)]],Table1[#All],3,FALSE)</f>
        <v>#N/A</v>
      </c>
      <c r="F863" s="197"/>
      <c r="G863" s="9"/>
      <c r="H863" s="12"/>
      <c r="I863" s="12"/>
      <c r="J863" s="91"/>
      <c r="K863" s="91"/>
      <c r="L863" s="10"/>
      <c r="M863" s="10"/>
      <c r="N863" s="10"/>
      <c r="O863" s="10"/>
    </row>
    <row r="864" spans="1:15" ht="18.75" x14ac:dyDescent="0.25">
      <c r="A864" s="9"/>
      <c r="B864" s="112" t="e">
        <f>VLOOKUP(Table2[[#This Row],[Location 
(drop-down)]],'List source'!D$2:E$59,2,FALSE)</f>
        <v>#N/A</v>
      </c>
      <c r="C864" s="129" t="s">
        <v>1985</v>
      </c>
      <c r="D864" s="117" t="e">
        <f t="shared" si="17"/>
        <v>#N/A</v>
      </c>
      <c r="E864" s="117" t="e">
        <f>VLOOKUP(Table2[[#This Row],[Location 
(drop-down)]],Table1[#All],3,FALSE)</f>
        <v>#N/A</v>
      </c>
      <c r="F864" s="197"/>
      <c r="G864" s="9"/>
      <c r="H864" s="12"/>
      <c r="I864" s="12"/>
      <c r="J864" s="91"/>
      <c r="K864" s="91"/>
      <c r="L864" s="10"/>
      <c r="M864" s="10"/>
      <c r="N864" s="10"/>
      <c r="O864" s="10"/>
    </row>
    <row r="865" spans="1:15" ht="18.75" x14ac:dyDescent="0.25">
      <c r="A865" s="9"/>
      <c r="B865" s="112" t="e">
        <f>VLOOKUP(Table2[[#This Row],[Location 
(drop-down)]],'List source'!D$2:E$59,2,FALSE)</f>
        <v>#N/A</v>
      </c>
      <c r="C865" s="129" t="s">
        <v>1986</v>
      </c>
      <c r="D865" s="117" t="e">
        <f t="shared" si="17"/>
        <v>#N/A</v>
      </c>
      <c r="E865" s="117" t="e">
        <f>VLOOKUP(Table2[[#This Row],[Location 
(drop-down)]],Table1[#All],3,FALSE)</f>
        <v>#N/A</v>
      </c>
      <c r="F865" s="197"/>
      <c r="G865" s="9"/>
      <c r="H865" s="12"/>
      <c r="I865" s="12"/>
      <c r="J865" s="91"/>
      <c r="K865" s="91"/>
      <c r="L865" s="10"/>
      <c r="M865" s="10"/>
      <c r="N865" s="10"/>
      <c r="O865" s="10"/>
    </row>
    <row r="866" spans="1:15" ht="18.75" x14ac:dyDescent="0.25">
      <c r="A866" s="9"/>
      <c r="B866" s="112" t="e">
        <f>VLOOKUP(Table2[[#This Row],[Location 
(drop-down)]],'List source'!D$2:E$59,2,FALSE)</f>
        <v>#N/A</v>
      </c>
      <c r="C866" s="129" t="s">
        <v>1987</v>
      </c>
      <c r="D866" s="117" t="e">
        <f t="shared" si="17"/>
        <v>#N/A</v>
      </c>
      <c r="E866" s="117" t="e">
        <f>VLOOKUP(Table2[[#This Row],[Location 
(drop-down)]],Table1[#All],3,FALSE)</f>
        <v>#N/A</v>
      </c>
      <c r="F866" s="197"/>
      <c r="G866" s="9"/>
      <c r="H866" s="12"/>
      <c r="I866" s="12"/>
      <c r="J866" s="91"/>
      <c r="K866" s="91"/>
      <c r="L866" s="10"/>
      <c r="M866" s="10"/>
      <c r="N866" s="10"/>
      <c r="O866" s="10"/>
    </row>
    <row r="867" spans="1:15" ht="18.75" x14ac:dyDescent="0.25">
      <c r="A867" s="9"/>
      <c r="B867" s="112" t="e">
        <f>VLOOKUP(Table2[[#This Row],[Location 
(drop-down)]],'List source'!D$2:E$59,2,FALSE)</f>
        <v>#N/A</v>
      </c>
      <c r="C867" s="129" t="s">
        <v>1988</v>
      </c>
      <c r="D867" s="117" t="e">
        <f t="shared" si="17"/>
        <v>#N/A</v>
      </c>
      <c r="E867" s="117" t="e">
        <f>VLOOKUP(Table2[[#This Row],[Location 
(drop-down)]],Table1[#All],3,FALSE)</f>
        <v>#N/A</v>
      </c>
      <c r="F867" s="197"/>
      <c r="G867" s="9"/>
      <c r="H867" s="12"/>
      <c r="I867" s="12"/>
      <c r="J867" s="91"/>
      <c r="K867" s="91"/>
      <c r="L867" s="10"/>
      <c r="M867" s="10"/>
      <c r="N867" s="10"/>
      <c r="O867" s="10"/>
    </row>
    <row r="868" spans="1:15" ht="18.75" x14ac:dyDescent="0.25">
      <c r="A868" s="9"/>
      <c r="B868" s="112" t="e">
        <f>VLOOKUP(Table2[[#This Row],[Location 
(drop-down)]],'List source'!D$2:E$59,2,FALSE)</f>
        <v>#N/A</v>
      </c>
      <c r="C868" s="129" t="s">
        <v>1989</v>
      </c>
      <c r="D868" s="117" t="e">
        <f t="shared" si="17"/>
        <v>#N/A</v>
      </c>
      <c r="E868" s="117" t="e">
        <f>VLOOKUP(Table2[[#This Row],[Location 
(drop-down)]],Table1[#All],3,FALSE)</f>
        <v>#N/A</v>
      </c>
      <c r="F868" s="197"/>
      <c r="G868" s="9"/>
      <c r="H868" s="12"/>
      <c r="I868" s="12"/>
      <c r="J868" s="91"/>
      <c r="K868" s="91"/>
      <c r="L868" s="10"/>
      <c r="M868" s="10"/>
      <c r="N868" s="10"/>
      <c r="O868" s="10"/>
    </row>
    <row r="869" spans="1:15" ht="18.75" x14ac:dyDescent="0.25">
      <c r="A869" s="9"/>
      <c r="B869" s="112" t="e">
        <f>VLOOKUP(Table2[[#This Row],[Location 
(drop-down)]],'List source'!D$2:E$59,2,FALSE)</f>
        <v>#N/A</v>
      </c>
      <c r="C869" s="129" t="s">
        <v>1990</v>
      </c>
      <c r="D869" s="117" t="e">
        <f t="shared" si="17"/>
        <v>#N/A</v>
      </c>
      <c r="E869" s="117" t="e">
        <f>VLOOKUP(Table2[[#This Row],[Location 
(drop-down)]],Table1[#All],3,FALSE)</f>
        <v>#N/A</v>
      </c>
      <c r="F869" s="197"/>
      <c r="G869" s="9"/>
      <c r="H869" s="12"/>
      <c r="I869" s="12"/>
      <c r="J869" s="91"/>
      <c r="K869" s="91"/>
      <c r="L869" s="10"/>
      <c r="M869" s="10"/>
      <c r="N869" s="10"/>
      <c r="O869" s="10"/>
    </row>
    <row r="870" spans="1:15" ht="18.75" x14ac:dyDescent="0.25">
      <c r="A870" s="9"/>
      <c r="B870" s="112" t="e">
        <f>VLOOKUP(Table2[[#This Row],[Location 
(drop-down)]],'List source'!D$2:E$59,2,FALSE)</f>
        <v>#N/A</v>
      </c>
      <c r="C870" s="129" t="s">
        <v>1991</v>
      </c>
      <c r="D870" s="117" t="e">
        <f t="shared" si="17"/>
        <v>#N/A</v>
      </c>
      <c r="E870" s="117" t="e">
        <f>VLOOKUP(Table2[[#This Row],[Location 
(drop-down)]],Table1[#All],3,FALSE)</f>
        <v>#N/A</v>
      </c>
      <c r="F870" s="197"/>
      <c r="G870" s="9"/>
      <c r="H870" s="12"/>
      <c r="I870" s="12"/>
      <c r="J870" s="91"/>
      <c r="K870" s="91"/>
      <c r="L870" s="10"/>
      <c r="M870" s="10"/>
      <c r="N870" s="10"/>
      <c r="O870" s="10"/>
    </row>
    <row r="871" spans="1:15" ht="18.75" x14ac:dyDescent="0.25">
      <c r="A871" s="9"/>
      <c r="B871" s="112" t="e">
        <f>VLOOKUP(Table2[[#This Row],[Location 
(drop-down)]],'List source'!D$2:E$59,2,FALSE)</f>
        <v>#N/A</v>
      </c>
      <c r="C871" s="129" t="s">
        <v>1992</v>
      </c>
      <c r="D871" s="117" t="e">
        <f t="shared" si="17"/>
        <v>#N/A</v>
      </c>
      <c r="E871" s="117" t="e">
        <f>VLOOKUP(Table2[[#This Row],[Location 
(drop-down)]],Table1[#All],3,FALSE)</f>
        <v>#N/A</v>
      </c>
      <c r="F871" s="197"/>
      <c r="G871" s="9"/>
      <c r="H871" s="12"/>
      <c r="I871" s="12"/>
      <c r="J871" s="91"/>
      <c r="K871" s="91"/>
      <c r="L871" s="10"/>
      <c r="M871" s="10"/>
      <c r="N871" s="10"/>
      <c r="O871" s="10"/>
    </row>
    <row r="872" spans="1:15" ht="18.75" x14ac:dyDescent="0.25">
      <c r="A872" s="9"/>
      <c r="B872" s="112" t="e">
        <f>VLOOKUP(Table2[[#This Row],[Location 
(drop-down)]],'List source'!D$2:E$59,2,FALSE)</f>
        <v>#N/A</v>
      </c>
      <c r="C872" s="129" t="s">
        <v>1993</v>
      </c>
      <c r="D872" s="117" t="e">
        <f t="shared" si="17"/>
        <v>#N/A</v>
      </c>
      <c r="E872" s="117" t="e">
        <f>VLOOKUP(Table2[[#This Row],[Location 
(drop-down)]],Table1[#All],3,FALSE)</f>
        <v>#N/A</v>
      </c>
      <c r="F872" s="197"/>
      <c r="G872" s="9"/>
      <c r="H872" s="12"/>
      <c r="I872" s="12"/>
      <c r="J872" s="91"/>
      <c r="K872" s="91"/>
      <c r="L872" s="10"/>
      <c r="M872" s="10"/>
      <c r="N872" s="10"/>
      <c r="O872" s="10"/>
    </row>
    <row r="873" spans="1:15" ht="18.75" x14ac:dyDescent="0.25">
      <c r="A873" s="9"/>
      <c r="B873" s="112" t="e">
        <f>VLOOKUP(Table2[[#This Row],[Location 
(drop-down)]],'List source'!D$2:E$59,2,FALSE)</f>
        <v>#N/A</v>
      </c>
      <c r="C873" s="129" t="s">
        <v>1994</v>
      </c>
      <c r="D873" s="117" t="e">
        <f t="shared" si="17"/>
        <v>#N/A</v>
      </c>
      <c r="E873" s="117" t="e">
        <f>VLOOKUP(Table2[[#This Row],[Location 
(drop-down)]],Table1[#All],3,FALSE)</f>
        <v>#N/A</v>
      </c>
      <c r="F873" s="197"/>
      <c r="G873" s="9"/>
      <c r="H873" s="12"/>
      <c r="I873" s="12"/>
      <c r="J873" s="91"/>
      <c r="K873" s="91"/>
      <c r="L873" s="10"/>
      <c r="M873" s="10"/>
      <c r="N873" s="10"/>
      <c r="O873" s="10"/>
    </row>
    <row r="874" spans="1:15" ht="18.75" x14ac:dyDescent="0.25">
      <c r="A874" s="9"/>
      <c r="B874" s="112" t="e">
        <f>VLOOKUP(Table2[[#This Row],[Location 
(drop-down)]],'List source'!D$2:E$59,2,FALSE)</f>
        <v>#N/A</v>
      </c>
      <c r="C874" s="129" t="s">
        <v>1995</v>
      </c>
      <c r="D874" s="117" t="e">
        <f t="shared" si="17"/>
        <v>#N/A</v>
      </c>
      <c r="E874" s="117" t="e">
        <f>VLOOKUP(Table2[[#This Row],[Location 
(drop-down)]],Table1[#All],3,FALSE)</f>
        <v>#N/A</v>
      </c>
      <c r="F874" s="197"/>
      <c r="G874" s="9"/>
      <c r="H874" s="12"/>
      <c r="I874" s="12"/>
      <c r="J874" s="91"/>
      <c r="K874" s="91"/>
      <c r="L874" s="10"/>
      <c r="M874" s="10"/>
      <c r="N874" s="10"/>
      <c r="O874" s="10"/>
    </row>
    <row r="875" spans="1:15" ht="18.75" x14ac:dyDescent="0.25">
      <c r="A875" s="9"/>
      <c r="B875" s="112" t="e">
        <f>VLOOKUP(Table2[[#This Row],[Location 
(drop-down)]],'List source'!D$2:E$59,2,FALSE)</f>
        <v>#N/A</v>
      </c>
      <c r="C875" s="129" t="s">
        <v>1996</v>
      </c>
      <c r="D875" s="117" t="e">
        <f t="shared" si="17"/>
        <v>#N/A</v>
      </c>
      <c r="E875" s="117" t="e">
        <f>VLOOKUP(Table2[[#This Row],[Location 
(drop-down)]],Table1[#All],3,FALSE)</f>
        <v>#N/A</v>
      </c>
      <c r="F875" s="197"/>
      <c r="G875" s="9"/>
      <c r="H875" s="12"/>
      <c r="I875" s="12"/>
      <c r="J875" s="91"/>
      <c r="K875" s="91"/>
      <c r="L875" s="10"/>
      <c r="M875" s="10"/>
      <c r="N875" s="10"/>
      <c r="O875" s="10"/>
    </row>
    <row r="876" spans="1:15" ht="18.75" x14ac:dyDescent="0.25">
      <c r="A876" s="9"/>
      <c r="B876" s="112" t="e">
        <f>VLOOKUP(Table2[[#This Row],[Location 
(drop-down)]],'List source'!D$2:E$59,2,FALSE)</f>
        <v>#N/A</v>
      </c>
      <c r="C876" s="129" t="s">
        <v>1997</v>
      </c>
      <c r="D876" s="117" t="e">
        <f t="shared" si="17"/>
        <v>#N/A</v>
      </c>
      <c r="E876" s="117" t="e">
        <f>VLOOKUP(Table2[[#This Row],[Location 
(drop-down)]],Table1[#All],3,FALSE)</f>
        <v>#N/A</v>
      </c>
      <c r="F876" s="197"/>
      <c r="G876" s="9"/>
      <c r="H876" s="12"/>
      <c r="I876" s="12"/>
      <c r="J876" s="91"/>
      <c r="K876" s="91"/>
      <c r="L876" s="10"/>
      <c r="M876" s="10"/>
      <c r="N876" s="10"/>
      <c r="O876" s="10"/>
    </row>
    <row r="877" spans="1:15" ht="18.75" x14ac:dyDescent="0.25">
      <c r="A877" s="9"/>
      <c r="B877" s="112" t="e">
        <f>VLOOKUP(Table2[[#This Row],[Location 
(drop-down)]],'List source'!D$2:E$59,2,FALSE)</f>
        <v>#N/A</v>
      </c>
      <c r="C877" s="129" t="s">
        <v>1998</v>
      </c>
      <c r="D877" s="117" t="e">
        <f t="shared" si="17"/>
        <v>#N/A</v>
      </c>
      <c r="E877" s="117" t="e">
        <f>VLOOKUP(Table2[[#This Row],[Location 
(drop-down)]],Table1[#All],3,FALSE)</f>
        <v>#N/A</v>
      </c>
      <c r="F877" s="197"/>
      <c r="G877" s="9"/>
      <c r="H877" s="12"/>
      <c r="I877" s="12"/>
      <c r="J877" s="91"/>
      <c r="K877" s="91"/>
      <c r="L877" s="10"/>
      <c r="M877" s="10"/>
      <c r="N877" s="10"/>
      <c r="O877" s="10"/>
    </row>
    <row r="878" spans="1:15" ht="18.75" x14ac:dyDescent="0.25">
      <c r="A878" s="9"/>
      <c r="B878" s="112" t="e">
        <f>VLOOKUP(Table2[[#This Row],[Location 
(drop-down)]],'List source'!D$2:E$59,2,FALSE)</f>
        <v>#N/A</v>
      </c>
      <c r="C878" s="129" t="s">
        <v>1999</v>
      </c>
      <c r="D878" s="117" t="e">
        <f t="shared" si="17"/>
        <v>#N/A</v>
      </c>
      <c r="E878" s="117" t="e">
        <f>VLOOKUP(Table2[[#This Row],[Location 
(drop-down)]],Table1[#All],3,FALSE)</f>
        <v>#N/A</v>
      </c>
      <c r="F878" s="197"/>
      <c r="G878" s="9"/>
      <c r="H878" s="12"/>
      <c r="I878" s="12"/>
      <c r="J878" s="91"/>
      <c r="K878" s="91"/>
      <c r="L878" s="10"/>
      <c r="M878" s="10"/>
      <c r="N878" s="10"/>
      <c r="O878" s="10"/>
    </row>
    <row r="879" spans="1:15" ht="18.75" x14ac:dyDescent="0.25">
      <c r="A879" s="9"/>
      <c r="B879" s="112" t="e">
        <f>VLOOKUP(Table2[[#This Row],[Location 
(drop-down)]],'List source'!D$2:E$59,2,FALSE)</f>
        <v>#N/A</v>
      </c>
      <c r="C879" s="129" t="s">
        <v>2000</v>
      </c>
      <c r="D879" s="117" t="e">
        <f t="shared" si="17"/>
        <v>#N/A</v>
      </c>
      <c r="E879" s="117" t="e">
        <f>VLOOKUP(Table2[[#This Row],[Location 
(drop-down)]],Table1[#All],3,FALSE)</f>
        <v>#N/A</v>
      </c>
      <c r="F879" s="197"/>
      <c r="G879" s="9"/>
      <c r="H879" s="12"/>
      <c r="I879" s="12"/>
      <c r="J879" s="91"/>
      <c r="K879" s="91"/>
      <c r="L879" s="10"/>
      <c r="M879" s="10"/>
      <c r="N879" s="10"/>
      <c r="O879" s="10"/>
    </row>
    <row r="880" spans="1:15" ht="18.75" x14ac:dyDescent="0.25">
      <c r="A880" s="9"/>
      <c r="B880" s="112" t="e">
        <f>VLOOKUP(Table2[[#This Row],[Location 
(drop-down)]],'List source'!D$2:E$59,2,FALSE)</f>
        <v>#N/A</v>
      </c>
      <c r="C880" s="129" t="s">
        <v>2001</v>
      </c>
      <c r="D880" s="117" t="e">
        <f t="shared" si="17"/>
        <v>#N/A</v>
      </c>
      <c r="E880" s="117" t="e">
        <f>VLOOKUP(Table2[[#This Row],[Location 
(drop-down)]],Table1[#All],3,FALSE)</f>
        <v>#N/A</v>
      </c>
      <c r="F880" s="197"/>
      <c r="G880" s="9"/>
      <c r="H880" s="12"/>
      <c r="I880" s="12"/>
      <c r="J880" s="91"/>
      <c r="K880" s="91"/>
      <c r="L880" s="10"/>
      <c r="M880" s="10"/>
      <c r="N880" s="10"/>
      <c r="O880" s="10"/>
    </row>
    <row r="881" spans="1:15" ht="18.75" x14ac:dyDescent="0.25">
      <c r="A881" s="9"/>
      <c r="B881" s="112" t="e">
        <f>VLOOKUP(Table2[[#This Row],[Location 
(drop-down)]],'List source'!D$2:E$59,2,FALSE)</f>
        <v>#N/A</v>
      </c>
      <c r="C881" s="129" t="s">
        <v>2002</v>
      </c>
      <c r="D881" s="117" t="e">
        <f t="shared" si="17"/>
        <v>#N/A</v>
      </c>
      <c r="E881" s="117" t="e">
        <f>VLOOKUP(Table2[[#This Row],[Location 
(drop-down)]],Table1[#All],3,FALSE)</f>
        <v>#N/A</v>
      </c>
      <c r="F881" s="197"/>
      <c r="G881" s="9"/>
      <c r="H881" s="12"/>
      <c r="I881" s="12"/>
      <c r="J881" s="91"/>
      <c r="K881" s="91"/>
      <c r="L881" s="10"/>
      <c r="M881" s="10"/>
      <c r="N881" s="10"/>
      <c r="O881" s="10"/>
    </row>
    <row r="882" spans="1:15" ht="18.75" x14ac:dyDescent="0.25">
      <c r="A882" s="9"/>
      <c r="B882" s="112" t="e">
        <f>VLOOKUP(Table2[[#This Row],[Location 
(drop-down)]],'List source'!D$2:E$59,2,FALSE)</f>
        <v>#N/A</v>
      </c>
      <c r="C882" s="129" t="s">
        <v>2003</v>
      </c>
      <c r="D882" s="117" t="e">
        <f t="shared" si="17"/>
        <v>#N/A</v>
      </c>
      <c r="E882" s="117" t="e">
        <f>VLOOKUP(Table2[[#This Row],[Location 
(drop-down)]],Table1[#All],3,FALSE)</f>
        <v>#N/A</v>
      </c>
      <c r="F882" s="197"/>
      <c r="G882" s="9"/>
      <c r="H882" s="12"/>
      <c r="I882" s="12"/>
      <c r="J882" s="91"/>
      <c r="K882" s="91"/>
      <c r="L882" s="10"/>
      <c r="M882" s="10"/>
      <c r="N882" s="10"/>
      <c r="O882" s="10"/>
    </row>
    <row r="883" spans="1:15" ht="18.75" x14ac:dyDescent="0.25">
      <c r="A883" s="9"/>
      <c r="B883" s="112" t="e">
        <f>VLOOKUP(Table2[[#This Row],[Location 
(drop-down)]],'List source'!D$2:E$59,2,FALSE)</f>
        <v>#N/A</v>
      </c>
      <c r="C883" s="129" t="s">
        <v>2004</v>
      </c>
      <c r="D883" s="117" t="e">
        <f t="shared" si="17"/>
        <v>#N/A</v>
      </c>
      <c r="E883" s="117" t="e">
        <f>VLOOKUP(Table2[[#This Row],[Location 
(drop-down)]],Table1[#All],3,FALSE)</f>
        <v>#N/A</v>
      </c>
      <c r="F883" s="197"/>
      <c r="G883" s="9"/>
      <c r="H883" s="12"/>
      <c r="I883" s="12"/>
      <c r="J883" s="91"/>
      <c r="K883" s="91"/>
      <c r="L883" s="10"/>
      <c r="M883" s="10"/>
      <c r="N883" s="10"/>
      <c r="O883" s="10"/>
    </row>
    <row r="884" spans="1:15" ht="18.75" x14ac:dyDescent="0.25">
      <c r="A884" s="9"/>
      <c r="B884" s="112" t="e">
        <f>VLOOKUP(Table2[[#This Row],[Location 
(drop-down)]],'List source'!D$2:E$59,2,FALSE)</f>
        <v>#N/A</v>
      </c>
      <c r="C884" s="129" t="s">
        <v>2005</v>
      </c>
      <c r="D884" s="117" t="e">
        <f t="shared" si="17"/>
        <v>#N/A</v>
      </c>
      <c r="E884" s="117" t="e">
        <f>VLOOKUP(Table2[[#This Row],[Location 
(drop-down)]],Table1[#All],3,FALSE)</f>
        <v>#N/A</v>
      </c>
      <c r="F884" s="197"/>
      <c r="G884" s="9"/>
      <c r="H884" s="12"/>
      <c r="I884" s="12"/>
      <c r="J884" s="91"/>
      <c r="K884" s="91"/>
      <c r="L884" s="10"/>
      <c r="M884" s="10"/>
      <c r="N884" s="10"/>
      <c r="O884" s="10"/>
    </row>
    <row r="885" spans="1:15" ht="18.75" x14ac:dyDescent="0.25">
      <c r="A885" s="9"/>
      <c r="B885" s="112" t="e">
        <f>VLOOKUP(Table2[[#This Row],[Location 
(drop-down)]],'List source'!D$2:E$59,2,FALSE)</f>
        <v>#N/A</v>
      </c>
      <c r="C885" s="129" t="s">
        <v>2006</v>
      </c>
      <c r="D885" s="117" t="e">
        <f t="shared" si="17"/>
        <v>#N/A</v>
      </c>
      <c r="E885" s="117" t="e">
        <f>VLOOKUP(Table2[[#This Row],[Location 
(drop-down)]],Table1[#All],3,FALSE)</f>
        <v>#N/A</v>
      </c>
      <c r="F885" s="197"/>
      <c r="G885" s="9"/>
      <c r="H885" s="12"/>
      <c r="I885" s="12"/>
      <c r="J885" s="91"/>
      <c r="K885" s="91"/>
      <c r="L885" s="10"/>
      <c r="M885" s="10"/>
      <c r="N885" s="10"/>
      <c r="O885" s="10"/>
    </row>
    <row r="886" spans="1:15" ht="18.75" x14ac:dyDescent="0.25">
      <c r="A886" s="9"/>
      <c r="B886" s="112" t="e">
        <f>VLOOKUP(Table2[[#This Row],[Location 
(drop-down)]],'List source'!D$2:E$59,2,FALSE)</f>
        <v>#N/A</v>
      </c>
      <c r="C886" s="129" t="s">
        <v>2007</v>
      </c>
      <c r="D886" s="117" t="e">
        <f t="shared" si="17"/>
        <v>#N/A</v>
      </c>
      <c r="E886" s="117" t="e">
        <f>VLOOKUP(Table2[[#This Row],[Location 
(drop-down)]],Table1[#All],3,FALSE)</f>
        <v>#N/A</v>
      </c>
      <c r="F886" s="197"/>
      <c r="G886" s="9"/>
      <c r="H886" s="12"/>
      <c r="I886" s="12"/>
      <c r="J886" s="91"/>
      <c r="K886" s="91"/>
      <c r="L886" s="10"/>
      <c r="M886" s="10"/>
      <c r="N886" s="10"/>
      <c r="O886" s="10"/>
    </row>
    <row r="887" spans="1:15" ht="18.75" x14ac:dyDescent="0.25">
      <c r="A887" s="9"/>
      <c r="B887" s="112" t="e">
        <f>VLOOKUP(Table2[[#This Row],[Location 
(drop-down)]],'List source'!D$2:E$59,2,FALSE)</f>
        <v>#N/A</v>
      </c>
      <c r="C887" s="129" t="s">
        <v>2008</v>
      </c>
      <c r="D887" s="117" t="e">
        <f t="shared" si="17"/>
        <v>#N/A</v>
      </c>
      <c r="E887" s="117" t="e">
        <f>VLOOKUP(Table2[[#This Row],[Location 
(drop-down)]],Table1[#All],3,FALSE)</f>
        <v>#N/A</v>
      </c>
      <c r="F887" s="197"/>
      <c r="G887" s="9"/>
      <c r="H887" s="12"/>
      <c r="I887" s="12"/>
      <c r="J887" s="91"/>
      <c r="K887" s="91"/>
      <c r="L887" s="10"/>
      <c r="M887" s="10"/>
      <c r="N887" s="10"/>
      <c r="O887" s="10"/>
    </row>
    <row r="888" spans="1:15" ht="18.75" x14ac:dyDescent="0.25">
      <c r="A888" s="9"/>
      <c r="B888" s="112" t="e">
        <f>VLOOKUP(Table2[[#This Row],[Location 
(drop-down)]],'List source'!D$2:E$59,2,FALSE)</f>
        <v>#N/A</v>
      </c>
      <c r="C888" s="129" t="s">
        <v>2009</v>
      </c>
      <c r="D888" s="117" t="e">
        <f t="shared" si="17"/>
        <v>#N/A</v>
      </c>
      <c r="E888" s="117" t="e">
        <f>VLOOKUP(Table2[[#This Row],[Location 
(drop-down)]],Table1[#All],3,FALSE)</f>
        <v>#N/A</v>
      </c>
      <c r="F888" s="197"/>
      <c r="G888" s="9"/>
      <c r="H888" s="12"/>
      <c r="I888" s="12"/>
      <c r="J888" s="91"/>
      <c r="K888" s="91"/>
      <c r="L888" s="10"/>
      <c r="M888" s="10"/>
      <c r="N888" s="10"/>
      <c r="O888" s="10"/>
    </row>
    <row r="889" spans="1:15" ht="18.75" x14ac:dyDescent="0.25">
      <c r="A889" s="9"/>
      <c r="B889" s="112" t="e">
        <f>VLOOKUP(Table2[[#This Row],[Location 
(drop-down)]],'List source'!D$2:E$59,2,FALSE)</f>
        <v>#N/A</v>
      </c>
      <c r="C889" s="129" t="s">
        <v>2010</v>
      </c>
      <c r="D889" s="117" t="e">
        <f t="shared" si="17"/>
        <v>#N/A</v>
      </c>
      <c r="E889" s="117" t="e">
        <f>VLOOKUP(Table2[[#This Row],[Location 
(drop-down)]],Table1[#All],3,FALSE)</f>
        <v>#N/A</v>
      </c>
      <c r="F889" s="197"/>
      <c r="G889" s="9"/>
      <c r="H889" s="12"/>
      <c r="I889" s="12"/>
      <c r="J889" s="91"/>
      <c r="K889" s="91"/>
      <c r="L889" s="10"/>
      <c r="M889" s="10"/>
      <c r="N889" s="10"/>
      <c r="O889" s="10"/>
    </row>
    <row r="890" spans="1:15" ht="18.75" x14ac:dyDescent="0.25">
      <c r="A890" s="9"/>
      <c r="B890" s="112" t="e">
        <f>VLOOKUP(Table2[[#This Row],[Location 
(drop-down)]],'List source'!D$2:E$59,2,FALSE)</f>
        <v>#N/A</v>
      </c>
      <c r="C890" s="129" t="s">
        <v>2011</v>
      </c>
      <c r="D890" s="117" t="e">
        <f t="shared" si="17"/>
        <v>#N/A</v>
      </c>
      <c r="E890" s="117" t="e">
        <f>VLOOKUP(Table2[[#This Row],[Location 
(drop-down)]],Table1[#All],3,FALSE)</f>
        <v>#N/A</v>
      </c>
      <c r="F890" s="197"/>
      <c r="G890" s="9"/>
      <c r="H890" s="12"/>
      <c r="I890" s="12"/>
      <c r="J890" s="91"/>
      <c r="K890" s="91"/>
      <c r="L890" s="10"/>
      <c r="M890" s="10"/>
      <c r="N890" s="10"/>
      <c r="O890" s="10"/>
    </row>
    <row r="891" spans="1:15" ht="18.75" x14ac:dyDescent="0.25">
      <c r="A891" s="9"/>
      <c r="B891" s="112" t="e">
        <f>VLOOKUP(Table2[[#This Row],[Location 
(drop-down)]],'List source'!D$2:E$59,2,FALSE)</f>
        <v>#N/A</v>
      </c>
      <c r="C891" s="129" t="s">
        <v>2012</v>
      </c>
      <c r="D891" s="117" t="e">
        <f t="shared" si="17"/>
        <v>#N/A</v>
      </c>
      <c r="E891" s="117" t="e">
        <f>VLOOKUP(Table2[[#This Row],[Location 
(drop-down)]],Table1[#All],3,FALSE)</f>
        <v>#N/A</v>
      </c>
      <c r="F891" s="197"/>
      <c r="G891" s="9"/>
      <c r="H891" s="12"/>
      <c r="I891" s="12"/>
      <c r="J891" s="91"/>
      <c r="K891" s="91"/>
      <c r="L891" s="10"/>
      <c r="M891" s="10"/>
      <c r="N891" s="10"/>
      <c r="O891" s="10"/>
    </row>
    <row r="892" spans="1:15" ht="18.75" x14ac:dyDescent="0.25">
      <c r="A892" s="9"/>
      <c r="B892" s="112" t="e">
        <f>VLOOKUP(Table2[[#This Row],[Location 
(drop-down)]],'List source'!D$2:E$59,2,FALSE)</f>
        <v>#N/A</v>
      </c>
      <c r="C892" s="129" t="s">
        <v>2013</v>
      </c>
      <c r="D892" s="117" t="e">
        <f t="shared" si="17"/>
        <v>#N/A</v>
      </c>
      <c r="E892" s="117" t="e">
        <f>VLOOKUP(Table2[[#This Row],[Location 
(drop-down)]],Table1[#All],3,FALSE)</f>
        <v>#N/A</v>
      </c>
      <c r="F892" s="197"/>
      <c r="G892" s="9"/>
      <c r="H892" s="12"/>
      <c r="I892" s="12"/>
      <c r="J892" s="91"/>
      <c r="K892" s="91"/>
      <c r="L892" s="10"/>
      <c r="M892" s="10"/>
      <c r="N892" s="10"/>
      <c r="O892" s="10"/>
    </row>
    <row r="893" spans="1:15" ht="18.75" x14ac:dyDescent="0.25">
      <c r="A893" s="9"/>
      <c r="B893" s="112" t="e">
        <f>VLOOKUP(Table2[[#This Row],[Location 
(drop-down)]],'List source'!D$2:E$59,2,FALSE)</f>
        <v>#N/A</v>
      </c>
      <c r="C893" s="129" t="s">
        <v>2014</v>
      </c>
      <c r="D893" s="117" t="e">
        <f t="shared" si="17"/>
        <v>#N/A</v>
      </c>
      <c r="E893" s="117" t="e">
        <f>VLOOKUP(Table2[[#This Row],[Location 
(drop-down)]],Table1[#All],3,FALSE)</f>
        <v>#N/A</v>
      </c>
      <c r="F893" s="197"/>
      <c r="G893" s="9"/>
      <c r="H893" s="12"/>
      <c r="I893" s="12"/>
      <c r="J893" s="91"/>
      <c r="K893" s="91"/>
      <c r="L893" s="10"/>
      <c r="M893" s="10"/>
      <c r="N893" s="10"/>
      <c r="O893" s="10"/>
    </row>
    <row r="894" spans="1:15" ht="18.75" x14ac:dyDescent="0.25">
      <c r="A894" s="9"/>
      <c r="B894" s="112" t="e">
        <f>VLOOKUP(Table2[[#This Row],[Location 
(drop-down)]],'List source'!D$2:E$59,2,FALSE)</f>
        <v>#N/A</v>
      </c>
      <c r="C894" s="129" t="s">
        <v>2015</v>
      </c>
      <c r="D894" s="117" t="e">
        <f t="shared" si="17"/>
        <v>#N/A</v>
      </c>
      <c r="E894" s="117" t="e">
        <f>VLOOKUP(Table2[[#This Row],[Location 
(drop-down)]],Table1[#All],3,FALSE)</f>
        <v>#N/A</v>
      </c>
      <c r="F894" s="197"/>
      <c r="G894" s="9"/>
      <c r="H894" s="12"/>
      <c r="I894" s="12"/>
      <c r="J894" s="91"/>
      <c r="K894" s="91"/>
      <c r="L894" s="10"/>
      <c r="M894" s="10"/>
      <c r="N894" s="10"/>
      <c r="O894" s="10"/>
    </row>
    <row r="895" spans="1:15" ht="18.75" x14ac:dyDescent="0.25">
      <c r="A895" s="9"/>
      <c r="B895" s="112" t="e">
        <f>VLOOKUP(Table2[[#This Row],[Location 
(drop-down)]],'List source'!D$2:E$59,2,FALSE)</f>
        <v>#N/A</v>
      </c>
      <c r="C895" s="129" t="s">
        <v>2016</v>
      </c>
      <c r="D895" s="117" t="e">
        <f t="shared" si="17"/>
        <v>#N/A</v>
      </c>
      <c r="E895" s="117" t="e">
        <f>VLOOKUP(Table2[[#This Row],[Location 
(drop-down)]],Table1[#All],3,FALSE)</f>
        <v>#N/A</v>
      </c>
      <c r="F895" s="197"/>
      <c r="G895" s="9"/>
      <c r="H895" s="12"/>
      <c r="I895" s="12"/>
      <c r="J895" s="91"/>
      <c r="K895" s="91"/>
      <c r="L895" s="10"/>
      <c r="M895" s="10"/>
      <c r="N895" s="10"/>
      <c r="O895" s="10"/>
    </row>
    <row r="896" spans="1:15" ht="18.75" x14ac:dyDescent="0.25">
      <c r="A896" s="9"/>
      <c r="B896" s="112" t="e">
        <f>VLOOKUP(Table2[[#This Row],[Location 
(drop-down)]],'List source'!D$2:E$59,2,FALSE)</f>
        <v>#N/A</v>
      </c>
      <c r="C896" s="129" t="s">
        <v>2017</v>
      </c>
      <c r="D896" s="117" t="e">
        <f t="shared" si="17"/>
        <v>#N/A</v>
      </c>
      <c r="E896" s="117" t="e">
        <f>VLOOKUP(Table2[[#This Row],[Location 
(drop-down)]],Table1[#All],3,FALSE)</f>
        <v>#N/A</v>
      </c>
      <c r="F896" s="197"/>
      <c r="G896" s="9"/>
      <c r="H896" s="12"/>
      <c r="I896" s="12"/>
      <c r="J896" s="91"/>
      <c r="K896" s="91"/>
      <c r="L896" s="10"/>
      <c r="M896" s="10"/>
      <c r="N896" s="10"/>
      <c r="O896" s="10"/>
    </row>
    <row r="897" spans="1:15" ht="18.75" x14ac:dyDescent="0.25">
      <c r="A897" s="9"/>
      <c r="B897" s="112" t="e">
        <f>VLOOKUP(Table2[[#This Row],[Location 
(drop-down)]],'List source'!D$2:E$59,2,FALSE)</f>
        <v>#N/A</v>
      </c>
      <c r="C897" s="129" t="s">
        <v>2018</v>
      </c>
      <c r="D897" s="117" t="e">
        <f t="shared" si="17"/>
        <v>#N/A</v>
      </c>
      <c r="E897" s="117" t="e">
        <f>VLOOKUP(Table2[[#This Row],[Location 
(drop-down)]],Table1[#All],3,FALSE)</f>
        <v>#N/A</v>
      </c>
      <c r="F897" s="197"/>
      <c r="G897" s="9"/>
      <c r="H897" s="12"/>
      <c r="I897" s="12"/>
      <c r="J897" s="91"/>
      <c r="K897" s="91"/>
      <c r="L897" s="10"/>
      <c r="M897" s="10"/>
      <c r="N897" s="10"/>
      <c r="O897" s="10"/>
    </row>
    <row r="898" spans="1:15" ht="18.75" x14ac:dyDescent="0.25">
      <c r="A898" s="9"/>
      <c r="B898" s="112" t="e">
        <f>VLOOKUP(Table2[[#This Row],[Location 
(drop-down)]],'List source'!D$2:E$59,2,FALSE)</f>
        <v>#N/A</v>
      </c>
      <c r="C898" s="129" t="s">
        <v>2019</v>
      </c>
      <c r="D898" s="117" t="e">
        <f t="shared" si="17"/>
        <v>#N/A</v>
      </c>
      <c r="E898" s="117" t="e">
        <f>VLOOKUP(Table2[[#This Row],[Location 
(drop-down)]],Table1[#All],3,FALSE)</f>
        <v>#N/A</v>
      </c>
      <c r="F898" s="197"/>
      <c r="G898" s="9"/>
      <c r="H898" s="12"/>
      <c r="I898" s="12"/>
      <c r="J898" s="91"/>
      <c r="K898" s="91"/>
      <c r="L898" s="10"/>
      <c r="M898" s="10"/>
      <c r="N898" s="10"/>
      <c r="O898" s="10"/>
    </row>
    <row r="899" spans="1:15" ht="18.75" x14ac:dyDescent="0.25">
      <c r="A899" s="9"/>
      <c r="B899" s="112" t="e">
        <f>VLOOKUP(Table2[[#This Row],[Location 
(drop-down)]],'List source'!D$2:E$59,2,FALSE)</f>
        <v>#N/A</v>
      </c>
      <c r="C899" s="129" t="s">
        <v>2020</v>
      </c>
      <c r="D899" s="117" t="e">
        <f t="shared" si="17"/>
        <v>#N/A</v>
      </c>
      <c r="E899" s="117" t="e">
        <f>VLOOKUP(Table2[[#This Row],[Location 
(drop-down)]],Table1[#All],3,FALSE)</f>
        <v>#N/A</v>
      </c>
      <c r="F899" s="197"/>
      <c r="G899" s="9"/>
      <c r="H899" s="12"/>
      <c r="I899" s="12"/>
      <c r="J899" s="91"/>
      <c r="K899" s="91"/>
      <c r="L899" s="10"/>
      <c r="M899" s="10"/>
      <c r="N899" s="10"/>
      <c r="O899" s="10"/>
    </row>
    <row r="900" spans="1:15" ht="18.75" x14ac:dyDescent="0.25">
      <c r="A900" s="9"/>
      <c r="B900" s="112" t="e">
        <f>VLOOKUP(Table2[[#This Row],[Location 
(drop-down)]],'List source'!D$2:E$59,2,FALSE)</f>
        <v>#N/A</v>
      </c>
      <c r="C900" s="129" t="s">
        <v>2021</v>
      </c>
      <c r="D900" s="117" t="e">
        <f t="shared" si="17"/>
        <v>#N/A</v>
      </c>
      <c r="E900" s="117" t="e">
        <f>VLOOKUP(Table2[[#This Row],[Location 
(drop-down)]],Table1[#All],3,FALSE)</f>
        <v>#N/A</v>
      </c>
      <c r="F900" s="197"/>
      <c r="G900" s="9"/>
      <c r="H900" s="12"/>
      <c r="I900" s="12"/>
      <c r="J900" s="91"/>
      <c r="K900" s="91"/>
      <c r="L900" s="10"/>
      <c r="M900" s="10"/>
      <c r="N900" s="10"/>
      <c r="O900" s="10"/>
    </row>
    <row r="901" spans="1:15" ht="18.75" x14ac:dyDescent="0.25">
      <c r="A901" s="9"/>
      <c r="B901" s="112" t="e">
        <f>VLOOKUP(Table2[[#This Row],[Location 
(drop-down)]],'List source'!D$2:E$59,2,FALSE)</f>
        <v>#N/A</v>
      </c>
      <c r="C901" s="129" t="s">
        <v>2022</v>
      </c>
      <c r="D901" s="117" t="e">
        <f t="shared" si="17"/>
        <v>#N/A</v>
      </c>
      <c r="E901" s="117" t="e">
        <f>VLOOKUP(Table2[[#This Row],[Location 
(drop-down)]],Table1[#All],3,FALSE)</f>
        <v>#N/A</v>
      </c>
      <c r="F901" s="197"/>
      <c r="G901" s="9"/>
      <c r="H901" s="12"/>
      <c r="I901" s="12"/>
      <c r="J901" s="91"/>
      <c r="K901" s="91"/>
      <c r="L901" s="10"/>
      <c r="M901" s="10"/>
      <c r="N901" s="10"/>
      <c r="O901" s="10"/>
    </row>
    <row r="902" spans="1:15" ht="18.75" x14ac:dyDescent="0.25">
      <c r="A902" s="9"/>
      <c r="B902" s="112" t="e">
        <f>VLOOKUP(Table2[[#This Row],[Location 
(drop-down)]],'List source'!D$2:E$59,2,FALSE)</f>
        <v>#N/A</v>
      </c>
      <c r="C902" s="129" t="s">
        <v>2023</v>
      </c>
      <c r="D902" s="117" t="e">
        <f t="shared" si="17"/>
        <v>#N/A</v>
      </c>
      <c r="E902" s="117" t="e">
        <f>VLOOKUP(Table2[[#This Row],[Location 
(drop-down)]],Table1[#All],3,FALSE)</f>
        <v>#N/A</v>
      </c>
      <c r="F902" s="197"/>
      <c r="G902" s="9"/>
      <c r="H902" s="12"/>
      <c r="I902" s="12"/>
      <c r="J902" s="91"/>
      <c r="K902" s="91"/>
      <c r="L902" s="10"/>
      <c r="M902" s="10"/>
      <c r="N902" s="10"/>
      <c r="O902" s="10"/>
    </row>
    <row r="903" spans="1:15" ht="18.75" x14ac:dyDescent="0.25">
      <c r="A903" s="9"/>
      <c r="B903" s="112" t="e">
        <f>VLOOKUP(Table2[[#This Row],[Location 
(drop-down)]],'List source'!D$2:E$59,2,FALSE)</f>
        <v>#N/A</v>
      </c>
      <c r="C903" s="129" t="s">
        <v>2024</v>
      </c>
      <c r="D903" s="117" t="e">
        <f t="shared" si="17"/>
        <v>#N/A</v>
      </c>
      <c r="E903" s="117" t="e">
        <f>VLOOKUP(Table2[[#This Row],[Location 
(drop-down)]],Table1[#All],3,FALSE)</f>
        <v>#N/A</v>
      </c>
      <c r="F903" s="197"/>
      <c r="G903" s="9"/>
      <c r="H903" s="12"/>
      <c r="I903" s="12"/>
      <c r="J903" s="91"/>
      <c r="K903" s="91"/>
      <c r="L903" s="10"/>
      <c r="M903" s="10"/>
      <c r="N903" s="10"/>
      <c r="O903" s="10"/>
    </row>
    <row r="904" spans="1:15" ht="18.75" x14ac:dyDescent="0.25">
      <c r="A904" s="9"/>
      <c r="B904" s="112" t="e">
        <f>VLOOKUP(Table2[[#This Row],[Location 
(drop-down)]],'List source'!D$2:E$59,2,FALSE)</f>
        <v>#N/A</v>
      </c>
      <c r="C904" s="129" t="s">
        <v>2025</v>
      </c>
      <c r="D904" s="117" t="e">
        <f t="shared" si="17"/>
        <v>#N/A</v>
      </c>
      <c r="E904" s="117" t="e">
        <f>VLOOKUP(Table2[[#This Row],[Location 
(drop-down)]],Table1[#All],3,FALSE)</f>
        <v>#N/A</v>
      </c>
      <c r="F904" s="197"/>
      <c r="G904" s="9"/>
      <c r="H904" s="12"/>
      <c r="I904" s="12"/>
      <c r="J904" s="91"/>
      <c r="K904" s="91"/>
      <c r="L904" s="10"/>
      <c r="M904" s="10"/>
      <c r="N904" s="10"/>
      <c r="O904" s="10"/>
    </row>
    <row r="905" spans="1:15" ht="18.75" x14ac:dyDescent="0.25">
      <c r="A905" s="9"/>
      <c r="B905" s="112" t="e">
        <f>VLOOKUP(Table2[[#This Row],[Location 
(drop-down)]],'List source'!D$2:E$59,2,FALSE)</f>
        <v>#N/A</v>
      </c>
      <c r="C905" s="129" t="s">
        <v>2026</v>
      </c>
      <c r="D905" s="117" t="e">
        <f t="shared" si="17"/>
        <v>#N/A</v>
      </c>
      <c r="E905" s="117" t="e">
        <f>VLOOKUP(Table2[[#This Row],[Location 
(drop-down)]],Table1[#All],3,FALSE)</f>
        <v>#N/A</v>
      </c>
      <c r="F905" s="197"/>
      <c r="G905" s="9"/>
      <c r="H905" s="12"/>
      <c r="I905" s="12"/>
      <c r="J905" s="91"/>
      <c r="K905" s="91"/>
      <c r="L905" s="10"/>
      <c r="M905" s="10"/>
      <c r="N905" s="10"/>
      <c r="O905" s="10"/>
    </row>
    <row r="906" spans="1:15" ht="18.75" x14ac:dyDescent="0.25">
      <c r="A906" s="9"/>
      <c r="B906" s="112" t="e">
        <f>VLOOKUP(Table2[[#This Row],[Location 
(drop-down)]],'List source'!D$2:E$59,2,FALSE)</f>
        <v>#N/A</v>
      </c>
      <c r="C906" s="129" t="s">
        <v>2027</v>
      </c>
      <c r="D906" s="117" t="e">
        <f t="shared" si="17"/>
        <v>#N/A</v>
      </c>
      <c r="E906" s="117" t="e">
        <f>VLOOKUP(Table2[[#This Row],[Location 
(drop-down)]],Table1[#All],3,FALSE)</f>
        <v>#N/A</v>
      </c>
      <c r="F906" s="197"/>
      <c r="G906" s="9"/>
      <c r="H906" s="12"/>
      <c r="I906" s="12"/>
      <c r="J906" s="91"/>
      <c r="K906" s="91"/>
      <c r="L906" s="10"/>
      <c r="M906" s="10"/>
      <c r="N906" s="10"/>
      <c r="O906" s="10"/>
    </row>
    <row r="907" spans="1:15" ht="18.75" x14ac:dyDescent="0.25">
      <c r="A907" s="9"/>
      <c r="B907" s="112" t="e">
        <f>VLOOKUP(Table2[[#This Row],[Location 
(drop-down)]],'List source'!D$2:E$59,2,FALSE)</f>
        <v>#N/A</v>
      </c>
      <c r="C907" s="129" t="s">
        <v>2028</v>
      </c>
      <c r="D907" s="117" t="e">
        <f t="shared" si="17"/>
        <v>#N/A</v>
      </c>
      <c r="E907" s="117" t="e">
        <f>VLOOKUP(Table2[[#This Row],[Location 
(drop-down)]],Table1[#All],3,FALSE)</f>
        <v>#N/A</v>
      </c>
      <c r="F907" s="197"/>
      <c r="G907" s="9"/>
      <c r="H907" s="12"/>
      <c r="I907" s="12"/>
      <c r="J907" s="91"/>
      <c r="K907" s="91"/>
      <c r="L907" s="10"/>
      <c r="M907" s="10"/>
      <c r="N907" s="10"/>
      <c r="O907" s="10"/>
    </row>
    <row r="908" spans="1:15" ht="18.75" x14ac:dyDescent="0.25">
      <c r="A908" s="9"/>
      <c r="B908" s="112" t="e">
        <f>VLOOKUP(Table2[[#This Row],[Location 
(drop-down)]],'List source'!D$2:E$59,2,FALSE)</f>
        <v>#N/A</v>
      </c>
      <c r="C908" s="129" t="s">
        <v>2029</v>
      </c>
      <c r="D908" s="117" t="e">
        <f t="shared" si="17"/>
        <v>#N/A</v>
      </c>
      <c r="E908" s="117" t="e">
        <f>VLOOKUP(Table2[[#This Row],[Location 
(drop-down)]],Table1[#All],3,FALSE)</f>
        <v>#N/A</v>
      </c>
      <c r="F908" s="197"/>
      <c r="G908" s="9"/>
      <c r="H908" s="12"/>
      <c r="I908" s="12"/>
      <c r="J908" s="91"/>
      <c r="K908" s="91"/>
      <c r="L908" s="10"/>
      <c r="M908" s="10"/>
      <c r="N908" s="10"/>
      <c r="O908" s="10"/>
    </row>
    <row r="909" spans="1:15" ht="18.75" x14ac:dyDescent="0.25">
      <c r="A909" s="9"/>
      <c r="B909" s="112" t="e">
        <f>VLOOKUP(Table2[[#This Row],[Location 
(drop-down)]],'List source'!D$2:E$59,2,FALSE)</f>
        <v>#N/A</v>
      </c>
      <c r="C909" s="129" t="s">
        <v>2030</v>
      </c>
      <c r="D909" s="117" t="e">
        <f t="shared" si="17"/>
        <v>#N/A</v>
      </c>
      <c r="E909" s="117" t="e">
        <f>VLOOKUP(Table2[[#This Row],[Location 
(drop-down)]],Table1[#All],3,FALSE)</f>
        <v>#N/A</v>
      </c>
      <c r="F909" s="197"/>
      <c r="G909" s="9"/>
      <c r="H909" s="12"/>
      <c r="I909" s="12"/>
      <c r="J909" s="91"/>
      <c r="K909" s="91"/>
      <c r="L909" s="10"/>
      <c r="M909" s="10"/>
      <c r="N909" s="10"/>
      <c r="O909" s="10"/>
    </row>
    <row r="910" spans="1:15" ht="18.75" x14ac:dyDescent="0.25">
      <c r="A910" s="9"/>
      <c r="B910" s="112" t="e">
        <f>VLOOKUP(Table2[[#This Row],[Location 
(drop-down)]],'List source'!D$2:E$59,2,FALSE)</f>
        <v>#N/A</v>
      </c>
      <c r="C910" s="129" t="s">
        <v>2031</v>
      </c>
      <c r="D910" s="117" t="e">
        <f t="shared" si="17"/>
        <v>#N/A</v>
      </c>
      <c r="E910" s="117" t="e">
        <f>VLOOKUP(Table2[[#This Row],[Location 
(drop-down)]],Table1[#All],3,FALSE)</f>
        <v>#N/A</v>
      </c>
      <c r="F910" s="197"/>
      <c r="G910" s="9"/>
      <c r="H910" s="12"/>
      <c r="I910" s="12"/>
      <c r="J910" s="91"/>
      <c r="K910" s="91"/>
      <c r="L910" s="10"/>
      <c r="M910" s="10"/>
      <c r="N910" s="10"/>
      <c r="O910" s="10"/>
    </row>
    <row r="911" spans="1:15" ht="18.75" x14ac:dyDescent="0.25">
      <c r="A911" s="9"/>
      <c r="B911" s="112" t="e">
        <f>VLOOKUP(Table2[[#This Row],[Location 
(drop-down)]],'List source'!D$2:E$59,2,FALSE)</f>
        <v>#N/A</v>
      </c>
      <c r="C911" s="129" t="s">
        <v>2032</v>
      </c>
      <c r="D911" s="117" t="e">
        <f t="shared" si="17"/>
        <v>#N/A</v>
      </c>
      <c r="E911" s="117" t="e">
        <f>VLOOKUP(Table2[[#This Row],[Location 
(drop-down)]],Table1[#All],3,FALSE)</f>
        <v>#N/A</v>
      </c>
      <c r="F911" s="197"/>
      <c r="G911" s="9"/>
      <c r="H911" s="12"/>
      <c r="I911" s="12"/>
      <c r="J911" s="91"/>
      <c r="K911" s="91"/>
      <c r="L911" s="10"/>
      <c r="M911" s="10"/>
      <c r="N911" s="10"/>
      <c r="O911" s="10"/>
    </row>
    <row r="912" spans="1:15" ht="18.75" x14ac:dyDescent="0.25">
      <c r="A912" s="9"/>
      <c r="B912" s="112" t="e">
        <f>VLOOKUP(Table2[[#This Row],[Location 
(drop-down)]],'List source'!D$2:E$59,2,FALSE)</f>
        <v>#N/A</v>
      </c>
      <c r="C912" s="129" t="s">
        <v>2033</v>
      </c>
      <c r="D912" s="117" t="e">
        <f t="shared" si="17"/>
        <v>#N/A</v>
      </c>
      <c r="E912" s="117" t="e">
        <f>VLOOKUP(Table2[[#This Row],[Location 
(drop-down)]],Table1[#All],3,FALSE)</f>
        <v>#N/A</v>
      </c>
      <c r="F912" s="197"/>
      <c r="G912" s="9"/>
      <c r="H912" s="12"/>
      <c r="I912" s="12"/>
      <c r="J912" s="91"/>
      <c r="K912" s="91"/>
      <c r="L912" s="10"/>
      <c r="M912" s="10"/>
      <c r="N912" s="10"/>
      <c r="O912" s="10"/>
    </row>
    <row r="913" spans="1:15" ht="18.75" x14ac:dyDescent="0.25">
      <c r="A913" s="9"/>
      <c r="B913" s="112" t="e">
        <f>VLOOKUP(Table2[[#This Row],[Location 
(drop-down)]],'List source'!D$2:E$59,2,FALSE)</f>
        <v>#N/A</v>
      </c>
      <c r="C913" s="129" t="s">
        <v>2034</v>
      </c>
      <c r="D913" s="117" t="e">
        <f t="shared" si="17"/>
        <v>#N/A</v>
      </c>
      <c r="E913" s="117" t="e">
        <f>VLOOKUP(Table2[[#This Row],[Location 
(drop-down)]],Table1[#All],3,FALSE)</f>
        <v>#N/A</v>
      </c>
      <c r="F913" s="197"/>
      <c r="G913" s="9"/>
      <c r="H913" s="12"/>
      <c r="I913" s="12"/>
      <c r="J913" s="91"/>
      <c r="K913" s="91"/>
      <c r="L913" s="10"/>
      <c r="M913" s="10"/>
      <c r="N913" s="10"/>
      <c r="O913" s="10"/>
    </row>
    <row r="914" spans="1:15" ht="18.75" x14ac:dyDescent="0.25">
      <c r="A914" s="9"/>
      <c r="B914" s="112" t="e">
        <f>VLOOKUP(Table2[[#This Row],[Location 
(drop-down)]],'List source'!D$2:E$59,2,FALSE)</f>
        <v>#N/A</v>
      </c>
      <c r="C914" s="129" t="s">
        <v>2035</v>
      </c>
      <c r="D914" s="117" t="e">
        <f t="shared" si="17"/>
        <v>#N/A</v>
      </c>
      <c r="E914" s="117" t="e">
        <f>VLOOKUP(Table2[[#This Row],[Location 
(drop-down)]],Table1[#All],3,FALSE)</f>
        <v>#N/A</v>
      </c>
      <c r="F914" s="197"/>
      <c r="G914" s="9"/>
      <c r="H914" s="12"/>
      <c r="I914" s="12"/>
      <c r="J914" s="91"/>
      <c r="K914" s="91"/>
      <c r="L914" s="10"/>
      <c r="M914" s="10"/>
      <c r="N914" s="10"/>
      <c r="O914" s="10"/>
    </row>
    <row r="915" spans="1:15" ht="18.75" x14ac:dyDescent="0.25">
      <c r="A915" s="9"/>
      <c r="B915" s="112" t="e">
        <f>VLOOKUP(Table2[[#This Row],[Location 
(drop-down)]],'List source'!D$2:E$59,2,FALSE)</f>
        <v>#N/A</v>
      </c>
      <c r="C915" s="129" t="s">
        <v>2036</v>
      </c>
      <c r="D915" s="117" t="e">
        <f t="shared" si="17"/>
        <v>#N/A</v>
      </c>
      <c r="E915" s="117" t="e">
        <f>VLOOKUP(Table2[[#This Row],[Location 
(drop-down)]],Table1[#All],3,FALSE)</f>
        <v>#N/A</v>
      </c>
      <c r="F915" s="197"/>
      <c r="G915" s="9"/>
      <c r="H915" s="12"/>
      <c r="I915" s="12"/>
      <c r="J915" s="91"/>
      <c r="K915" s="91"/>
      <c r="L915" s="10"/>
      <c r="M915" s="10"/>
      <c r="N915" s="10"/>
      <c r="O915" s="10"/>
    </row>
    <row r="916" spans="1:15" ht="18.75" x14ac:dyDescent="0.25">
      <c r="A916" s="9"/>
      <c r="B916" s="112" t="e">
        <f>VLOOKUP(Table2[[#This Row],[Location 
(drop-down)]],'List source'!D$2:E$59,2,FALSE)</f>
        <v>#N/A</v>
      </c>
      <c r="C916" s="129" t="s">
        <v>2037</v>
      </c>
      <c r="D916" s="117" t="e">
        <f t="shared" si="17"/>
        <v>#N/A</v>
      </c>
      <c r="E916" s="117" t="e">
        <f>VLOOKUP(Table2[[#This Row],[Location 
(drop-down)]],Table1[#All],3,FALSE)</f>
        <v>#N/A</v>
      </c>
      <c r="F916" s="197"/>
      <c r="G916" s="9"/>
      <c r="H916" s="12"/>
      <c r="I916" s="12"/>
      <c r="J916" s="91"/>
      <c r="K916" s="91"/>
      <c r="L916" s="10"/>
      <c r="M916" s="10"/>
      <c r="N916" s="10"/>
      <c r="O916" s="10"/>
    </row>
    <row r="917" spans="1:15" ht="18.75" x14ac:dyDescent="0.25">
      <c r="A917" s="9"/>
      <c r="B917" s="112" t="e">
        <f>VLOOKUP(Table2[[#This Row],[Location 
(drop-down)]],'List source'!D$2:E$59,2,FALSE)</f>
        <v>#N/A</v>
      </c>
      <c r="C917" s="129" t="s">
        <v>2038</v>
      </c>
      <c r="D917" s="117" t="e">
        <f t="shared" si="17"/>
        <v>#N/A</v>
      </c>
      <c r="E917" s="117" t="e">
        <f>VLOOKUP(Table2[[#This Row],[Location 
(drop-down)]],Table1[#All],3,FALSE)</f>
        <v>#N/A</v>
      </c>
      <c r="F917" s="197"/>
      <c r="G917" s="9"/>
      <c r="H917" s="12"/>
      <c r="I917" s="12"/>
      <c r="J917" s="91"/>
      <c r="K917" s="91"/>
      <c r="L917" s="10"/>
      <c r="M917" s="10"/>
      <c r="N917" s="10"/>
      <c r="O917" s="10"/>
    </row>
    <row r="918" spans="1:15" ht="18.75" x14ac:dyDescent="0.25">
      <c r="A918" s="9"/>
      <c r="B918" s="112" t="e">
        <f>VLOOKUP(Table2[[#This Row],[Location 
(drop-down)]],'List source'!D$2:E$59,2,FALSE)</f>
        <v>#N/A</v>
      </c>
      <c r="C918" s="129" t="s">
        <v>2039</v>
      </c>
      <c r="D918" s="117" t="e">
        <f t="shared" si="17"/>
        <v>#N/A</v>
      </c>
      <c r="E918" s="117" t="e">
        <f>VLOOKUP(Table2[[#This Row],[Location 
(drop-down)]],Table1[#All],3,FALSE)</f>
        <v>#N/A</v>
      </c>
      <c r="F918" s="197"/>
      <c r="G918" s="9"/>
      <c r="H918" s="12"/>
      <c r="I918" s="12"/>
      <c r="J918" s="91"/>
      <c r="K918" s="91"/>
      <c r="L918" s="10"/>
      <c r="M918" s="10"/>
      <c r="N918" s="10"/>
      <c r="O918" s="10"/>
    </row>
    <row r="919" spans="1:15" ht="18.75" x14ac:dyDescent="0.25">
      <c r="A919" s="9"/>
      <c r="B919" s="112" t="e">
        <f>VLOOKUP(Table2[[#This Row],[Location 
(drop-down)]],'List source'!D$2:E$59,2,FALSE)</f>
        <v>#N/A</v>
      </c>
      <c r="C919" s="129" t="s">
        <v>2040</v>
      </c>
      <c r="D919" s="117" t="e">
        <f t="shared" si="17"/>
        <v>#N/A</v>
      </c>
      <c r="E919" s="117" t="e">
        <f>VLOOKUP(Table2[[#This Row],[Location 
(drop-down)]],Table1[#All],3,FALSE)</f>
        <v>#N/A</v>
      </c>
      <c r="F919" s="197"/>
      <c r="G919" s="9"/>
      <c r="H919" s="12"/>
      <c r="I919" s="12"/>
      <c r="J919" s="91"/>
      <c r="K919" s="91"/>
      <c r="L919" s="10"/>
      <c r="M919" s="10"/>
      <c r="N919" s="10"/>
      <c r="O919" s="10"/>
    </row>
    <row r="920" spans="1:15" ht="18.75" x14ac:dyDescent="0.25">
      <c r="A920" s="9"/>
      <c r="B920" s="112" t="e">
        <f>VLOOKUP(Table2[[#This Row],[Location 
(drop-down)]],'List source'!D$2:E$59,2,FALSE)</f>
        <v>#N/A</v>
      </c>
      <c r="C920" s="129" t="s">
        <v>2041</v>
      </c>
      <c r="D920" s="117" t="e">
        <f t="shared" si="17"/>
        <v>#N/A</v>
      </c>
      <c r="E920" s="117" t="e">
        <f>VLOOKUP(Table2[[#This Row],[Location 
(drop-down)]],Table1[#All],3,FALSE)</f>
        <v>#N/A</v>
      </c>
      <c r="F920" s="197"/>
      <c r="G920" s="9"/>
      <c r="H920" s="12"/>
      <c r="I920" s="12"/>
      <c r="J920" s="91"/>
      <c r="K920" s="91"/>
      <c r="L920" s="10"/>
      <c r="M920" s="10"/>
      <c r="N920" s="10"/>
      <c r="O920" s="10"/>
    </row>
    <row r="921" spans="1:15" ht="18.75" x14ac:dyDescent="0.25">
      <c r="A921" s="9"/>
      <c r="B921" s="112" t="e">
        <f>VLOOKUP(Table2[[#This Row],[Location 
(drop-down)]],'List source'!D$2:E$59,2,FALSE)</f>
        <v>#N/A</v>
      </c>
      <c r="C921" s="129" t="s">
        <v>2042</v>
      </c>
      <c r="D921" s="117" t="e">
        <f t="shared" si="17"/>
        <v>#N/A</v>
      </c>
      <c r="E921" s="117" t="e">
        <f>VLOOKUP(Table2[[#This Row],[Location 
(drop-down)]],Table1[#All],3,FALSE)</f>
        <v>#N/A</v>
      </c>
      <c r="F921" s="197"/>
      <c r="G921" s="9"/>
      <c r="H921" s="12"/>
      <c r="I921" s="12"/>
      <c r="J921" s="91"/>
      <c r="K921" s="91"/>
      <c r="L921" s="10"/>
      <c r="M921" s="10"/>
      <c r="N921" s="10"/>
      <c r="O921" s="10"/>
    </row>
    <row r="922" spans="1:15" ht="18.75" x14ac:dyDescent="0.25">
      <c r="A922" s="9"/>
      <c r="B922" s="112" t="e">
        <f>VLOOKUP(Table2[[#This Row],[Location 
(drop-down)]],'List source'!D$2:E$59,2,FALSE)</f>
        <v>#N/A</v>
      </c>
      <c r="C922" s="129" t="s">
        <v>2043</v>
      </c>
      <c r="D922" s="117" t="e">
        <f t="shared" si="17"/>
        <v>#N/A</v>
      </c>
      <c r="E922" s="117" t="e">
        <f>VLOOKUP(Table2[[#This Row],[Location 
(drop-down)]],Table1[#All],3,FALSE)</f>
        <v>#N/A</v>
      </c>
      <c r="F922" s="197"/>
      <c r="G922" s="9"/>
      <c r="H922" s="12"/>
      <c r="I922" s="12"/>
      <c r="J922" s="91"/>
      <c r="K922" s="91"/>
      <c r="L922" s="10"/>
      <c r="M922" s="10"/>
      <c r="N922" s="10"/>
      <c r="O922" s="10"/>
    </row>
    <row r="923" spans="1:15" ht="18.75" x14ac:dyDescent="0.25">
      <c r="A923" s="9"/>
      <c r="B923" s="112" t="e">
        <f>VLOOKUP(Table2[[#This Row],[Location 
(drop-down)]],'List source'!D$2:E$59,2,FALSE)</f>
        <v>#N/A</v>
      </c>
      <c r="C923" s="129" t="s">
        <v>2044</v>
      </c>
      <c r="D923" s="117" t="e">
        <f t="shared" ref="D923:D986" si="18">"C" &amp; C923 &amp; "-" &amp; B923 &amp; "-" &amp; "23"</f>
        <v>#N/A</v>
      </c>
      <c r="E923" s="117" t="e">
        <f>VLOOKUP(Table2[[#This Row],[Location 
(drop-down)]],Table1[#All],3,FALSE)</f>
        <v>#N/A</v>
      </c>
      <c r="F923" s="197"/>
      <c r="G923" s="9"/>
      <c r="H923" s="12"/>
      <c r="I923" s="12"/>
      <c r="J923" s="91"/>
      <c r="K923" s="91"/>
      <c r="L923" s="10"/>
      <c r="M923" s="10"/>
      <c r="N923" s="10"/>
      <c r="O923" s="10"/>
    </row>
    <row r="924" spans="1:15" ht="18.75" x14ac:dyDescent="0.25">
      <c r="A924" s="9"/>
      <c r="B924" s="112" t="e">
        <f>VLOOKUP(Table2[[#This Row],[Location 
(drop-down)]],'List source'!D$2:E$59,2,FALSE)</f>
        <v>#N/A</v>
      </c>
      <c r="C924" s="129" t="s">
        <v>2045</v>
      </c>
      <c r="D924" s="117" t="e">
        <f t="shared" si="18"/>
        <v>#N/A</v>
      </c>
      <c r="E924" s="117" t="e">
        <f>VLOOKUP(Table2[[#This Row],[Location 
(drop-down)]],Table1[#All],3,FALSE)</f>
        <v>#N/A</v>
      </c>
      <c r="F924" s="197"/>
      <c r="G924" s="9"/>
      <c r="H924" s="12"/>
      <c r="I924" s="12"/>
      <c r="J924" s="91"/>
      <c r="K924" s="91"/>
      <c r="L924" s="10"/>
      <c r="M924" s="10"/>
      <c r="N924" s="10"/>
      <c r="O924" s="10"/>
    </row>
    <row r="925" spans="1:15" ht="18.75" x14ac:dyDescent="0.25">
      <c r="A925" s="9"/>
      <c r="B925" s="112" t="e">
        <f>VLOOKUP(Table2[[#This Row],[Location 
(drop-down)]],'List source'!D$2:E$59,2,FALSE)</f>
        <v>#N/A</v>
      </c>
      <c r="C925" s="129" t="s">
        <v>2046</v>
      </c>
      <c r="D925" s="117" t="e">
        <f t="shared" si="18"/>
        <v>#N/A</v>
      </c>
      <c r="E925" s="117" t="e">
        <f>VLOOKUP(Table2[[#This Row],[Location 
(drop-down)]],Table1[#All],3,FALSE)</f>
        <v>#N/A</v>
      </c>
      <c r="F925" s="197"/>
      <c r="G925" s="9"/>
      <c r="H925" s="12"/>
      <c r="I925" s="12"/>
      <c r="J925" s="91"/>
      <c r="K925" s="91"/>
      <c r="L925" s="10"/>
      <c r="M925" s="10"/>
      <c r="N925" s="10"/>
      <c r="O925" s="10"/>
    </row>
    <row r="926" spans="1:15" ht="18.75" x14ac:dyDescent="0.25">
      <c r="A926" s="9"/>
      <c r="B926" s="112" t="e">
        <f>VLOOKUP(Table2[[#This Row],[Location 
(drop-down)]],'List source'!D$2:E$59,2,FALSE)</f>
        <v>#N/A</v>
      </c>
      <c r="C926" s="129" t="s">
        <v>2047</v>
      </c>
      <c r="D926" s="117" t="e">
        <f t="shared" si="18"/>
        <v>#N/A</v>
      </c>
      <c r="E926" s="117" t="e">
        <f>VLOOKUP(Table2[[#This Row],[Location 
(drop-down)]],Table1[#All],3,FALSE)</f>
        <v>#N/A</v>
      </c>
      <c r="F926" s="197"/>
      <c r="G926" s="9"/>
      <c r="H926" s="12"/>
      <c r="I926" s="12"/>
      <c r="J926" s="91"/>
      <c r="K926" s="91"/>
      <c r="L926" s="10"/>
      <c r="M926" s="10"/>
      <c r="N926" s="10"/>
      <c r="O926" s="10"/>
    </row>
    <row r="927" spans="1:15" ht="18.75" x14ac:dyDescent="0.25">
      <c r="A927" s="9"/>
      <c r="B927" s="112" t="e">
        <f>VLOOKUP(Table2[[#This Row],[Location 
(drop-down)]],'List source'!D$2:E$59,2,FALSE)</f>
        <v>#N/A</v>
      </c>
      <c r="C927" s="129" t="s">
        <v>2048</v>
      </c>
      <c r="D927" s="117" t="e">
        <f t="shared" si="18"/>
        <v>#N/A</v>
      </c>
      <c r="E927" s="117" t="e">
        <f>VLOOKUP(Table2[[#This Row],[Location 
(drop-down)]],Table1[#All],3,FALSE)</f>
        <v>#N/A</v>
      </c>
      <c r="F927" s="197"/>
      <c r="G927" s="9"/>
      <c r="H927" s="12"/>
      <c r="I927" s="12"/>
      <c r="J927" s="91"/>
      <c r="K927" s="91"/>
      <c r="L927" s="10"/>
      <c r="M927" s="10"/>
      <c r="N927" s="10"/>
      <c r="O927" s="10"/>
    </row>
    <row r="928" spans="1:15" ht="18.75" x14ac:dyDescent="0.25">
      <c r="A928" s="9"/>
      <c r="B928" s="112" t="e">
        <f>VLOOKUP(Table2[[#This Row],[Location 
(drop-down)]],'List source'!D$2:E$59,2,FALSE)</f>
        <v>#N/A</v>
      </c>
      <c r="C928" s="129" t="s">
        <v>2049</v>
      </c>
      <c r="D928" s="117" t="e">
        <f t="shared" si="18"/>
        <v>#N/A</v>
      </c>
      <c r="E928" s="117" t="e">
        <f>VLOOKUP(Table2[[#This Row],[Location 
(drop-down)]],Table1[#All],3,FALSE)</f>
        <v>#N/A</v>
      </c>
      <c r="F928" s="197"/>
      <c r="G928" s="9"/>
      <c r="H928" s="12"/>
      <c r="I928" s="12"/>
      <c r="J928" s="91"/>
      <c r="K928" s="91"/>
      <c r="L928" s="10"/>
      <c r="M928" s="10"/>
      <c r="N928" s="10"/>
      <c r="O928" s="10"/>
    </row>
    <row r="929" spans="1:15" ht="18.75" x14ac:dyDescent="0.25">
      <c r="A929" s="9"/>
      <c r="B929" s="112" t="e">
        <f>VLOOKUP(Table2[[#This Row],[Location 
(drop-down)]],'List source'!D$2:E$59,2,FALSE)</f>
        <v>#N/A</v>
      </c>
      <c r="C929" s="129" t="s">
        <v>2050</v>
      </c>
      <c r="D929" s="117" t="e">
        <f t="shared" si="18"/>
        <v>#N/A</v>
      </c>
      <c r="E929" s="117" t="e">
        <f>VLOOKUP(Table2[[#This Row],[Location 
(drop-down)]],Table1[#All],3,FALSE)</f>
        <v>#N/A</v>
      </c>
      <c r="F929" s="197"/>
      <c r="G929" s="9"/>
      <c r="H929" s="12"/>
      <c r="I929" s="12"/>
      <c r="J929" s="91"/>
      <c r="K929" s="91"/>
      <c r="L929" s="10"/>
      <c r="M929" s="10"/>
      <c r="N929" s="10"/>
      <c r="O929" s="10"/>
    </row>
    <row r="930" spans="1:15" ht="18.75" x14ac:dyDescent="0.25">
      <c r="A930" s="9"/>
      <c r="B930" s="112" t="e">
        <f>VLOOKUP(Table2[[#This Row],[Location 
(drop-down)]],'List source'!D$2:E$59,2,FALSE)</f>
        <v>#N/A</v>
      </c>
      <c r="C930" s="129" t="s">
        <v>2051</v>
      </c>
      <c r="D930" s="117" t="e">
        <f t="shared" si="18"/>
        <v>#N/A</v>
      </c>
      <c r="E930" s="117" t="e">
        <f>VLOOKUP(Table2[[#This Row],[Location 
(drop-down)]],Table1[#All],3,FALSE)</f>
        <v>#N/A</v>
      </c>
      <c r="F930" s="197"/>
      <c r="G930" s="9"/>
      <c r="H930" s="12"/>
      <c r="I930" s="12"/>
      <c r="J930" s="91"/>
      <c r="K930" s="91"/>
      <c r="L930" s="10"/>
      <c r="M930" s="10"/>
      <c r="N930" s="10"/>
      <c r="O930" s="10"/>
    </row>
    <row r="931" spans="1:15" ht="18.75" x14ac:dyDescent="0.25">
      <c r="A931" s="9"/>
      <c r="B931" s="112" t="e">
        <f>VLOOKUP(Table2[[#This Row],[Location 
(drop-down)]],'List source'!D$2:E$59,2,FALSE)</f>
        <v>#N/A</v>
      </c>
      <c r="C931" s="129" t="s">
        <v>2052</v>
      </c>
      <c r="D931" s="117" t="e">
        <f t="shared" si="18"/>
        <v>#N/A</v>
      </c>
      <c r="E931" s="117" t="e">
        <f>VLOOKUP(Table2[[#This Row],[Location 
(drop-down)]],Table1[#All],3,FALSE)</f>
        <v>#N/A</v>
      </c>
      <c r="F931" s="197"/>
      <c r="G931" s="9"/>
      <c r="H931" s="12"/>
      <c r="I931" s="12"/>
      <c r="J931" s="91"/>
      <c r="K931" s="91"/>
      <c r="L931" s="10"/>
      <c r="M931" s="10"/>
      <c r="N931" s="10"/>
      <c r="O931" s="10"/>
    </row>
    <row r="932" spans="1:15" ht="18.75" x14ac:dyDescent="0.25">
      <c r="A932" s="9"/>
      <c r="B932" s="112" t="e">
        <f>VLOOKUP(Table2[[#This Row],[Location 
(drop-down)]],'List source'!D$2:E$59,2,FALSE)</f>
        <v>#N/A</v>
      </c>
      <c r="C932" s="129" t="s">
        <v>2053</v>
      </c>
      <c r="D932" s="117" t="e">
        <f t="shared" si="18"/>
        <v>#N/A</v>
      </c>
      <c r="E932" s="117" t="e">
        <f>VLOOKUP(Table2[[#This Row],[Location 
(drop-down)]],Table1[#All],3,FALSE)</f>
        <v>#N/A</v>
      </c>
      <c r="F932" s="197"/>
      <c r="G932" s="9"/>
      <c r="H932" s="12"/>
      <c r="I932" s="12"/>
      <c r="J932" s="91"/>
      <c r="K932" s="91"/>
      <c r="L932" s="10"/>
      <c r="M932" s="10"/>
      <c r="N932" s="10"/>
      <c r="O932" s="10"/>
    </row>
    <row r="933" spans="1:15" ht="18.75" x14ac:dyDescent="0.25">
      <c r="A933" s="9"/>
      <c r="B933" s="112" t="e">
        <f>VLOOKUP(Table2[[#This Row],[Location 
(drop-down)]],'List source'!D$2:E$59,2,FALSE)</f>
        <v>#N/A</v>
      </c>
      <c r="C933" s="129" t="s">
        <v>2054</v>
      </c>
      <c r="D933" s="117" t="e">
        <f t="shared" si="18"/>
        <v>#N/A</v>
      </c>
      <c r="E933" s="117" t="e">
        <f>VLOOKUP(Table2[[#This Row],[Location 
(drop-down)]],Table1[#All],3,FALSE)</f>
        <v>#N/A</v>
      </c>
      <c r="F933" s="197"/>
      <c r="G933" s="9"/>
      <c r="H933" s="12"/>
      <c r="I933" s="12"/>
      <c r="J933" s="91"/>
      <c r="K933" s="91"/>
      <c r="L933" s="10"/>
      <c r="M933" s="10"/>
      <c r="N933" s="10"/>
      <c r="O933" s="10"/>
    </row>
    <row r="934" spans="1:15" ht="18.75" x14ac:dyDescent="0.25">
      <c r="A934" s="9"/>
      <c r="B934" s="112" t="e">
        <f>VLOOKUP(Table2[[#This Row],[Location 
(drop-down)]],'List source'!D$2:E$59,2,FALSE)</f>
        <v>#N/A</v>
      </c>
      <c r="C934" s="129" t="s">
        <v>2055</v>
      </c>
      <c r="D934" s="117" t="e">
        <f t="shared" si="18"/>
        <v>#N/A</v>
      </c>
      <c r="E934" s="117" t="e">
        <f>VLOOKUP(Table2[[#This Row],[Location 
(drop-down)]],Table1[#All],3,FALSE)</f>
        <v>#N/A</v>
      </c>
      <c r="F934" s="197"/>
      <c r="G934" s="9"/>
      <c r="H934" s="12"/>
      <c r="I934" s="12"/>
      <c r="J934" s="91"/>
      <c r="K934" s="91"/>
      <c r="L934" s="10"/>
      <c r="M934" s="10"/>
      <c r="N934" s="10"/>
      <c r="O934" s="10"/>
    </row>
    <row r="935" spans="1:15" ht="18.75" x14ac:dyDescent="0.25">
      <c r="A935" s="9"/>
      <c r="B935" s="112" t="e">
        <f>VLOOKUP(Table2[[#This Row],[Location 
(drop-down)]],'List source'!D$2:E$59,2,FALSE)</f>
        <v>#N/A</v>
      </c>
      <c r="C935" s="129" t="s">
        <v>2056</v>
      </c>
      <c r="D935" s="117" t="e">
        <f t="shared" si="18"/>
        <v>#N/A</v>
      </c>
      <c r="E935" s="117" t="e">
        <f>VLOOKUP(Table2[[#This Row],[Location 
(drop-down)]],Table1[#All],3,FALSE)</f>
        <v>#N/A</v>
      </c>
      <c r="F935" s="197"/>
      <c r="G935" s="9"/>
      <c r="H935" s="12"/>
      <c r="I935" s="12"/>
      <c r="J935" s="91"/>
      <c r="K935" s="91"/>
      <c r="L935" s="10"/>
      <c r="M935" s="10"/>
      <c r="N935" s="10"/>
      <c r="O935" s="10"/>
    </row>
    <row r="936" spans="1:15" ht="18.75" x14ac:dyDescent="0.25">
      <c r="A936" s="9"/>
      <c r="B936" s="112" t="e">
        <f>VLOOKUP(Table2[[#This Row],[Location 
(drop-down)]],'List source'!D$2:E$59,2,FALSE)</f>
        <v>#N/A</v>
      </c>
      <c r="C936" s="129" t="s">
        <v>2057</v>
      </c>
      <c r="D936" s="117" t="e">
        <f t="shared" si="18"/>
        <v>#N/A</v>
      </c>
      <c r="E936" s="117" t="e">
        <f>VLOOKUP(Table2[[#This Row],[Location 
(drop-down)]],Table1[#All],3,FALSE)</f>
        <v>#N/A</v>
      </c>
      <c r="F936" s="197"/>
      <c r="G936" s="9"/>
      <c r="H936" s="12"/>
      <c r="I936" s="12"/>
      <c r="J936" s="91"/>
      <c r="K936" s="91"/>
      <c r="L936" s="10"/>
      <c r="M936" s="10"/>
      <c r="N936" s="10"/>
      <c r="O936" s="10"/>
    </row>
    <row r="937" spans="1:15" ht="18.75" x14ac:dyDescent="0.25">
      <c r="A937" s="9"/>
      <c r="B937" s="112" t="e">
        <f>VLOOKUP(Table2[[#This Row],[Location 
(drop-down)]],'List source'!D$2:E$59,2,FALSE)</f>
        <v>#N/A</v>
      </c>
      <c r="C937" s="129" t="s">
        <v>2058</v>
      </c>
      <c r="D937" s="117" t="e">
        <f t="shared" si="18"/>
        <v>#N/A</v>
      </c>
      <c r="E937" s="117" t="e">
        <f>VLOOKUP(Table2[[#This Row],[Location 
(drop-down)]],Table1[#All],3,FALSE)</f>
        <v>#N/A</v>
      </c>
      <c r="F937" s="197"/>
      <c r="G937" s="9"/>
      <c r="H937" s="12"/>
      <c r="I937" s="12"/>
      <c r="J937" s="91"/>
      <c r="K937" s="91"/>
      <c r="L937" s="10"/>
      <c r="M937" s="10"/>
      <c r="N937" s="10"/>
      <c r="O937" s="10"/>
    </row>
    <row r="938" spans="1:15" ht="18.75" x14ac:dyDescent="0.25">
      <c r="A938" s="9"/>
      <c r="B938" s="112" t="e">
        <f>VLOOKUP(Table2[[#This Row],[Location 
(drop-down)]],'List source'!D$2:E$59,2,FALSE)</f>
        <v>#N/A</v>
      </c>
      <c r="C938" s="129" t="s">
        <v>2059</v>
      </c>
      <c r="D938" s="117" t="e">
        <f t="shared" si="18"/>
        <v>#N/A</v>
      </c>
      <c r="E938" s="117" t="e">
        <f>VLOOKUP(Table2[[#This Row],[Location 
(drop-down)]],Table1[#All],3,FALSE)</f>
        <v>#N/A</v>
      </c>
      <c r="F938" s="197"/>
      <c r="G938" s="9"/>
      <c r="H938" s="12"/>
      <c r="I938" s="12"/>
      <c r="J938" s="91"/>
      <c r="K938" s="91"/>
      <c r="L938" s="10"/>
      <c r="M938" s="10"/>
      <c r="N938" s="10"/>
      <c r="O938" s="10"/>
    </row>
    <row r="939" spans="1:15" ht="18.75" x14ac:dyDescent="0.25">
      <c r="A939" s="9"/>
      <c r="B939" s="112" t="e">
        <f>VLOOKUP(Table2[[#This Row],[Location 
(drop-down)]],'List source'!D$2:E$59,2,FALSE)</f>
        <v>#N/A</v>
      </c>
      <c r="C939" s="129" t="s">
        <v>2060</v>
      </c>
      <c r="D939" s="117" t="e">
        <f t="shared" si="18"/>
        <v>#N/A</v>
      </c>
      <c r="E939" s="117" t="e">
        <f>VLOOKUP(Table2[[#This Row],[Location 
(drop-down)]],Table1[#All],3,FALSE)</f>
        <v>#N/A</v>
      </c>
      <c r="F939" s="197"/>
      <c r="G939" s="9"/>
      <c r="H939" s="12"/>
      <c r="I939" s="12"/>
      <c r="J939" s="91"/>
      <c r="K939" s="91"/>
      <c r="L939" s="10"/>
      <c r="M939" s="10"/>
      <c r="N939" s="10"/>
      <c r="O939" s="10"/>
    </row>
    <row r="940" spans="1:15" ht="18.75" x14ac:dyDescent="0.25">
      <c r="A940" s="9"/>
      <c r="B940" s="112" t="e">
        <f>VLOOKUP(Table2[[#This Row],[Location 
(drop-down)]],'List source'!D$2:E$59,2,FALSE)</f>
        <v>#N/A</v>
      </c>
      <c r="C940" s="129" t="s">
        <v>2061</v>
      </c>
      <c r="D940" s="117" t="e">
        <f t="shared" si="18"/>
        <v>#N/A</v>
      </c>
      <c r="E940" s="117" t="e">
        <f>VLOOKUP(Table2[[#This Row],[Location 
(drop-down)]],Table1[#All],3,FALSE)</f>
        <v>#N/A</v>
      </c>
      <c r="F940" s="197"/>
      <c r="G940" s="9"/>
      <c r="H940" s="12"/>
      <c r="I940" s="12"/>
      <c r="J940" s="91"/>
      <c r="K940" s="91"/>
      <c r="L940" s="10"/>
      <c r="M940" s="10"/>
      <c r="N940" s="10"/>
      <c r="O940" s="10"/>
    </row>
    <row r="941" spans="1:15" ht="18.75" x14ac:dyDescent="0.25">
      <c r="A941" s="9"/>
      <c r="B941" s="112" t="e">
        <f>VLOOKUP(Table2[[#This Row],[Location 
(drop-down)]],'List source'!D$2:E$59,2,FALSE)</f>
        <v>#N/A</v>
      </c>
      <c r="C941" s="129" t="s">
        <v>2062</v>
      </c>
      <c r="D941" s="117" t="e">
        <f t="shared" si="18"/>
        <v>#N/A</v>
      </c>
      <c r="E941" s="117" t="e">
        <f>VLOOKUP(Table2[[#This Row],[Location 
(drop-down)]],Table1[#All],3,FALSE)</f>
        <v>#N/A</v>
      </c>
      <c r="F941" s="197"/>
      <c r="G941" s="9"/>
      <c r="H941" s="12"/>
      <c r="I941" s="12"/>
      <c r="J941" s="91"/>
      <c r="K941" s="91"/>
      <c r="L941" s="10"/>
      <c r="M941" s="10"/>
      <c r="N941" s="10"/>
      <c r="O941" s="10"/>
    </row>
    <row r="942" spans="1:15" ht="18.75" x14ac:dyDescent="0.25">
      <c r="A942" s="9"/>
      <c r="B942" s="112" t="e">
        <f>VLOOKUP(Table2[[#This Row],[Location 
(drop-down)]],'List source'!D$2:E$59,2,FALSE)</f>
        <v>#N/A</v>
      </c>
      <c r="C942" s="129" t="s">
        <v>2063</v>
      </c>
      <c r="D942" s="117" t="e">
        <f t="shared" si="18"/>
        <v>#N/A</v>
      </c>
      <c r="E942" s="117" t="e">
        <f>VLOOKUP(Table2[[#This Row],[Location 
(drop-down)]],Table1[#All],3,FALSE)</f>
        <v>#N/A</v>
      </c>
      <c r="F942" s="197"/>
      <c r="G942" s="9"/>
      <c r="H942" s="12"/>
      <c r="I942" s="12"/>
      <c r="J942" s="91"/>
      <c r="K942" s="91"/>
      <c r="L942" s="10"/>
      <c r="M942" s="10"/>
      <c r="N942" s="10"/>
      <c r="O942" s="10"/>
    </row>
    <row r="943" spans="1:15" ht="18.75" x14ac:dyDescent="0.25">
      <c r="A943" s="9"/>
      <c r="B943" s="112" t="e">
        <f>VLOOKUP(Table2[[#This Row],[Location 
(drop-down)]],'List source'!D$2:E$59,2,FALSE)</f>
        <v>#N/A</v>
      </c>
      <c r="C943" s="129" t="s">
        <v>2064</v>
      </c>
      <c r="D943" s="117" t="e">
        <f t="shared" si="18"/>
        <v>#N/A</v>
      </c>
      <c r="E943" s="117" t="e">
        <f>VLOOKUP(Table2[[#This Row],[Location 
(drop-down)]],Table1[#All],3,FALSE)</f>
        <v>#N/A</v>
      </c>
      <c r="F943" s="197"/>
      <c r="G943" s="9"/>
      <c r="H943" s="12"/>
      <c r="I943" s="12"/>
      <c r="J943" s="91"/>
      <c r="K943" s="91"/>
      <c r="L943" s="10"/>
      <c r="M943" s="10"/>
      <c r="N943" s="10"/>
      <c r="O943" s="10"/>
    </row>
    <row r="944" spans="1:15" ht="18.75" x14ac:dyDescent="0.25">
      <c r="A944" s="9"/>
      <c r="B944" s="112" t="e">
        <f>VLOOKUP(Table2[[#This Row],[Location 
(drop-down)]],'List source'!D$2:E$59,2,FALSE)</f>
        <v>#N/A</v>
      </c>
      <c r="C944" s="129" t="s">
        <v>2065</v>
      </c>
      <c r="D944" s="117" t="e">
        <f t="shared" si="18"/>
        <v>#N/A</v>
      </c>
      <c r="E944" s="117" t="e">
        <f>VLOOKUP(Table2[[#This Row],[Location 
(drop-down)]],Table1[#All],3,FALSE)</f>
        <v>#N/A</v>
      </c>
      <c r="F944" s="197"/>
      <c r="G944" s="9"/>
      <c r="H944" s="12"/>
      <c r="I944" s="12"/>
      <c r="J944" s="91"/>
      <c r="K944" s="91"/>
      <c r="L944" s="10"/>
      <c r="M944" s="10"/>
      <c r="N944" s="10"/>
      <c r="O944" s="10"/>
    </row>
    <row r="945" spans="1:15" ht="18.75" x14ac:dyDescent="0.25">
      <c r="A945" s="9"/>
      <c r="B945" s="112" t="e">
        <f>VLOOKUP(Table2[[#This Row],[Location 
(drop-down)]],'List source'!D$2:E$59,2,FALSE)</f>
        <v>#N/A</v>
      </c>
      <c r="C945" s="129" t="s">
        <v>2066</v>
      </c>
      <c r="D945" s="117" t="e">
        <f t="shared" si="18"/>
        <v>#N/A</v>
      </c>
      <c r="E945" s="117" t="e">
        <f>VLOOKUP(Table2[[#This Row],[Location 
(drop-down)]],Table1[#All],3,FALSE)</f>
        <v>#N/A</v>
      </c>
      <c r="F945" s="197"/>
      <c r="G945" s="9"/>
      <c r="H945" s="12"/>
      <c r="I945" s="12"/>
      <c r="J945" s="91"/>
      <c r="K945" s="91"/>
      <c r="L945" s="10"/>
      <c r="M945" s="10"/>
      <c r="N945" s="10"/>
      <c r="O945" s="10"/>
    </row>
    <row r="946" spans="1:15" ht="18.75" x14ac:dyDescent="0.25">
      <c r="A946" s="9"/>
      <c r="B946" s="112" t="e">
        <f>VLOOKUP(Table2[[#This Row],[Location 
(drop-down)]],'List source'!D$2:E$59,2,FALSE)</f>
        <v>#N/A</v>
      </c>
      <c r="C946" s="129" t="s">
        <v>2067</v>
      </c>
      <c r="D946" s="117" t="e">
        <f t="shared" si="18"/>
        <v>#N/A</v>
      </c>
      <c r="E946" s="117" t="e">
        <f>VLOOKUP(Table2[[#This Row],[Location 
(drop-down)]],Table1[#All],3,FALSE)</f>
        <v>#N/A</v>
      </c>
      <c r="F946" s="197"/>
      <c r="G946" s="9"/>
      <c r="H946" s="12"/>
      <c r="I946" s="12"/>
      <c r="J946" s="91"/>
      <c r="K946" s="91"/>
      <c r="L946" s="10"/>
      <c r="M946" s="10"/>
      <c r="N946" s="10"/>
      <c r="O946" s="10"/>
    </row>
    <row r="947" spans="1:15" ht="18.75" x14ac:dyDescent="0.25">
      <c r="A947" s="9"/>
      <c r="B947" s="112" t="e">
        <f>VLOOKUP(Table2[[#This Row],[Location 
(drop-down)]],'List source'!D$2:E$59,2,FALSE)</f>
        <v>#N/A</v>
      </c>
      <c r="C947" s="129" t="s">
        <v>2068</v>
      </c>
      <c r="D947" s="117" t="e">
        <f t="shared" si="18"/>
        <v>#N/A</v>
      </c>
      <c r="E947" s="117" t="e">
        <f>VLOOKUP(Table2[[#This Row],[Location 
(drop-down)]],Table1[#All],3,FALSE)</f>
        <v>#N/A</v>
      </c>
      <c r="F947" s="197"/>
      <c r="G947" s="9"/>
      <c r="H947" s="12"/>
      <c r="I947" s="12"/>
      <c r="J947" s="91"/>
      <c r="K947" s="91"/>
      <c r="L947" s="10"/>
      <c r="M947" s="10"/>
      <c r="N947" s="10"/>
      <c r="O947" s="10"/>
    </row>
    <row r="948" spans="1:15" ht="18.75" x14ac:dyDescent="0.25">
      <c r="A948" s="9"/>
      <c r="B948" s="112" t="e">
        <f>VLOOKUP(Table2[[#This Row],[Location 
(drop-down)]],'List source'!D$2:E$59,2,FALSE)</f>
        <v>#N/A</v>
      </c>
      <c r="C948" s="129" t="s">
        <v>2069</v>
      </c>
      <c r="D948" s="117" t="e">
        <f t="shared" si="18"/>
        <v>#N/A</v>
      </c>
      <c r="E948" s="117" t="e">
        <f>VLOOKUP(Table2[[#This Row],[Location 
(drop-down)]],Table1[#All],3,FALSE)</f>
        <v>#N/A</v>
      </c>
      <c r="F948" s="197"/>
      <c r="G948" s="9"/>
      <c r="H948" s="12"/>
      <c r="I948" s="12"/>
      <c r="J948" s="91"/>
      <c r="K948" s="91"/>
      <c r="L948" s="10"/>
      <c r="M948" s="10"/>
      <c r="N948" s="10"/>
      <c r="O948" s="10"/>
    </row>
    <row r="949" spans="1:15" ht="18.75" x14ac:dyDescent="0.25">
      <c r="A949" s="9"/>
      <c r="B949" s="112" t="e">
        <f>VLOOKUP(Table2[[#This Row],[Location 
(drop-down)]],'List source'!D$2:E$59,2,FALSE)</f>
        <v>#N/A</v>
      </c>
      <c r="C949" s="129" t="s">
        <v>2070</v>
      </c>
      <c r="D949" s="117" t="e">
        <f t="shared" si="18"/>
        <v>#N/A</v>
      </c>
      <c r="E949" s="117" t="e">
        <f>VLOOKUP(Table2[[#This Row],[Location 
(drop-down)]],Table1[#All],3,FALSE)</f>
        <v>#N/A</v>
      </c>
      <c r="F949" s="197"/>
      <c r="G949" s="9"/>
      <c r="H949" s="12"/>
      <c r="I949" s="12"/>
      <c r="J949" s="91"/>
      <c r="K949" s="91"/>
      <c r="L949" s="10"/>
      <c r="M949" s="10"/>
      <c r="N949" s="10"/>
      <c r="O949" s="10"/>
    </row>
    <row r="950" spans="1:15" ht="18.75" x14ac:dyDescent="0.25">
      <c r="A950" s="9"/>
      <c r="B950" s="112" t="e">
        <f>VLOOKUP(Table2[[#This Row],[Location 
(drop-down)]],'List source'!D$2:E$59,2,FALSE)</f>
        <v>#N/A</v>
      </c>
      <c r="C950" s="129" t="s">
        <v>2071</v>
      </c>
      <c r="D950" s="117" t="e">
        <f t="shared" si="18"/>
        <v>#N/A</v>
      </c>
      <c r="E950" s="117" t="e">
        <f>VLOOKUP(Table2[[#This Row],[Location 
(drop-down)]],Table1[#All],3,FALSE)</f>
        <v>#N/A</v>
      </c>
      <c r="F950" s="197"/>
      <c r="G950" s="9"/>
      <c r="H950" s="12"/>
      <c r="I950" s="12"/>
      <c r="J950" s="91"/>
      <c r="K950" s="91"/>
      <c r="L950" s="10"/>
      <c r="M950" s="10"/>
      <c r="N950" s="10"/>
      <c r="O950" s="10"/>
    </row>
    <row r="951" spans="1:15" ht="18.75" x14ac:dyDescent="0.25">
      <c r="A951" s="9"/>
      <c r="B951" s="112" t="e">
        <f>VLOOKUP(Table2[[#This Row],[Location 
(drop-down)]],'List source'!D$2:E$59,2,FALSE)</f>
        <v>#N/A</v>
      </c>
      <c r="C951" s="129" t="s">
        <v>2072</v>
      </c>
      <c r="D951" s="117" t="e">
        <f t="shared" si="18"/>
        <v>#N/A</v>
      </c>
      <c r="E951" s="117" t="e">
        <f>VLOOKUP(Table2[[#This Row],[Location 
(drop-down)]],Table1[#All],3,FALSE)</f>
        <v>#N/A</v>
      </c>
      <c r="F951" s="197"/>
      <c r="G951" s="9"/>
      <c r="H951" s="12"/>
      <c r="I951" s="12"/>
      <c r="J951" s="91"/>
      <c r="K951" s="91"/>
      <c r="L951" s="10"/>
      <c r="M951" s="10"/>
      <c r="N951" s="10"/>
      <c r="O951" s="10"/>
    </row>
    <row r="952" spans="1:15" ht="18.75" x14ac:dyDescent="0.25">
      <c r="A952" s="9"/>
      <c r="B952" s="112" t="e">
        <f>VLOOKUP(Table2[[#This Row],[Location 
(drop-down)]],'List source'!D$2:E$59,2,FALSE)</f>
        <v>#N/A</v>
      </c>
      <c r="C952" s="129" t="s">
        <v>2073</v>
      </c>
      <c r="D952" s="117" t="e">
        <f t="shared" si="18"/>
        <v>#N/A</v>
      </c>
      <c r="E952" s="117" t="e">
        <f>VLOOKUP(Table2[[#This Row],[Location 
(drop-down)]],Table1[#All],3,FALSE)</f>
        <v>#N/A</v>
      </c>
      <c r="F952" s="197"/>
      <c r="G952" s="9"/>
      <c r="H952" s="12"/>
      <c r="I952" s="12"/>
      <c r="J952" s="91"/>
      <c r="K952" s="91"/>
      <c r="L952" s="10"/>
      <c r="M952" s="10"/>
      <c r="N952" s="10"/>
      <c r="O952" s="10"/>
    </row>
    <row r="953" spans="1:15" ht="18.75" x14ac:dyDescent="0.25">
      <c r="A953" s="9"/>
      <c r="B953" s="112" t="e">
        <f>VLOOKUP(Table2[[#This Row],[Location 
(drop-down)]],'List source'!D$2:E$59,2,FALSE)</f>
        <v>#N/A</v>
      </c>
      <c r="C953" s="129" t="s">
        <v>2074</v>
      </c>
      <c r="D953" s="117" t="e">
        <f t="shared" si="18"/>
        <v>#N/A</v>
      </c>
      <c r="E953" s="117" t="e">
        <f>VLOOKUP(Table2[[#This Row],[Location 
(drop-down)]],Table1[#All],3,FALSE)</f>
        <v>#N/A</v>
      </c>
      <c r="F953" s="197"/>
      <c r="G953" s="9"/>
      <c r="H953" s="12"/>
      <c r="I953" s="12"/>
      <c r="J953" s="91"/>
      <c r="K953" s="91"/>
      <c r="L953" s="10"/>
      <c r="M953" s="10"/>
      <c r="N953" s="10"/>
      <c r="O953" s="10"/>
    </row>
    <row r="954" spans="1:15" ht="18.75" x14ac:dyDescent="0.25">
      <c r="A954" s="9"/>
      <c r="B954" s="112" t="e">
        <f>VLOOKUP(Table2[[#This Row],[Location 
(drop-down)]],'List source'!D$2:E$59,2,FALSE)</f>
        <v>#N/A</v>
      </c>
      <c r="C954" s="129" t="s">
        <v>2075</v>
      </c>
      <c r="D954" s="117" t="e">
        <f t="shared" si="18"/>
        <v>#N/A</v>
      </c>
      <c r="E954" s="117" t="e">
        <f>VLOOKUP(Table2[[#This Row],[Location 
(drop-down)]],Table1[#All],3,FALSE)</f>
        <v>#N/A</v>
      </c>
      <c r="F954" s="197"/>
      <c r="G954" s="9"/>
      <c r="H954" s="12"/>
      <c r="I954" s="12"/>
      <c r="J954" s="91"/>
      <c r="K954" s="91"/>
      <c r="L954" s="10"/>
      <c r="M954" s="10"/>
      <c r="N954" s="10"/>
      <c r="O954" s="10"/>
    </row>
    <row r="955" spans="1:15" ht="18.75" x14ac:dyDescent="0.25">
      <c r="A955" s="9"/>
      <c r="B955" s="112" t="e">
        <f>VLOOKUP(Table2[[#This Row],[Location 
(drop-down)]],'List source'!D$2:E$59,2,FALSE)</f>
        <v>#N/A</v>
      </c>
      <c r="C955" s="129" t="s">
        <v>2076</v>
      </c>
      <c r="D955" s="117" t="e">
        <f t="shared" si="18"/>
        <v>#N/A</v>
      </c>
      <c r="E955" s="117" t="e">
        <f>VLOOKUP(Table2[[#This Row],[Location 
(drop-down)]],Table1[#All],3,FALSE)</f>
        <v>#N/A</v>
      </c>
      <c r="F955" s="197"/>
      <c r="G955" s="9"/>
      <c r="H955" s="12"/>
      <c r="I955" s="12"/>
      <c r="J955" s="91"/>
      <c r="K955" s="91"/>
      <c r="L955" s="10"/>
      <c r="M955" s="10"/>
      <c r="N955" s="10"/>
      <c r="O955" s="10"/>
    </row>
    <row r="956" spans="1:15" ht="18.75" x14ac:dyDescent="0.25">
      <c r="A956" s="9"/>
      <c r="B956" s="112" t="e">
        <f>VLOOKUP(Table2[[#This Row],[Location 
(drop-down)]],'List source'!D$2:E$59,2,FALSE)</f>
        <v>#N/A</v>
      </c>
      <c r="C956" s="129" t="s">
        <v>2077</v>
      </c>
      <c r="D956" s="117" t="e">
        <f t="shared" si="18"/>
        <v>#N/A</v>
      </c>
      <c r="E956" s="117" t="e">
        <f>VLOOKUP(Table2[[#This Row],[Location 
(drop-down)]],Table1[#All],3,FALSE)</f>
        <v>#N/A</v>
      </c>
      <c r="F956" s="197"/>
      <c r="G956" s="9"/>
      <c r="H956" s="12"/>
      <c r="I956" s="12"/>
      <c r="J956" s="91"/>
      <c r="K956" s="91"/>
      <c r="L956" s="10"/>
      <c r="M956" s="10"/>
      <c r="N956" s="10"/>
      <c r="O956" s="10"/>
    </row>
    <row r="957" spans="1:15" ht="18.75" x14ac:dyDescent="0.25">
      <c r="A957" s="9"/>
      <c r="B957" s="112" t="e">
        <f>VLOOKUP(Table2[[#This Row],[Location 
(drop-down)]],'List source'!D$2:E$59,2,FALSE)</f>
        <v>#N/A</v>
      </c>
      <c r="C957" s="129" t="s">
        <v>2078</v>
      </c>
      <c r="D957" s="117" t="e">
        <f t="shared" si="18"/>
        <v>#N/A</v>
      </c>
      <c r="E957" s="117" t="e">
        <f>VLOOKUP(Table2[[#This Row],[Location 
(drop-down)]],Table1[#All],3,FALSE)</f>
        <v>#N/A</v>
      </c>
      <c r="F957" s="197"/>
      <c r="G957" s="9"/>
      <c r="H957" s="12"/>
      <c r="I957" s="12"/>
      <c r="J957" s="91"/>
      <c r="K957" s="91"/>
      <c r="L957" s="10"/>
      <c r="M957" s="10"/>
      <c r="N957" s="10"/>
      <c r="O957" s="10"/>
    </row>
    <row r="958" spans="1:15" ht="18.75" x14ac:dyDescent="0.25">
      <c r="A958" s="9"/>
      <c r="B958" s="112" t="e">
        <f>VLOOKUP(Table2[[#This Row],[Location 
(drop-down)]],'List source'!D$2:E$59,2,FALSE)</f>
        <v>#N/A</v>
      </c>
      <c r="C958" s="129" t="s">
        <v>2079</v>
      </c>
      <c r="D958" s="117" t="e">
        <f t="shared" si="18"/>
        <v>#N/A</v>
      </c>
      <c r="E958" s="117" t="e">
        <f>VLOOKUP(Table2[[#This Row],[Location 
(drop-down)]],Table1[#All],3,FALSE)</f>
        <v>#N/A</v>
      </c>
      <c r="F958" s="197"/>
      <c r="G958" s="9"/>
      <c r="H958" s="12"/>
      <c r="I958" s="12"/>
      <c r="J958" s="91"/>
      <c r="K958" s="91"/>
      <c r="L958" s="10"/>
      <c r="M958" s="10"/>
      <c r="N958" s="10"/>
      <c r="O958" s="10"/>
    </row>
    <row r="959" spans="1:15" ht="18.75" x14ac:dyDescent="0.25">
      <c r="A959" s="9"/>
      <c r="B959" s="112" t="e">
        <f>VLOOKUP(Table2[[#This Row],[Location 
(drop-down)]],'List source'!D$2:E$59,2,FALSE)</f>
        <v>#N/A</v>
      </c>
      <c r="C959" s="129" t="s">
        <v>2080</v>
      </c>
      <c r="D959" s="117" t="e">
        <f t="shared" si="18"/>
        <v>#N/A</v>
      </c>
      <c r="E959" s="117" t="e">
        <f>VLOOKUP(Table2[[#This Row],[Location 
(drop-down)]],Table1[#All],3,FALSE)</f>
        <v>#N/A</v>
      </c>
      <c r="F959" s="197"/>
      <c r="G959" s="9"/>
      <c r="H959" s="12"/>
      <c r="I959" s="12"/>
      <c r="J959" s="91"/>
      <c r="K959" s="91"/>
      <c r="L959" s="10"/>
      <c r="M959" s="10"/>
      <c r="N959" s="10"/>
      <c r="O959" s="10"/>
    </row>
    <row r="960" spans="1:15" ht="18.75" x14ac:dyDescent="0.25">
      <c r="A960" s="9"/>
      <c r="B960" s="112" t="e">
        <f>VLOOKUP(Table2[[#This Row],[Location 
(drop-down)]],'List source'!D$2:E$59,2,FALSE)</f>
        <v>#N/A</v>
      </c>
      <c r="C960" s="129" t="s">
        <v>2081</v>
      </c>
      <c r="D960" s="117" t="e">
        <f t="shared" si="18"/>
        <v>#N/A</v>
      </c>
      <c r="E960" s="117" t="e">
        <f>VLOOKUP(Table2[[#This Row],[Location 
(drop-down)]],Table1[#All],3,FALSE)</f>
        <v>#N/A</v>
      </c>
      <c r="F960" s="197"/>
      <c r="G960" s="9"/>
      <c r="H960" s="12"/>
      <c r="I960" s="12"/>
      <c r="J960" s="91"/>
      <c r="K960" s="91"/>
      <c r="L960" s="10"/>
      <c r="M960" s="10"/>
      <c r="N960" s="10"/>
      <c r="O960" s="10"/>
    </row>
    <row r="961" spans="1:15" ht="18.75" x14ac:dyDescent="0.25">
      <c r="A961" s="9"/>
      <c r="B961" s="112" t="e">
        <f>VLOOKUP(Table2[[#This Row],[Location 
(drop-down)]],'List source'!D$2:E$59,2,FALSE)</f>
        <v>#N/A</v>
      </c>
      <c r="C961" s="129" t="s">
        <v>2082</v>
      </c>
      <c r="D961" s="117" t="e">
        <f t="shared" si="18"/>
        <v>#N/A</v>
      </c>
      <c r="E961" s="117" t="e">
        <f>VLOOKUP(Table2[[#This Row],[Location 
(drop-down)]],Table1[#All],3,FALSE)</f>
        <v>#N/A</v>
      </c>
      <c r="F961" s="197"/>
      <c r="G961" s="9"/>
      <c r="H961" s="12"/>
      <c r="I961" s="12"/>
      <c r="J961" s="91"/>
      <c r="K961" s="91"/>
      <c r="L961" s="10"/>
      <c r="M961" s="10"/>
      <c r="N961" s="10"/>
      <c r="O961" s="10"/>
    </row>
    <row r="962" spans="1:15" ht="18.75" x14ac:dyDescent="0.25">
      <c r="A962" s="9"/>
      <c r="B962" s="112" t="e">
        <f>VLOOKUP(Table2[[#This Row],[Location 
(drop-down)]],'List source'!D$2:E$59,2,FALSE)</f>
        <v>#N/A</v>
      </c>
      <c r="C962" s="129" t="s">
        <v>2083</v>
      </c>
      <c r="D962" s="117" t="e">
        <f t="shared" si="18"/>
        <v>#N/A</v>
      </c>
      <c r="E962" s="117" t="e">
        <f>VLOOKUP(Table2[[#This Row],[Location 
(drop-down)]],Table1[#All],3,FALSE)</f>
        <v>#N/A</v>
      </c>
      <c r="F962" s="197"/>
      <c r="G962" s="9"/>
      <c r="H962" s="12"/>
      <c r="I962" s="12"/>
      <c r="J962" s="91"/>
      <c r="K962" s="91"/>
      <c r="L962" s="10"/>
      <c r="M962" s="10"/>
      <c r="N962" s="10"/>
      <c r="O962" s="10"/>
    </row>
    <row r="963" spans="1:15" ht="18.75" x14ac:dyDescent="0.25">
      <c r="A963" s="9"/>
      <c r="B963" s="112" t="e">
        <f>VLOOKUP(Table2[[#This Row],[Location 
(drop-down)]],'List source'!D$2:E$59,2,FALSE)</f>
        <v>#N/A</v>
      </c>
      <c r="C963" s="129" t="s">
        <v>2084</v>
      </c>
      <c r="D963" s="117" t="e">
        <f t="shared" si="18"/>
        <v>#N/A</v>
      </c>
      <c r="E963" s="117" t="e">
        <f>VLOOKUP(Table2[[#This Row],[Location 
(drop-down)]],Table1[#All],3,FALSE)</f>
        <v>#N/A</v>
      </c>
      <c r="F963" s="197"/>
      <c r="G963" s="9"/>
      <c r="H963" s="12"/>
      <c r="I963" s="12"/>
      <c r="J963" s="91"/>
      <c r="K963" s="91"/>
      <c r="L963" s="10"/>
      <c r="M963" s="10"/>
      <c r="N963" s="10"/>
      <c r="O963" s="10"/>
    </row>
    <row r="964" spans="1:15" ht="18.75" x14ac:dyDescent="0.25">
      <c r="A964" s="9"/>
      <c r="B964" s="112" t="e">
        <f>VLOOKUP(Table2[[#This Row],[Location 
(drop-down)]],'List source'!D$2:E$59,2,FALSE)</f>
        <v>#N/A</v>
      </c>
      <c r="C964" s="129" t="s">
        <v>2085</v>
      </c>
      <c r="D964" s="117" t="e">
        <f t="shared" si="18"/>
        <v>#N/A</v>
      </c>
      <c r="E964" s="117" t="e">
        <f>VLOOKUP(Table2[[#This Row],[Location 
(drop-down)]],Table1[#All],3,FALSE)</f>
        <v>#N/A</v>
      </c>
      <c r="F964" s="197"/>
      <c r="G964" s="9"/>
      <c r="H964" s="12"/>
      <c r="I964" s="12"/>
      <c r="J964" s="91"/>
      <c r="K964" s="91"/>
      <c r="L964" s="10"/>
      <c r="M964" s="10"/>
      <c r="N964" s="10"/>
      <c r="O964" s="10"/>
    </row>
    <row r="965" spans="1:15" ht="18.75" x14ac:dyDescent="0.25">
      <c r="A965" s="9"/>
      <c r="B965" s="112" t="e">
        <f>VLOOKUP(Table2[[#This Row],[Location 
(drop-down)]],'List source'!D$2:E$59,2,FALSE)</f>
        <v>#N/A</v>
      </c>
      <c r="C965" s="129" t="s">
        <v>2086</v>
      </c>
      <c r="D965" s="117" t="e">
        <f t="shared" si="18"/>
        <v>#N/A</v>
      </c>
      <c r="E965" s="117" t="e">
        <f>VLOOKUP(Table2[[#This Row],[Location 
(drop-down)]],Table1[#All],3,FALSE)</f>
        <v>#N/A</v>
      </c>
      <c r="F965" s="197"/>
      <c r="G965" s="9"/>
      <c r="H965" s="12"/>
      <c r="I965" s="12"/>
      <c r="J965" s="91"/>
      <c r="K965" s="91"/>
      <c r="L965" s="10"/>
      <c r="M965" s="10"/>
      <c r="N965" s="10"/>
      <c r="O965" s="10"/>
    </row>
    <row r="966" spans="1:15" ht="18.75" x14ac:dyDescent="0.25">
      <c r="A966" s="9"/>
      <c r="B966" s="112" t="e">
        <f>VLOOKUP(Table2[[#This Row],[Location 
(drop-down)]],'List source'!D$2:E$59,2,FALSE)</f>
        <v>#N/A</v>
      </c>
      <c r="C966" s="129" t="s">
        <v>2087</v>
      </c>
      <c r="D966" s="117" t="e">
        <f t="shared" si="18"/>
        <v>#N/A</v>
      </c>
      <c r="E966" s="117" t="e">
        <f>VLOOKUP(Table2[[#This Row],[Location 
(drop-down)]],Table1[#All],3,FALSE)</f>
        <v>#N/A</v>
      </c>
      <c r="F966" s="197"/>
      <c r="G966" s="9"/>
      <c r="H966" s="12"/>
      <c r="I966" s="12"/>
      <c r="J966" s="91"/>
      <c r="K966" s="91"/>
      <c r="L966" s="10"/>
      <c r="M966" s="10"/>
      <c r="N966" s="10"/>
      <c r="O966" s="10"/>
    </row>
    <row r="967" spans="1:15" ht="18.75" x14ac:dyDescent="0.25">
      <c r="A967" s="9"/>
      <c r="B967" s="112" t="e">
        <f>VLOOKUP(Table2[[#This Row],[Location 
(drop-down)]],'List source'!D$2:E$59,2,FALSE)</f>
        <v>#N/A</v>
      </c>
      <c r="C967" s="129" t="s">
        <v>2088</v>
      </c>
      <c r="D967" s="117" t="e">
        <f t="shared" si="18"/>
        <v>#N/A</v>
      </c>
      <c r="E967" s="117" t="e">
        <f>VLOOKUP(Table2[[#This Row],[Location 
(drop-down)]],Table1[#All],3,FALSE)</f>
        <v>#N/A</v>
      </c>
      <c r="F967" s="197"/>
      <c r="G967" s="9"/>
      <c r="H967" s="12"/>
      <c r="I967" s="12"/>
      <c r="J967" s="91"/>
      <c r="K967" s="91"/>
      <c r="L967" s="10"/>
      <c r="M967" s="10"/>
      <c r="N967" s="10"/>
      <c r="O967" s="10"/>
    </row>
    <row r="968" spans="1:15" ht="18.75" x14ac:dyDescent="0.25">
      <c r="A968" s="9"/>
      <c r="B968" s="112" t="e">
        <f>VLOOKUP(Table2[[#This Row],[Location 
(drop-down)]],'List source'!D$2:E$59,2,FALSE)</f>
        <v>#N/A</v>
      </c>
      <c r="C968" s="129" t="s">
        <v>2089</v>
      </c>
      <c r="D968" s="117" t="e">
        <f t="shared" si="18"/>
        <v>#N/A</v>
      </c>
      <c r="E968" s="117" t="e">
        <f>VLOOKUP(Table2[[#This Row],[Location 
(drop-down)]],Table1[#All],3,FALSE)</f>
        <v>#N/A</v>
      </c>
      <c r="F968" s="197"/>
      <c r="G968" s="9"/>
      <c r="H968" s="12"/>
      <c r="I968" s="12"/>
      <c r="J968" s="91"/>
      <c r="K968" s="91"/>
      <c r="L968" s="10"/>
      <c r="M968" s="10"/>
      <c r="N968" s="10"/>
      <c r="O968" s="10"/>
    </row>
    <row r="969" spans="1:15" ht="18.75" x14ac:dyDescent="0.25">
      <c r="A969" s="9"/>
      <c r="B969" s="112" t="e">
        <f>VLOOKUP(Table2[[#This Row],[Location 
(drop-down)]],'List source'!D$2:E$59,2,FALSE)</f>
        <v>#N/A</v>
      </c>
      <c r="C969" s="129" t="s">
        <v>2090</v>
      </c>
      <c r="D969" s="117" t="e">
        <f t="shared" si="18"/>
        <v>#N/A</v>
      </c>
      <c r="E969" s="117" t="e">
        <f>VLOOKUP(Table2[[#This Row],[Location 
(drop-down)]],Table1[#All],3,FALSE)</f>
        <v>#N/A</v>
      </c>
      <c r="F969" s="197"/>
      <c r="G969" s="9"/>
      <c r="H969" s="12"/>
      <c r="I969" s="12"/>
      <c r="J969" s="91"/>
      <c r="K969" s="91"/>
      <c r="L969" s="10"/>
      <c r="M969" s="10"/>
      <c r="N969" s="10"/>
      <c r="O969" s="10"/>
    </row>
    <row r="970" spans="1:15" ht="18.75" x14ac:dyDescent="0.25">
      <c r="A970" s="9"/>
      <c r="B970" s="112" t="e">
        <f>VLOOKUP(Table2[[#This Row],[Location 
(drop-down)]],'List source'!D$2:E$59,2,FALSE)</f>
        <v>#N/A</v>
      </c>
      <c r="C970" s="129" t="s">
        <v>2091</v>
      </c>
      <c r="D970" s="117" t="e">
        <f t="shared" si="18"/>
        <v>#N/A</v>
      </c>
      <c r="E970" s="117" t="e">
        <f>VLOOKUP(Table2[[#This Row],[Location 
(drop-down)]],Table1[#All],3,FALSE)</f>
        <v>#N/A</v>
      </c>
      <c r="F970" s="197"/>
      <c r="G970" s="9"/>
      <c r="H970" s="12"/>
      <c r="I970" s="12"/>
      <c r="J970" s="91"/>
      <c r="K970" s="91"/>
      <c r="L970" s="10"/>
      <c r="M970" s="10"/>
      <c r="N970" s="10"/>
      <c r="O970" s="10"/>
    </row>
    <row r="971" spans="1:15" ht="18.75" x14ac:dyDescent="0.25">
      <c r="A971" s="9"/>
      <c r="B971" s="112" t="e">
        <f>VLOOKUP(Table2[[#This Row],[Location 
(drop-down)]],'List source'!D$2:E$59,2,FALSE)</f>
        <v>#N/A</v>
      </c>
      <c r="C971" s="129" t="s">
        <v>2092</v>
      </c>
      <c r="D971" s="117" t="e">
        <f t="shared" si="18"/>
        <v>#N/A</v>
      </c>
      <c r="E971" s="117" t="e">
        <f>VLOOKUP(Table2[[#This Row],[Location 
(drop-down)]],Table1[#All],3,FALSE)</f>
        <v>#N/A</v>
      </c>
      <c r="F971" s="197"/>
      <c r="G971" s="9"/>
      <c r="H971" s="12"/>
      <c r="I971" s="12"/>
      <c r="J971" s="91"/>
      <c r="K971" s="91"/>
      <c r="L971" s="10"/>
      <c r="M971" s="10"/>
      <c r="N971" s="10"/>
      <c r="O971" s="10"/>
    </row>
    <row r="972" spans="1:15" ht="18.75" x14ac:dyDescent="0.25">
      <c r="A972" s="9"/>
      <c r="B972" s="112" t="e">
        <f>VLOOKUP(Table2[[#This Row],[Location 
(drop-down)]],'List source'!D$2:E$59,2,FALSE)</f>
        <v>#N/A</v>
      </c>
      <c r="C972" s="129" t="s">
        <v>2093</v>
      </c>
      <c r="D972" s="117" t="e">
        <f t="shared" si="18"/>
        <v>#N/A</v>
      </c>
      <c r="E972" s="117" t="e">
        <f>VLOOKUP(Table2[[#This Row],[Location 
(drop-down)]],Table1[#All],3,FALSE)</f>
        <v>#N/A</v>
      </c>
      <c r="F972" s="197"/>
      <c r="G972" s="9"/>
      <c r="H972" s="12"/>
      <c r="I972" s="12"/>
      <c r="J972" s="91"/>
      <c r="K972" s="91"/>
      <c r="L972" s="10"/>
      <c r="M972" s="10"/>
      <c r="N972" s="10"/>
      <c r="O972" s="10"/>
    </row>
    <row r="973" spans="1:15" ht="18.75" x14ac:dyDescent="0.25">
      <c r="A973" s="9"/>
      <c r="B973" s="112" t="e">
        <f>VLOOKUP(Table2[[#This Row],[Location 
(drop-down)]],'List source'!D$2:E$59,2,FALSE)</f>
        <v>#N/A</v>
      </c>
      <c r="C973" s="129" t="s">
        <v>2094</v>
      </c>
      <c r="D973" s="117" t="e">
        <f t="shared" si="18"/>
        <v>#N/A</v>
      </c>
      <c r="E973" s="117" t="e">
        <f>VLOOKUP(Table2[[#This Row],[Location 
(drop-down)]],Table1[#All],3,FALSE)</f>
        <v>#N/A</v>
      </c>
      <c r="F973" s="197"/>
      <c r="G973" s="9"/>
      <c r="H973" s="12"/>
      <c r="I973" s="12"/>
      <c r="J973" s="91"/>
      <c r="K973" s="91"/>
      <c r="L973" s="10"/>
      <c r="M973" s="10"/>
      <c r="N973" s="10"/>
      <c r="O973" s="10"/>
    </row>
    <row r="974" spans="1:15" ht="18.75" x14ac:dyDescent="0.25">
      <c r="A974" s="9"/>
      <c r="B974" s="112" t="e">
        <f>VLOOKUP(Table2[[#This Row],[Location 
(drop-down)]],'List source'!D$2:E$59,2,FALSE)</f>
        <v>#N/A</v>
      </c>
      <c r="C974" s="129" t="s">
        <v>2095</v>
      </c>
      <c r="D974" s="117" t="e">
        <f t="shared" si="18"/>
        <v>#N/A</v>
      </c>
      <c r="E974" s="117" t="e">
        <f>VLOOKUP(Table2[[#This Row],[Location 
(drop-down)]],Table1[#All],3,FALSE)</f>
        <v>#N/A</v>
      </c>
      <c r="F974" s="197"/>
      <c r="G974" s="9"/>
      <c r="H974" s="12"/>
      <c r="I974" s="12"/>
      <c r="J974" s="91"/>
      <c r="K974" s="91"/>
      <c r="L974" s="10"/>
      <c r="M974" s="10"/>
      <c r="N974" s="10"/>
      <c r="O974" s="10"/>
    </row>
    <row r="975" spans="1:15" ht="18.75" x14ac:dyDescent="0.25">
      <c r="A975" s="9"/>
      <c r="B975" s="112" t="e">
        <f>VLOOKUP(Table2[[#This Row],[Location 
(drop-down)]],'List source'!D$2:E$59,2,FALSE)</f>
        <v>#N/A</v>
      </c>
      <c r="C975" s="129" t="s">
        <v>2096</v>
      </c>
      <c r="D975" s="117" t="e">
        <f t="shared" si="18"/>
        <v>#N/A</v>
      </c>
      <c r="E975" s="117" t="e">
        <f>VLOOKUP(Table2[[#This Row],[Location 
(drop-down)]],Table1[#All],3,FALSE)</f>
        <v>#N/A</v>
      </c>
      <c r="F975" s="197"/>
      <c r="G975" s="9"/>
      <c r="H975" s="12"/>
      <c r="I975" s="12"/>
      <c r="J975" s="91"/>
      <c r="K975" s="91"/>
      <c r="L975" s="10"/>
      <c r="M975" s="10"/>
      <c r="N975" s="10"/>
      <c r="O975" s="10"/>
    </row>
    <row r="976" spans="1:15" ht="18.75" x14ac:dyDescent="0.25">
      <c r="A976" s="9"/>
      <c r="B976" s="112" t="e">
        <f>VLOOKUP(Table2[[#This Row],[Location 
(drop-down)]],'List source'!D$2:E$59,2,FALSE)</f>
        <v>#N/A</v>
      </c>
      <c r="C976" s="129" t="s">
        <v>2097</v>
      </c>
      <c r="D976" s="117" t="e">
        <f t="shared" si="18"/>
        <v>#N/A</v>
      </c>
      <c r="E976" s="117" t="e">
        <f>VLOOKUP(Table2[[#This Row],[Location 
(drop-down)]],Table1[#All],3,FALSE)</f>
        <v>#N/A</v>
      </c>
      <c r="F976" s="197"/>
      <c r="G976" s="9"/>
      <c r="H976" s="12"/>
      <c r="I976" s="12"/>
      <c r="J976" s="91"/>
      <c r="K976" s="91"/>
      <c r="L976" s="10"/>
      <c r="M976" s="10"/>
      <c r="N976" s="10"/>
      <c r="O976" s="10"/>
    </row>
    <row r="977" spans="1:15" ht="18.75" x14ac:dyDescent="0.25">
      <c r="A977" s="9"/>
      <c r="B977" s="112" t="e">
        <f>VLOOKUP(Table2[[#This Row],[Location 
(drop-down)]],'List source'!D$2:E$59,2,FALSE)</f>
        <v>#N/A</v>
      </c>
      <c r="C977" s="129" t="s">
        <v>2098</v>
      </c>
      <c r="D977" s="117" t="e">
        <f t="shared" si="18"/>
        <v>#N/A</v>
      </c>
      <c r="E977" s="117" t="e">
        <f>VLOOKUP(Table2[[#This Row],[Location 
(drop-down)]],Table1[#All],3,FALSE)</f>
        <v>#N/A</v>
      </c>
      <c r="F977" s="197"/>
      <c r="G977" s="9"/>
      <c r="H977" s="12"/>
      <c r="I977" s="12"/>
      <c r="J977" s="91"/>
      <c r="K977" s="91"/>
      <c r="L977" s="10"/>
      <c r="M977" s="10"/>
      <c r="N977" s="10"/>
      <c r="O977" s="10"/>
    </row>
    <row r="978" spans="1:15" ht="18.75" x14ac:dyDescent="0.25">
      <c r="A978" s="9"/>
      <c r="B978" s="112" t="e">
        <f>VLOOKUP(Table2[[#This Row],[Location 
(drop-down)]],'List source'!D$2:E$59,2,FALSE)</f>
        <v>#N/A</v>
      </c>
      <c r="C978" s="129" t="s">
        <v>2099</v>
      </c>
      <c r="D978" s="117" t="e">
        <f t="shared" si="18"/>
        <v>#N/A</v>
      </c>
      <c r="E978" s="117" t="e">
        <f>VLOOKUP(Table2[[#This Row],[Location 
(drop-down)]],Table1[#All],3,FALSE)</f>
        <v>#N/A</v>
      </c>
      <c r="F978" s="197"/>
      <c r="G978" s="9"/>
      <c r="H978" s="12"/>
      <c r="I978" s="12"/>
      <c r="J978" s="91"/>
      <c r="K978" s="91"/>
      <c r="L978" s="10"/>
      <c r="M978" s="10"/>
      <c r="N978" s="10"/>
      <c r="O978" s="10"/>
    </row>
    <row r="979" spans="1:15" ht="18.75" x14ac:dyDescent="0.25">
      <c r="A979" s="9"/>
      <c r="B979" s="112" t="e">
        <f>VLOOKUP(Table2[[#This Row],[Location 
(drop-down)]],'List source'!D$2:E$59,2,FALSE)</f>
        <v>#N/A</v>
      </c>
      <c r="C979" s="129" t="s">
        <v>2100</v>
      </c>
      <c r="D979" s="117" t="e">
        <f t="shared" si="18"/>
        <v>#N/A</v>
      </c>
      <c r="E979" s="117" t="e">
        <f>VLOOKUP(Table2[[#This Row],[Location 
(drop-down)]],Table1[#All],3,FALSE)</f>
        <v>#N/A</v>
      </c>
      <c r="F979" s="197"/>
      <c r="G979" s="9"/>
      <c r="H979" s="12"/>
      <c r="I979" s="12"/>
      <c r="J979" s="91"/>
      <c r="K979" s="91"/>
      <c r="L979" s="10"/>
      <c r="M979" s="10"/>
      <c r="N979" s="10"/>
      <c r="O979" s="10"/>
    </row>
    <row r="980" spans="1:15" ht="18.75" x14ac:dyDescent="0.25">
      <c r="A980" s="9"/>
      <c r="B980" s="112" t="e">
        <f>VLOOKUP(Table2[[#This Row],[Location 
(drop-down)]],'List source'!D$2:E$59,2,FALSE)</f>
        <v>#N/A</v>
      </c>
      <c r="C980" s="129" t="s">
        <v>2101</v>
      </c>
      <c r="D980" s="117" t="e">
        <f t="shared" si="18"/>
        <v>#N/A</v>
      </c>
      <c r="E980" s="117" t="e">
        <f>VLOOKUP(Table2[[#This Row],[Location 
(drop-down)]],Table1[#All],3,FALSE)</f>
        <v>#N/A</v>
      </c>
      <c r="F980" s="197"/>
      <c r="G980" s="9"/>
      <c r="H980" s="12"/>
      <c r="I980" s="12"/>
      <c r="J980" s="91"/>
      <c r="K980" s="91"/>
      <c r="L980" s="10"/>
      <c r="M980" s="10"/>
      <c r="N980" s="10"/>
      <c r="O980" s="10"/>
    </row>
    <row r="981" spans="1:15" ht="18.75" x14ac:dyDescent="0.25">
      <c r="A981" s="9"/>
      <c r="B981" s="112" t="e">
        <f>VLOOKUP(Table2[[#This Row],[Location 
(drop-down)]],'List source'!D$2:E$59,2,FALSE)</f>
        <v>#N/A</v>
      </c>
      <c r="C981" s="129" t="s">
        <v>2102</v>
      </c>
      <c r="D981" s="117" t="e">
        <f t="shared" si="18"/>
        <v>#N/A</v>
      </c>
      <c r="E981" s="117" t="e">
        <f>VLOOKUP(Table2[[#This Row],[Location 
(drop-down)]],Table1[#All],3,FALSE)</f>
        <v>#N/A</v>
      </c>
      <c r="F981" s="197"/>
      <c r="G981" s="9"/>
      <c r="H981" s="12"/>
      <c r="I981" s="12"/>
      <c r="J981" s="91"/>
      <c r="K981" s="91"/>
      <c r="L981" s="10"/>
      <c r="M981" s="10"/>
      <c r="N981" s="10"/>
      <c r="O981" s="10"/>
    </row>
    <row r="982" spans="1:15" ht="18.75" x14ac:dyDescent="0.25">
      <c r="A982" s="9"/>
      <c r="B982" s="112" t="e">
        <f>VLOOKUP(Table2[[#This Row],[Location 
(drop-down)]],'List source'!D$2:E$59,2,FALSE)</f>
        <v>#N/A</v>
      </c>
      <c r="C982" s="129" t="s">
        <v>2103</v>
      </c>
      <c r="D982" s="117" t="e">
        <f t="shared" si="18"/>
        <v>#N/A</v>
      </c>
      <c r="E982" s="117" t="e">
        <f>VLOOKUP(Table2[[#This Row],[Location 
(drop-down)]],Table1[#All],3,FALSE)</f>
        <v>#N/A</v>
      </c>
      <c r="F982" s="197"/>
      <c r="G982" s="9"/>
      <c r="H982" s="12"/>
      <c r="I982" s="12"/>
      <c r="J982" s="91"/>
      <c r="K982" s="91"/>
      <c r="L982" s="10"/>
      <c r="M982" s="10"/>
      <c r="N982" s="10"/>
      <c r="O982" s="10"/>
    </row>
    <row r="983" spans="1:15" ht="18.75" x14ac:dyDescent="0.25">
      <c r="A983" s="9"/>
      <c r="B983" s="112" t="e">
        <f>VLOOKUP(Table2[[#This Row],[Location 
(drop-down)]],'List source'!D$2:E$59,2,FALSE)</f>
        <v>#N/A</v>
      </c>
      <c r="C983" s="129" t="s">
        <v>2104</v>
      </c>
      <c r="D983" s="117" t="e">
        <f t="shared" si="18"/>
        <v>#N/A</v>
      </c>
      <c r="E983" s="117" t="e">
        <f>VLOOKUP(Table2[[#This Row],[Location 
(drop-down)]],Table1[#All],3,FALSE)</f>
        <v>#N/A</v>
      </c>
      <c r="F983" s="197"/>
      <c r="G983" s="9"/>
      <c r="H983" s="12"/>
      <c r="I983" s="12"/>
      <c r="J983" s="91"/>
      <c r="K983" s="91"/>
      <c r="L983" s="10"/>
      <c r="M983" s="10"/>
      <c r="N983" s="10"/>
      <c r="O983" s="10"/>
    </row>
    <row r="984" spans="1:15" ht="18.75" x14ac:dyDescent="0.25">
      <c r="A984" s="9"/>
      <c r="B984" s="112" t="e">
        <f>VLOOKUP(Table2[[#This Row],[Location 
(drop-down)]],'List source'!D$2:E$59,2,FALSE)</f>
        <v>#N/A</v>
      </c>
      <c r="C984" s="129" t="s">
        <v>2105</v>
      </c>
      <c r="D984" s="117" t="e">
        <f t="shared" si="18"/>
        <v>#N/A</v>
      </c>
      <c r="E984" s="117" t="e">
        <f>VLOOKUP(Table2[[#This Row],[Location 
(drop-down)]],Table1[#All],3,FALSE)</f>
        <v>#N/A</v>
      </c>
      <c r="F984" s="197"/>
      <c r="G984" s="9"/>
      <c r="H984" s="12"/>
      <c r="I984" s="12"/>
      <c r="J984" s="91"/>
      <c r="K984" s="91"/>
      <c r="L984" s="10"/>
      <c r="M984" s="10"/>
      <c r="N984" s="10"/>
      <c r="O984" s="10"/>
    </row>
    <row r="985" spans="1:15" ht="18.75" x14ac:dyDescent="0.25">
      <c r="A985" s="9"/>
      <c r="B985" s="112" t="e">
        <f>VLOOKUP(Table2[[#This Row],[Location 
(drop-down)]],'List source'!D$2:E$59,2,FALSE)</f>
        <v>#N/A</v>
      </c>
      <c r="C985" s="129" t="s">
        <v>2106</v>
      </c>
      <c r="D985" s="117" t="e">
        <f t="shared" si="18"/>
        <v>#N/A</v>
      </c>
      <c r="E985" s="117" t="e">
        <f>VLOOKUP(Table2[[#This Row],[Location 
(drop-down)]],Table1[#All],3,FALSE)</f>
        <v>#N/A</v>
      </c>
      <c r="F985" s="197"/>
      <c r="G985" s="9"/>
      <c r="H985" s="12"/>
      <c r="I985" s="12"/>
      <c r="J985" s="91"/>
      <c r="K985" s="91"/>
      <c r="L985" s="10"/>
      <c r="M985" s="10"/>
      <c r="N985" s="10"/>
      <c r="O985" s="10"/>
    </row>
    <row r="986" spans="1:15" ht="18.75" x14ac:dyDescent="0.25">
      <c r="A986" s="9"/>
      <c r="B986" s="112" t="e">
        <f>VLOOKUP(Table2[[#This Row],[Location 
(drop-down)]],'List source'!D$2:E$59,2,FALSE)</f>
        <v>#N/A</v>
      </c>
      <c r="C986" s="129" t="s">
        <v>2107</v>
      </c>
      <c r="D986" s="117" t="e">
        <f t="shared" si="18"/>
        <v>#N/A</v>
      </c>
      <c r="E986" s="117" t="e">
        <f>VLOOKUP(Table2[[#This Row],[Location 
(drop-down)]],Table1[#All],3,FALSE)</f>
        <v>#N/A</v>
      </c>
      <c r="F986" s="197"/>
      <c r="G986" s="9"/>
      <c r="H986" s="12"/>
      <c r="I986" s="12"/>
      <c r="J986" s="91"/>
      <c r="K986" s="91"/>
      <c r="L986" s="10"/>
      <c r="M986" s="10"/>
      <c r="N986" s="10"/>
      <c r="O986" s="10"/>
    </row>
    <row r="987" spans="1:15" ht="18.75" x14ac:dyDescent="0.25">
      <c r="A987" s="9"/>
      <c r="B987" s="112" t="e">
        <f>VLOOKUP(Table2[[#This Row],[Location 
(drop-down)]],'List source'!D$2:E$59,2,FALSE)</f>
        <v>#N/A</v>
      </c>
      <c r="C987" s="129" t="s">
        <v>2108</v>
      </c>
      <c r="D987" s="117" t="e">
        <f t="shared" ref="D987:D1050" si="19">"C" &amp; C987 &amp; "-" &amp; B987 &amp; "-" &amp; "23"</f>
        <v>#N/A</v>
      </c>
      <c r="E987" s="117" t="e">
        <f>VLOOKUP(Table2[[#This Row],[Location 
(drop-down)]],Table1[#All],3,FALSE)</f>
        <v>#N/A</v>
      </c>
      <c r="F987" s="197"/>
      <c r="G987" s="9"/>
      <c r="H987" s="12"/>
      <c r="I987" s="12"/>
      <c r="J987" s="91"/>
      <c r="K987" s="91"/>
      <c r="L987" s="10"/>
      <c r="M987" s="10"/>
      <c r="N987" s="10"/>
      <c r="O987" s="10"/>
    </row>
    <row r="988" spans="1:15" ht="18.75" x14ac:dyDescent="0.25">
      <c r="A988" s="9"/>
      <c r="B988" s="112" t="e">
        <f>VLOOKUP(Table2[[#This Row],[Location 
(drop-down)]],'List source'!D$2:E$59,2,FALSE)</f>
        <v>#N/A</v>
      </c>
      <c r="C988" s="129" t="s">
        <v>2109</v>
      </c>
      <c r="D988" s="117" t="e">
        <f t="shared" si="19"/>
        <v>#N/A</v>
      </c>
      <c r="E988" s="117" t="e">
        <f>VLOOKUP(Table2[[#This Row],[Location 
(drop-down)]],Table1[#All],3,FALSE)</f>
        <v>#N/A</v>
      </c>
      <c r="F988" s="197"/>
      <c r="G988" s="9"/>
      <c r="H988" s="12"/>
      <c r="I988" s="12"/>
      <c r="J988" s="91"/>
      <c r="K988" s="91"/>
      <c r="L988" s="10"/>
      <c r="M988" s="10"/>
      <c r="N988" s="10"/>
      <c r="O988" s="10"/>
    </row>
    <row r="989" spans="1:15" ht="18.75" x14ac:dyDescent="0.25">
      <c r="A989" s="9"/>
      <c r="B989" s="112" t="e">
        <f>VLOOKUP(Table2[[#This Row],[Location 
(drop-down)]],'List source'!D$2:E$59,2,FALSE)</f>
        <v>#N/A</v>
      </c>
      <c r="C989" s="129" t="s">
        <v>2110</v>
      </c>
      <c r="D989" s="117" t="e">
        <f t="shared" si="19"/>
        <v>#N/A</v>
      </c>
      <c r="E989" s="117" t="e">
        <f>VLOOKUP(Table2[[#This Row],[Location 
(drop-down)]],Table1[#All],3,FALSE)</f>
        <v>#N/A</v>
      </c>
      <c r="F989" s="197"/>
      <c r="G989" s="9"/>
      <c r="H989" s="12"/>
      <c r="I989" s="12"/>
      <c r="J989" s="91"/>
      <c r="K989" s="91"/>
      <c r="L989" s="10"/>
      <c r="M989" s="10"/>
      <c r="N989" s="10"/>
      <c r="O989" s="10"/>
    </row>
    <row r="990" spans="1:15" ht="18.75" x14ac:dyDescent="0.25">
      <c r="A990" s="9"/>
      <c r="B990" s="112" t="e">
        <f>VLOOKUP(Table2[[#This Row],[Location 
(drop-down)]],'List source'!D$2:E$59,2,FALSE)</f>
        <v>#N/A</v>
      </c>
      <c r="C990" s="129" t="s">
        <v>2111</v>
      </c>
      <c r="D990" s="117" t="e">
        <f t="shared" si="19"/>
        <v>#N/A</v>
      </c>
      <c r="E990" s="117" t="e">
        <f>VLOOKUP(Table2[[#This Row],[Location 
(drop-down)]],Table1[#All],3,FALSE)</f>
        <v>#N/A</v>
      </c>
      <c r="F990" s="197"/>
      <c r="G990" s="9"/>
      <c r="H990" s="12"/>
      <c r="I990" s="12"/>
      <c r="J990" s="91"/>
      <c r="K990" s="91"/>
      <c r="L990" s="10"/>
      <c r="M990" s="10"/>
      <c r="N990" s="10"/>
      <c r="O990" s="10"/>
    </row>
    <row r="991" spans="1:15" ht="18.75" x14ac:dyDescent="0.25">
      <c r="A991" s="9"/>
      <c r="B991" s="112" t="e">
        <f>VLOOKUP(Table2[[#This Row],[Location 
(drop-down)]],'List source'!D$2:E$59,2,FALSE)</f>
        <v>#N/A</v>
      </c>
      <c r="C991" s="129" t="s">
        <v>2112</v>
      </c>
      <c r="D991" s="117" t="e">
        <f t="shared" si="19"/>
        <v>#N/A</v>
      </c>
      <c r="E991" s="117" t="e">
        <f>VLOOKUP(Table2[[#This Row],[Location 
(drop-down)]],Table1[#All],3,FALSE)</f>
        <v>#N/A</v>
      </c>
      <c r="F991" s="197"/>
      <c r="G991" s="9"/>
      <c r="H991" s="12"/>
      <c r="I991" s="12"/>
      <c r="J991" s="91"/>
      <c r="K991" s="91"/>
      <c r="L991" s="10"/>
      <c r="M991" s="10"/>
      <c r="N991" s="10"/>
      <c r="O991" s="10"/>
    </row>
    <row r="992" spans="1:15" ht="18.75" x14ac:dyDescent="0.25">
      <c r="A992" s="9"/>
      <c r="B992" s="112" t="e">
        <f>VLOOKUP(Table2[[#This Row],[Location 
(drop-down)]],'List source'!D$2:E$59,2,FALSE)</f>
        <v>#N/A</v>
      </c>
      <c r="C992" s="129" t="s">
        <v>2113</v>
      </c>
      <c r="D992" s="117" t="e">
        <f t="shared" si="19"/>
        <v>#N/A</v>
      </c>
      <c r="E992" s="117" t="e">
        <f>VLOOKUP(Table2[[#This Row],[Location 
(drop-down)]],Table1[#All],3,FALSE)</f>
        <v>#N/A</v>
      </c>
      <c r="F992" s="197"/>
      <c r="G992" s="9"/>
      <c r="H992" s="12"/>
      <c r="I992" s="12"/>
      <c r="J992" s="91"/>
      <c r="K992" s="91"/>
      <c r="L992" s="10"/>
      <c r="M992" s="10"/>
      <c r="N992" s="10"/>
      <c r="O992" s="10"/>
    </row>
    <row r="993" spans="1:15" ht="18.75" x14ac:dyDescent="0.25">
      <c r="A993" s="9"/>
      <c r="B993" s="112" t="e">
        <f>VLOOKUP(Table2[[#This Row],[Location 
(drop-down)]],'List source'!D$2:E$59,2,FALSE)</f>
        <v>#N/A</v>
      </c>
      <c r="C993" s="129" t="s">
        <v>2114</v>
      </c>
      <c r="D993" s="117" t="e">
        <f t="shared" si="19"/>
        <v>#N/A</v>
      </c>
      <c r="E993" s="117" t="e">
        <f>VLOOKUP(Table2[[#This Row],[Location 
(drop-down)]],Table1[#All],3,FALSE)</f>
        <v>#N/A</v>
      </c>
      <c r="F993" s="197"/>
      <c r="G993" s="9"/>
      <c r="H993" s="12"/>
      <c r="I993" s="12"/>
      <c r="J993" s="91"/>
      <c r="K993" s="91"/>
      <c r="L993" s="10"/>
      <c r="M993" s="10"/>
      <c r="N993" s="10"/>
      <c r="O993" s="10"/>
    </row>
    <row r="994" spans="1:15" ht="18.75" x14ac:dyDescent="0.25">
      <c r="A994" s="9"/>
      <c r="B994" s="112" t="e">
        <f>VLOOKUP(Table2[[#This Row],[Location 
(drop-down)]],'List source'!D$2:E$59,2,FALSE)</f>
        <v>#N/A</v>
      </c>
      <c r="C994" s="129" t="s">
        <v>2115</v>
      </c>
      <c r="D994" s="117" t="e">
        <f t="shared" si="19"/>
        <v>#N/A</v>
      </c>
      <c r="E994" s="117" t="e">
        <f>VLOOKUP(Table2[[#This Row],[Location 
(drop-down)]],Table1[#All],3,FALSE)</f>
        <v>#N/A</v>
      </c>
      <c r="F994" s="197"/>
      <c r="G994" s="9"/>
      <c r="H994" s="12"/>
      <c r="I994" s="12"/>
      <c r="J994" s="91"/>
      <c r="K994" s="91"/>
      <c r="L994" s="10"/>
      <c r="M994" s="10"/>
      <c r="N994" s="10"/>
      <c r="O994" s="10"/>
    </row>
    <row r="995" spans="1:15" ht="18.75" x14ac:dyDescent="0.25">
      <c r="A995" s="9"/>
      <c r="B995" s="112" t="e">
        <f>VLOOKUP(Table2[[#This Row],[Location 
(drop-down)]],'List source'!D$2:E$59,2,FALSE)</f>
        <v>#N/A</v>
      </c>
      <c r="C995" s="129" t="s">
        <v>2116</v>
      </c>
      <c r="D995" s="117" t="e">
        <f t="shared" si="19"/>
        <v>#N/A</v>
      </c>
      <c r="E995" s="117" t="e">
        <f>VLOOKUP(Table2[[#This Row],[Location 
(drop-down)]],Table1[#All],3,FALSE)</f>
        <v>#N/A</v>
      </c>
      <c r="F995" s="197"/>
      <c r="G995" s="9"/>
      <c r="H995" s="12"/>
      <c r="I995" s="12"/>
      <c r="J995" s="91"/>
      <c r="K995" s="91"/>
      <c r="L995" s="10"/>
      <c r="M995" s="10"/>
      <c r="N995" s="10"/>
      <c r="O995" s="10"/>
    </row>
    <row r="996" spans="1:15" ht="18.75" x14ac:dyDescent="0.25">
      <c r="A996" s="9"/>
      <c r="B996" s="112" t="e">
        <f>VLOOKUP(Table2[[#This Row],[Location 
(drop-down)]],'List source'!D$2:E$59,2,FALSE)</f>
        <v>#N/A</v>
      </c>
      <c r="C996" s="11" t="s">
        <v>2117</v>
      </c>
      <c r="D996" s="117" t="e">
        <f t="shared" si="19"/>
        <v>#N/A</v>
      </c>
      <c r="E996" s="117" t="e">
        <f>VLOOKUP(Table2[[#This Row],[Location 
(drop-down)]],Table1[#All],3,FALSE)</f>
        <v>#N/A</v>
      </c>
      <c r="F996" s="197"/>
      <c r="G996" s="9"/>
      <c r="H996" s="12"/>
      <c r="I996" s="12"/>
      <c r="J996" s="91"/>
      <c r="K996" s="91"/>
      <c r="L996" s="10"/>
      <c r="M996" s="10"/>
      <c r="N996" s="10"/>
      <c r="O996" s="10"/>
    </row>
    <row r="997" spans="1:15" ht="18.75" x14ac:dyDescent="0.25">
      <c r="A997" s="9"/>
      <c r="B997" s="112" t="e">
        <f>VLOOKUP(Table2[[#This Row],[Location 
(drop-down)]],'List source'!D$2:E$59,2,FALSE)</f>
        <v>#N/A</v>
      </c>
      <c r="C997" s="11" t="s">
        <v>2118</v>
      </c>
      <c r="D997" s="117" t="e">
        <f t="shared" si="19"/>
        <v>#N/A</v>
      </c>
      <c r="E997" s="117" t="e">
        <f>VLOOKUP(Table2[[#This Row],[Location 
(drop-down)]],Table1[#All],3,FALSE)</f>
        <v>#N/A</v>
      </c>
      <c r="F997" s="197"/>
      <c r="G997" s="9"/>
      <c r="H997" s="12"/>
      <c r="I997" s="12"/>
      <c r="J997" s="91"/>
      <c r="K997" s="91"/>
      <c r="L997" s="10"/>
      <c r="M997" s="10"/>
      <c r="N997" s="10"/>
      <c r="O997" s="10"/>
    </row>
    <row r="998" spans="1:15" ht="18.75" x14ac:dyDescent="0.25">
      <c r="A998" s="9"/>
      <c r="B998" s="112" t="e">
        <f>VLOOKUP(Table2[[#This Row],[Location 
(drop-down)]],'List source'!D$2:E$59,2,FALSE)</f>
        <v>#N/A</v>
      </c>
      <c r="C998" s="129" t="s">
        <v>2119</v>
      </c>
      <c r="D998" s="117" t="e">
        <f t="shared" si="19"/>
        <v>#N/A</v>
      </c>
      <c r="E998" s="117" t="e">
        <f>VLOOKUP(Table2[[#This Row],[Location 
(drop-down)]],Table1[#All],3,FALSE)</f>
        <v>#N/A</v>
      </c>
      <c r="F998" s="197"/>
      <c r="G998" s="9"/>
      <c r="H998" s="12"/>
      <c r="I998" s="12"/>
      <c r="J998" s="91"/>
      <c r="K998" s="91"/>
      <c r="L998" s="10"/>
      <c r="M998" s="10"/>
      <c r="N998" s="10"/>
      <c r="O998" s="10"/>
    </row>
    <row r="999" spans="1:15" ht="18.75" x14ac:dyDescent="0.25">
      <c r="A999" s="9"/>
      <c r="B999" s="112" t="e">
        <f>VLOOKUP(Table2[[#This Row],[Location 
(drop-down)]],'List source'!D$2:E$59,2,FALSE)</f>
        <v>#N/A</v>
      </c>
      <c r="C999" s="129" t="s">
        <v>2120</v>
      </c>
      <c r="D999" s="117" t="e">
        <f t="shared" si="19"/>
        <v>#N/A</v>
      </c>
      <c r="E999" s="117" t="e">
        <f>VLOOKUP(Table2[[#This Row],[Location 
(drop-down)]],Table1[#All],3,FALSE)</f>
        <v>#N/A</v>
      </c>
      <c r="F999" s="197"/>
      <c r="G999" s="9"/>
      <c r="H999" s="12"/>
      <c r="I999" s="12"/>
      <c r="J999" s="91"/>
      <c r="K999" s="91"/>
      <c r="L999" s="10"/>
      <c r="M999" s="10"/>
      <c r="N999" s="10"/>
      <c r="O999" s="10"/>
    </row>
    <row r="1000" spans="1:15" ht="18.75" x14ac:dyDescent="0.25">
      <c r="A1000" s="9"/>
      <c r="B1000" s="112" t="e">
        <f>VLOOKUP(Table2[[#This Row],[Location 
(drop-down)]],'List source'!D$2:E$59,2,FALSE)</f>
        <v>#N/A</v>
      </c>
      <c r="C1000" s="129" t="s">
        <v>2121</v>
      </c>
      <c r="D1000" s="117" t="e">
        <f t="shared" si="19"/>
        <v>#N/A</v>
      </c>
      <c r="E1000" s="117" t="e">
        <f>VLOOKUP(Table2[[#This Row],[Location 
(drop-down)]],Table1[#All],3,FALSE)</f>
        <v>#N/A</v>
      </c>
      <c r="F1000" s="197"/>
      <c r="G1000" s="9"/>
      <c r="H1000" s="12"/>
      <c r="I1000" s="12"/>
      <c r="J1000" s="91"/>
      <c r="K1000" s="91"/>
      <c r="L1000" s="10"/>
      <c r="M1000" s="10"/>
      <c r="N1000" s="10"/>
      <c r="O1000" s="10"/>
    </row>
    <row r="1001" spans="1:15" ht="18.75" x14ac:dyDescent="0.25">
      <c r="A1001" s="9"/>
      <c r="B1001" s="13"/>
      <c r="C1001" s="11"/>
      <c r="D1001" s="127"/>
      <c r="E1001" s="127" t="e">
        <f>VLOOKUP(Table2[[#This Row],[Location 
(drop-down)]],Table1[#All],3,FALSE)</f>
        <v>#N/A</v>
      </c>
      <c r="F1001" s="11"/>
      <c r="G1001" s="9"/>
      <c r="H1001" s="12"/>
      <c r="I1001" s="12"/>
      <c r="J1001" s="91"/>
      <c r="K1001" s="91"/>
      <c r="L1001" s="10"/>
      <c r="M1001" s="10"/>
      <c r="N1001" s="10"/>
      <c r="O1001" s="10"/>
    </row>
    <row r="1002" spans="1:15" ht="18.75" x14ac:dyDescent="0.25">
      <c r="A1002" s="111"/>
      <c r="B1002" s="112"/>
      <c r="C1002" s="112">
        <f>SUBTOTAL(109,$C$707:C719)</f>
        <v>0</v>
      </c>
      <c r="D1002" s="112"/>
      <c r="E1002" s="178"/>
      <c r="F1002" s="118"/>
      <c r="G1002" s="177"/>
      <c r="H1002" s="12"/>
      <c r="I1002" s="113"/>
      <c r="J1002" s="114"/>
      <c r="K1002" s="114"/>
      <c r="L1002" s="115"/>
      <c r="M1002" s="115"/>
      <c r="N1002" s="115"/>
      <c r="O1002" s="115"/>
    </row>
  </sheetData>
  <phoneticPr fontId="4" type="noConversion"/>
  <pageMargins left="0.7" right="0.7" top="0.75" bottom="0.75" header="0.3" footer="0.3"/>
  <pageSetup scale="40"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0000000}">
          <x14:formula1>
            <xm:f>'List source'!$B$2:$B$9</xm:f>
          </x14:formula1>
          <xm:sqref>N2:N34 N36:N183 N185:N1000</xm:sqref>
        </x14:dataValidation>
        <x14:dataValidation type="list" allowBlank="1" showInputMessage="1" showErrorMessage="1" xr:uid="{00000000-0002-0000-0200-000001000000}">
          <x14:formula1>
            <xm:f>'List source'!$A$2:$A$9</xm:f>
          </x14:formula1>
          <xm:sqref>M2:M34 M36:M183 M185:M279 M281:M1000</xm:sqref>
        </x14:dataValidation>
        <x14:dataValidation type="list" allowBlank="1" showInputMessage="1" showErrorMessage="1" xr:uid="{00000000-0002-0000-0200-000002000000}">
          <x14:formula1>
            <xm:f>'List source'!$C$2:$C$6</xm:f>
          </x14:formula1>
          <xm:sqref>L281:L451 L36:L144 L2:L34 L146:L183 L185:L279 L567:L1000 L453:L565</xm:sqref>
        </x14:dataValidation>
        <x14:dataValidation type="list" allowBlank="1" showInputMessage="1" showErrorMessage="1" xr:uid="{00000000-0002-0000-0200-000004000000}">
          <x14:formula1>
            <xm:f>'List source'!$A$14:$A$20</xm:f>
          </x14:formula1>
          <xm:sqref>F2:F1000 M280 L184:N184</xm:sqref>
        </x14:dataValidation>
        <x14:dataValidation type="list" allowBlank="1" showInputMessage="1" showErrorMessage="1" xr:uid="{00000000-0002-0000-0200-000003000000}">
          <x14:formula1>
            <xm:f>'List source'!$D$2:$D$59</xm:f>
          </x14:formula1>
          <xm:sqref>A2:A1000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N201"/>
  <sheetViews>
    <sheetView showGridLines="0" zoomScale="80" zoomScaleNormal="90" workbookViewId="0">
      <pane ySplit="1" topLeftCell="A21" activePane="bottomLeft" state="frozen"/>
      <selection activeCell="D1" sqref="D1"/>
      <selection pane="bottomLeft"/>
    </sheetView>
  </sheetViews>
  <sheetFormatPr defaultRowHeight="15" x14ac:dyDescent="0.25"/>
  <cols>
    <col min="1" max="1" width="26.5703125" style="5" customWidth="1"/>
    <col min="2" max="2" width="9.5703125" customWidth="1"/>
    <col min="3" max="3" width="7.28515625" bestFit="1" customWidth="1"/>
    <col min="4" max="4" width="28" customWidth="1"/>
    <col min="5" max="7" width="12.28515625" customWidth="1"/>
    <col min="8" max="10" width="32.28515625" style="7" customWidth="1"/>
    <col min="11" max="11" width="32.28515625" style="6" customWidth="1"/>
    <col min="12" max="12" width="20.28515625" style="6" customWidth="1"/>
    <col min="13" max="13" width="29" style="6" customWidth="1"/>
    <col min="14" max="14" width="48.5703125" style="8" customWidth="1"/>
  </cols>
  <sheetData>
    <row r="1" spans="1:14" s="2" customFormat="1" ht="60" x14ac:dyDescent="0.25">
      <c r="A1" s="73" t="s">
        <v>2122</v>
      </c>
      <c r="B1" s="74" t="s">
        <v>1</v>
      </c>
      <c r="C1" s="74" t="s">
        <v>2</v>
      </c>
      <c r="D1" s="74" t="s">
        <v>2123</v>
      </c>
      <c r="E1" s="74" t="s">
        <v>2124</v>
      </c>
      <c r="F1" s="74" t="s">
        <v>2125</v>
      </c>
      <c r="G1" s="74" t="s">
        <v>2126</v>
      </c>
      <c r="H1" s="75" t="s">
        <v>2127</v>
      </c>
      <c r="I1" s="75" t="s">
        <v>2128</v>
      </c>
      <c r="J1" s="75" t="s">
        <v>2129</v>
      </c>
      <c r="K1" s="75" t="s">
        <v>2130</v>
      </c>
      <c r="L1" s="75" t="s">
        <v>2131</v>
      </c>
      <c r="M1" s="75" t="s">
        <v>2132</v>
      </c>
      <c r="N1" s="72" t="s">
        <v>2133</v>
      </c>
    </row>
    <row r="2" spans="1:14" s="4" customFormat="1" ht="30" customHeight="1" x14ac:dyDescent="0.25">
      <c r="A2" s="9" t="s">
        <v>52</v>
      </c>
      <c r="B2" s="13">
        <f>VLOOKUP(Table245[[#This Row],[Location 
(drop-down)]],'List source'!D$2:E$59,2,FALSE)</f>
        <v>127</v>
      </c>
      <c r="C2" s="25" t="s">
        <v>14</v>
      </c>
      <c r="D2" s="33" t="str">
        <f t="shared" ref="D2:D33" si="0">"A" &amp; C2 &amp; "-" &amp; B2 &amp; "-" &amp; "23"</f>
        <v>A001-127-23</v>
      </c>
      <c r="E2" s="47">
        <v>44935</v>
      </c>
      <c r="F2" s="47">
        <v>44938</v>
      </c>
      <c r="G2" s="47">
        <v>44957</v>
      </c>
      <c r="H2" s="10" t="s">
        <v>2134</v>
      </c>
      <c r="I2" s="10" t="s">
        <v>2135</v>
      </c>
      <c r="J2" s="10" t="s">
        <v>440</v>
      </c>
      <c r="K2" s="10" t="s">
        <v>440</v>
      </c>
      <c r="L2" s="10" t="s">
        <v>2136</v>
      </c>
      <c r="M2" s="64"/>
      <c r="N2" s="10" t="s">
        <v>2137</v>
      </c>
    </row>
    <row r="3" spans="1:14" s="4" customFormat="1" ht="30" customHeight="1" x14ac:dyDescent="0.25">
      <c r="A3" s="9" t="s">
        <v>57</v>
      </c>
      <c r="B3" s="13">
        <f>VLOOKUP(Table245[[#This Row],[Location 
(drop-down)]],'List source'!D$2:E$59,2,FALSE)</f>
        <v>155</v>
      </c>
      <c r="C3" s="25" t="s">
        <v>20</v>
      </c>
      <c r="D3" s="33" t="str">
        <f t="shared" si="0"/>
        <v>A002-155-23</v>
      </c>
      <c r="E3" s="47">
        <v>44935</v>
      </c>
      <c r="F3" s="47">
        <v>44938</v>
      </c>
      <c r="G3" s="65">
        <v>44946</v>
      </c>
      <c r="H3" s="10" t="s">
        <v>2134</v>
      </c>
      <c r="I3" s="10" t="s">
        <v>2135</v>
      </c>
      <c r="J3" s="10" t="s">
        <v>129</v>
      </c>
      <c r="K3" s="10" t="s">
        <v>2138</v>
      </c>
      <c r="L3" s="10" t="s">
        <v>2136</v>
      </c>
      <c r="M3" s="64"/>
      <c r="N3" s="10" t="s">
        <v>2137</v>
      </c>
    </row>
    <row r="4" spans="1:14" s="4" customFormat="1" ht="30" hidden="1" customHeight="1" x14ac:dyDescent="0.25">
      <c r="A4" s="9" t="s">
        <v>57</v>
      </c>
      <c r="B4" s="13">
        <f>VLOOKUP(Table245[[#This Row],[Location 
(drop-down)]],'List source'!D$2:E$59,2,FALSE)</f>
        <v>155</v>
      </c>
      <c r="C4" s="25" t="s">
        <v>23</v>
      </c>
      <c r="D4" s="69" t="str">
        <f t="shared" si="0"/>
        <v>A003-155-23</v>
      </c>
      <c r="E4" s="65">
        <v>44935</v>
      </c>
      <c r="F4" s="65">
        <v>44938</v>
      </c>
      <c r="G4" s="65">
        <v>44946</v>
      </c>
      <c r="H4" s="10" t="s">
        <v>2134</v>
      </c>
      <c r="I4" s="10" t="s">
        <v>2139</v>
      </c>
      <c r="J4" s="10" t="s">
        <v>129</v>
      </c>
      <c r="K4" s="10" t="s">
        <v>2138</v>
      </c>
      <c r="L4" s="10" t="s">
        <v>2136</v>
      </c>
      <c r="M4" s="64"/>
      <c r="N4" s="10" t="s">
        <v>2140</v>
      </c>
    </row>
    <row r="5" spans="1:14" s="4" customFormat="1" ht="30" customHeight="1" x14ac:dyDescent="0.25">
      <c r="A5" s="9" t="s">
        <v>174</v>
      </c>
      <c r="B5" s="13">
        <f>VLOOKUP(Table245[[#This Row],[Location 
(drop-down)]],'List source'!D$2:E$59,2,FALSE)</f>
        <v>131</v>
      </c>
      <c r="C5" s="25" t="s">
        <v>25</v>
      </c>
      <c r="D5" s="69" t="str">
        <f t="shared" si="0"/>
        <v>A004-131-23</v>
      </c>
      <c r="E5" s="47">
        <v>44949</v>
      </c>
      <c r="F5" s="47">
        <v>44952</v>
      </c>
      <c r="G5" s="65">
        <v>44956</v>
      </c>
      <c r="H5" s="10" t="s">
        <v>2134</v>
      </c>
      <c r="I5" s="10" t="s">
        <v>2135</v>
      </c>
      <c r="J5" s="10"/>
      <c r="K5" s="10" t="s">
        <v>2141</v>
      </c>
      <c r="L5" s="10" t="s">
        <v>2136</v>
      </c>
      <c r="M5" s="64"/>
      <c r="N5" s="10" t="s">
        <v>2137</v>
      </c>
    </row>
    <row r="6" spans="1:14" s="4" customFormat="1" ht="30" hidden="1" customHeight="1" x14ac:dyDescent="0.25">
      <c r="A6" s="9" t="s">
        <v>174</v>
      </c>
      <c r="B6" s="13">
        <f>VLOOKUP(Table245[[#This Row],[Location 
(drop-down)]],'List source'!D$2:E$59,2,FALSE)</f>
        <v>131</v>
      </c>
      <c r="C6" s="25" t="s">
        <v>28</v>
      </c>
      <c r="D6" s="33" t="str">
        <f t="shared" si="0"/>
        <v>A005-131-23</v>
      </c>
      <c r="E6" s="47">
        <v>44949</v>
      </c>
      <c r="F6" s="47">
        <v>44952</v>
      </c>
      <c r="G6" s="65">
        <v>44956</v>
      </c>
      <c r="H6" s="10" t="s">
        <v>2134</v>
      </c>
      <c r="I6" s="10" t="s">
        <v>2139</v>
      </c>
      <c r="J6" s="10"/>
      <c r="K6" s="10" t="s">
        <v>2141</v>
      </c>
      <c r="L6" s="10" t="s">
        <v>2136</v>
      </c>
      <c r="M6" s="64"/>
      <c r="N6" s="10" t="s">
        <v>2140</v>
      </c>
    </row>
    <row r="7" spans="1:14" s="4" customFormat="1" ht="30" hidden="1" customHeight="1" x14ac:dyDescent="0.25">
      <c r="A7" s="9" t="s">
        <v>226</v>
      </c>
      <c r="B7" s="13">
        <f>VLOOKUP(Table245[[#This Row],[Location 
(drop-down)]],'List source'!D$2:E$59,2,FALSE)</f>
        <v>110</v>
      </c>
      <c r="C7" s="25" t="s">
        <v>30</v>
      </c>
      <c r="D7" s="33" t="str">
        <f t="shared" si="0"/>
        <v>A006-110-23</v>
      </c>
      <c r="E7" s="65">
        <v>44937</v>
      </c>
      <c r="F7" s="65">
        <v>44937</v>
      </c>
      <c r="G7" s="65">
        <v>44938</v>
      </c>
      <c r="H7" s="10" t="s">
        <v>2142</v>
      </c>
      <c r="I7" s="10" t="s">
        <v>2139</v>
      </c>
      <c r="J7" s="10" t="s">
        <v>435</v>
      </c>
      <c r="K7" s="10" t="s">
        <v>2143</v>
      </c>
      <c r="L7" s="10" t="s">
        <v>2144</v>
      </c>
      <c r="M7" s="64"/>
      <c r="N7" s="28" t="s">
        <v>2145</v>
      </c>
    </row>
    <row r="8" spans="1:14" s="4" customFormat="1" ht="30" hidden="1" customHeight="1" x14ac:dyDescent="0.25">
      <c r="A8" s="9" t="s">
        <v>331</v>
      </c>
      <c r="B8" s="13">
        <f>VLOOKUP(Table245[[#This Row],[Location 
(drop-down)]],'List source'!D$2:E$59,2,FALSE)</f>
        <v>146</v>
      </c>
      <c r="C8" s="25" t="s">
        <v>33</v>
      </c>
      <c r="D8" s="33" t="str">
        <f t="shared" si="0"/>
        <v>A007-146-23</v>
      </c>
      <c r="E8" s="65">
        <v>44937</v>
      </c>
      <c r="F8" s="65">
        <v>44937</v>
      </c>
      <c r="G8" s="65">
        <v>44943</v>
      </c>
      <c r="H8" s="10" t="s">
        <v>2146</v>
      </c>
      <c r="I8" s="10" t="s">
        <v>2147</v>
      </c>
      <c r="J8" s="10" t="s">
        <v>129</v>
      </c>
      <c r="K8" s="10" t="s">
        <v>2148</v>
      </c>
      <c r="L8" s="10" t="s">
        <v>2149</v>
      </c>
      <c r="M8" s="64"/>
      <c r="N8" s="28"/>
    </row>
    <row r="9" spans="1:14" s="4" customFormat="1" ht="30" customHeight="1" x14ac:dyDescent="0.25">
      <c r="A9" s="9" t="s">
        <v>886</v>
      </c>
      <c r="B9" s="13">
        <f>VLOOKUP(Table245[[#This Row],[Location 
(drop-down)]],'List source'!D$2:E$59,2,FALSE)</f>
        <v>179</v>
      </c>
      <c r="C9" s="25" t="s">
        <v>38</v>
      </c>
      <c r="D9" s="69" t="str">
        <f t="shared" si="0"/>
        <v>A008-179-23</v>
      </c>
      <c r="E9" s="65">
        <v>44943</v>
      </c>
      <c r="F9" s="65">
        <v>44944</v>
      </c>
      <c r="G9" s="65">
        <v>44956</v>
      </c>
      <c r="H9" s="10" t="s">
        <v>2134</v>
      </c>
      <c r="I9" s="10" t="s">
        <v>2135</v>
      </c>
      <c r="J9" s="10" t="s">
        <v>435</v>
      </c>
      <c r="K9" s="10" t="s">
        <v>435</v>
      </c>
      <c r="L9" s="10" t="s">
        <v>2136</v>
      </c>
      <c r="M9" s="64"/>
      <c r="N9" s="10" t="s">
        <v>2137</v>
      </c>
    </row>
    <row r="10" spans="1:14" s="4" customFormat="1" ht="30" customHeight="1" x14ac:dyDescent="0.25">
      <c r="A10" s="9" t="s">
        <v>878</v>
      </c>
      <c r="B10" s="13">
        <f>VLOOKUP(Table245[[#This Row],[Location 
(drop-down)]],'List source'!D$2:E$59,2,FALSE)</f>
        <v>178</v>
      </c>
      <c r="C10" s="25" t="s">
        <v>40</v>
      </c>
      <c r="D10" s="33" t="str">
        <f t="shared" si="0"/>
        <v>A009-178-23</v>
      </c>
      <c r="E10" s="65">
        <v>44951</v>
      </c>
      <c r="F10" s="65">
        <v>44952</v>
      </c>
      <c r="G10" s="65">
        <v>44956</v>
      </c>
      <c r="H10" s="10" t="s">
        <v>2134</v>
      </c>
      <c r="I10" s="10" t="s">
        <v>2135</v>
      </c>
      <c r="J10" s="10" t="s">
        <v>129</v>
      </c>
      <c r="K10" s="10" t="s">
        <v>2150</v>
      </c>
      <c r="L10" s="10" t="s">
        <v>2136</v>
      </c>
      <c r="M10" s="64"/>
      <c r="N10" s="10" t="s">
        <v>2137</v>
      </c>
    </row>
    <row r="11" spans="1:14" s="4" customFormat="1" ht="30" hidden="1" customHeight="1" x14ac:dyDescent="0.25">
      <c r="A11" s="9" t="s">
        <v>22</v>
      </c>
      <c r="B11" s="13">
        <f>VLOOKUP(Table245[[#This Row],[Location 
(drop-down)]],'List source'!D$2:E$59,2,FALSE)</f>
        <v>130</v>
      </c>
      <c r="C11" s="25" t="s">
        <v>43</v>
      </c>
      <c r="D11" s="33" t="str">
        <f t="shared" si="0"/>
        <v>A010-130-23</v>
      </c>
      <c r="E11" s="65">
        <v>44943</v>
      </c>
      <c r="F11" s="65">
        <v>44943</v>
      </c>
      <c r="G11" s="65">
        <v>44956</v>
      </c>
      <c r="H11" s="10" t="s">
        <v>2146</v>
      </c>
      <c r="I11" s="10" t="s">
        <v>2135</v>
      </c>
      <c r="J11" s="10" t="s">
        <v>129</v>
      </c>
      <c r="K11" s="10" t="s">
        <v>2151</v>
      </c>
      <c r="L11" s="10" t="s">
        <v>2152</v>
      </c>
      <c r="M11" s="64"/>
      <c r="N11" s="139" t="s">
        <v>2153</v>
      </c>
    </row>
    <row r="12" spans="1:14" s="4" customFormat="1" ht="30" customHeight="1" x14ac:dyDescent="0.25">
      <c r="A12" s="9" t="s">
        <v>178</v>
      </c>
      <c r="B12" s="13">
        <f>VLOOKUP(Table245[[#This Row],[Location 
(drop-down)]],'List source'!D$2:E$59,2,FALSE)</f>
        <v>150</v>
      </c>
      <c r="C12" s="25" t="s">
        <v>45</v>
      </c>
      <c r="D12" s="33" t="str">
        <f t="shared" si="0"/>
        <v>A011-150-23</v>
      </c>
      <c r="E12" s="65">
        <v>44963</v>
      </c>
      <c r="F12" s="65">
        <v>44966</v>
      </c>
      <c r="G12" s="65">
        <v>44978</v>
      </c>
      <c r="H12" s="10" t="s">
        <v>2134</v>
      </c>
      <c r="I12" s="10" t="s">
        <v>2135</v>
      </c>
      <c r="J12" s="10" t="s">
        <v>2150</v>
      </c>
      <c r="K12" s="10" t="s">
        <v>2154</v>
      </c>
      <c r="L12" s="10" t="s">
        <v>2136</v>
      </c>
      <c r="M12" s="64"/>
      <c r="N12" s="10" t="s">
        <v>2137</v>
      </c>
    </row>
    <row r="13" spans="1:14" s="4" customFormat="1" ht="30" hidden="1" customHeight="1" x14ac:dyDescent="0.25">
      <c r="A13" s="9" t="s">
        <v>178</v>
      </c>
      <c r="B13" s="13">
        <f>VLOOKUP(Table245[[#This Row],[Location 
(drop-down)]],'List source'!D$2:E$59,2,FALSE)</f>
        <v>150</v>
      </c>
      <c r="C13" s="25" t="s">
        <v>48</v>
      </c>
      <c r="D13" s="33" t="str">
        <f t="shared" si="0"/>
        <v>A012-150-23</v>
      </c>
      <c r="E13" s="65">
        <v>44963</v>
      </c>
      <c r="F13" s="65">
        <v>44966</v>
      </c>
      <c r="G13" s="65">
        <v>44978</v>
      </c>
      <c r="H13" s="10" t="s">
        <v>2134</v>
      </c>
      <c r="I13" s="10" t="s">
        <v>2139</v>
      </c>
      <c r="J13" s="10" t="s">
        <v>2150</v>
      </c>
      <c r="K13" s="10" t="s">
        <v>2154</v>
      </c>
      <c r="L13" s="10" t="s">
        <v>2136</v>
      </c>
      <c r="M13" s="64"/>
      <c r="N13" s="10" t="s">
        <v>2140</v>
      </c>
    </row>
    <row r="14" spans="1:14" s="4" customFormat="1" ht="30" customHeight="1" x14ac:dyDescent="0.25">
      <c r="A14" s="9" t="s">
        <v>953</v>
      </c>
      <c r="B14" s="13">
        <f>VLOOKUP(Table245[[#This Row],[Location 
(drop-down)]],'List source'!D$2:E$59,2,FALSE)</f>
        <v>121</v>
      </c>
      <c r="C14" s="25" t="s">
        <v>53</v>
      </c>
      <c r="D14" s="33" t="str">
        <f t="shared" si="0"/>
        <v>A013-121-23</v>
      </c>
      <c r="E14" s="65">
        <v>44965</v>
      </c>
      <c r="F14" s="65">
        <v>44965</v>
      </c>
      <c r="G14" s="65">
        <v>44971</v>
      </c>
      <c r="H14" s="10" t="s">
        <v>2134</v>
      </c>
      <c r="I14" s="10" t="s">
        <v>2147</v>
      </c>
      <c r="J14" s="49" t="s">
        <v>2150</v>
      </c>
      <c r="K14" s="10" t="s">
        <v>129</v>
      </c>
      <c r="L14" s="10" t="s">
        <v>2136</v>
      </c>
      <c r="M14" s="64"/>
      <c r="N14" s="10" t="s">
        <v>2137</v>
      </c>
    </row>
    <row r="15" spans="1:14" s="4" customFormat="1" ht="30" customHeight="1" x14ac:dyDescent="0.25">
      <c r="A15" s="9" t="s">
        <v>873</v>
      </c>
      <c r="B15" s="13">
        <f>VLOOKUP(Table245[[#This Row],[Location 
(drop-down)]],'List source'!D$2:E$59,2,FALSE)</f>
        <v>190</v>
      </c>
      <c r="C15" s="25" t="s">
        <v>58</v>
      </c>
      <c r="D15" s="33" t="str">
        <f t="shared" si="0"/>
        <v>A014-190-23</v>
      </c>
      <c r="E15" s="65">
        <v>44963</v>
      </c>
      <c r="F15" s="65">
        <v>44966</v>
      </c>
      <c r="G15" s="65">
        <v>44987</v>
      </c>
      <c r="H15" s="10" t="s">
        <v>2134</v>
      </c>
      <c r="I15" s="10" t="s">
        <v>2135</v>
      </c>
      <c r="J15" s="10" t="s">
        <v>440</v>
      </c>
      <c r="K15" s="10" t="s">
        <v>440</v>
      </c>
      <c r="L15" s="10" t="s">
        <v>2136</v>
      </c>
      <c r="M15" s="64"/>
      <c r="N15" s="10" t="s">
        <v>2137</v>
      </c>
    </row>
    <row r="16" spans="1:14" s="4" customFormat="1" ht="30" hidden="1" customHeight="1" x14ac:dyDescent="0.25">
      <c r="A16" s="9" t="s">
        <v>873</v>
      </c>
      <c r="B16" s="13">
        <f>VLOOKUP(Table245[[#This Row],[Location 
(drop-down)]],'List source'!D$2:E$59,2,FALSE)</f>
        <v>190</v>
      </c>
      <c r="C16" s="25" t="s">
        <v>62</v>
      </c>
      <c r="D16" s="33" t="str">
        <f t="shared" si="0"/>
        <v>A015-190-23</v>
      </c>
      <c r="E16" s="65">
        <v>44963</v>
      </c>
      <c r="F16" s="65">
        <v>44966</v>
      </c>
      <c r="G16" s="65">
        <v>44987</v>
      </c>
      <c r="H16" s="10" t="s">
        <v>2134</v>
      </c>
      <c r="I16" s="10" t="s">
        <v>2139</v>
      </c>
      <c r="J16" s="49" t="s">
        <v>440</v>
      </c>
      <c r="K16" s="10" t="s">
        <v>440</v>
      </c>
      <c r="L16" s="10" t="s">
        <v>2136</v>
      </c>
      <c r="M16" s="64"/>
      <c r="N16" s="10" t="s">
        <v>2140</v>
      </c>
    </row>
    <row r="17" spans="1:14" s="4" customFormat="1" ht="30" hidden="1" customHeight="1" x14ac:dyDescent="0.25">
      <c r="A17" s="9" t="s">
        <v>324</v>
      </c>
      <c r="B17" s="13">
        <f>VLOOKUP(Table245[[#This Row],[Location 
(drop-down)]],'List source'!D$2:E$59,2,FALSE)</f>
        <v>170</v>
      </c>
      <c r="C17" s="25" t="s">
        <v>67</v>
      </c>
      <c r="D17" s="33" t="str">
        <f t="shared" si="0"/>
        <v>A016-170-23</v>
      </c>
      <c r="E17" s="65">
        <v>44966</v>
      </c>
      <c r="F17" s="65">
        <v>44966</v>
      </c>
      <c r="G17" s="65">
        <v>44966</v>
      </c>
      <c r="H17" s="10" t="s">
        <v>2142</v>
      </c>
      <c r="I17" s="10" t="s">
        <v>2139</v>
      </c>
      <c r="J17" s="10" t="s">
        <v>440</v>
      </c>
      <c r="K17" s="10" t="s">
        <v>2155</v>
      </c>
      <c r="L17" s="10" t="s">
        <v>2144</v>
      </c>
      <c r="M17" s="64" t="s">
        <v>2142</v>
      </c>
      <c r="N17" s="28" t="s">
        <v>2145</v>
      </c>
    </row>
    <row r="18" spans="1:14" s="4" customFormat="1" ht="30" hidden="1" customHeight="1" x14ac:dyDescent="0.25">
      <c r="A18" s="9" t="s">
        <v>13</v>
      </c>
      <c r="B18" s="13">
        <f>VLOOKUP(Table245[[#This Row],[Location 
(drop-down)]],'List source'!D$2:E$59,2,FALSE)</f>
        <v>126</v>
      </c>
      <c r="C18" s="25" t="s">
        <v>69</v>
      </c>
      <c r="D18" s="33" t="str">
        <f t="shared" si="0"/>
        <v>A017-126-23</v>
      </c>
      <c r="E18" s="65">
        <v>44931</v>
      </c>
      <c r="F18" s="65">
        <v>44931</v>
      </c>
      <c r="G18" s="65">
        <v>44935</v>
      </c>
      <c r="H18" s="10" t="s">
        <v>2134</v>
      </c>
      <c r="I18" s="10" t="s">
        <v>2135</v>
      </c>
      <c r="J18" s="10" t="s">
        <v>2150</v>
      </c>
      <c r="K18" s="10" t="s">
        <v>2156</v>
      </c>
      <c r="L18" s="10" t="s">
        <v>2136</v>
      </c>
      <c r="M18" s="64"/>
      <c r="N18" s="28" t="s">
        <v>2157</v>
      </c>
    </row>
    <row r="19" spans="1:14" s="4" customFormat="1" ht="30" hidden="1" customHeight="1" x14ac:dyDescent="0.25">
      <c r="A19" s="9" t="s">
        <v>108</v>
      </c>
      <c r="B19" s="13">
        <f>VLOOKUP(Table245[[#This Row],[Location 
(drop-down)]],'List source'!D$2:E$59,2,FALSE)</f>
        <v>191</v>
      </c>
      <c r="C19" s="25" t="s">
        <v>73</v>
      </c>
      <c r="D19" s="33" t="str">
        <f t="shared" si="0"/>
        <v>A018-191-23</v>
      </c>
      <c r="E19" s="65">
        <v>44949</v>
      </c>
      <c r="F19" s="65">
        <v>44950</v>
      </c>
      <c r="G19" s="65">
        <v>44952</v>
      </c>
      <c r="H19" s="10" t="s">
        <v>2142</v>
      </c>
      <c r="I19" s="10" t="s">
        <v>2139</v>
      </c>
      <c r="J19" s="10" t="s">
        <v>443</v>
      </c>
      <c r="K19" s="10" t="s">
        <v>2158</v>
      </c>
      <c r="L19" s="10" t="s">
        <v>2159</v>
      </c>
      <c r="M19" s="64" t="s">
        <v>2160</v>
      </c>
      <c r="N19" s="28" t="s">
        <v>2161</v>
      </c>
    </row>
    <row r="20" spans="1:14" s="4" customFormat="1" ht="30" customHeight="1" x14ac:dyDescent="0.25">
      <c r="A20" s="9" t="s">
        <v>13</v>
      </c>
      <c r="B20" s="13">
        <f>VLOOKUP(Table245[[#This Row],[Location 
(drop-down)]],'List source'!D$2:E$59,2,FALSE)</f>
        <v>126</v>
      </c>
      <c r="C20" s="25" t="s">
        <v>76</v>
      </c>
      <c r="D20" s="33" t="str">
        <f t="shared" si="0"/>
        <v>A019-126-23</v>
      </c>
      <c r="E20" s="65">
        <v>44977</v>
      </c>
      <c r="F20" s="65">
        <v>44980</v>
      </c>
      <c r="G20" s="65">
        <v>44986</v>
      </c>
      <c r="H20" s="10" t="s">
        <v>2134</v>
      </c>
      <c r="I20" s="10" t="s">
        <v>2135</v>
      </c>
      <c r="J20" s="10" t="s">
        <v>2150</v>
      </c>
      <c r="K20" s="10" t="s">
        <v>129</v>
      </c>
      <c r="L20" s="10" t="s">
        <v>2136</v>
      </c>
      <c r="M20" s="64"/>
      <c r="N20" s="10" t="s">
        <v>2137</v>
      </c>
    </row>
    <row r="21" spans="1:14" s="4" customFormat="1" ht="30" customHeight="1" x14ac:dyDescent="0.25">
      <c r="A21" s="9" t="s">
        <v>37</v>
      </c>
      <c r="B21" s="13">
        <f>VLOOKUP(Table245[[#This Row],[Location 
(drop-down)]],'List source'!D$2:E$59,2,FALSE)</f>
        <v>158</v>
      </c>
      <c r="C21" s="25" t="s">
        <v>80</v>
      </c>
      <c r="D21" s="33" t="str">
        <f t="shared" si="0"/>
        <v>A020-158-23</v>
      </c>
      <c r="E21" s="65">
        <v>44977</v>
      </c>
      <c r="F21" s="65">
        <v>44980</v>
      </c>
      <c r="G21" s="65">
        <v>44988</v>
      </c>
      <c r="H21" s="10" t="s">
        <v>2134</v>
      </c>
      <c r="I21" s="10" t="s">
        <v>2135</v>
      </c>
      <c r="J21" s="10" t="s">
        <v>443</v>
      </c>
      <c r="K21" s="10" t="s">
        <v>2162</v>
      </c>
      <c r="L21" s="10" t="s">
        <v>2136</v>
      </c>
      <c r="M21" s="64"/>
      <c r="N21" s="10" t="s">
        <v>2137</v>
      </c>
    </row>
    <row r="22" spans="1:14" s="4" customFormat="1" ht="30" hidden="1" customHeight="1" x14ac:dyDescent="0.25">
      <c r="A22" s="9" t="s">
        <v>37</v>
      </c>
      <c r="B22" s="13">
        <f>VLOOKUP(Table245[[#This Row],[Location 
(drop-down)]],'List source'!D$2:E$59,2,FALSE)</f>
        <v>158</v>
      </c>
      <c r="C22" s="25" t="s">
        <v>84</v>
      </c>
      <c r="D22" s="33" t="str">
        <f t="shared" si="0"/>
        <v>A021-158-23</v>
      </c>
      <c r="E22" s="65">
        <v>44977</v>
      </c>
      <c r="F22" s="65">
        <v>44980</v>
      </c>
      <c r="G22" s="65">
        <v>45008</v>
      </c>
      <c r="H22" s="10" t="s">
        <v>2134</v>
      </c>
      <c r="I22" s="10" t="s">
        <v>2139</v>
      </c>
      <c r="J22" s="10" t="s">
        <v>443</v>
      </c>
      <c r="K22" s="10" t="s">
        <v>2162</v>
      </c>
      <c r="L22" s="10" t="s">
        <v>2136</v>
      </c>
      <c r="M22" s="64"/>
      <c r="N22" s="10" t="s">
        <v>2140</v>
      </c>
    </row>
    <row r="23" spans="1:14" s="4" customFormat="1" ht="30" customHeight="1" x14ac:dyDescent="0.25">
      <c r="A23" s="9" t="s">
        <v>79</v>
      </c>
      <c r="B23" s="13">
        <f>VLOOKUP(Table245[[#This Row],[Location 
(drop-down)]],'List source'!D$2:E$59,2,FALSE)</f>
        <v>141</v>
      </c>
      <c r="C23" s="25" t="s">
        <v>88</v>
      </c>
      <c r="D23" s="33" t="str">
        <f t="shared" si="0"/>
        <v>A022-141-23</v>
      </c>
      <c r="E23" s="47">
        <v>44978</v>
      </c>
      <c r="F23" s="47">
        <v>44980</v>
      </c>
      <c r="G23" s="65">
        <v>44986</v>
      </c>
      <c r="H23" s="10" t="s">
        <v>2134</v>
      </c>
      <c r="I23" s="10" t="s">
        <v>2135</v>
      </c>
      <c r="J23" s="10" t="s">
        <v>435</v>
      </c>
      <c r="K23" s="10" t="s">
        <v>435</v>
      </c>
      <c r="L23" s="10" t="s">
        <v>2136</v>
      </c>
      <c r="M23" s="64"/>
      <c r="N23" s="10" t="s">
        <v>2137</v>
      </c>
    </row>
    <row r="24" spans="1:14" s="4" customFormat="1" ht="30" hidden="1" customHeight="1" x14ac:dyDescent="0.25">
      <c r="A24" s="9" t="s">
        <v>331</v>
      </c>
      <c r="B24" s="13">
        <f>VLOOKUP(Table245[[#This Row],[Location 
(drop-down)]],'List source'!D$2:E$59,2,FALSE)</f>
        <v>146</v>
      </c>
      <c r="C24" s="25" t="s">
        <v>91</v>
      </c>
      <c r="D24" s="33" t="str">
        <f t="shared" si="0"/>
        <v>A023-146-23</v>
      </c>
      <c r="E24" s="47">
        <v>44977</v>
      </c>
      <c r="F24" s="47">
        <v>44979</v>
      </c>
      <c r="G24" s="65">
        <v>44981</v>
      </c>
      <c r="H24" s="10" t="s">
        <v>2142</v>
      </c>
      <c r="I24" s="10" t="s">
        <v>2139</v>
      </c>
      <c r="J24" s="10" t="s">
        <v>2150</v>
      </c>
      <c r="K24" s="10" t="s">
        <v>2158</v>
      </c>
      <c r="L24" s="10" t="s">
        <v>2159</v>
      </c>
      <c r="M24" s="64" t="s">
        <v>2142</v>
      </c>
      <c r="N24" s="28" t="s">
        <v>2163</v>
      </c>
    </row>
    <row r="25" spans="1:14" s="4" customFormat="1" ht="30" hidden="1" customHeight="1" x14ac:dyDescent="0.25">
      <c r="A25" s="9" t="s">
        <v>61</v>
      </c>
      <c r="B25" s="13">
        <f>VLOOKUP(Table245[[#This Row],[Location 
(drop-down)]],'List source'!D$2:E$59,2,FALSE)</f>
        <v>120</v>
      </c>
      <c r="C25" s="25" t="s">
        <v>93</v>
      </c>
      <c r="D25" s="33" t="str">
        <f t="shared" si="0"/>
        <v>A024-120-23</v>
      </c>
      <c r="E25" s="47">
        <v>44977</v>
      </c>
      <c r="F25" s="47">
        <v>44981</v>
      </c>
      <c r="G25" s="65">
        <v>44981</v>
      </c>
      <c r="H25" s="10" t="s">
        <v>2142</v>
      </c>
      <c r="I25" s="10" t="s">
        <v>2139</v>
      </c>
      <c r="J25" s="10" t="s">
        <v>443</v>
      </c>
      <c r="K25" s="10" t="s">
        <v>2164</v>
      </c>
      <c r="L25" s="10" t="s">
        <v>2159</v>
      </c>
      <c r="M25" s="64" t="s">
        <v>2142</v>
      </c>
      <c r="N25" s="28" t="s">
        <v>2161</v>
      </c>
    </row>
    <row r="26" spans="1:14" s="4" customFormat="1" ht="30" customHeight="1" x14ac:dyDescent="0.25">
      <c r="A26" s="9" t="s">
        <v>237</v>
      </c>
      <c r="B26" s="13">
        <f>VLOOKUP(Table245[[#This Row],[Location 
(drop-down)]],'List source'!D$2:E$59,2,FALSE)</f>
        <v>192</v>
      </c>
      <c r="C26" s="25" t="s">
        <v>100</v>
      </c>
      <c r="D26" s="33" t="str">
        <f t="shared" si="0"/>
        <v>A025-192-23</v>
      </c>
      <c r="E26" s="65">
        <v>44985</v>
      </c>
      <c r="F26" s="65">
        <v>44985</v>
      </c>
      <c r="G26" s="65">
        <v>45021</v>
      </c>
      <c r="H26" s="10" t="s">
        <v>2134</v>
      </c>
      <c r="I26" s="10" t="s">
        <v>2135</v>
      </c>
      <c r="J26" s="10" t="s">
        <v>189</v>
      </c>
      <c r="K26" s="10" t="s">
        <v>189</v>
      </c>
      <c r="L26" s="10" t="s">
        <v>2136</v>
      </c>
      <c r="M26" s="64"/>
      <c r="N26" s="10" t="s">
        <v>2137</v>
      </c>
    </row>
    <row r="27" spans="1:14" s="4" customFormat="1" ht="30" hidden="1" customHeight="1" x14ac:dyDescent="0.25">
      <c r="A27" s="9" t="s">
        <v>237</v>
      </c>
      <c r="B27" s="13">
        <f>VLOOKUP(Table245[[#This Row],[Location 
(drop-down)]],'List source'!D$2:E$59,2,FALSE)</f>
        <v>192</v>
      </c>
      <c r="C27" s="25" t="s">
        <v>104</v>
      </c>
      <c r="D27" s="33" t="str">
        <f t="shared" si="0"/>
        <v>A026-192-23</v>
      </c>
      <c r="E27" s="65">
        <v>44966</v>
      </c>
      <c r="F27" s="65">
        <v>44967</v>
      </c>
      <c r="G27" s="65">
        <v>44978</v>
      </c>
      <c r="H27" s="10" t="s">
        <v>2146</v>
      </c>
      <c r="I27" s="10" t="s">
        <v>2135</v>
      </c>
      <c r="J27" s="10" t="s">
        <v>1438</v>
      </c>
      <c r="K27" s="10" t="s">
        <v>2165</v>
      </c>
      <c r="L27" s="10" t="s">
        <v>2166</v>
      </c>
      <c r="M27" s="64"/>
      <c r="N27" s="97" t="s">
        <v>2167</v>
      </c>
    </row>
    <row r="28" spans="1:14" s="4" customFormat="1" ht="30" hidden="1" customHeight="1" x14ac:dyDescent="0.25">
      <c r="A28" s="9" t="s">
        <v>87</v>
      </c>
      <c r="B28" s="13">
        <f>VLOOKUP(Table245[[#This Row],[Location 
(drop-down)]],'List source'!D$2:E$59,2,FALSE)</f>
        <v>210</v>
      </c>
      <c r="C28" s="25" t="s">
        <v>109</v>
      </c>
      <c r="D28" s="33" t="str">
        <f t="shared" si="0"/>
        <v>A027-210-23</v>
      </c>
      <c r="E28" s="65">
        <v>44970</v>
      </c>
      <c r="F28" s="65">
        <v>44971</v>
      </c>
      <c r="G28" s="65">
        <v>44986</v>
      </c>
      <c r="H28" s="10" t="s">
        <v>2168</v>
      </c>
      <c r="I28" s="10" t="s">
        <v>2135</v>
      </c>
      <c r="J28" s="10" t="s">
        <v>2150</v>
      </c>
      <c r="K28" s="10" t="s">
        <v>2169</v>
      </c>
      <c r="L28" s="10" t="s">
        <v>2170</v>
      </c>
      <c r="M28" s="64" t="s">
        <v>2142</v>
      </c>
      <c r="N28" s="28" t="s">
        <v>2171</v>
      </c>
    </row>
    <row r="29" spans="1:14" s="4" customFormat="1" ht="30" hidden="1" customHeight="1" x14ac:dyDescent="0.25">
      <c r="A29" s="9" t="s">
        <v>61</v>
      </c>
      <c r="B29" s="13">
        <f>VLOOKUP(Table245[[#This Row],[Location 
(drop-down)]],'List source'!D$2:E$59,2,FALSE)</f>
        <v>120</v>
      </c>
      <c r="C29" s="25" t="s">
        <v>113</v>
      </c>
      <c r="D29" s="33" t="str">
        <f t="shared" si="0"/>
        <v>A028-120-23</v>
      </c>
      <c r="E29" s="65">
        <v>44959</v>
      </c>
      <c r="F29" s="65">
        <v>44960</v>
      </c>
      <c r="G29" s="65" t="s">
        <v>2172</v>
      </c>
      <c r="H29" s="10" t="s">
        <v>2146</v>
      </c>
      <c r="I29" s="10" t="s">
        <v>2139</v>
      </c>
      <c r="J29" s="10" t="s">
        <v>161</v>
      </c>
      <c r="K29" s="10" t="s">
        <v>2173</v>
      </c>
      <c r="L29" s="10" t="s">
        <v>2174</v>
      </c>
      <c r="M29" s="64"/>
      <c r="N29" s="10" t="s">
        <v>2175</v>
      </c>
    </row>
    <row r="30" spans="1:14" s="4" customFormat="1" ht="30" hidden="1" customHeight="1" x14ac:dyDescent="0.25">
      <c r="A30" s="9" t="s">
        <v>61</v>
      </c>
      <c r="B30" s="13">
        <f>VLOOKUP(Table245[[#This Row],[Location 
(drop-down)]],'List source'!D$2:E$59,2,FALSE)</f>
        <v>120</v>
      </c>
      <c r="C30" s="25" t="s">
        <v>115</v>
      </c>
      <c r="D30" s="33" t="str">
        <f t="shared" si="0"/>
        <v>A029-120-23</v>
      </c>
      <c r="E30" s="65">
        <v>44978</v>
      </c>
      <c r="F30" s="65">
        <v>44978</v>
      </c>
      <c r="G30" s="65" t="s">
        <v>2172</v>
      </c>
      <c r="H30" s="10" t="s">
        <v>2146</v>
      </c>
      <c r="I30" s="10" t="s">
        <v>2139</v>
      </c>
      <c r="J30" s="10" t="s">
        <v>161</v>
      </c>
      <c r="K30" s="10" t="s">
        <v>2176</v>
      </c>
      <c r="L30" s="10" t="s">
        <v>2177</v>
      </c>
      <c r="M30" s="64"/>
      <c r="N30" s="10"/>
    </row>
    <row r="31" spans="1:14" s="4" customFormat="1" ht="30" hidden="1" customHeight="1" x14ac:dyDescent="0.25">
      <c r="A31" s="9" t="s">
        <v>61</v>
      </c>
      <c r="B31" s="13">
        <f>VLOOKUP(Table245[[#This Row],[Location 
(drop-down)]],'List source'!D$2:E$59,2,FALSE)</f>
        <v>120</v>
      </c>
      <c r="C31" s="25" t="s">
        <v>117</v>
      </c>
      <c r="D31" s="33" t="str">
        <f t="shared" si="0"/>
        <v>A030-120-23</v>
      </c>
      <c r="E31" s="65">
        <v>44965</v>
      </c>
      <c r="F31" s="65">
        <v>44965</v>
      </c>
      <c r="G31" s="65" t="s">
        <v>2172</v>
      </c>
      <c r="H31" s="10" t="s">
        <v>2146</v>
      </c>
      <c r="I31" s="10" t="s">
        <v>2139</v>
      </c>
      <c r="J31" s="10" t="s">
        <v>161</v>
      </c>
      <c r="K31" s="10" t="s">
        <v>2178</v>
      </c>
      <c r="L31" s="10" t="s">
        <v>2179</v>
      </c>
      <c r="M31" s="64"/>
      <c r="N31" s="28"/>
    </row>
    <row r="32" spans="1:14" s="4" customFormat="1" ht="41.85" hidden="1" customHeight="1" x14ac:dyDescent="0.25">
      <c r="A32" s="9" t="s">
        <v>61</v>
      </c>
      <c r="B32" s="13">
        <f>VLOOKUP(Table245[[#This Row],[Location 
(drop-down)]],'List source'!D$2:E$59,2,FALSE)</f>
        <v>120</v>
      </c>
      <c r="C32" s="25" t="s">
        <v>119</v>
      </c>
      <c r="D32" s="33" t="str">
        <f t="shared" si="0"/>
        <v>A031-120-23</v>
      </c>
      <c r="E32" s="65">
        <v>44986</v>
      </c>
      <c r="F32" s="65">
        <v>44986</v>
      </c>
      <c r="G32" s="65" t="s">
        <v>2172</v>
      </c>
      <c r="H32" s="10" t="s">
        <v>2146</v>
      </c>
      <c r="I32" s="10" t="s">
        <v>2139</v>
      </c>
      <c r="J32" s="10" t="s">
        <v>161</v>
      </c>
      <c r="K32" s="10" t="s">
        <v>2180</v>
      </c>
      <c r="L32" s="10" t="s">
        <v>2181</v>
      </c>
      <c r="M32" s="64"/>
      <c r="N32" s="10"/>
    </row>
    <row r="33" spans="1:14" s="4" customFormat="1" ht="30" customHeight="1" x14ac:dyDescent="0.25">
      <c r="A33" s="9" t="s">
        <v>324</v>
      </c>
      <c r="B33" s="13">
        <f>VLOOKUP(Table245[[#This Row],[Location 
(drop-down)]],'List source'!D$2:E$59,2,FALSE)</f>
        <v>170</v>
      </c>
      <c r="C33" s="25" t="s">
        <v>121</v>
      </c>
      <c r="D33" s="33" t="str">
        <f t="shared" si="0"/>
        <v>A032-170-23</v>
      </c>
      <c r="E33" s="65">
        <v>44991</v>
      </c>
      <c r="F33" s="65">
        <v>44994</v>
      </c>
      <c r="G33" s="65">
        <v>45009</v>
      </c>
      <c r="H33" s="10" t="s">
        <v>2134</v>
      </c>
      <c r="I33" s="10" t="s">
        <v>2135</v>
      </c>
      <c r="J33" s="10" t="s">
        <v>440</v>
      </c>
      <c r="K33" s="10" t="s">
        <v>2182</v>
      </c>
      <c r="L33" s="10" t="s">
        <v>2136</v>
      </c>
      <c r="M33" s="64"/>
      <c r="N33" s="10" t="s">
        <v>2137</v>
      </c>
    </row>
    <row r="34" spans="1:14" s="4" customFormat="1" ht="30" hidden="1" customHeight="1" x14ac:dyDescent="0.25">
      <c r="A34" s="9" t="s">
        <v>324</v>
      </c>
      <c r="B34" s="13">
        <f>VLOOKUP(Table245[[#This Row],[Location 
(drop-down)]],'List source'!D$2:E$59,2,FALSE)</f>
        <v>170</v>
      </c>
      <c r="C34" s="25" t="s">
        <v>124</v>
      </c>
      <c r="D34" s="33" t="str">
        <f t="shared" ref="D34:D65" si="1">"A" &amp; C34 &amp; "-" &amp; B34 &amp; "-" &amp; "23"</f>
        <v>A033-170-23</v>
      </c>
      <c r="E34" s="65">
        <v>44991</v>
      </c>
      <c r="F34" s="65">
        <v>44994</v>
      </c>
      <c r="G34" s="65">
        <v>45009</v>
      </c>
      <c r="H34" s="10" t="s">
        <v>2134</v>
      </c>
      <c r="I34" s="10" t="s">
        <v>2139</v>
      </c>
      <c r="J34" s="10" t="s">
        <v>440</v>
      </c>
      <c r="K34" s="10" t="s">
        <v>2182</v>
      </c>
      <c r="L34" s="10" t="s">
        <v>2136</v>
      </c>
      <c r="M34" s="64"/>
      <c r="N34" s="10" t="s">
        <v>2140</v>
      </c>
    </row>
    <row r="35" spans="1:14" s="4" customFormat="1" ht="30" hidden="1" customHeight="1" x14ac:dyDescent="0.25">
      <c r="A35" s="9" t="s">
        <v>324</v>
      </c>
      <c r="B35" s="13">
        <f>VLOOKUP(Table245[[#This Row],[Location 
(drop-down)]],'List source'!D$2:E$59,2,FALSE)</f>
        <v>170</v>
      </c>
      <c r="C35" s="25" t="s">
        <v>127</v>
      </c>
      <c r="D35" s="33" t="str">
        <f t="shared" si="1"/>
        <v>A034-170-23</v>
      </c>
      <c r="E35" s="65">
        <v>44991</v>
      </c>
      <c r="F35" s="65">
        <v>44994</v>
      </c>
      <c r="G35" s="47">
        <v>45009</v>
      </c>
      <c r="H35" s="10" t="s">
        <v>2134</v>
      </c>
      <c r="I35" s="10" t="s">
        <v>2139</v>
      </c>
      <c r="J35" s="10" t="s">
        <v>440</v>
      </c>
      <c r="K35" s="10" t="s">
        <v>2182</v>
      </c>
      <c r="L35" s="10" t="s">
        <v>2136</v>
      </c>
      <c r="M35" s="64"/>
      <c r="N35" s="10" t="s">
        <v>2183</v>
      </c>
    </row>
    <row r="36" spans="1:14" s="4" customFormat="1" ht="30" customHeight="1" x14ac:dyDescent="0.25">
      <c r="A36" s="9" t="s">
        <v>1023</v>
      </c>
      <c r="B36" s="13">
        <f>VLOOKUP(Table245[[#This Row],[Location 
(drop-down)]],'List source'!D$2:E$59,2,FALSE)</f>
        <v>128</v>
      </c>
      <c r="C36" s="25" t="s">
        <v>132</v>
      </c>
      <c r="D36" s="33" t="str">
        <f t="shared" si="1"/>
        <v>A035-128-23</v>
      </c>
      <c r="E36" s="65">
        <v>45005</v>
      </c>
      <c r="F36" s="65">
        <v>45006</v>
      </c>
      <c r="G36" s="65">
        <v>45019</v>
      </c>
      <c r="H36" s="10" t="s">
        <v>2134</v>
      </c>
      <c r="I36" s="10" t="s">
        <v>2135</v>
      </c>
      <c r="J36" s="10" t="s">
        <v>440</v>
      </c>
      <c r="K36" s="10" t="s">
        <v>440</v>
      </c>
      <c r="L36" s="10" t="s">
        <v>2136</v>
      </c>
      <c r="M36" s="64"/>
      <c r="N36" s="97" t="s">
        <v>2137</v>
      </c>
    </row>
    <row r="37" spans="1:14" s="4" customFormat="1" ht="30" customHeight="1" x14ac:dyDescent="0.25">
      <c r="A37" s="9" t="s">
        <v>1057</v>
      </c>
      <c r="B37" s="13">
        <f>VLOOKUP(Table245[[#This Row],[Location 
(drop-down)]],'List source'!D$2:E$59,2,FALSE)</f>
        <v>157</v>
      </c>
      <c r="C37" s="25" t="s">
        <v>134</v>
      </c>
      <c r="D37" s="33" t="str">
        <f t="shared" si="1"/>
        <v>A036-157-23</v>
      </c>
      <c r="E37" s="65">
        <v>45007</v>
      </c>
      <c r="F37" s="65">
        <v>45008</v>
      </c>
      <c r="G37" s="65">
        <v>45026</v>
      </c>
      <c r="H37" s="10" t="s">
        <v>2134</v>
      </c>
      <c r="I37" s="10" t="s">
        <v>2135</v>
      </c>
      <c r="J37" s="10" t="s">
        <v>440</v>
      </c>
      <c r="K37" s="10" t="s">
        <v>2184</v>
      </c>
      <c r="L37" s="10" t="s">
        <v>2136</v>
      </c>
      <c r="M37" s="64"/>
      <c r="N37" s="97" t="s">
        <v>2137</v>
      </c>
    </row>
    <row r="38" spans="1:14" s="4" customFormat="1" ht="30" hidden="1" customHeight="1" x14ac:dyDescent="0.25">
      <c r="A38" s="9" t="s">
        <v>42</v>
      </c>
      <c r="B38" s="13">
        <f>VLOOKUP(Table245[[#This Row],[Location 
(drop-down)]],'List source'!D$2:E$59,2,FALSE)</f>
        <v>198</v>
      </c>
      <c r="C38" s="25" t="s">
        <v>137</v>
      </c>
      <c r="D38" s="33" t="str">
        <f t="shared" si="1"/>
        <v>A037-198-23</v>
      </c>
      <c r="E38" s="65">
        <v>45000</v>
      </c>
      <c r="F38" s="65">
        <v>45000</v>
      </c>
      <c r="G38" s="65">
        <v>45000</v>
      </c>
      <c r="H38" s="10" t="s">
        <v>2146</v>
      </c>
      <c r="I38" s="10" t="s">
        <v>2139</v>
      </c>
      <c r="J38" s="10" t="s">
        <v>443</v>
      </c>
      <c r="K38" s="10" t="s">
        <v>2185</v>
      </c>
      <c r="L38" s="10" t="s">
        <v>2186</v>
      </c>
      <c r="M38" s="102"/>
      <c r="N38" s="103" t="s">
        <v>2187</v>
      </c>
    </row>
    <row r="39" spans="1:14" s="4" customFormat="1" ht="30" customHeight="1" x14ac:dyDescent="0.25">
      <c r="A39" s="9" t="s">
        <v>87</v>
      </c>
      <c r="B39" s="13">
        <f>VLOOKUP(Table245[[#This Row],[Location 
(drop-down)]],'List source'!D$2:E$59,2,FALSE)</f>
        <v>210</v>
      </c>
      <c r="C39" s="25" t="s">
        <v>141</v>
      </c>
      <c r="D39" s="33" t="str">
        <f t="shared" si="1"/>
        <v>A038-210-23</v>
      </c>
      <c r="E39" s="65">
        <v>44999</v>
      </c>
      <c r="F39" s="65">
        <v>45000</v>
      </c>
      <c r="G39" s="47">
        <v>45021</v>
      </c>
      <c r="H39" s="10" t="s">
        <v>2134</v>
      </c>
      <c r="I39" s="10" t="s">
        <v>2135</v>
      </c>
      <c r="J39" s="10" t="s">
        <v>189</v>
      </c>
      <c r="K39" s="10" t="s">
        <v>189</v>
      </c>
      <c r="L39" s="10" t="s">
        <v>2136</v>
      </c>
      <c r="M39" s="10"/>
      <c r="N39" s="10" t="s">
        <v>2137</v>
      </c>
    </row>
    <row r="40" spans="1:14" s="4" customFormat="1" ht="30" customHeight="1" x14ac:dyDescent="0.25">
      <c r="A40" s="9" t="s">
        <v>126</v>
      </c>
      <c r="B40" s="13">
        <f>VLOOKUP(Table245[[#This Row],[Location 
(drop-down)]],'List source'!D$2:E$59,2,FALSE)</f>
        <v>125</v>
      </c>
      <c r="C40" s="25" t="s">
        <v>145</v>
      </c>
      <c r="D40" s="33" t="str">
        <f t="shared" si="1"/>
        <v>A039-125-23</v>
      </c>
      <c r="E40" s="65">
        <v>45012</v>
      </c>
      <c r="F40" s="65">
        <v>45014</v>
      </c>
      <c r="G40" s="65">
        <v>45019</v>
      </c>
      <c r="H40" s="10" t="s">
        <v>2134</v>
      </c>
      <c r="I40" s="10" t="s">
        <v>2135</v>
      </c>
      <c r="J40" s="10" t="s">
        <v>129</v>
      </c>
      <c r="K40" s="10" t="s">
        <v>129</v>
      </c>
      <c r="L40" s="10" t="s">
        <v>2136</v>
      </c>
      <c r="M40" s="10"/>
      <c r="N40" s="10" t="s">
        <v>2137</v>
      </c>
    </row>
    <row r="41" spans="1:14" s="4" customFormat="1" ht="30" customHeight="1" x14ac:dyDescent="0.25">
      <c r="A41" s="9" t="s">
        <v>1052</v>
      </c>
      <c r="B41" s="13">
        <f>VLOOKUP(Table245[[#This Row],[Location 
(drop-down)]],'List source'!D$2:E$59,2,FALSE)</f>
        <v>138</v>
      </c>
      <c r="C41" s="25" t="s">
        <v>150</v>
      </c>
      <c r="D41" s="33" t="str">
        <f t="shared" si="1"/>
        <v>A040-138-23</v>
      </c>
      <c r="E41" s="65">
        <v>45012</v>
      </c>
      <c r="F41" s="65">
        <v>45014</v>
      </c>
      <c r="G41" s="65">
        <v>45022</v>
      </c>
      <c r="H41" s="10" t="s">
        <v>2134</v>
      </c>
      <c r="I41" s="10" t="s">
        <v>2135</v>
      </c>
      <c r="J41" s="10" t="s">
        <v>435</v>
      </c>
      <c r="K41" s="10" t="s">
        <v>435</v>
      </c>
      <c r="L41" s="10" t="s">
        <v>2136</v>
      </c>
      <c r="M41" s="10"/>
      <c r="N41" s="10" t="s">
        <v>2137</v>
      </c>
    </row>
    <row r="42" spans="1:14" s="4" customFormat="1" ht="30" customHeight="1" x14ac:dyDescent="0.25">
      <c r="A42" s="9" t="s">
        <v>1070</v>
      </c>
      <c r="B42" s="13">
        <f>VLOOKUP(Table245[[#This Row],[Location 
(drop-down)]],'List source'!D$2:E$59,2,FALSE)</f>
        <v>119</v>
      </c>
      <c r="C42" s="25" t="s">
        <v>154</v>
      </c>
      <c r="D42" s="33" t="str">
        <f t="shared" si="1"/>
        <v>A041-119-23</v>
      </c>
      <c r="E42" s="65">
        <v>45026</v>
      </c>
      <c r="F42" s="65">
        <v>45027</v>
      </c>
      <c r="G42" s="47">
        <v>45034</v>
      </c>
      <c r="H42" s="10" t="s">
        <v>2134</v>
      </c>
      <c r="I42" s="10" t="s">
        <v>2135</v>
      </c>
      <c r="J42" s="10" t="s">
        <v>435</v>
      </c>
      <c r="K42" s="10" t="s">
        <v>2188</v>
      </c>
      <c r="L42" s="10" t="s">
        <v>2136</v>
      </c>
      <c r="M42" s="64"/>
      <c r="N42" s="10" t="s">
        <v>2137</v>
      </c>
    </row>
    <row r="43" spans="1:14" s="4" customFormat="1" ht="30" customHeight="1" x14ac:dyDescent="0.25">
      <c r="A43" s="9" t="s">
        <v>171</v>
      </c>
      <c r="B43" s="13">
        <f>VLOOKUP(Table245[[#This Row],[Location 
(drop-down)]],'List source'!D$2:E$59,2,FALSE)</f>
        <v>160</v>
      </c>
      <c r="C43" s="25" t="s">
        <v>158</v>
      </c>
      <c r="D43" s="33" t="str">
        <f t="shared" si="1"/>
        <v>A042-160-23</v>
      </c>
      <c r="E43" s="65">
        <v>45054</v>
      </c>
      <c r="F43" s="65">
        <v>45057</v>
      </c>
      <c r="G43" s="65">
        <v>45071</v>
      </c>
      <c r="H43" s="10" t="s">
        <v>2134</v>
      </c>
      <c r="I43" s="10" t="s">
        <v>2135</v>
      </c>
      <c r="J43" s="10" t="s">
        <v>440</v>
      </c>
      <c r="K43" s="10" t="s">
        <v>440</v>
      </c>
      <c r="L43" s="10" t="s">
        <v>2136</v>
      </c>
      <c r="M43" s="64"/>
      <c r="N43" s="10" t="s">
        <v>2137</v>
      </c>
    </row>
    <row r="44" spans="1:14" s="4" customFormat="1" ht="30" hidden="1" customHeight="1" x14ac:dyDescent="0.25">
      <c r="A44" s="9" t="s">
        <v>171</v>
      </c>
      <c r="B44" s="13">
        <f>VLOOKUP(Table245[[#This Row],[Location 
(drop-down)]],'List source'!D$2:E$59,2,FALSE)</f>
        <v>160</v>
      </c>
      <c r="C44" s="25" t="s">
        <v>162</v>
      </c>
      <c r="D44" s="33" t="str">
        <f t="shared" si="1"/>
        <v>A043-160-23</v>
      </c>
      <c r="E44" s="47">
        <v>45054</v>
      </c>
      <c r="F44" s="47">
        <v>45057</v>
      </c>
      <c r="G44" s="47">
        <v>45071</v>
      </c>
      <c r="H44" s="10" t="s">
        <v>2134</v>
      </c>
      <c r="I44" s="10" t="s">
        <v>2139</v>
      </c>
      <c r="J44" s="10" t="s">
        <v>440</v>
      </c>
      <c r="K44" s="10" t="s">
        <v>440</v>
      </c>
      <c r="L44" s="10" t="s">
        <v>2136</v>
      </c>
      <c r="M44" s="64"/>
      <c r="N44" s="10" t="s">
        <v>2140</v>
      </c>
    </row>
    <row r="45" spans="1:14" s="4" customFormat="1" ht="30" hidden="1" customHeight="1" x14ac:dyDescent="0.25">
      <c r="A45" s="9" t="s">
        <v>324</v>
      </c>
      <c r="B45" s="13">
        <f>VLOOKUP(Table245[[#This Row],[Location 
(drop-down)]],'List source'!D$2:E$59,2,FALSE)</f>
        <v>170</v>
      </c>
      <c r="C45" s="25" t="s">
        <v>164</v>
      </c>
      <c r="D45" s="221" t="str">
        <f t="shared" si="1"/>
        <v>A044-170-23</v>
      </c>
      <c r="E45" s="47">
        <v>45021</v>
      </c>
      <c r="F45" s="47">
        <v>45021</v>
      </c>
      <c r="G45" s="47">
        <v>45021</v>
      </c>
      <c r="H45" s="10" t="s">
        <v>2168</v>
      </c>
      <c r="I45" s="10" t="s">
        <v>2139</v>
      </c>
      <c r="J45" s="10" t="s">
        <v>440</v>
      </c>
      <c r="K45" s="10" t="s">
        <v>2189</v>
      </c>
      <c r="L45" s="10" t="s">
        <v>2190</v>
      </c>
      <c r="M45" s="64" t="s">
        <v>2168</v>
      </c>
      <c r="N45" s="97" t="s">
        <v>2191</v>
      </c>
    </row>
    <row r="46" spans="1:14" s="4" customFormat="1" ht="30" hidden="1" customHeight="1" x14ac:dyDescent="0.25">
      <c r="A46" s="9" t="s">
        <v>1309</v>
      </c>
      <c r="B46" s="13">
        <f>VLOOKUP(Table245[[#This Row],[Location 
(drop-down)]],'List source'!D$2:E$59,2,FALSE)</f>
        <v>171</v>
      </c>
      <c r="C46" s="25" t="s">
        <v>166</v>
      </c>
      <c r="D46" s="33" t="str">
        <f t="shared" si="1"/>
        <v>A045-171-23</v>
      </c>
      <c r="E46" s="65">
        <v>45056</v>
      </c>
      <c r="F46" s="65">
        <v>45056</v>
      </c>
      <c r="G46" s="47" t="s">
        <v>32</v>
      </c>
      <c r="H46" s="10" t="s">
        <v>2168</v>
      </c>
      <c r="I46" s="10" t="s">
        <v>2135</v>
      </c>
      <c r="J46" s="10" t="s">
        <v>129</v>
      </c>
      <c r="K46" s="10" t="s">
        <v>2192</v>
      </c>
      <c r="L46" s="10" t="s">
        <v>2170</v>
      </c>
      <c r="M46" s="64" t="s">
        <v>2168</v>
      </c>
      <c r="N46" s="10" t="s">
        <v>2193</v>
      </c>
    </row>
    <row r="47" spans="1:14" s="4" customFormat="1" ht="30" hidden="1" customHeight="1" x14ac:dyDescent="0.25">
      <c r="A47" s="9" t="s">
        <v>378</v>
      </c>
      <c r="B47" s="13">
        <f>VLOOKUP(Table245[[#This Row],[Location 
(drop-down)]],'List source'!D$2:E$59,2,FALSE)</f>
        <v>116</v>
      </c>
      <c r="C47" s="25" t="s">
        <v>169</v>
      </c>
      <c r="D47" s="33" t="str">
        <f t="shared" si="1"/>
        <v>A046-116-23</v>
      </c>
      <c r="E47" s="65">
        <v>45057</v>
      </c>
      <c r="F47" s="65">
        <v>45057</v>
      </c>
      <c r="G47" s="47" t="s">
        <v>32</v>
      </c>
      <c r="H47" s="10" t="s">
        <v>2168</v>
      </c>
      <c r="I47" s="10" t="s">
        <v>2135</v>
      </c>
      <c r="J47" s="10" t="s">
        <v>129</v>
      </c>
      <c r="K47" s="10" t="s">
        <v>2192</v>
      </c>
      <c r="L47" s="10" t="s">
        <v>2170</v>
      </c>
      <c r="M47" s="64" t="s">
        <v>2168</v>
      </c>
      <c r="N47" s="10" t="s">
        <v>2193</v>
      </c>
    </row>
    <row r="48" spans="1:14" s="4" customFormat="1" ht="30" hidden="1" customHeight="1" x14ac:dyDescent="0.25">
      <c r="A48" s="9" t="s">
        <v>1245</v>
      </c>
      <c r="B48" s="13">
        <f>VLOOKUP(Table245[[#This Row],[Location 
(drop-down)]],'List source'!D$2:E$59,2,FALSE)</f>
        <v>133</v>
      </c>
      <c r="C48" s="25" t="s">
        <v>172</v>
      </c>
      <c r="D48" s="33" t="str">
        <f t="shared" si="1"/>
        <v>A047-133-23</v>
      </c>
      <c r="E48" s="65">
        <v>45083</v>
      </c>
      <c r="F48" s="65">
        <v>45084</v>
      </c>
      <c r="G48" s="47" t="s">
        <v>32</v>
      </c>
      <c r="H48" s="10" t="s">
        <v>2168</v>
      </c>
      <c r="I48" s="10" t="s">
        <v>2135</v>
      </c>
      <c r="J48" s="10" t="s">
        <v>129</v>
      </c>
      <c r="K48" s="10" t="s">
        <v>2194</v>
      </c>
      <c r="L48" s="10" t="s">
        <v>2170</v>
      </c>
      <c r="M48" s="64" t="s">
        <v>2168</v>
      </c>
      <c r="N48" s="10" t="s">
        <v>2193</v>
      </c>
    </row>
    <row r="49" spans="1:14" s="4" customFormat="1" ht="30" customHeight="1" x14ac:dyDescent="0.25">
      <c r="A49" s="9" t="s">
        <v>411</v>
      </c>
      <c r="B49" s="13">
        <f>VLOOKUP(Table245[[#This Row],[Location 
(drop-down)]],'List source'!D$2:E$59,2,FALSE)</f>
        <v>185</v>
      </c>
      <c r="C49" s="25" t="s">
        <v>175</v>
      </c>
      <c r="D49" s="69" t="str">
        <f t="shared" si="1"/>
        <v>A048-185-23</v>
      </c>
      <c r="E49" s="47">
        <v>45027</v>
      </c>
      <c r="F49" s="47">
        <v>45029</v>
      </c>
      <c r="G49" s="65">
        <v>45035</v>
      </c>
      <c r="H49" s="10" t="s">
        <v>2134</v>
      </c>
      <c r="I49" s="10" t="s">
        <v>2135</v>
      </c>
      <c r="J49" s="10" t="s">
        <v>443</v>
      </c>
      <c r="K49" s="10" t="s">
        <v>2195</v>
      </c>
      <c r="L49" s="10" t="s">
        <v>2136</v>
      </c>
      <c r="M49" s="10"/>
      <c r="N49" s="10" t="s">
        <v>2137</v>
      </c>
    </row>
    <row r="50" spans="1:14" s="4" customFormat="1" ht="30" customHeight="1" x14ac:dyDescent="0.25">
      <c r="A50" s="9" t="s">
        <v>22</v>
      </c>
      <c r="B50" s="13">
        <f>VLOOKUP(Table245[[#This Row],[Location 
(drop-down)]],'List source'!D$2:E$59,2,FALSE)</f>
        <v>130</v>
      </c>
      <c r="C50" s="25" t="s">
        <v>179</v>
      </c>
      <c r="D50" s="33" t="str">
        <f t="shared" si="1"/>
        <v>A049-130-23</v>
      </c>
      <c r="E50" s="65">
        <v>45040</v>
      </c>
      <c r="F50" s="65">
        <v>45043</v>
      </c>
      <c r="G50" s="65">
        <v>45050</v>
      </c>
      <c r="H50" s="10" t="s">
        <v>2134</v>
      </c>
      <c r="I50" s="10" t="s">
        <v>2135</v>
      </c>
      <c r="J50" s="10" t="s">
        <v>435</v>
      </c>
      <c r="K50" s="10" t="s">
        <v>2196</v>
      </c>
      <c r="L50" s="10" t="s">
        <v>2136</v>
      </c>
      <c r="M50" s="10"/>
      <c r="N50" s="10" t="s">
        <v>2137</v>
      </c>
    </row>
    <row r="51" spans="1:14" s="4" customFormat="1" ht="30" hidden="1" customHeight="1" x14ac:dyDescent="0.25">
      <c r="A51" s="9" t="s">
        <v>22</v>
      </c>
      <c r="B51" s="13">
        <f>VLOOKUP(Table245[[#This Row],[Location 
(drop-down)]],'List source'!D$2:E$59,2,FALSE)</f>
        <v>130</v>
      </c>
      <c r="C51" s="25" t="s">
        <v>181</v>
      </c>
      <c r="D51" s="33" t="str">
        <f t="shared" si="1"/>
        <v>A050-130-23</v>
      </c>
      <c r="E51" s="65">
        <v>45040</v>
      </c>
      <c r="F51" s="65">
        <v>45043</v>
      </c>
      <c r="G51" s="65">
        <v>45050</v>
      </c>
      <c r="H51" s="10" t="s">
        <v>2134</v>
      </c>
      <c r="I51" s="10" t="s">
        <v>2139</v>
      </c>
      <c r="J51" s="10" t="s">
        <v>435</v>
      </c>
      <c r="K51" s="10" t="s">
        <v>2196</v>
      </c>
      <c r="L51" s="10" t="s">
        <v>2136</v>
      </c>
      <c r="M51" s="10"/>
      <c r="N51" s="10" t="s">
        <v>2140</v>
      </c>
    </row>
    <row r="52" spans="1:14" s="4" customFormat="1" ht="30" hidden="1" customHeight="1" x14ac:dyDescent="0.25">
      <c r="A52" s="9" t="s">
        <v>22</v>
      </c>
      <c r="B52" s="13">
        <f>VLOOKUP(Table245[[#This Row],[Location 
(drop-down)]],'List source'!D$2:E$59,2,FALSE)</f>
        <v>130</v>
      </c>
      <c r="C52" s="25" t="s">
        <v>183</v>
      </c>
      <c r="D52" s="33" t="str">
        <f t="shared" si="1"/>
        <v>A051-130-23</v>
      </c>
      <c r="E52" s="65">
        <v>45040</v>
      </c>
      <c r="F52" s="65">
        <v>45043</v>
      </c>
      <c r="G52" s="65">
        <v>45050</v>
      </c>
      <c r="H52" s="10" t="s">
        <v>2134</v>
      </c>
      <c r="I52" s="10" t="s">
        <v>2139</v>
      </c>
      <c r="J52" s="10" t="s">
        <v>435</v>
      </c>
      <c r="K52" s="10" t="s">
        <v>2196</v>
      </c>
      <c r="L52" s="10" t="s">
        <v>2136</v>
      </c>
      <c r="M52" s="10"/>
      <c r="N52" s="10" t="s">
        <v>2183</v>
      </c>
    </row>
    <row r="53" spans="1:14" s="4" customFormat="1" ht="30" hidden="1" customHeight="1" x14ac:dyDescent="0.25">
      <c r="A53" s="9" t="s">
        <v>953</v>
      </c>
      <c r="B53" s="13">
        <f>VLOOKUP(Table245[[#This Row],[Location 
(drop-down)]],'List source'!D$2:E$59,2,FALSE)</f>
        <v>121</v>
      </c>
      <c r="C53" s="25" t="s">
        <v>187</v>
      </c>
      <c r="D53" s="33" t="str">
        <f t="shared" si="1"/>
        <v>A052-121-23</v>
      </c>
      <c r="E53" s="65">
        <v>45062</v>
      </c>
      <c r="F53" s="65">
        <v>45062</v>
      </c>
      <c r="G53" s="47" t="s">
        <v>32</v>
      </c>
      <c r="H53" s="10" t="s">
        <v>2168</v>
      </c>
      <c r="I53" s="10" t="s">
        <v>2147</v>
      </c>
      <c r="J53" s="10" t="s">
        <v>129</v>
      </c>
      <c r="K53" s="10" t="s">
        <v>2170</v>
      </c>
      <c r="L53" s="10" t="s">
        <v>2170</v>
      </c>
      <c r="M53" s="10" t="s">
        <v>2168</v>
      </c>
      <c r="N53" s="10" t="s">
        <v>2193</v>
      </c>
    </row>
    <row r="54" spans="1:14" s="4" customFormat="1" ht="30" hidden="1" customHeight="1" x14ac:dyDescent="0.25">
      <c r="A54" s="9" t="s">
        <v>72</v>
      </c>
      <c r="B54" s="13">
        <f>VLOOKUP(Table245[[#This Row],[Location 
(drop-down)]],'List source'!D$2:E$59,2,FALSE)</f>
        <v>197</v>
      </c>
      <c r="C54" s="25" t="s">
        <v>191</v>
      </c>
      <c r="D54" s="33" t="str">
        <f t="shared" si="1"/>
        <v>A053-197-23</v>
      </c>
      <c r="E54" s="65">
        <v>45096</v>
      </c>
      <c r="F54" s="65">
        <v>45096</v>
      </c>
      <c r="G54" s="65">
        <v>45137</v>
      </c>
      <c r="H54" s="10" t="s">
        <v>2142</v>
      </c>
      <c r="I54" s="10" t="s">
        <v>2135</v>
      </c>
      <c r="J54" s="10" t="s">
        <v>129</v>
      </c>
      <c r="K54" s="10" t="s">
        <v>2197</v>
      </c>
      <c r="L54" s="10" t="s">
        <v>2198</v>
      </c>
      <c r="M54" s="64" t="s">
        <v>2142</v>
      </c>
      <c r="N54" s="10" t="s">
        <v>2199</v>
      </c>
    </row>
    <row r="55" spans="1:14" s="4" customFormat="1" ht="30" hidden="1" customHeight="1" x14ac:dyDescent="0.25">
      <c r="A55" s="9" t="s">
        <v>131</v>
      </c>
      <c r="B55" s="13" t="str">
        <f>VLOOKUP(Table245[[#This Row],[Location 
(drop-down)]],'List source'!D$2:E$59,2,FALSE)</f>
        <v>VOID</v>
      </c>
      <c r="C55" s="25" t="s">
        <v>194</v>
      </c>
      <c r="D55" s="33" t="str">
        <f t="shared" si="1"/>
        <v>A054-VOID-23</v>
      </c>
      <c r="E55" s="65" t="s">
        <v>50</v>
      </c>
      <c r="F55" s="65" t="s">
        <v>50</v>
      </c>
      <c r="G55" s="65" t="s">
        <v>50</v>
      </c>
      <c r="H55" s="65" t="s">
        <v>50</v>
      </c>
      <c r="I55" s="65" t="s">
        <v>50</v>
      </c>
      <c r="J55" s="65" t="s">
        <v>50</v>
      </c>
      <c r="K55" s="65" t="s">
        <v>50</v>
      </c>
      <c r="L55" s="65" t="s">
        <v>50</v>
      </c>
      <c r="M55" s="65" t="s">
        <v>50</v>
      </c>
      <c r="N55" s="10" t="s">
        <v>50</v>
      </c>
    </row>
    <row r="56" spans="1:14" s="4" customFormat="1" ht="30" hidden="1" customHeight="1" x14ac:dyDescent="0.25">
      <c r="A56" s="9" t="s">
        <v>324</v>
      </c>
      <c r="B56" s="13">
        <f>VLOOKUP(Table245[[#This Row],[Location 
(drop-down)]],'List source'!D$2:E$59,2,FALSE)</f>
        <v>170</v>
      </c>
      <c r="C56" s="25" t="s">
        <v>195</v>
      </c>
      <c r="D56" s="33" t="str">
        <f t="shared" si="1"/>
        <v>A055-170-23</v>
      </c>
      <c r="E56" s="65">
        <v>45098</v>
      </c>
      <c r="F56" s="65">
        <v>45098</v>
      </c>
      <c r="G56" s="65">
        <v>45098</v>
      </c>
      <c r="H56" s="10" t="s">
        <v>2142</v>
      </c>
      <c r="I56" s="10" t="s">
        <v>2135</v>
      </c>
      <c r="J56" s="10" t="s">
        <v>129</v>
      </c>
      <c r="K56" s="10" t="s">
        <v>2200</v>
      </c>
      <c r="L56" s="10" t="s">
        <v>2198</v>
      </c>
      <c r="M56" s="64" t="s">
        <v>2142</v>
      </c>
      <c r="N56" s="10" t="s">
        <v>2199</v>
      </c>
    </row>
    <row r="57" spans="1:14" s="4" customFormat="1" ht="30" hidden="1" customHeight="1" x14ac:dyDescent="0.25">
      <c r="A57" s="9" t="s">
        <v>171</v>
      </c>
      <c r="B57" s="13">
        <f>VLOOKUP(Table245[[#This Row],[Location 
(drop-down)]],'List source'!D$2:E$59,2,FALSE)</f>
        <v>160</v>
      </c>
      <c r="C57" s="25" t="s">
        <v>200</v>
      </c>
      <c r="D57" s="33" t="str">
        <f t="shared" si="1"/>
        <v>A056-160-23</v>
      </c>
      <c r="E57" s="65">
        <v>45100</v>
      </c>
      <c r="F57" s="65">
        <v>45100</v>
      </c>
      <c r="G57" s="65">
        <v>45137</v>
      </c>
      <c r="H57" s="10" t="s">
        <v>2142</v>
      </c>
      <c r="I57" s="10" t="s">
        <v>2135</v>
      </c>
      <c r="J57" s="10" t="s">
        <v>129</v>
      </c>
      <c r="K57" s="10" t="s">
        <v>2201</v>
      </c>
      <c r="L57" s="10" t="s">
        <v>2198</v>
      </c>
      <c r="M57" s="64" t="s">
        <v>2142</v>
      </c>
      <c r="N57" s="10" t="s">
        <v>2199</v>
      </c>
    </row>
    <row r="58" spans="1:14" s="4" customFormat="1" ht="30" hidden="1" customHeight="1" x14ac:dyDescent="0.25">
      <c r="A58" s="9" t="s">
        <v>237</v>
      </c>
      <c r="B58" s="13">
        <f>VLOOKUP(Table245[[#This Row],[Location 
(drop-down)]],'List source'!D$2:E$59,2,FALSE)</f>
        <v>192</v>
      </c>
      <c r="C58" s="25" t="s">
        <v>203</v>
      </c>
      <c r="D58" s="33" t="str">
        <f t="shared" si="1"/>
        <v>A057-192-23</v>
      </c>
      <c r="E58" s="65">
        <v>45114</v>
      </c>
      <c r="F58" s="65">
        <v>45114</v>
      </c>
      <c r="G58" s="65">
        <v>45137</v>
      </c>
      <c r="H58" s="10" t="s">
        <v>2142</v>
      </c>
      <c r="I58" s="10" t="s">
        <v>2135</v>
      </c>
      <c r="J58" s="10" t="s">
        <v>129</v>
      </c>
      <c r="K58" s="10" t="s">
        <v>2202</v>
      </c>
      <c r="L58" s="10" t="s">
        <v>2198</v>
      </c>
      <c r="M58" s="64" t="s">
        <v>2142</v>
      </c>
      <c r="N58" s="10" t="s">
        <v>2199</v>
      </c>
    </row>
    <row r="59" spans="1:14" s="4" customFormat="1" ht="30" hidden="1" customHeight="1" x14ac:dyDescent="0.25">
      <c r="A59" s="9" t="s">
        <v>126</v>
      </c>
      <c r="B59" s="13">
        <f>VLOOKUP(Table245[[#This Row],[Location 
(drop-down)]],'List source'!D$2:E$59,2,FALSE)</f>
        <v>125</v>
      </c>
      <c r="C59" s="25" t="s">
        <v>206</v>
      </c>
      <c r="D59" s="33" t="str">
        <f t="shared" si="1"/>
        <v>A058-125-23</v>
      </c>
      <c r="E59" s="65">
        <v>45133</v>
      </c>
      <c r="F59" s="65">
        <v>45133</v>
      </c>
      <c r="G59" s="65">
        <v>45137</v>
      </c>
      <c r="H59" s="10" t="s">
        <v>2142</v>
      </c>
      <c r="I59" s="10" t="s">
        <v>2135</v>
      </c>
      <c r="J59" s="10" t="s">
        <v>129</v>
      </c>
      <c r="K59" s="10" t="s">
        <v>2202</v>
      </c>
      <c r="L59" s="10" t="s">
        <v>2198</v>
      </c>
      <c r="M59" s="64" t="s">
        <v>2142</v>
      </c>
      <c r="N59" s="10" t="s">
        <v>2199</v>
      </c>
    </row>
    <row r="60" spans="1:14" s="4" customFormat="1" ht="30" customHeight="1" x14ac:dyDescent="0.25">
      <c r="A60" s="9" t="s">
        <v>168</v>
      </c>
      <c r="B60" s="13">
        <f>VLOOKUP(Table245[[#This Row],[Location 
(drop-down)]],'List source'!D$2:E$59,2,FALSE)</f>
        <v>136</v>
      </c>
      <c r="C60" s="25" t="s">
        <v>209</v>
      </c>
      <c r="D60" s="33" t="str">
        <f t="shared" si="1"/>
        <v>A059-136-23</v>
      </c>
      <c r="E60" s="65">
        <v>45055</v>
      </c>
      <c r="F60" s="65">
        <v>45057</v>
      </c>
      <c r="G60" s="65">
        <v>45062</v>
      </c>
      <c r="H60" s="10" t="s">
        <v>2134</v>
      </c>
      <c r="I60" s="10" t="s">
        <v>2135</v>
      </c>
      <c r="J60" s="10" t="s">
        <v>435</v>
      </c>
      <c r="K60" s="10" t="s">
        <v>2203</v>
      </c>
      <c r="L60" s="10" t="s">
        <v>2136</v>
      </c>
      <c r="M60" s="64"/>
      <c r="N60" s="10" t="s">
        <v>2137</v>
      </c>
    </row>
    <row r="61" spans="1:14" s="4" customFormat="1" ht="30" customHeight="1" x14ac:dyDescent="0.25">
      <c r="A61" s="9" t="s">
        <v>72</v>
      </c>
      <c r="B61" s="13">
        <f>VLOOKUP(Table245[[#This Row],[Location 
(drop-down)]],'List source'!D$2:E$59,2,FALSE)</f>
        <v>197</v>
      </c>
      <c r="C61" s="25" t="s">
        <v>212</v>
      </c>
      <c r="D61" s="33" t="str">
        <f t="shared" si="1"/>
        <v>A060-197-23</v>
      </c>
      <c r="E61" s="65">
        <v>45069</v>
      </c>
      <c r="F61" s="65">
        <v>45071</v>
      </c>
      <c r="G61" s="65">
        <v>45099</v>
      </c>
      <c r="H61" s="10" t="s">
        <v>2134</v>
      </c>
      <c r="I61" s="10" t="s">
        <v>2135</v>
      </c>
      <c r="J61" s="10" t="s">
        <v>440</v>
      </c>
      <c r="K61" s="10" t="s">
        <v>2184</v>
      </c>
      <c r="L61" s="10" t="s">
        <v>2136</v>
      </c>
      <c r="M61" s="64"/>
      <c r="N61" s="10" t="s">
        <v>2137</v>
      </c>
    </row>
    <row r="62" spans="1:14" s="4" customFormat="1" ht="30" hidden="1" customHeight="1" x14ac:dyDescent="0.25">
      <c r="A62" s="9" t="s">
        <v>72</v>
      </c>
      <c r="B62" s="13">
        <f>VLOOKUP(Table245[[#This Row],[Location 
(drop-down)]],'List source'!D$2:E$59,2,FALSE)</f>
        <v>197</v>
      </c>
      <c r="C62" s="25" t="s">
        <v>214</v>
      </c>
      <c r="D62" s="33" t="str">
        <f t="shared" si="1"/>
        <v>A061-197-23</v>
      </c>
      <c r="E62" s="65">
        <v>45069</v>
      </c>
      <c r="F62" s="65">
        <v>45071</v>
      </c>
      <c r="G62" s="65">
        <v>45099</v>
      </c>
      <c r="H62" s="10" t="s">
        <v>2134</v>
      </c>
      <c r="I62" s="10" t="s">
        <v>2139</v>
      </c>
      <c r="J62" s="10" t="s">
        <v>440</v>
      </c>
      <c r="K62" s="10" t="s">
        <v>2184</v>
      </c>
      <c r="L62" s="10" t="s">
        <v>2136</v>
      </c>
      <c r="M62" s="64"/>
      <c r="N62" s="10" t="s">
        <v>2140</v>
      </c>
    </row>
    <row r="63" spans="1:14" s="4" customFormat="1" ht="30" hidden="1" customHeight="1" x14ac:dyDescent="0.25">
      <c r="A63" s="9" t="s">
        <v>168</v>
      </c>
      <c r="B63" s="13">
        <f>VLOOKUP(Table245[[#This Row],[Location 
(drop-down)]],'List source'!D$2:E$59,2,FALSE)</f>
        <v>136</v>
      </c>
      <c r="C63" s="25" t="s">
        <v>217</v>
      </c>
      <c r="D63" s="33" t="str">
        <f t="shared" si="1"/>
        <v>A062-136-23</v>
      </c>
      <c r="E63" s="65">
        <v>45044</v>
      </c>
      <c r="F63" s="65">
        <v>45044</v>
      </c>
      <c r="G63" s="65">
        <v>45070</v>
      </c>
      <c r="H63" s="10" t="s">
        <v>2146</v>
      </c>
      <c r="I63" s="10" t="s">
        <v>2139</v>
      </c>
      <c r="J63" s="10" t="s">
        <v>2150</v>
      </c>
      <c r="K63" s="10" t="s">
        <v>2204</v>
      </c>
      <c r="L63" s="10" t="s">
        <v>2179</v>
      </c>
      <c r="M63" s="64"/>
      <c r="N63" s="10"/>
    </row>
    <row r="64" spans="1:14" s="4" customFormat="1" ht="30" hidden="1" customHeight="1" x14ac:dyDescent="0.25">
      <c r="A64" s="9" t="s">
        <v>168</v>
      </c>
      <c r="B64" s="13">
        <f>VLOOKUP(Table245[[#This Row],[Location 
(drop-down)]],'List source'!D$2:E$59,2,FALSE)</f>
        <v>136</v>
      </c>
      <c r="C64" s="25" t="s">
        <v>220</v>
      </c>
      <c r="D64" s="33" t="str">
        <f t="shared" si="1"/>
        <v>A063-136-23</v>
      </c>
      <c r="E64" s="65">
        <v>45051</v>
      </c>
      <c r="F64" s="65">
        <v>45051</v>
      </c>
      <c r="G64" s="65" t="s">
        <v>2172</v>
      </c>
      <c r="H64" s="10" t="s">
        <v>2146</v>
      </c>
      <c r="I64" s="10" t="s">
        <v>2139</v>
      </c>
      <c r="J64" s="10" t="s">
        <v>2150</v>
      </c>
      <c r="K64" s="10"/>
      <c r="L64" s="10" t="s">
        <v>2177</v>
      </c>
      <c r="M64" s="64"/>
      <c r="N64" s="10"/>
    </row>
    <row r="65" spans="1:14" s="4" customFormat="1" ht="30" customHeight="1" x14ac:dyDescent="0.25">
      <c r="A65" s="9" t="s">
        <v>826</v>
      </c>
      <c r="B65" s="13">
        <f>VLOOKUP(Table245[[#This Row],[Location 
(drop-down)]],'List source'!D$2:E$59,2,FALSE)</f>
        <v>145</v>
      </c>
      <c r="C65" s="25" t="s">
        <v>222</v>
      </c>
      <c r="D65" s="33" t="str">
        <f t="shared" si="1"/>
        <v>A064-145-23</v>
      </c>
      <c r="E65" s="65">
        <v>45054</v>
      </c>
      <c r="F65" s="65">
        <v>45056</v>
      </c>
      <c r="G65" s="65">
        <v>45062</v>
      </c>
      <c r="H65" s="10" t="s">
        <v>2134</v>
      </c>
      <c r="I65" s="10" t="s">
        <v>2135</v>
      </c>
      <c r="J65" s="10" t="s">
        <v>443</v>
      </c>
      <c r="K65" s="10" t="s">
        <v>443</v>
      </c>
      <c r="L65" s="10" t="s">
        <v>2136</v>
      </c>
      <c r="M65" s="64"/>
      <c r="N65" s="10" t="s">
        <v>2137</v>
      </c>
    </row>
    <row r="66" spans="1:14" s="4" customFormat="1" ht="30" hidden="1" customHeight="1" x14ac:dyDescent="0.25">
      <c r="A66" s="9" t="s">
        <v>72</v>
      </c>
      <c r="B66" s="13">
        <f>VLOOKUP(Table245[[#This Row],[Location 
(drop-down)]],'List source'!D$2:E$59,2,FALSE)</f>
        <v>197</v>
      </c>
      <c r="C66" s="25" t="s">
        <v>224</v>
      </c>
      <c r="D66" s="220" t="str">
        <f t="shared" ref="D66:D89" si="2">"A" &amp; C66 &amp; "-" &amp; B66 &amp; "-" &amp; "23"</f>
        <v>A065-197-23</v>
      </c>
      <c r="E66" s="65">
        <v>45026</v>
      </c>
      <c r="F66" s="65">
        <v>45052</v>
      </c>
      <c r="G66" s="65">
        <v>45052</v>
      </c>
      <c r="H66" s="10" t="s">
        <v>2146</v>
      </c>
      <c r="I66" s="10" t="s">
        <v>2135</v>
      </c>
      <c r="J66" s="10" t="s">
        <v>440</v>
      </c>
      <c r="K66" s="10" t="s">
        <v>2205</v>
      </c>
      <c r="L66" s="10" t="s">
        <v>2206</v>
      </c>
      <c r="M66" s="64"/>
      <c r="N66" s="10" t="s">
        <v>2207</v>
      </c>
    </row>
    <row r="67" spans="1:14" s="4" customFormat="1" ht="30" hidden="1" customHeight="1" x14ac:dyDescent="0.25">
      <c r="A67" s="9" t="s">
        <v>72</v>
      </c>
      <c r="B67" s="13">
        <f>VLOOKUP(Table245[[#This Row],[Location 
(drop-down)]],'List source'!D$2:E$59,2,FALSE)</f>
        <v>197</v>
      </c>
      <c r="C67" s="25" t="s">
        <v>227</v>
      </c>
      <c r="D67" s="33" t="str">
        <f t="shared" si="2"/>
        <v>A066-197-23</v>
      </c>
      <c r="E67" s="65">
        <v>45048</v>
      </c>
      <c r="F67" s="65">
        <v>45048</v>
      </c>
      <c r="G67" s="65">
        <v>45099</v>
      </c>
      <c r="H67" s="10" t="s">
        <v>2146</v>
      </c>
      <c r="I67" s="10" t="s">
        <v>2135</v>
      </c>
      <c r="J67" s="10" t="s">
        <v>440</v>
      </c>
      <c r="K67" s="10" t="s">
        <v>2208</v>
      </c>
      <c r="L67" s="10" t="s">
        <v>2209</v>
      </c>
      <c r="M67" s="64"/>
      <c r="N67" s="10" t="s">
        <v>2210</v>
      </c>
    </row>
    <row r="68" spans="1:14" s="4" customFormat="1" ht="30" hidden="1" customHeight="1" x14ac:dyDescent="0.25">
      <c r="A68" s="9" t="s">
        <v>826</v>
      </c>
      <c r="B68" s="13">
        <f>VLOOKUP(Table245[[#This Row],[Location 
(drop-down)]],'List source'!D$2:E$59,2,FALSE)</f>
        <v>145</v>
      </c>
      <c r="C68" s="25" t="s">
        <v>229</v>
      </c>
      <c r="D68" s="33" t="str">
        <f t="shared" si="2"/>
        <v>A067-145-23</v>
      </c>
      <c r="E68" s="65">
        <v>45084</v>
      </c>
      <c r="F68" s="65">
        <v>45084</v>
      </c>
      <c r="G68" s="65">
        <v>45085</v>
      </c>
      <c r="H68" s="10" t="s">
        <v>2168</v>
      </c>
      <c r="I68" s="10" t="s">
        <v>2135</v>
      </c>
      <c r="J68" s="10" t="s">
        <v>129</v>
      </c>
      <c r="K68" s="10" t="s">
        <v>2211</v>
      </c>
      <c r="L68" s="10" t="s">
        <v>2170</v>
      </c>
      <c r="M68" s="10" t="s">
        <v>2168</v>
      </c>
      <c r="N68" s="10" t="s">
        <v>2193</v>
      </c>
    </row>
    <row r="69" spans="1:14" s="4" customFormat="1" ht="30" customHeight="1" x14ac:dyDescent="0.25">
      <c r="A69" s="9" t="s">
        <v>1245</v>
      </c>
      <c r="B69" s="13">
        <f>VLOOKUP(Table245[[#This Row],[Location 
(drop-down)]],'List source'!D$2:E$59,2,FALSE)</f>
        <v>133</v>
      </c>
      <c r="C69" s="25" t="s">
        <v>232</v>
      </c>
      <c r="D69" s="33" t="str">
        <f t="shared" si="2"/>
        <v>A068-133-23</v>
      </c>
      <c r="E69" s="47">
        <v>45083</v>
      </c>
      <c r="F69" s="47">
        <v>45084</v>
      </c>
      <c r="G69" s="65">
        <v>45107</v>
      </c>
      <c r="H69" s="10" t="s">
        <v>2134</v>
      </c>
      <c r="I69" s="10" t="s">
        <v>2135</v>
      </c>
      <c r="J69" s="10" t="s">
        <v>2150</v>
      </c>
      <c r="K69" s="10" t="s">
        <v>129</v>
      </c>
      <c r="L69" s="10" t="s">
        <v>2136</v>
      </c>
      <c r="M69" s="64"/>
      <c r="N69" s="10" t="s">
        <v>2137</v>
      </c>
    </row>
    <row r="70" spans="1:14" s="4" customFormat="1" ht="30" hidden="1" customHeight="1" x14ac:dyDescent="0.25">
      <c r="A70" s="9" t="s">
        <v>171</v>
      </c>
      <c r="B70" s="13">
        <f>VLOOKUP(Table245[[#This Row],[Location 
(drop-down)]],'List source'!D$2:E$59,2,FALSE)</f>
        <v>160</v>
      </c>
      <c r="C70" s="25" t="s">
        <v>234</v>
      </c>
      <c r="D70" s="33" t="str">
        <f t="shared" si="2"/>
        <v>A069-160-23</v>
      </c>
      <c r="E70" s="47">
        <v>45055</v>
      </c>
      <c r="F70" s="47">
        <v>45055</v>
      </c>
      <c r="G70" s="47" t="s">
        <v>32</v>
      </c>
      <c r="H70" s="10" t="s">
        <v>2168</v>
      </c>
      <c r="I70" s="10" t="s">
        <v>2135</v>
      </c>
      <c r="J70" s="10" t="s">
        <v>440</v>
      </c>
      <c r="K70" s="10" t="s">
        <v>2212</v>
      </c>
      <c r="L70" s="10" t="s">
        <v>2170</v>
      </c>
      <c r="M70" s="64" t="s">
        <v>2168</v>
      </c>
      <c r="N70" s="104" t="s">
        <v>2193</v>
      </c>
    </row>
    <row r="71" spans="1:14" s="4" customFormat="1" ht="30" hidden="1" customHeight="1" x14ac:dyDescent="0.25">
      <c r="A71" s="9" t="s">
        <v>131</v>
      </c>
      <c r="B71" s="13" t="str">
        <f>VLOOKUP(Table245[[#This Row],[Location 
(drop-down)]],'List source'!D$2:E$59,2,FALSE)</f>
        <v>VOID</v>
      </c>
      <c r="C71" s="25" t="s">
        <v>238</v>
      </c>
      <c r="D71" s="33" t="str">
        <f t="shared" si="2"/>
        <v>A070-VOID-23</v>
      </c>
      <c r="E71" s="47" t="s">
        <v>50</v>
      </c>
      <c r="F71" s="47" t="s">
        <v>50</v>
      </c>
      <c r="G71" s="65" t="s">
        <v>50</v>
      </c>
      <c r="H71" s="10" t="s">
        <v>50</v>
      </c>
      <c r="I71" s="10" t="s">
        <v>50</v>
      </c>
      <c r="J71" s="10" t="s">
        <v>50</v>
      </c>
      <c r="K71" s="10" t="s">
        <v>50</v>
      </c>
      <c r="L71" s="10" t="s">
        <v>50</v>
      </c>
      <c r="M71" s="64" t="s">
        <v>50</v>
      </c>
      <c r="N71" s="10" t="s">
        <v>2213</v>
      </c>
    </row>
    <row r="72" spans="1:14" s="4" customFormat="1" ht="30" hidden="1" customHeight="1" x14ac:dyDescent="0.25">
      <c r="A72" s="9" t="s">
        <v>131</v>
      </c>
      <c r="B72" s="13" t="str">
        <f>VLOOKUP(Table245[[#This Row],[Location 
(drop-down)]],'List source'!D$2:E$59,2,FALSE)</f>
        <v>VOID</v>
      </c>
      <c r="C72" s="25" t="s">
        <v>240</v>
      </c>
      <c r="D72" s="33" t="str">
        <f t="shared" si="2"/>
        <v>A071-VOID-23</v>
      </c>
      <c r="E72" s="65" t="s">
        <v>50</v>
      </c>
      <c r="F72" s="65" t="s">
        <v>50</v>
      </c>
      <c r="G72" s="65" t="s">
        <v>50</v>
      </c>
      <c r="H72" s="10" t="s">
        <v>50</v>
      </c>
      <c r="I72" s="10" t="s">
        <v>50</v>
      </c>
      <c r="J72" s="10" t="s">
        <v>50</v>
      </c>
      <c r="K72" s="10" t="s">
        <v>50</v>
      </c>
      <c r="L72" s="10" t="s">
        <v>50</v>
      </c>
      <c r="M72" s="64"/>
      <c r="N72" s="10"/>
    </row>
    <row r="73" spans="1:14" s="4" customFormat="1" ht="30" hidden="1" customHeight="1" x14ac:dyDescent="0.25">
      <c r="A73" s="9" t="s">
        <v>61</v>
      </c>
      <c r="B73" s="13">
        <f>VLOOKUP(Table245[[#This Row],[Location 
(drop-down)]],'List source'!D$2:E$59,2,FALSE)</f>
        <v>120</v>
      </c>
      <c r="C73" s="25" t="s">
        <v>244</v>
      </c>
      <c r="D73" s="33" t="str">
        <f t="shared" si="2"/>
        <v>A072-120-23</v>
      </c>
      <c r="E73" s="65">
        <v>45055</v>
      </c>
      <c r="F73" s="65">
        <v>45055</v>
      </c>
      <c r="G73" s="65" t="s">
        <v>32</v>
      </c>
      <c r="H73" s="10" t="s">
        <v>2168</v>
      </c>
      <c r="I73" s="10" t="s">
        <v>2135</v>
      </c>
      <c r="J73" s="10" t="s">
        <v>440</v>
      </c>
      <c r="K73" s="10" t="s">
        <v>2212</v>
      </c>
      <c r="L73" s="10" t="s">
        <v>2170</v>
      </c>
      <c r="M73" s="64" t="s">
        <v>2168</v>
      </c>
      <c r="N73" s="10" t="s">
        <v>2193</v>
      </c>
    </row>
    <row r="74" spans="1:14" s="4" customFormat="1" ht="30" customHeight="1" x14ac:dyDescent="0.25">
      <c r="A74" s="9" t="s">
        <v>1289</v>
      </c>
      <c r="B74" s="13">
        <f>VLOOKUP(Table245[[#This Row],[Location 
(drop-down)]],'List source'!D$2:E$59,2,FALSE)</f>
        <v>194</v>
      </c>
      <c r="C74" s="25" t="s">
        <v>246</v>
      </c>
      <c r="D74" s="33" t="str">
        <f t="shared" si="2"/>
        <v>A073-194-23</v>
      </c>
      <c r="E74" s="65">
        <v>45096</v>
      </c>
      <c r="F74" s="65">
        <v>45099</v>
      </c>
      <c r="G74" s="47">
        <v>45107</v>
      </c>
      <c r="H74" s="10" t="s">
        <v>2134</v>
      </c>
      <c r="I74" s="10" t="s">
        <v>2135</v>
      </c>
      <c r="J74" s="10" t="s">
        <v>435</v>
      </c>
      <c r="K74" s="10" t="s">
        <v>435</v>
      </c>
      <c r="L74" s="10" t="s">
        <v>2136</v>
      </c>
      <c r="M74" s="64"/>
      <c r="N74" s="10" t="s">
        <v>2137</v>
      </c>
    </row>
    <row r="75" spans="1:14" s="4" customFormat="1" ht="30" hidden="1" customHeight="1" x14ac:dyDescent="0.25">
      <c r="A75" s="9" t="s">
        <v>1289</v>
      </c>
      <c r="B75" s="13">
        <f>VLOOKUP(Table245[[#This Row],[Location 
(drop-down)]],'List source'!D$2:E$59,2,FALSE)</f>
        <v>194</v>
      </c>
      <c r="C75" s="25" t="s">
        <v>248</v>
      </c>
      <c r="D75" s="33" t="str">
        <f t="shared" si="2"/>
        <v>A074-194-23</v>
      </c>
      <c r="E75" s="65">
        <v>45096</v>
      </c>
      <c r="F75" s="65">
        <v>45099</v>
      </c>
      <c r="G75" s="65">
        <v>45107</v>
      </c>
      <c r="H75" s="10" t="s">
        <v>2134</v>
      </c>
      <c r="I75" s="10" t="s">
        <v>2139</v>
      </c>
      <c r="J75" s="10" t="s">
        <v>435</v>
      </c>
      <c r="K75" s="10" t="s">
        <v>435</v>
      </c>
      <c r="L75" s="10" t="s">
        <v>2136</v>
      </c>
      <c r="M75" s="64"/>
      <c r="N75" s="10" t="s">
        <v>2140</v>
      </c>
    </row>
    <row r="76" spans="1:14" s="4" customFormat="1" ht="30" hidden="1" customHeight="1" x14ac:dyDescent="0.25">
      <c r="A76" s="9" t="s">
        <v>1508</v>
      </c>
      <c r="B76" s="13">
        <f>VLOOKUP(Table245[[#This Row],[Location 
(drop-down)]],'List source'!D$2:E$59,2,FALSE)</f>
        <v>140</v>
      </c>
      <c r="C76" s="25" t="s">
        <v>250</v>
      </c>
      <c r="D76" s="303" t="str">
        <f t="shared" si="2"/>
        <v>A075-140-23</v>
      </c>
      <c r="E76" s="65">
        <v>45083</v>
      </c>
      <c r="F76" s="65">
        <v>45083</v>
      </c>
      <c r="G76" s="65" t="s">
        <v>2172</v>
      </c>
      <c r="H76" s="10" t="s">
        <v>2146</v>
      </c>
      <c r="I76" s="10" t="s">
        <v>2139</v>
      </c>
      <c r="J76" s="10" t="s">
        <v>435</v>
      </c>
      <c r="K76" s="10" t="s">
        <v>2214</v>
      </c>
      <c r="L76" s="10" t="s">
        <v>2214</v>
      </c>
      <c r="M76" s="64"/>
      <c r="N76" s="10"/>
    </row>
    <row r="77" spans="1:14" s="4" customFormat="1" ht="30" hidden="1" customHeight="1" x14ac:dyDescent="0.25">
      <c r="A77" s="9" t="s">
        <v>112</v>
      </c>
      <c r="B77" s="13">
        <f>VLOOKUP(Table245[[#This Row],[Location 
(drop-down)]],'List source'!D$2:E$59,2,FALSE)</f>
        <v>115</v>
      </c>
      <c r="C77" s="25" t="s">
        <v>252</v>
      </c>
      <c r="D77" s="33" t="str">
        <f t="shared" si="2"/>
        <v>A076-115-23</v>
      </c>
      <c r="E77" s="65">
        <v>45083</v>
      </c>
      <c r="F77" s="65">
        <v>45084</v>
      </c>
      <c r="G77" s="47" t="s">
        <v>32</v>
      </c>
      <c r="H77" s="10" t="s">
        <v>2146</v>
      </c>
      <c r="I77" s="10" t="s">
        <v>2139</v>
      </c>
      <c r="J77" s="10" t="s">
        <v>440</v>
      </c>
      <c r="K77" s="10" t="s">
        <v>2215</v>
      </c>
      <c r="L77" s="10" t="s">
        <v>2216</v>
      </c>
      <c r="M77" s="64"/>
      <c r="N77" s="10"/>
    </row>
    <row r="78" spans="1:14" s="4" customFormat="1" ht="30" hidden="1" customHeight="1" x14ac:dyDescent="0.25">
      <c r="A78" s="9" t="s">
        <v>171</v>
      </c>
      <c r="B78" s="13">
        <f>VLOOKUP(Table245[[#This Row],[Location 
(drop-down)]],'List source'!D$2:E$59,2,FALSE)</f>
        <v>160</v>
      </c>
      <c r="C78" s="25" t="s">
        <v>256</v>
      </c>
      <c r="D78" s="33" t="str">
        <f t="shared" si="2"/>
        <v>A077-160-23</v>
      </c>
      <c r="E78" s="65">
        <v>45090</v>
      </c>
      <c r="F78" s="65">
        <v>45092</v>
      </c>
      <c r="G78" s="65">
        <v>45458</v>
      </c>
      <c r="H78" s="10" t="s">
        <v>2142</v>
      </c>
      <c r="I78" s="10" t="s">
        <v>2139</v>
      </c>
      <c r="J78" s="10" t="s">
        <v>443</v>
      </c>
      <c r="K78" s="10" t="s">
        <v>2217</v>
      </c>
      <c r="L78" s="10" t="s">
        <v>2159</v>
      </c>
      <c r="M78" s="64" t="s">
        <v>2160</v>
      </c>
      <c r="N78" s="28" t="s">
        <v>2161</v>
      </c>
    </row>
    <row r="79" spans="1:14" s="4" customFormat="1" ht="30" hidden="1" customHeight="1" x14ac:dyDescent="0.25">
      <c r="A79" s="9" t="s">
        <v>75</v>
      </c>
      <c r="B79" s="13">
        <f>VLOOKUP(Table245[[#This Row],[Location 
(drop-down)]],'List source'!D$2:E$59,2,FALSE)</f>
        <v>180</v>
      </c>
      <c r="C79" s="25" t="s">
        <v>259</v>
      </c>
      <c r="D79" s="33" t="str">
        <f t="shared" si="2"/>
        <v>A078-180-23</v>
      </c>
      <c r="E79" s="65">
        <v>45085</v>
      </c>
      <c r="F79" s="65">
        <v>45086</v>
      </c>
      <c r="G79" s="65">
        <v>45119</v>
      </c>
      <c r="H79" s="10" t="s">
        <v>2142</v>
      </c>
      <c r="I79" s="10" t="s">
        <v>2139</v>
      </c>
      <c r="J79" s="10" t="s">
        <v>435</v>
      </c>
      <c r="K79" s="10" t="s">
        <v>2218</v>
      </c>
      <c r="L79" s="10" t="s">
        <v>2219</v>
      </c>
      <c r="M79" s="64" t="s">
        <v>2160</v>
      </c>
      <c r="N79" s="10" t="s">
        <v>2220</v>
      </c>
    </row>
    <row r="80" spans="1:14" s="4" customFormat="1" ht="30" hidden="1" customHeight="1" x14ac:dyDescent="0.25">
      <c r="A80" s="9" t="s">
        <v>1285</v>
      </c>
      <c r="B80" s="13">
        <f>VLOOKUP(Table245[[#This Row],[Location 
(drop-down)]],'List source'!D$2:E$59,2,FALSE)</f>
        <v>129</v>
      </c>
      <c r="C80" s="25" t="s">
        <v>263</v>
      </c>
      <c r="D80" s="33" t="str">
        <f t="shared" si="2"/>
        <v>A079-129-23</v>
      </c>
      <c r="E80" s="65">
        <v>45085</v>
      </c>
      <c r="F80" s="65">
        <v>45085</v>
      </c>
      <c r="G80" s="47" t="s">
        <v>32</v>
      </c>
      <c r="H80" s="10" t="s">
        <v>2168</v>
      </c>
      <c r="I80" s="10" t="s">
        <v>2135</v>
      </c>
      <c r="J80" s="10" t="s">
        <v>129</v>
      </c>
      <c r="K80" s="10" t="s">
        <v>2221</v>
      </c>
      <c r="L80" s="10" t="s">
        <v>2170</v>
      </c>
      <c r="M80" s="64" t="s">
        <v>2168</v>
      </c>
      <c r="N80" s="10" t="s">
        <v>2222</v>
      </c>
    </row>
    <row r="81" spans="1:14" s="4" customFormat="1" ht="30" customHeight="1" x14ac:dyDescent="0.25">
      <c r="A81" s="9" t="s">
        <v>1285</v>
      </c>
      <c r="B81" s="13">
        <f>VLOOKUP(Table245[[#This Row],[Location 
(drop-down)]],'List source'!D$2:E$59,2,FALSE)</f>
        <v>129</v>
      </c>
      <c r="C81" s="25" t="s">
        <v>266</v>
      </c>
      <c r="D81" s="33" t="str">
        <f t="shared" si="2"/>
        <v>A080-129-23</v>
      </c>
      <c r="E81" s="65">
        <v>45085</v>
      </c>
      <c r="F81" s="65">
        <v>45085</v>
      </c>
      <c r="G81" s="47">
        <v>45104</v>
      </c>
      <c r="H81" s="10" t="s">
        <v>2134</v>
      </c>
      <c r="I81" s="10" t="s">
        <v>2135</v>
      </c>
      <c r="J81" s="10" t="s">
        <v>129</v>
      </c>
      <c r="K81" s="10" t="s">
        <v>129</v>
      </c>
      <c r="L81" s="10" t="s">
        <v>2136</v>
      </c>
      <c r="M81" s="64"/>
      <c r="N81" s="10" t="s">
        <v>2137</v>
      </c>
    </row>
    <row r="82" spans="1:14" s="4" customFormat="1" ht="30" customHeight="1" x14ac:dyDescent="0.25">
      <c r="A82" s="9" t="s">
        <v>75</v>
      </c>
      <c r="B82" s="13">
        <f>VLOOKUP(Table245[[#This Row],[Location 
(drop-down)]],'List source'!D$2:E$59,2,FALSE)</f>
        <v>180</v>
      </c>
      <c r="C82" s="25" t="s">
        <v>267</v>
      </c>
      <c r="D82" s="33" t="str">
        <f t="shared" si="2"/>
        <v>A081-180-23</v>
      </c>
      <c r="E82" s="65">
        <v>45103</v>
      </c>
      <c r="F82" s="65">
        <v>45106</v>
      </c>
      <c r="G82" s="47">
        <v>45124</v>
      </c>
      <c r="H82" s="10" t="s">
        <v>2134</v>
      </c>
      <c r="I82" s="10" t="s">
        <v>2135</v>
      </c>
      <c r="J82" s="10" t="s">
        <v>440</v>
      </c>
      <c r="K82" s="10" t="s">
        <v>440</v>
      </c>
      <c r="L82" s="10" t="s">
        <v>2136</v>
      </c>
      <c r="M82" s="10"/>
      <c r="N82" s="104" t="s">
        <v>2137</v>
      </c>
    </row>
    <row r="83" spans="1:14" s="4" customFormat="1" ht="30" hidden="1" customHeight="1" x14ac:dyDescent="0.25">
      <c r="A83" s="9" t="s">
        <v>75</v>
      </c>
      <c r="B83" s="13">
        <f>VLOOKUP(Table245[[#This Row],[Location 
(drop-down)]],'List source'!D$2:E$59,2,FALSE)</f>
        <v>180</v>
      </c>
      <c r="C83" s="25" t="s">
        <v>268</v>
      </c>
      <c r="D83" s="33" t="str">
        <f t="shared" si="2"/>
        <v>A082-180-23</v>
      </c>
      <c r="E83" s="65">
        <v>45103</v>
      </c>
      <c r="F83" s="65">
        <v>45106</v>
      </c>
      <c r="G83" s="47">
        <v>45124</v>
      </c>
      <c r="H83" s="10" t="s">
        <v>2134</v>
      </c>
      <c r="I83" s="10" t="s">
        <v>2139</v>
      </c>
      <c r="J83" s="10" t="s">
        <v>440</v>
      </c>
      <c r="K83" s="10" t="s">
        <v>440</v>
      </c>
      <c r="L83" s="10" t="s">
        <v>2136</v>
      </c>
      <c r="M83" s="10"/>
      <c r="N83" s="104" t="s">
        <v>2140</v>
      </c>
    </row>
    <row r="84" spans="1:14" s="4" customFormat="1" ht="30" hidden="1" customHeight="1" x14ac:dyDescent="0.25">
      <c r="A84" s="9" t="s">
        <v>226</v>
      </c>
      <c r="B84" s="13">
        <f>VLOOKUP(Table245[[#This Row],[Location 
(drop-down)]],'List source'!D$2:E$59,2,FALSE)</f>
        <v>110</v>
      </c>
      <c r="C84" s="25" t="s">
        <v>272</v>
      </c>
      <c r="D84" s="33" t="str">
        <f t="shared" si="2"/>
        <v>A083-110-23</v>
      </c>
      <c r="E84" s="65">
        <v>45091</v>
      </c>
      <c r="F84" s="65">
        <v>45091</v>
      </c>
      <c r="G84" s="65">
        <v>45120</v>
      </c>
      <c r="H84" s="10" t="s">
        <v>2146</v>
      </c>
      <c r="I84" s="10" t="s">
        <v>2139</v>
      </c>
      <c r="J84" s="10" t="s">
        <v>440</v>
      </c>
      <c r="K84" s="10" t="s">
        <v>2223</v>
      </c>
      <c r="L84" s="10" t="s">
        <v>2177</v>
      </c>
      <c r="M84" s="64"/>
      <c r="N84" s="10" t="s">
        <v>2224</v>
      </c>
    </row>
    <row r="85" spans="1:14" s="4" customFormat="1" ht="30" customHeight="1" x14ac:dyDescent="0.25">
      <c r="A85" s="9" t="s">
        <v>1270</v>
      </c>
      <c r="B85" s="13">
        <f>VLOOKUP(Table245[[#This Row],[Location 
(drop-down)]],'List source'!D$2:E$59,2,FALSE)</f>
        <v>124</v>
      </c>
      <c r="C85" s="25" t="s">
        <v>276</v>
      </c>
      <c r="D85" s="33" t="str">
        <f t="shared" si="2"/>
        <v>A084-124-23</v>
      </c>
      <c r="E85" s="65">
        <v>45097</v>
      </c>
      <c r="F85" s="65">
        <v>45098</v>
      </c>
      <c r="G85" s="47">
        <v>45107</v>
      </c>
      <c r="H85" s="10" t="s">
        <v>2134</v>
      </c>
      <c r="I85" s="10" t="s">
        <v>2135</v>
      </c>
      <c r="J85" s="10" t="s">
        <v>129</v>
      </c>
      <c r="K85" s="10" t="s">
        <v>2225</v>
      </c>
      <c r="L85" s="10" t="s">
        <v>2136</v>
      </c>
      <c r="M85" s="64"/>
      <c r="N85" s="104" t="s">
        <v>2137</v>
      </c>
    </row>
    <row r="86" spans="1:14" s="4" customFormat="1" ht="30" hidden="1" customHeight="1" x14ac:dyDescent="0.25">
      <c r="A86" s="9" t="s">
        <v>226</v>
      </c>
      <c r="B86" s="13">
        <f>VLOOKUP(Table245[[#This Row],[Location 
(drop-down)]],'List source'!D$2:E$59,2,FALSE)</f>
        <v>110</v>
      </c>
      <c r="C86" s="25" t="s">
        <v>280</v>
      </c>
      <c r="D86" s="33" t="str">
        <f t="shared" si="2"/>
        <v>A085-110-23</v>
      </c>
      <c r="E86" s="65">
        <v>45098</v>
      </c>
      <c r="F86" s="65">
        <v>45098</v>
      </c>
      <c r="G86" s="65">
        <v>45137</v>
      </c>
      <c r="H86" s="10" t="s">
        <v>2142</v>
      </c>
      <c r="I86" s="10" t="s">
        <v>2135</v>
      </c>
      <c r="J86" s="65" t="s">
        <v>2150</v>
      </c>
      <c r="K86" s="65" t="s">
        <v>2226</v>
      </c>
      <c r="L86" s="65" t="s">
        <v>2198</v>
      </c>
      <c r="M86" s="64" t="s">
        <v>2142</v>
      </c>
      <c r="N86" s="10" t="s">
        <v>2199</v>
      </c>
    </row>
    <row r="87" spans="1:14" s="4" customFormat="1" ht="30" hidden="1" customHeight="1" x14ac:dyDescent="0.25">
      <c r="A87" s="9" t="s">
        <v>171</v>
      </c>
      <c r="B87" s="13">
        <f>VLOOKUP(Table245[[#This Row],[Location 
(drop-down)]],'List source'!D$2:E$59,2,FALSE)</f>
        <v>160</v>
      </c>
      <c r="C87" s="25" t="s">
        <v>282</v>
      </c>
      <c r="D87" s="33" t="str">
        <f t="shared" si="2"/>
        <v>A086-160-23</v>
      </c>
      <c r="E87" s="47">
        <v>45076</v>
      </c>
      <c r="F87" s="47">
        <v>45076</v>
      </c>
      <c r="G87" s="47">
        <v>45089</v>
      </c>
      <c r="H87" s="10" t="s">
        <v>2146</v>
      </c>
      <c r="I87" s="10" t="s">
        <v>2135</v>
      </c>
      <c r="J87" s="10" t="s">
        <v>443</v>
      </c>
      <c r="K87" s="10" t="s">
        <v>2227</v>
      </c>
      <c r="L87" s="10" t="s">
        <v>2228</v>
      </c>
      <c r="M87" s="64"/>
      <c r="N87" s="10"/>
    </row>
    <row r="88" spans="1:14" s="4" customFormat="1" ht="30" hidden="1" customHeight="1" x14ac:dyDescent="0.25">
      <c r="A88" s="9" t="s">
        <v>208</v>
      </c>
      <c r="B88" s="13">
        <f>VLOOKUP(Table245[[#This Row],[Location 
(drop-down)]],'List source'!D$2:E$59,2,FALSE)</f>
        <v>142</v>
      </c>
      <c r="C88" s="25" t="s">
        <v>285</v>
      </c>
      <c r="D88" s="33" t="str">
        <f t="shared" si="2"/>
        <v>A087-142-23</v>
      </c>
      <c r="E88" s="47">
        <v>45104</v>
      </c>
      <c r="F88" s="47">
        <v>45104</v>
      </c>
      <c r="G88" s="65">
        <v>45127</v>
      </c>
      <c r="H88" s="10" t="s">
        <v>2146</v>
      </c>
      <c r="I88" s="10" t="s">
        <v>2135</v>
      </c>
      <c r="J88" s="10" t="s">
        <v>2150</v>
      </c>
      <c r="K88" s="10" t="s">
        <v>2223</v>
      </c>
      <c r="L88" s="10" t="s">
        <v>2177</v>
      </c>
      <c r="M88" s="64"/>
      <c r="N88" s="10"/>
    </row>
    <row r="89" spans="1:14" s="4" customFormat="1" ht="30" hidden="1" customHeight="1" x14ac:dyDescent="0.25">
      <c r="A89" s="9" t="s">
        <v>37</v>
      </c>
      <c r="B89" s="13">
        <f>VLOOKUP(Table245[[#This Row],[Location 
(drop-down)]],'List source'!D$2:E$59,2,FALSE)</f>
        <v>158</v>
      </c>
      <c r="C89" s="25" t="s">
        <v>288</v>
      </c>
      <c r="D89" s="33" t="str">
        <f t="shared" si="2"/>
        <v>A088-158-23</v>
      </c>
      <c r="E89" s="65">
        <v>45103</v>
      </c>
      <c r="F89" s="65">
        <v>45105</v>
      </c>
      <c r="G89" s="47">
        <v>45105</v>
      </c>
      <c r="H89" s="10" t="s">
        <v>2142</v>
      </c>
      <c r="I89" s="10" t="s">
        <v>2139</v>
      </c>
      <c r="J89" s="10" t="s">
        <v>2229</v>
      </c>
      <c r="K89" s="10" t="s">
        <v>2217</v>
      </c>
      <c r="L89" s="10" t="s">
        <v>2159</v>
      </c>
      <c r="M89" s="64" t="s">
        <v>2160</v>
      </c>
      <c r="N89" s="28" t="s">
        <v>2161</v>
      </c>
    </row>
    <row r="90" spans="1:14" s="4" customFormat="1" ht="30" hidden="1" customHeight="1" x14ac:dyDescent="0.25">
      <c r="A90" s="9" t="s">
        <v>79</v>
      </c>
      <c r="B90" s="13">
        <f>VLOOKUP(Table245[[#This Row],[Location 
(drop-down)]],'List source'!D$2:E$59,2,FALSE)</f>
        <v>141</v>
      </c>
      <c r="C90" s="25" t="s">
        <v>292</v>
      </c>
      <c r="D90" s="33" t="s">
        <v>2230</v>
      </c>
      <c r="E90" s="65">
        <v>45105</v>
      </c>
      <c r="F90" s="65">
        <v>45106</v>
      </c>
      <c r="G90" s="65">
        <v>45126</v>
      </c>
      <c r="H90" s="10" t="s">
        <v>2146</v>
      </c>
      <c r="I90" s="10" t="s">
        <v>2135</v>
      </c>
      <c r="J90" s="10" t="s">
        <v>1438</v>
      </c>
      <c r="K90" s="10" t="s">
        <v>2223</v>
      </c>
      <c r="L90" s="10" t="s">
        <v>2177</v>
      </c>
      <c r="M90" s="64"/>
      <c r="N90" s="10" t="s">
        <v>2224</v>
      </c>
    </row>
    <row r="91" spans="1:14" s="4" customFormat="1" ht="30" customHeight="1" x14ac:dyDescent="0.25">
      <c r="A91" s="9" t="s">
        <v>66</v>
      </c>
      <c r="B91" s="13">
        <f>VLOOKUP(Table245[[#This Row],[Location 
(drop-down)]],'List source'!D$2:E$59,2,FALSE)</f>
        <v>165</v>
      </c>
      <c r="C91" s="25" t="s">
        <v>296</v>
      </c>
      <c r="D91" s="33" t="str">
        <f t="shared" ref="D91:D122" si="3">"A" &amp; C91 &amp; "-" &amp; B91 &amp; "-" &amp; "23"</f>
        <v>A090-165-23</v>
      </c>
      <c r="E91" s="65">
        <v>45117</v>
      </c>
      <c r="F91" s="65">
        <v>45120</v>
      </c>
      <c r="G91" s="65">
        <v>45131</v>
      </c>
      <c r="H91" s="10" t="s">
        <v>2134</v>
      </c>
      <c r="I91" s="10" t="s">
        <v>2135</v>
      </c>
      <c r="J91" s="10" t="s">
        <v>435</v>
      </c>
      <c r="K91" s="10" t="s">
        <v>2231</v>
      </c>
      <c r="L91" s="10" t="s">
        <v>2136</v>
      </c>
      <c r="M91" s="64"/>
      <c r="N91" s="10" t="s">
        <v>2137</v>
      </c>
    </row>
    <row r="92" spans="1:14" s="4" customFormat="1" ht="30" hidden="1" customHeight="1" x14ac:dyDescent="0.25">
      <c r="A92" s="9" t="s">
        <v>66</v>
      </c>
      <c r="B92" s="13">
        <f>VLOOKUP(Table245[[#This Row],[Location 
(drop-down)]],'List source'!D$2:E$59,2,FALSE)</f>
        <v>165</v>
      </c>
      <c r="C92" s="25" t="s">
        <v>297</v>
      </c>
      <c r="D92" s="33" t="str">
        <f t="shared" si="3"/>
        <v>A091-165-23</v>
      </c>
      <c r="E92" s="65">
        <v>45117</v>
      </c>
      <c r="F92" s="65">
        <v>45120</v>
      </c>
      <c r="G92" s="65">
        <v>45131</v>
      </c>
      <c r="H92" s="10" t="s">
        <v>2134</v>
      </c>
      <c r="I92" s="10" t="s">
        <v>2139</v>
      </c>
      <c r="J92" s="10" t="s">
        <v>435</v>
      </c>
      <c r="K92" s="10" t="s">
        <v>2231</v>
      </c>
      <c r="L92" s="10" t="s">
        <v>2136</v>
      </c>
      <c r="M92" s="64"/>
      <c r="N92" s="10" t="s">
        <v>2140</v>
      </c>
    </row>
    <row r="93" spans="1:14" s="4" customFormat="1" ht="30" customHeight="1" x14ac:dyDescent="0.25">
      <c r="A93" s="9" t="s">
        <v>378</v>
      </c>
      <c r="B93" s="13">
        <f>VLOOKUP(Table245[[#This Row],[Location 
(drop-down)]],'List source'!D$2:E$59,2,FALSE)</f>
        <v>116</v>
      </c>
      <c r="C93" s="25" t="s">
        <v>299</v>
      </c>
      <c r="D93" s="33" t="str">
        <f t="shared" si="3"/>
        <v>A092-116-23</v>
      </c>
      <c r="E93" s="65">
        <v>45118</v>
      </c>
      <c r="F93" s="65">
        <v>45118</v>
      </c>
      <c r="G93" s="47">
        <v>45121</v>
      </c>
      <c r="H93" s="10" t="s">
        <v>2134</v>
      </c>
      <c r="I93" s="10" t="s">
        <v>2135</v>
      </c>
      <c r="J93" s="10" t="s">
        <v>129</v>
      </c>
      <c r="K93" s="10" t="s">
        <v>2232</v>
      </c>
      <c r="L93" s="10" t="s">
        <v>2136</v>
      </c>
      <c r="M93" s="64"/>
      <c r="N93" s="10" t="s">
        <v>2137</v>
      </c>
    </row>
    <row r="94" spans="1:14" s="4" customFormat="1" ht="30" customHeight="1" x14ac:dyDescent="0.25">
      <c r="A94" s="9" t="s">
        <v>1309</v>
      </c>
      <c r="B94" s="13">
        <f>VLOOKUP(Table245[[#This Row],[Location 
(drop-down)]],'List source'!D$2:E$59,2,FALSE)</f>
        <v>171</v>
      </c>
      <c r="C94" s="25" t="s">
        <v>300</v>
      </c>
      <c r="D94" s="33" t="str">
        <f t="shared" si="3"/>
        <v>A093-171-23</v>
      </c>
      <c r="E94" s="65">
        <v>45119</v>
      </c>
      <c r="F94" s="65">
        <v>45119</v>
      </c>
      <c r="G94" s="47">
        <v>45121</v>
      </c>
      <c r="H94" s="10" t="s">
        <v>2134</v>
      </c>
      <c r="I94" s="10" t="s">
        <v>2135</v>
      </c>
      <c r="J94" s="10" t="s">
        <v>129</v>
      </c>
      <c r="K94" s="10" t="s">
        <v>2232</v>
      </c>
      <c r="L94" s="10" t="s">
        <v>2136</v>
      </c>
      <c r="M94" s="64"/>
      <c r="N94" s="10" t="s">
        <v>2137</v>
      </c>
    </row>
    <row r="95" spans="1:14" s="4" customFormat="1" ht="30" hidden="1" customHeight="1" x14ac:dyDescent="0.25">
      <c r="A95" s="9" t="s">
        <v>22</v>
      </c>
      <c r="B95" s="13">
        <f>VLOOKUP(Table245[[#This Row],[Location 
(drop-down)]],'List source'!D$2:E$59,2,FALSE)</f>
        <v>130</v>
      </c>
      <c r="C95" s="25" t="s">
        <v>302</v>
      </c>
      <c r="D95" s="33" t="str">
        <f t="shared" si="3"/>
        <v>A094-130-23</v>
      </c>
      <c r="E95" s="65">
        <v>45085</v>
      </c>
      <c r="F95" s="65">
        <v>45085</v>
      </c>
      <c r="G95" s="47">
        <v>45088</v>
      </c>
      <c r="H95" s="10" t="s">
        <v>2146</v>
      </c>
      <c r="I95" s="10" t="s">
        <v>2139</v>
      </c>
      <c r="J95" s="10" t="s">
        <v>440</v>
      </c>
      <c r="K95" s="10" t="s">
        <v>2233</v>
      </c>
      <c r="L95" s="10" t="s">
        <v>1351</v>
      </c>
      <c r="M95" s="64"/>
      <c r="N95" s="104"/>
    </row>
    <row r="96" spans="1:14" s="4" customFormat="1" ht="30" hidden="1" customHeight="1" x14ac:dyDescent="0.25">
      <c r="A96" s="9" t="s">
        <v>174</v>
      </c>
      <c r="B96" s="13">
        <f>VLOOKUP(Table245[[#This Row],[Location 
(drop-down)]],'List source'!D$2:E$59,2,FALSE)</f>
        <v>131</v>
      </c>
      <c r="C96" s="25" t="s">
        <v>305</v>
      </c>
      <c r="D96" s="33" t="str">
        <f t="shared" si="3"/>
        <v>A095-131-23</v>
      </c>
      <c r="E96" s="47">
        <v>45090</v>
      </c>
      <c r="F96" s="47">
        <v>45090</v>
      </c>
      <c r="G96" s="47">
        <v>45107</v>
      </c>
      <c r="H96" s="10" t="s">
        <v>2146</v>
      </c>
      <c r="I96" s="10" t="s">
        <v>2139</v>
      </c>
      <c r="J96" s="10" t="s">
        <v>440</v>
      </c>
      <c r="K96" s="10" t="s">
        <v>2233</v>
      </c>
      <c r="L96" s="10" t="s">
        <v>1351</v>
      </c>
      <c r="M96" s="64"/>
      <c r="N96" s="10"/>
    </row>
    <row r="97" spans="1:14" s="4" customFormat="1" ht="30" hidden="1" customHeight="1" x14ac:dyDescent="0.25">
      <c r="A97" s="9" t="s">
        <v>131</v>
      </c>
      <c r="B97" s="13" t="str">
        <f>VLOOKUP(Table245[[#This Row],[Location 
(drop-down)]],'List source'!D$2:E$59,2,FALSE)</f>
        <v>VOID</v>
      </c>
      <c r="C97" s="25" t="s">
        <v>307</v>
      </c>
      <c r="D97" s="33" t="str">
        <f t="shared" si="3"/>
        <v>A096-VOID-23</v>
      </c>
      <c r="E97" s="65" t="s">
        <v>50</v>
      </c>
      <c r="F97" s="65" t="s">
        <v>50</v>
      </c>
      <c r="G97" s="47" t="s">
        <v>50</v>
      </c>
      <c r="H97" s="10" t="s">
        <v>50</v>
      </c>
      <c r="I97" s="10" t="s">
        <v>50</v>
      </c>
      <c r="J97" s="10" t="s">
        <v>50</v>
      </c>
      <c r="K97" s="10" t="s">
        <v>2234</v>
      </c>
      <c r="L97" s="10" t="s">
        <v>2136</v>
      </c>
      <c r="M97" s="64"/>
      <c r="N97" s="10" t="s">
        <v>2235</v>
      </c>
    </row>
    <row r="98" spans="1:14" s="4" customFormat="1" ht="30" customHeight="1" x14ac:dyDescent="0.25">
      <c r="A98" s="9" t="s">
        <v>208</v>
      </c>
      <c r="B98" s="13">
        <f>VLOOKUP(Table245[[#This Row],[Location 
(drop-down)]],'List source'!D$2:E$59,2,FALSE)</f>
        <v>142</v>
      </c>
      <c r="C98" s="25" t="s">
        <v>311</v>
      </c>
      <c r="D98" s="33" t="str">
        <f t="shared" si="3"/>
        <v>A097-142-23</v>
      </c>
      <c r="E98" s="65">
        <v>45125</v>
      </c>
      <c r="F98" s="65">
        <v>45127</v>
      </c>
      <c r="G98" s="65">
        <v>45149</v>
      </c>
      <c r="H98" s="10" t="s">
        <v>2134</v>
      </c>
      <c r="I98" s="10" t="s">
        <v>2135</v>
      </c>
      <c r="J98" s="10" t="s">
        <v>440</v>
      </c>
      <c r="K98" s="10" t="s">
        <v>440</v>
      </c>
      <c r="L98" s="10" t="s">
        <v>2136</v>
      </c>
      <c r="M98" s="64"/>
      <c r="N98" s="10" t="s">
        <v>2137</v>
      </c>
    </row>
    <row r="99" spans="1:14" s="4" customFormat="1" ht="30" hidden="1" customHeight="1" x14ac:dyDescent="0.25">
      <c r="A99" s="9" t="s">
        <v>324</v>
      </c>
      <c r="B99" s="13">
        <f>VLOOKUP(Table245[[#This Row],[Location 
(drop-down)]],'List source'!D$2:E$59,2,FALSE)</f>
        <v>170</v>
      </c>
      <c r="C99" s="25" t="s">
        <v>313</v>
      </c>
      <c r="D99" s="33" t="str">
        <f t="shared" si="3"/>
        <v>A098-170-23</v>
      </c>
      <c r="E99" s="65">
        <v>45125</v>
      </c>
      <c r="F99" s="65">
        <v>45125</v>
      </c>
      <c r="G99" s="47">
        <v>45153</v>
      </c>
      <c r="H99" s="10" t="s">
        <v>2146</v>
      </c>
      <c r="I99" s="10" t="s">
        <v>2139</v>
      </c>
      <c r="J99" s="10" t="s">
        <v>875</v>
      </c>
      <c r="K99" s="10" t="s">
        <v>2236</v>
      </c>
      <c r="L99" s="10" t="s">
        <v>2152</v>
      </c>
      <c r="M99" s="64"/>
      <c r="N99" s="10" t="s">
        <v>2237</v>
      </c>
    </row>
    <row r="100" spans="1:14" s="4" customFormat="1" ht="30" hidden="1" customHeight="1" x14ac:dyDescent="0.25">
      <c r="A100" s="9" t="s">
        <v>331</v>
      </c>
      <c r="B100" s="13">
        <f>VLOOKUP(Table245[[#This Row],[Location 
(drop-down)]],'List source'!D$2:E$59,2,FALSE)</f>
        <v>146</v>
      </c>
      <c r="C100" s="25" t="s">
        <v>314</v>
      </c>
      <c r="D100" s="33" t="str">
        <f t="shared" si="3"/>
        <v>A099-146-23</v>
      </c>
      <c r="E100" s="65">
        <v>45113</v>
      </c>
      <c r="F100" s="65">
        <v>45113</v>
      </c>
      <c r="G100" s="65">
        <v>45128</v>
      </c>
      <c r="H100" s="10" t="s">
        <v>2146</v>
      </c>
      <c r="I100" s="10" t="s">
        <v>2147</v>
      </c>
      <c r="J100" s="10" t="s">
        <v>443</v>
      </c>
      <c r="K100" s="10" t="s">
        <v>2148</v>
      </c>
      <c r="L100" s="10" t="s">
        <v>2149</v>
      </c>
      <c r="M100" s="64"/>
      <c r="N100" s="10"/>
    </row>
    <row r="101" spans="1:14" s="4" customFormat="1" ht="30" customHeight="1" x14ac:dyDescent="0.25">
      <c r="A101" s="9" t="s">
        <v>27</v>
      </c>
      <c r="B101" s="13">
        <f>VLOOKUP(Table245[[#This Row],[Location 
(drop-down)]],'List source'!D$2:E$59,2,FALSE)</f>
        <v>132</v>
      </c>
      <c r="C101" s="25" t="s">
        <v>316</v>
      </c>
      <c r="D101" s="33" t="str">
        <f t="shared" si="3"/>
        <v>A100-132-23</v>
      </c>
      <c r="E101" s="47">
        <v>45139</v>
      </c>
      <c r="F101" s="47">
        <v>45141</v>
      </c>
      <c r="G101" s="65">
        <v>45183</v>
      </c>
      <c r="H101" s="10" t="s">
        <v>2134</v>
      </c>
      <c r="I101" s="10" t="s">
        <v>2135</v>
      </c>
      <c r="J101" s="10" t="s">
        <v>440</v>
      </c>
      <c r="K101" s="10" t="s">
        <v>2188</v>
      </c>
      <c r="L101" s="10" t="s">
        <v>2136</v>
      </c>
      <c r="M101" s="64"/>
      <c r="N101" s="10" t="s">
        <v>2137</v>
      </c>
    </row>
    <row r="102" spans="1:14" s="4" customFormat="1" ht="30" hidden="1" customHeight="1" x14ac:dyDescent="0.25">
      <c r="A102" s="9" t="s">
        <v>27</v>
      </c>
      <c r="B102" s="13">
        <f>VLOOKUP(Table245[[#This Row],[Location 
(drop-down)]],'List source'!D$2:E$59,2,FALSE)</f>
        <v>132</v>
      </c>
      <c r="C102" s="25" t="s">
        <v>318</v>
      </c>
      <c r="D102" s="33" t="str">
        <f t="shared" si="3"/>
        <v>A101-132-23</v>
      </c>
      <c r="E102" s="47">
        <v>45139</v>
      </c>
      <c r="F102" s="47">
        <v>45141</v>
      </c>
      <c r="G102" s="65">
        <v>45183</v>
      </c>
      <c r="H102" s="10" t="s">
        <v>2134</v>
      </c>
      <c r="I102" s="10" t="s">
        <v>2139</v>
      </c>
      <c r="J102" s="10" t="s">
        <v>440</v>
      </c>
      <c r="K102" s="10" t="s">
        <v>2188</v>
      </c>
      <c r="L102" s="10" t="s">
        <v>2136</v>
      </c>
      <c r="M102" s="64"/>
      <c r="N102" s="10" t="s">
        <v>2140</v>
      </c>
    </row>
    <row r="103" spans="1:14" s="4" customFormat="1" ht="30" customHeight="1" x14ac:dyDescent="0.25">
      <c r="A103" s="9" t="s">
        <v>1720</v>
      </c>
      <c r="B103" s="13">
        <f>VLOOKUP(Table245[[#This Row],[Location 
(drop-down)]],'List source'!D$2:E$59,2,FALSE)</f>
        <v>137</v>
      </c>
      <c r="C103" s="25" t="s">
        <v>320</v>
      </c>
      <c r="D103" s="33" t="str">
        <f t="shared" si="3"/>
        <v>A102-137-23</v>
      </c>
      <c r="E103" s="47">
        <v>45138</v>
      </c>
      <c r="F103" s="47">
        <v>45138</v>
      </c>
      <c r="G103" s="47">
        <v>45257</v>
      </c>
      <c r="H103" s="10" t="s">
        <v>2134</v>
      </c>
      <c r="I103" s="10" t="s">
        <v>2139</v>
      </c>
      <c r="J103" s="10" t="s">
        <v>440</v>
      </c>
      <c r="K103" s="10" t="s">
        <v>2188</v>
      </c>
      <c r="L103" s="10" t="s">
        <v>2136</v>
      </c>
      <c r="M103" s="64"/>
      <c r="N103" s="10" t="s">
        <v>2137</v>
      </c>
    </row>
    <row r="104" spans="1:14" s="4" customFormat="1" ht="30" customHeight="1" x14ac:dyDescent="0.25">
      <c r="A104" s="9" t="s">
        <v>1390</v>
      </c>
      <c r="B104" s="13">
        <f>VLOOKUP(Table245[[#This Row],[Location 
(drop-down)]],'List source'!D$2:E$59,2,FALSE)</f>
        <v>135</v>
      </c>
      <c r="C104" s="25" t="s">
        <v>322</v>
      </c>
      <c r="D104" s="33" t="str">
        <f t="shared" si="3"/>
        <v>A103-135-23</v>
      </c>
      <c r="E104" s="65">
        <v>45131</v>
      </c>
      <c r="F104" s="65">
        <v>45132</v>
      </c>
      <c r="G104" s="65">
        <v>45142</v>
      </c>
      <c r="H104" s="10" t="s">
        <v>2134</v>
      </c>
      <c r="I104" s="10" t="s">
        <v>2135</v>
      </c>
      <c r="J104" s="10" t="s">
        <v>443</v>
      </c>
      <c r="K104" s="10" t="s">
        <v>443</v>
      </c>
      <c r="L104" s="10" t="s">
        <v>2136</v>
      </c>
      <c r="M104" s="64"/>
      <c r="N104" s="10" t="s">
        <v>2137</v>
      </c>
    </row>
    <row r="105" spans="1:14" s="4" customFormat="1" ht="30" customHeight="1" x14ac:dyDescent="0.25">
      <c r="A105" s="9" t="s">
        <v>1020</v>
      </c>
      <c r="B105" s="13">
        <f>VLOOKUP(Table245[[#This Row],[Location 
(drop-down)]],'List source'!D$2:E$59,2,FALSE)</f>
        <v>199</v>
      </c>
      <c r="C105" s="25" t="s">
        <v>325</v>
      </c>
      <c r="D105" s="33" t="str">
        <f t="shared" si="3"/>
        <v>A104-199-23</v>
      </c>
      <c r="E105" s="65">
        <v>45131</v>
      </c>
      <c r="F105" s="65">
        <v>45133</v>
      </c>
      <c r="G105" s="65">
        <v>45147</v>
      </c>
      <c r="H105" s="10" t="s">
        <v>2134</v>
      </c>
      <c r="I105" s="10" t="s">
        <v>2147</v>
      </c>
      <c r="J105" s="10" t="s">
        <v>449</v>
      </c>
      <c r="K105" s="10" t="s">
        <v>449</v>
      </c>
      <c r="L105" s="10" t="s">
        <v>2136</v>
      </c>
      <c r="M105" s="64"/>
      <c r="N105" s="10" t="s">
        <v>2137</v>
      </c>
    </row>
    <row r="106" spans="1:14" s="4" customFormat="1" ht="30" hidden="1" customHeight="1" x14ac:dyDescent="0.25">
      <c r="A106" s="9" t="s">
        <v>237</v>
      </c>
      <c r="B106" s="13">
        <f>VLOOKUP(Table245[[#This Row],[Location 
(drop-down)]],'List source'!D$2:E$59,2,FALSE)</f>
        <v>192</v>
      </c>
      <c r="C106" s="25" t="s">
        <v>327</v>
      </c>
      <c r="D106" s="33" t="str">
        <f t="shared" si="3"/>
        <v>A105-192-23</v>
      </c>
      <c r="E106" s="65">
        <v>45132</v>
      </c>
      <c r="F106" s="65">
        <v>45132</v>
      </c>
      <c r="G106" s="65" t="s">
        <v>2172</v>
      </c>
      <c r="H106" s="10" t="s">
        <v>2146</v>
      </c>
      <c r="I106" s="10" t="s">
        <v>2139</v>
      </c>
      <c r="J106" s="10" t="s">
        <v>416</v>
      </c>
      <c r="K106" s="10"/>
      <c r="L106" s="10" t="s">
        <v>2214</v>
      </c>
      <c r="M106" s="64"/>
      <c r="N106" s="10" t="s">
        <v>2238</v>
      </c>
    </row>
    <row r="107" spans="1:14" s="4" customFormat="1" ht="30" customHeight="1" x14ac:dyDescent="0.25">
      <c r="A107" s="9" t="s">
        <v>1485</v>
      </c>
      <c r="B107" s="13">
        <f>VLOOKUP(Table245[[#This Row],[Location 
(drop-down)]],'List source'!D$2:E$59,2,FALSE)</f>
        <v>195</v>
      </c>
      <c r="C107" s="25" t="s">
        <v>328</v>
      </c>
      <c r="D107" s="33" t="str">
        <f t="shared" si="3"/>
        <v>A106-195-23</v>
      </c>
      <c r="E107" s="65">
        <v>45146</v>
      </c>
      <c r="F107" s="65">
        <v>45147</v>
      </c>
      <c r="G107" s="65">
        <v>45149</v>
      </c>
      <c r="H107" s="10" t="s">
        <v>2134</v>
      </c>
      <c r="I107" s="10" t="s">
        <v>2135</v>
      </c>
      <c r="J107" s="10" t="s">
        <v>129</v>
      </c>
      <c r="K107" s="10" t="s">
        <v>129</v>
      </c>
      <c r="L107" s="10" t="s">
        <v>2136</v>
      </c>
      <c r="M107" s="64"/>
      <c r="N107" s="10" t="s">
        <v>2137</v>
      </c>
    </row>
    <row r="108" spans="1:14" s="4" customFormat="1" ht="30" hidden="1" customHeight="1" x14ac:dyDescent="0.25">
      <c r="A108" s="9" t="s">
        <v>27</v>
      </c>
      <c r="B108" s="13">
        <f>VLOOKUP(Table245[[#This Row],[Location 
(drop-down)]],'List source'!D$2:E$59,2,FALSE)</f>
        <v>132</v>
      </c>
      <c r="C108" s="25" t="s">
        <v>332</v>
      </c>
      <c r="D108" s="33" t="str">
        <f t="shared" si="3"/>
        <v>A107-132-23</v>
      </c>
      <c r="E108" s="65">
        <v>45123</v>
      </c>
      <c r="F108" s="65">
        <v>45123</v>
      </c>
      <c r="G108" s="47">
        <v>45159</v>
      </c>
      <c r="H108" s="10" t="s">
        <v>2146</v>
      </c>
      <c r="I108" s="10" t="s">
        <v>2135</v>
      </c>
      <c r="J108" s="10" t="s">
        <v>440</v>
      </c>
      <c r="K108" s="10" t="s">
        <v>2239</v>
      </c>
      <c r="L108" s="10" t="s">
        <v>2240</v>
      </c>
      <c r="M108" s="64"/>
      <c r="N108" s="10"/>
    </row>
    <row r="109" spans="1:14" s="4" customFormat="1" ht="30" customHeight="1" x14ac:dyDescent="0.25">
      <c r="A109" s="9" t="s">
        <v>1508</v>
      </c>
      <c r="B109" s="13">
        <f>VLOOKUP(Table245[[#This Row],[Location 
(drop-down)]],'List source'!D$2:E$59,2,FALSE)</f>
        <v>140</v>
      </c>
      <c r="C109" s="25" t="s">
        <v>335</v>
      </c>
      <c r="D109" s="33" t="str">
        <f t="shared" si="3"/>
        <v>A108-140-23</v>
      </c>
      <c r="E109" s="65">
        <v>45152</v>
      </c>
      <c r="F109" s="65">
        <v>45153</v>
      </c>
      <c r="G109" s="47">
        <v>45162</v>
      </c>
      <c r="H109" s="10" t="s">
        <v>2134</v>
      </c>
      <c r="I109" s="10" t="s">
        <v>2135</v>
      </c>
      <c r="J109" s="10" t="s">
        <v>435</v>
      </c>
      <c r="K109" s="10" t="s">
        <v>435</v>
      </c>
      <c r="L109" s="10" t="s">
        <v>2136</v>
      </c>
      <c r="M109" s="64"/>
      <c r="N109" s="10" t="s">
        <v>2137</v>
      </c>
    </row>
    <row r="110" spans="1:14" s="4" customFormat="1" ht="30" hidden="1" customHeight="1" x14ac:dyDescent="0.25">
      <c r="A110" s="9" t="s">
        <v>13</v>
      </c>
      <c r="B110" s="13">
        <f>VLOOKUP(Table245[[#This Row],[Location 
(drop-down)]],'List source'!D$2:E$59,2,FALSE)</f>
        <v>126</v>
      </c>
      <c r="C110" s="25" t="s">
        <v>337</v>
      </c>
      <c r="D110" s="33" t="str">
        <f t="shared" si="3"/>
        <v>A109-126-23</v>
      </c>
      <c r="E110" s="65">
        <v>45155</v>
      </c>
      <c r="F110" s="65">
        <v>45155</v>
      </c>
      <c r="G110" s="47" t="s">
        <v>32</v>
      </c>
      <c r="H110" s="10" t="s">
        <v>2168</v>
      </c>
      <c r="I110" s="10" t="s">
        <v>2135</v>
      </c>
      <c r="J110" s="10" t="s">
        <v>129</v>
      </c>
      <c r="K110" s="10" t="s">
        <v>2241</v>
      </c>
      <c r="L110" s="10" t="s">
        <v>2170</v>
      </c>
      <c r="M110" s="64" t="s">
        <v>2168</v>
      </c>
      <c r="N110" s="104" t="s">
        <v>2193</v>
      </c>
    </row>
    <row r="111" spans="1:14" s="4" customFormat="1" ht="30" customHeight="1" x14ac:dyDescent="0.25">
      <c r="A111" s="9" t="s">
        <v>446</v>
      </c>
      <c r="B111" s="13">
        <f>VLOOKUP(Table245[[#This Row],[Location 
(drop-down)]],'List source'!D$2:E$59,2,FALSE)</f>
        <v>188</v>
      </c>
      <c r="C111" s="25" t="s">
        <v>339</v>
      </c>
      <c r="D111" s="33" t="str">
        <f t="shared" si="3"/>
        <v>A110-188-23</v>
      </c>
      <c r="E111" s="65">
        <v>45160</v>
      </c>
      <c r="F111" s="65">
        <v>45162</v>
      </c>
      <c r="G111" s="65">
        <v>45175</v>
      </c>
      <c r="H111" s="10" t="s">
        <v>2134</v>
      </c>
      <c r="I111" s="10" t="s">
        <v>2135</v>
      </c>
      <c r="J111" s="10" t="s">
        <v>449</v>
      </c>
      <c r="K111" s="10"/>
      <c r="L111" s="10"/>
      <c r="M111" s="64"/>
      <c r="N111" s="10"/>
    </row>
    <row r="112" spans="1:14" s="4" customFormat="1" ht="30" hidden="1" customHeight="1" x14ac:dyDescent="0.25">
      <c r="A112" s="9" t="s">
        <v>75</v>
      </c>
      <c r="B112" s="13">
        <f>VLOOKUP(Table245[[#This Row],[Location 
(drop-down)]],'List source'!D$2:E$59,2,FALSE)</f>
        <v>180</v>
      </c>
      <c r="C112" s="25" t="s">
        <v>341</v>
      </c>
      <c r="D112" s="303" t="str">
        <f t="shared" si="3"/>
        <v>A111-180-23</v>
      </c>
      <c r="E112" s="65">
        <v>45161</v>
      </c>
      <c r="F112" s="65">
        <v>45161</v>
      </c>
      <c r="G112" s="65">
        <v>45190</v>
      </c>
      <c r="H112" s="10" t="s">
        <v>2146</v>
      </c>
      <c r="I112" s="10" t="s">
        <v>2135</v>
      </c>
      <c r="J112" s="10" t="s">
        <v>189</v>
      </c>
      <c r="K112" s="10" t="s">
        <v>2242</v>
      </c>
      <c r="L112" s="10" t="s">
        <v>2206</v>
      </c>
      <c r="M112" s="64"/>
      <c r="N112" s="10" t="s">
        <v>2243</v>
      </c>
    </row>
    <row r="113" spans="1:14" s="4" customFormat="1" ht="30" customHeight="1" x14ac:dyDescent="0.25">
      <c r="A113" s="9" t="s">
        <v>61</v>
      </c>
      <c r="B113" s="13">
        <f>VLOOKUP(Table245[[#This Row],[Location 
(drop-down)]],'List source'!D$2:E$59,2,FALSE)</f>
        <v>120</v>
      </c>
      <c r="C113" s="25" t="s">
        <v>343</v>
      </c>
      <c r="D113" s="33" t="str">
        <f t="shared" si="3"/>
        <v>A112-120-23</v>
      </c>
      <c r="E113" s="65">
        <v>45166</v>
      </c>
      <c r="F113" s="65">
        <v>45169</v>
      </c>
      <c r="G113" s="65">
        <v>45191</v>
      </c>
      <c r="H113" s="10" t="s">
        <v>2134</v>
      </c>
      <c r="I113" s="10" t="s">
        <v>2135</v>
      </c>
      <c r="J113" s="10" t="s">
        <v>129</v>
      </c>
      <c r="K113" s="10" t="s">
        <v>2244</v>
      </c>
      <c r="L113" s="10" t="s">
        <v>2136</v>
      </c>
      <c r="M113" s="64"/>
      <c r="N113" s="10" t="s">
        <v>2137</v>
      </c>
    </row>
    <row r="114" spans="1:14" s="4" customFormat="1" ht="30" hidden="1" customHeight="1" x14ac:dyDescent="0.25">
      <c r="A114" s="9" t="s">
        <v>61</v>
      </c>
      <c r="B114" s="13">
        <f>VLOOKUP(Table245[[#This Row],[Location 
(drop-down)]],'List source'!D$2:E$59,2,FALSE)</f>
        <v>120</v>
      </c>
      <c r="C114" s="25" t="s">
        <v>345</v>
      </c>
      <c r="D114" s="33" t="str">
        <f t="shared" si="3"/>
        <v>A113-120-23</v>
      </c>
      <c r="E114" s="65">
        <v>45166</v>
      </c>
      <c r="F114" s="65">
        <v>45169</v>
      </c>
      <c r="G114" s="65">
        <v>45191</v>
      </c>
      <c r="H114" s="10" t="s">
        <v>2134</v>
      </c>
      <c r="I114" s="10" t="s">
        <v>2139</v>
      </c>
      <c r="J114" s="10" t="s">
        <v>129</v>
      </c>
      <c r="K114" s="10" t="s">
        <v>2244</v>
      </c>
      <c r="L114" s="10" t="s">
        <v>2136</v>
      </c>
      <c r="M114" s="64"/>
      <c r="N114" s="10" t="s">
        <v>2140</v>
      </c>
    </row>
    <row r="115" spans="1:14" s="4" customFormat="1" ht="30" hidden="1" customHeight="1" x14ac:dyDescent="0.25">
      <c r="A115" s="9" t="s">
        <v>61</v>
      </c>
      <c r="B115" s="13">
        <f>VLOOKUP(Table245[[#This Row],[Location 
(drop-down)]],'List source'!D$2:E$59,2,FALSE)</f>
        <v>120</v>
      </c>
      <c r="C115" s="25" t="s">
        <v>347</v>
      </c>
      <c r="D115" s="33" t="str">
        <f t="shared" si="3"/>
        <v>A114-120-23</v>
      </c>
      <c r="E115" s="65">
        <v>45166</v>
      </c>
      <c r="F115" s="65">
        <v>45169</v>
      </c>
      <c r="G115" s="65">
        <v>45191</v>
      </c>
      <c r="H115" s="10" t="s">
        <v>2134</v>
      </c>
      <c r="I115" s="10" t="s">
        <v>2139</v>
      </c>
      <c r="J115" s="10" t="s">
        <v>129</v>
      </c>
      <c r="K115" s="10" t="s">
        <v>2244</v>
      </c>
      <c r="L115" s="10" t="s">
        <v>2136</v>
      </c>
      <c r="M115" s="64"/>
      <c r="N115" s="10" t="s">
        <v>2183</v>
      </c>
    </row>
    <row r="116" spans="1:14" s="4" customFormat="1" ht="30" hidden="1" customHeight="1" x14ac:dyDescent="0.25">
      <c r="A116" s="9" t="s">
        <v>1270</v>
      </c>
      <c r="B116" s="13">
        <f>VLOOKUP(Table245[[#This Row],[Location 
(drop-down)]],'List source'!D$2:E$59,2,FALSE)</f>
        <v>124</v>
      </c>
      <c r="C116" s="25" t="s">
        <v>348</v>
      </c>
      <c r="D116" s="33" t="str">
        <f t="shared" si="3"/>
        <v>A115-124-23</v>
      </c>
      <c r="E116" s="47">
        <v>45133</v>
      </c>
      <c r="F116" s="47">
        <v>45133</v>
      </c>
      <c r="G116" s="47" t="s">
        <v>32</v>
      </c>
      <c r="H116" s="10" t="s">
        <v>2168</v>
      </c>
      <c r="I116" s="10" t="s">
        <v>2135</v>
      </c>
      <c r="J116" s="10" t="s">
        <v>129</v>
      </c>
      <c r="K116" s="10" t="s">
        <v>2245</v>
      </c>
      <c r="L116" s="10" t="s">
        <v>2170</v>
      </c>
      <c r="M116" s="64" t="s">
        <v>2168</v>
      </c>
      <c r="N116" s="104" t="s">
        <v>2193</v>
      </c>
    </row>
    <row r="117" spans="1:14" s="4" customFormat="1" ht="30" hidden="1" customHeight="1" x14ac:dyDescent="0.25">
      <c r="A117" s="9" t="s">
        <v>226</v>
      </c>
      <c r="B117" s="13">
        <f>VLOOKUP(Table245[[#This Row],[Location 
(drop-down)]],'List source'!D$2:E$59,2,FALSE)</f>
        <v>110</v>
      </c>
      <c r="C117" s="25" t="s">
        <v>350</v>
      </c>
      <c r="D117" s="33" t="str">
        <f t="shared" si="3"/>
        <v>A116-110-23</v>
      </c>
      <c r="E117" s="65">
        <v>45161</v>
      </c>
      <c r="F117" s="65">
        <v>45161</v>
      </c>
      <c r="G117" s="47" t="s">
        <v>32</v>
      </c>
      <c r="H117" s="10" t="s">
        <v>2146</v>
      </c>
      <c r="I117" s="10" t="s">
        <v>2147</v>
      </c>
      <c r="J117" s="10" t="s">
        <v>435</v>
      </c>
      <c r="K117" s="10" t="s">
        <v>2246</v>
      </c>
      <c r="L117" s="10" t="s">
        <v>2247</v>
      </c>
      <c r="M117" s="64"/>
      <c r="N117" s="104" t="s">
        <v>2248</v>
      </c>
    </row>
    <row r="118" spans="1:14" s="4" customFormat="1" ht="30" hidden="1" customHeight="1" x14ac:dyDescent="0.25">
      <c r="A118" s="9" t="s">
        <v>47</v>
      </c>
      <c r="B118" s="13">
        <f>VLOOKUP(Table245[[#This Row],[Location 
(drop-down)]],'List source'!D$2:E$59,2,FALSE)</f>
        <v>215</v>
      </c>
      <c r="C118" s="25" t="s">
        <v>352</v>
      </c>
      <c r="D118" s="33" t="str">
        <f t="shared" si="3"/>
        <v>A117-215-23</v>
      </c>
      <c r="E118" s="65">
        <v>45160</v>
      </c>
      <c r="F118" s="65">
        <v>45160</v>
      </c>
      <c r="G118" s="47">
        <v>45168</v>
      </c>
      <c r="H118" s="10" t="s">
        <v>2146</v>
      </c>
      <c r="I118" s="10" t="s">
        <v>2139</v>
      </c>
      <c r="J118" s="10" t="s">
        <v>416</v>
      </c>
      <c r="K118" s="10" t="s">
        <v>2249</v>
      </c>
      <c r="L118" s="10" t="s">
        <v>2250</v>
      </c>
      <c r="M118" s="64"/>
      <c r="N118" s="10" t="s">
        <v>2251</v>
      </c>
    </row>
    <row r="119" spans="1:14" s="4" customFormat="1" ht="30" hidden="1" customHeight="1" x14ac:dyDescent="0.25">
      <c r="A119" s="9" t="s">
        <v>1052</v>
      </c>
      <c r="B119" s="13">
        <f>VLOOKUP(Table245[[#This Row],[Location 
(drop-down)]],'List source'!D$2:E$59,2,FALSE)</f>
        <v>138</v>
      </c>
      <c r="C119" s="25" t="s">
        <v>354</v>
      </c>
      <c r="D119" s="33" t="str">
        <f t="shared" si="3"/>
        <v>A118-138-23</v>
      </c>
      <c r="E119" s="65">
        <v>45146</v>
      </c>
      <c r="F119" s="65">
        <v>45146</v>
      </c>
      <c r="G119" s="65">
        <v>45170</v>
      </c>
      <c r="H119" s="10" t="s">
        <v>2146</v>
      </c>
      <c r="I119" s="10" t="s">
        <v>2135</v>
      </c>
      <c r="J119" s="10" t="s">
        <v>875</v>
      </c>
      <c r="K119" s="10" t="s">
        <v>2252</v>
      </c>
      <c r="L119" s="10" t="s">
        <v>2240</v>
      </c>
      <c r="M119" s="64"/>
      <c r="N119" s="10"/>
    </row>
    <row r="120" spans="1:14" s="4" customFormat="1" ht="30" customHeight="1" x14ac:dyDescent="0.25">
      <c r="A120" s="9" t="s">
        <v>112</v>
      </c>
      <c r="B120" s="13">
        <f>VLOOKUP(Table245[[#This Row],[Location 
(drop-down)]],'List source'!D$2:E$59,2,FALSE)</f>
        <v>115</v>
      </c>
      <c r="C120" s="25" t="s">
        <v>356</v>
      </c>
      <c r="D120" s="33" t="str">
        <f t="shared" si="3"/>
        <v>A119-115-23</v>
      </c>
      <c r="E120" s="65">
        <v>45174</v>
      </c>
      <c r="F120" s="65">
        <v>45175</v>
      </c>
      <c r="G120" s="65">
        <v>45180</v>
      </c>
      <c r="H120" s="10" t="s">
        <v>2134</v>
      </c>
      <c r="I120" s="10" t="s">
        <v>2135</v>
      </c>
      <c r="J120" s="10" t="s">
        <v>443</v>
      </c>
      <c r="K120" s="10" t="s">
        <v>2253</v>
      </c>
      <c r="L120" s="10" t="s">
        <v>2136</v>
      </c>
      <c r="M120" s="64"/>
      <c r="N120" s="10" t="s">
        <v>2137</v>
      </c>
    </row>
    <row r="121" spans="1:14" s="4" customFormat="1" ht="30" customHeight="1" x14ac:dyDescent="0.25">
      <c r="A121" s="9" t="s">
        <v>47</v>
      </c>
      <c r="B121" s="13">
        <f>VLOOKUP(Table245[[#This Row],[Location 
(drop-down)]],'List source'!D$2:E$59,2,FALSE)</f>
        <v>215</v>
      </c>
      <c r="C121" s="25" t="s">
        <v>358</v>
      </c>
      <c r="D121" s="33" t="str">
        <f t="shared" si="3"/>
        <v>A120-215-23</v>
      </c>
      <c r="E121" s="65">
        <v>45187</v>
      </c>
      <c r="F121" s="65">
        <v>45190</v>
      </c>
      <c r="G121" s="65">
        <v>45198</v>
      </c>
      <c r="H121" s="10" t="s">
        <v>2134</v>
      </c>
      <c r="I121" s="10" t="s">
        <v>2135</v>
      </c>
      <c r="J121" s="10" t="s">
        <v>129</v>
      </c>
      <c r="K121" s="10" t="s">
        <v>2254</v>
      </c>
      <c r="L121" s="10" t="s">
        <v>2136</v>
      </c>
      <c r="M121" s="64"/>
      <c r="N121" s="10" t="s">
        <v>2137</v>
      </c>
    </row>
    <row r="122" spans="1:14" s="4" customFormat="1" ht="30" hidden="1" customHeight="1" x14ac:dyDescent="0.25">
      <c r="A122" s="9" t="s">
        <v>22</v>
      </c>
      <c r="B122" s="13">
        <f>VLOOKUP(Table245[[#This Row],[Location 
(drop-down)]],'List source'!D$2:E$59,2,FALSE)</f>
        <v>130</v>
      </c>
      <c r="C122" s="25" t="s">
        <v>360</v>
      </c>
      <c r="D122" s="33" t="str">
        <f t="shared" si="3"/>
        <v>A121-130-23</v>
      </c>
      <c r="E122" s="65">
        <v>45216</v>
      </c>
      <c r="F122" s="65">
        <v>45216</v>
      </c>
      <c r="G122" s="65" t="s">
        <v>2172</v>
      </c>
      <c r="H122" s="10" t="s">
        <v>2142</v>
      </c>
      <c r="I122" s="10" t="s">
        <v>2139</v>
      </c>
      <c r="J122" s="10" t="s">
        <v>435</v>
      </c>
      <c r="K122" s="10"/>
      <c r="L122" s="10" t="s">
        <v>2144</v>
      </c>
      <c r="M122" s="64"/>
      <c r="N122" s="10" t="s">
        <v>2145</v>
      </c>
    </row>
    <row r="123" spans="1:14" s="4" customFormat="1" ht="30" hidden="1" customHeight="1" x14ac:dyDescent="0.25">
      <c r="A123" s="9" t="s">
        <v>324</v>
      </c>
      <c r="B123" s="13">
        <f>VLOOKUP(Table245[[#This Row],[Location 
(drop-down)]],'List source'!D$2:E$59,2,FALSE)</f>
        <v>170</v>
      </c>
      <c r="C123" s="25" t="s">
        <v>363</v>
      </c>
      <c r="D123" s="33" t="str">
        <f t="shared" ref="D123:D154" si="4">"A" &amp; C123 &amp; "-" &amp; B123 &amp; "-" &amp; "23"</f>
        <v>A122-170-23</v>
      </c>
      <c r="E123" s="65">
        <v>45174</v>
      </c>
      <c r="F123" s="65">
        <v>45177</v>
      </c>
      <c r="G123" s="65">
        <v>45180</v>
      </c>
      <c r="H123" s="10" t="s">
        <v>2142</v>
      </c>
      <c r="I123" s="10" t="s">
        <v>2139</v>
      </c>
      <c r="J123" s="10" t="s">
        <v>189</v>
      </c>
      <c r="K123" s="10" t="s">
        <v>2255</v>
      </c>
      <c r="L123" s="10" t="s">
        <v>2159</v>
      </c>
      <c r="M123" s="64"/>
      <c r="N123" s="10" t="s">
        <v>2256</v>
      </c>
    </row>
    <row r="124" spans="1:14" s="4" customFormat="1" ht="44.1" hidden="1" customHeight="1" x14ac:dyDescent="0.25">
      <c r="A124" s="9" t="s">
        <v>22</v>
      </c>
      <c r="B124" s="13">
        <f>VLOOKUP(Table245[[#This Row],[Location 
(drop-down)]],'List source'!D$2:E$59,2,FALSE)</f>
        <v>130</v>
      </c>
      <c r="C124" s="25" t="s">
        <v>365</v>
      </c>
      <c r="D124" s="33" t="str">
        <f t="shared" si="4"/>
        <v>A123-130-23</v>
      </c>
      <c r="E124" s="65">
        <v>45174</v>
      </c>
      <c r="F124" s="65">
        <v>45174</v>
      </c>
      <c r="G124" s="65">
        <v>45174</v>
      </c>
      <c r="H124" s="10" t="s">
        <v>2146</v>
      </c>
      <c r="I124" s="10" t="s">
        <v>2139</v>
      </c>
      <c r="J124" s="10" t="s">
        <v>435</v>
      </c>
      <c r="K124" s="10" t="s">
        <v>2257</v>
      </c>
      <c r="L124" s="10" t="s">
        <v>2258</v>
      </c>
      <c r="M124" s="64"/>
      <c r="N124" s="10" t="s">
        <v>2259</v>
      </c>
    </row>
    <row r="125" spans="1:14" s="4" customFormat="1" ht="30" customHeight="1" x14ac:dyDescent="0.25">
      <c r="A125" s="9" t="s">
        <v>42</v>
      </c>
      <c r="B125" s="13">
        <f>VLOOKUP(Table245[[#This Row],[Location 
(drop-down)]],'List source'!D$2:E$59,2,FALSE)</f>
        <v>198</v>
      </c>
      <c r="C125" s="25" t="s">
        <v>368</v>
      </c>
      <c r="D125" s="33" t="str">
        <f t="shared" si="4"/>
        <v>A124-198-23</v>
      </c>
      <c r="E125" s="47">
        <v>45180</v>
      </c>
      <c r="F125" s="47">
        <v>45183</v>
      </c>
      <c r="G125" s="65">
        <v>45188</v>
      </c>
      <c r="H125" s="10" t="s">
        <v>2134</v>
      </c>
      <c r="I125" s="10" t="s">
        <v>2135</v>
      </c>
      <c r="J125" s="10" t="s">
        <v>435</v>
      </c>
      <c r="K125" s="10" t="s">
        <v>435</v>
      </c>
      <c r="L125" s="10" t="s">
        <v>2136</v>
      </c>
      <c r="M125" s="64"/>
      <c r="N125" s="10" t="s">
        <v>2137</v>
      </c>
    </row>
    <row r="126" spans="1:14" s="4" customFormat="1" ht="30" hidden="1" customHeight="1" x14ac:dyDescent="0.25">
      <c r="A126" s="9" t="s">
        <v>57</v>
      </c>
      <c r="B126" s="13">
        <f>VLOOKUP(Table245[[#This Row],[Location 
(drop-down)]],'List source'!D$2:E$59,2,FALSE)</f>
        <v>155</v>
      </c>
      <c r="C126" s="25" t="s">
        <v>370</v>
      </c>
      <c r="D126" s="33" t="str">
        <f t="shared" si="4"/>
        <v>A125-155-23</v>
      </c>
      <c r="E126" s="65">
        <v>45152</v>
      </c>
      <c r="F126" s="65">
        <v>45154</v>
      </c>
      <c r="G126" s="65">
        <v>45542</v>
      </c>
      <c r="H126" s="10" t="s">
        <v>2142</v>
      </c>
      <c r="I126" s="10" t="s">
        <v>2139</v>
      </c>
      <c r="J126" s="10" t="s">
        <v>443</v>
      </c>
      <c r="K126" s="10" t="s">
        <v>2255</v>
      </c>
      <c r="L126" s="10" t="s">
        <v>2159</v>
      </c>
      <c r="M126" s="64"/>
      <c r="N126" s="10" t="s">
        <v>2256</v>
      </c>
    </row>
    <row r="127" spans="1:14" s="4" customFormat="1" ht="30" hidden="1" customHeight="1" x14ac:dyDescent="0.25">
      <c r="A127" s="9" t="s">
        <v>42</v>
      </c>
      <c r="B127" s="13">
        <f>VLOOKUP(Table245[[#This Row],[Location 
(drop-down)]],'List source'!D$2:E$59,2,FALSE)</f>
        <v>198</v>
      </c>
      <c r="C127" s="25" t="s">
        <v>372</v>
      </c>
      <c r="D127" s="33" t="str">
        <f t="shared" si="4"/>
        <v>A126-198-23</v>
      </c>
      <c r="E127" s="65">
        <v>45015</v>
      </c>
      <c r="F127" s="65">
        <v>45015</v>
      </c>
      <c r="G127" s="65">
        <v>45015</v>
      </c>
      <c r="H127" s="10" t="s">
        <v>2168</v>
      </c>
      <c r="I127" s="10" t="s">
        <v>2139</v>
      </c>
      <c r="J127" s="10" t="s">
        <v>435</v>
      </c>
      <c r="K127" s="10" t="s">
        <v>2260</v>
      </c>
      <c r="L127" s="10" t="s">
        <v>2186</v>
      </c>
      <c r="M127" s="64" t="s">
        <v>2168</v>
      </c>
      <c r="N127" s="10" t="s">
        <v>2261</v>
      </c>
    </row>
    <row r="128" spans="1:14" s="4" customFormat="1" ht="30" hidden="1" customHeight="1" x14ac:dyDescent="0.25">
      <c r="A128" s="9" t="s">
        <v>446</v>
      </c>
      <c r="B128" s="13">
        <f>VLOOKUP(Table245[[#This Row],[Location 
(drop-down)]],'List source'!D$2:E$59,2,FALSE)</f>
        <v>188</v>
      </c>
      <c r="C128" s="25" t="s">
        <v>374</v>
      </c>
      <c r="D128" s="33" t="str">
        <f t="shared" si="4"/>
        <v>A127-188-23</v>
      </c>
      <c r="E128" s="65">
        <v>45183</v>
      </c>
      <c r="F128" s="65">
        <v>45183</v>
      </c>
      <c r="G128" s="47">
        <v>45195</v>
      </c>
      <c r="H128" s="10" t="s">
        <v>2146</v>
      </c>
      <c r="I128" s="10" t="s">
        <v>2147</v>
      </c>
      <c r="J128" s="10"/>
      <c r="K128" s="10" t="s">
        <v>2262</v>
      </c>
      <c r="L128" s="10" t="s">
        <v>2186</v>
      </c>
      <c r="M128" s="64"/>
      <c r="N128" s="10" t="s">
        <v>2263</v>
      </c>
    </row>
    <row r="129" spans="1:14" s="4" customFormat="1" ht="30" customHeight="1" x14ac:dyDescent="0.25">
      <c r="A129" s="9" t="s">
        <v>924</v>
      </c>
      <c r="B129" s="13">
        <f>VLOOKUP(Table245[[#This Row],[Location 
(drop-down)]],'List source'!D$2:E$59,2,FALSE)</f>
        <v>144</v>
      </c>
      <c r="C129" s="25" t="s">
        <v>376</v>
      </c>
      <c r="D129" s="33" t="str">
        <f t="shared" si="4"/>
        <v>A128-144-23</v>
      </c>
      <c r="E129" s="65">
        <v>45187</v>
      </c>
      <c r="F129" s="65">
        <v>45190</v>
      </c>
      <c r="G129" s="47">
        <v>45222</v>
      </c>
      <c r="H129" s="10" t="s">
        <v>2134</v>
      </c>
      <c r="I129" s="10" t="s">
        <v>2135</v>
      </c>
      <c r="J129" s="10" t="s">
        <v>440</v>
      </c>
      <c r="K129" s="10" t="s">
        <v>440</v>
      </c>
      <c r="L129" s="10" t="s">
        <v>2136</v>
      </c>
      <c r="M129" s="64"/>
      <c r="N129" s="10" t="s">
        <v>2137</v>
      </c>
    </row>
    <row r="130" spans="1:14" s="4" customFormat="1" ht="30" hidden="1" customHeight="1" x14ac:dyDescent="0.25">
      <c r="A130" s="9" t="s">
        <v>208</v>
      </c>
      <c r="B130" s="13">
        <f>VLOOKUP(Table245[[#This Row],[Location 
(drop-down)]],'List source'!D$2:E$59,2,FALSE)</f>
        <v>142</v>
      </c>
      <c r="C130" s="25" t="s">
        <v>379</v>
      </c>
      <c r="D130" s="33" t="str">
        <f t="shared" si="4"/>
        <v>A129-142-23</v>
      </c>
      <c r="E130" s="47">
        <v>45188</v>
      </c>
      <c r="F130" s="47">
        <v>45188</v>
      </c>
      <c r="G130" s="47">
        <v>45211</v>
      </c>
      <c r="H130" s="10" t="s">
        <v>2146</v>
      </c>
      <c r="I130" s="10" t="s">
        <v>2139</v>
      </c>
      <c r="J130" s="10" t="s">
        <v>96</v>
      </c>
      <c r="K130" s="10" t="s">
        <v>2264</v>
      </c>
      <c r="L130" s="10" t="s">
        <v>2186</v>
      </c>
      <c r="M130" s="64"/>
      <c r="N130" s="10" t="s">
        <v>2265</v>
      </c>
    </row>
    <row r="131" spans="1:14" s="4" customFormat="1" ht="30" hidden="1" customHeight="1" x14ac:dyDescent="0.25">
      <c r="A131" s="9" t="s">
        <v>79</v>
      </c>
      <c r="B131" s="13">
        <f>VLOOKUP(Table245[[#This Row],[Location 
(drop-down)]],'List source'!D$2:E$59,2,FALSE)</f>
        <v>141</v>
      </c>
      <c r="C131" s="25" t="s">
        <v>381</v>
      </c>
      <c r="D131" s="33" t="str">
        <f t="shared" si="4"/>
        <v>A130-141-23</v>
      </c>
      <c r="E131" s="47">
        <v>45189</v>
      </c>
      <c r="F131" s="47">
        <v>45190</v>
      </c>
      <c r="G131" s="47">
        <v>45211</v>
      </c>
      <c r="H131" s="10" t="s">
        <v>2146</v>
      </c>
      <c r="I131" s="10" t="s">
        <v>2139</v>
      </c>
      <c r="J131" s="10" t="s">
        <v>96</v>
      </c>
      <c r="K131" s="10" t="s">
        <v>2264</v>
      </c>
      <c r="L131" s="10" t="s">
        <v>2186</v>
      </c>
      <c r="M131" s="64"/>
      <c r="N131" s="10" t="s">
        <v>2265</v>
      </c>
    </row>
    <row r="132" spans="1:14" s="4" customFormat="1" ht="30" hidden="1" customHeight="1" x14ac:dyDescent="0.25">
      <c r="A132" s="9" t="s">
        <v>208</v>
      </c>
      <c r="B132" s="13">
        <f>VLOOKUP(Table245[[#This Row],[Location 
(drop-down)]],'List source'!D$2:E$59,2,FALSE)</f>
        <v>142</v>
      </c>
      <c r="C132" s="25" t="s">
        <v>384</v>
      </c>
      <c r="D132" s="33" t="str">
        <f t="shared" si="4"/>
        <v>A131-142-23</v>
      </c>
      <c r="E132" s="65">
        <v>45190</v>
      </c>
      <c r="F132" s="65">
        <v>45190</v>
      </c>
      <c r="G132" s="47">
        <v>45196</v>
      </c>
      <c r="H132" s="10" t="s">
        <v>2146</v>
      </c>
      <c r="I132" s="10" t="s">
        <v>2147</v>
      </c>
      <c r="J132" s="10" t="s">
        <v>96</v>
      </c>
      <c r="K132" s="10" t="s">
        <v>2266</v>
      </c>
      <c r="L132" s="10" t="s">
        <v>2186</v>
      </c>
      <c r="M132" s="64"/>
      <c r="N132" s="10" t="s">
        <v>2263</v>
      </c>
    </row>
    <row r="133" spans="1:14" s="4" customFormat="1" ht="30" hidden="1" customHeight="1" x14ac:dyDescent="0.25">
      <c r="A133" s="9" t="s">
        <v>42</v>
      </c>
      <c r="B133" s="13">
        <f>VLOOKUP(Table245[[#This Row],[Location 
(drop-down)]],'List source'!D$2:E$59,2,FALSE)</f>
        <v>198</v>
      </c>
      <c r="C133" s="25" t="s">
        <v>386</v>
      </c>
      <c r="D133" s="33" t="str">
        <f t="shared" si="4"/>
        <v>A132-198-23</v>
      </c>
      <c r="E133" s="47">
        <v>45191</v>
      </c>
      <c r="F133" s="47">
        <v>45191</v>
      </c>
      <c r="G133" s="47">
        <v>45195</v>
      </c>
      <c r="H133" s="10" t="s">
        <v>2146</v>
      </c>
      <c r="I133" s="10" t="s">
        <v>2147</v>
      </c>
      <c r="J133" s="10" t="s">
        <v>449</v>
      </c>
      <c r="K133" s="10" t="s">
        <v>2266</v>
      </c>
      <c r="L133" s="10" t="s">
        <v>2186</v>
      </c>
      <c r="M133" s="64"/>
      <c r="N133" s="10" t="s">
        <v>2263</v>
      </c>
    </row>
    <row r="134" spans="1:14" s="4" customFormat="1" ht="30" hidden="1" customHeight="1" x14ac:dyDescent="0.25">
      <c r="A134" s="9" t="s">
        <v>178</v>
      </c>
      <c r="B134" s="13">
        <f>VLOOKUP(Table245[[#This Row],[Location 
(drop-down)]],'List source'!D$2:E$59,2,FALSE)</f>
        <v>150</v>
      </c>
      <c r="C134" s="25" t="s">
        <v>388</v>
      </c>
      <c r="D134" s="33" t="str">
        <f t="shared" si="4"/>
        <v>A133-150-23</v>
      </c>
      <c r="E134" s="47">
        <v>45196</v>
      </c>
      <c r="F134" s="47">
        <v>45196</v>
      </c>
      <c r="G134" s="65">
        <v>45230</v>
      </c>
      <c r="H134" s="10" t="s">
        <v>2146</v>
      </c>
      <c r="I134" s="10" t="s">
        <v>2139</v>
      </c>
      <c r="J134" s="10" t="s">
        <v>435</v>
      </c>
      <c r="K134" s="10" t="s">
        <v>2267</v>
      </c>
      <c r="L134" s="10" t="s">
        <v>2240</v>
      </c>
      <c r="M134" s="64"/>
      <c r="N134" s="10" t="s">
        <v>2268</v>
      </c>
    </row>
    <row r="135" spans="1:14" s="4" customFormat="1" ht="30" customHeight="1" x14ac:dyDescent="0.25">
      <c r="A135" s="9" t="s">
        <v>1658</v>
      </c>
      <c r="B135" s="13">
        <f>VLOOKUP(Table245[[#This Row],[Location 
(drop-down)]],'List source'!D$2:E$59,2,FALSE)</f>
        <v>159</v>
      </c>
      <c r="C135" s="25" t="s">
        <v>390</v>
      </c>
      <c r="D135" s="33" t="str">
        <f t="shared" si="4"/>
        <v>A134-159-23</v>
      </c>
      <c r="E135" s="65">
        <v>45209</v>
      </c>
      <c r="F135" s="65">
        <v>45210</v>
      </c>
      <c r="G135" s="47">
        <v>45216</v>
      </c>
      <c r="H135" s="10" t="s">
        <v>2134</v>
      </c>
      <c r="I135" s="10" t="s">
        <v>2135</v>
      </c>
      <c r="J135" s="10" t="s">
        <v>129</v>
      </c>
      <c r="K135" s="10" t="s">
        <v>2138</v>
      </c>
      <c r="L135" s="10" t="s">
        <v>2136</v>
      </c>
      <c r="M135" s="64"/>
      <c r="N135" s="10" t="s">
        <v>2137</v>
      </c>
    </row>
    <row r="136" spans="1:14" s="4" customFormat="1" ht="30" hidden="1" customHeight="1" x14ac:dyDescent="0.25">
      <c r="A136" s="9" t="s">
        <v>72</v>
      </c>
      <c r="B136" s="13">
        <f>VLOOKUP(Table245[[#This Row],[Location 
(drop-down)]],'List source'!D$2:E$59,2,FALSE)</f>
        <v>197</v>
      </c>
      <c r="C136" s="25" t="s">
        <v>393</v>
      </c>
      <c r="D136" s="33" t="str">
        <f t="shared" si="4"/>
        <v>A135-197-23</v>
      </c>
      <c r="E136" s="47">
        <v>45195</v>
      </c>
      <c r="F136" s="47">
        <v>45197</v>
      </c>
      <c r="G136" s="47">
        <v>45197</v>
      </c>
      <c r="H136" s="10" t="s">
        <v>2142</v>
      </c>
      <c r="I136" s="10" t="s">
        <v>2139</v>
      </c>
      <c r="J136" s="10" t="s">
        <v>443</v>
      </c>
      <c r="K136" s="10" t="s">
        <v>2269</v>
      </c>
      <c r="L136" s="10" t="s">
        <v>2159</v>
      </c>
      <c r="M136" s="64" t="s">
        <v>2160</v>
      </c>
      <c r="N136" s="10" t="s">
        <v>2270</v>
      </c>
    </row>
    <row r="137" spans="1:14" s="4" customFormat="1" ht="30" hidden="1" customHeight="1" x14ac:dyDescent="0.25">
      <c r="A137" s="9" t="s">
        <v>171</v>
      </c>
      <c r="B137" s="13">
        <f>VLOOKUP(Table245[[#This Row],[Location 
(drop-down)]],'List source'!D$2:E$59,2,FALSE)</f>
        <v>160</v>
      </c>
      <c r="C137" s="25" t="s">
        <v>396</v>
      </c>
      <c r="D137" s="33" t="str">
        <f t="shared" si="4"/>
        <v>A136-160-23</v>
      </c>
      <c r="E137" s="47">
        <v>45190</v>
      </c>
      <c r="F137" s="47">
        <v>45190</v>
      </c>
      <c r="G137" s="47">
        <v>45208</v>
      </c>
      <c r="H137" s="10" t="s">
        <v>2146</v>
      </c>
      <c r="I137" s="10" t="s">
        <v>2139</v>
      </c>
      <c r="J137" s="10" t="s">
        <v>161</v>
      </c>
      <c r="K137" s="10" t="s">
        <v>2176</v>
      </c>
      <c r="L137" s="10" t="s">
        <v>2177</v>
      </c>
      <c r="M137" s="64"/>
      <c r="N137" s="10" t="s">
        <v>2271</v>
      </c>
    </row>
    <row r="138" spans="1:14" s="4" customFormat="1" ht="30" hidden="1" customHeight="1" x14ac:dyDescent="0.25">
      <c r="A138" s="9" t="s">
        <v>66</v>
      </c>
      <c r="B138" s="13">
        <f>VLOOKUP(Table245[[#This Row],[Location 
(drop-down)]],'List source'!D$2:E$59,2,FALSE)</f>
        <v>165</v>
      </c>
      <c r="C138" s="25" t="s">
        <v>398</v>
      </c>
      <c r="D138" s="33" t="str">
        <f t="shared" si="4"/>
        <v>A137-165-23</v>
      </c>
      <c r="E138" s="47">
        <v>45191</v>
      </c>
      <c r="F138" s="47">
        <v>45191</v>
      </c>
      <c r="G138" s="65" t="s">
        <v>2172</v>
      </c>
      <c r="H138" s="10" t="s">
        <v>2146</v>
      </c>
      <c r="I138" s="10" t="s">
        <v>2139</v>
      </c>
      <c r="J138" s="10" t="s">
        <v>161</v>
      </c>
      <c r="K138" s="10" t="s">
        <v>2176</v>
      </c>
      <c r="L138" s="10" t="s">
        <v>2177</v>
      </c>
      <c r="M138" s="64"/>
      <c r="N138" s="10" t="s">
        <v>2271</v>
      </c>
    </row>
    <row r="139" spans="1:14" s="4" customFormat="1" ht="30" hidden="1" customHeight="1" x14ac:dyDescent="0.25">
      <c r="A139" s="9" t="s">
        <v>61</v>
      </c>
      <c r="B139" s="13">
        <f>VLOOKUP(Table245[[#This Row],[Location 
(drop-down)]],'List source'!D$2:E$59,2,FALSE)</f>
        <v>120</v>
      </c>
      <c r="C139" s="25" t="s">
        <v>401</v>
      </c>
      <c r="D139" s="33" t="str">
        <f t="shared" si="4"/>
        <v>A138-120-23</v>
      </c>
      <c r="E139" s="47">
        <v>45195</v>
      </c>
      <c r="F139" s="47">
        <v>45195</v>
      </c>
      <c r="G139" s="65">
        <v>45230</v>
      </c>
      <c r="H139" s="10" t="s">
        <v>2146</v>
      </c>
      <c r="I139" s="10" t="s">
        <v>2135</v>
      </c>
      <c r="J139" s="10" t="s">
        <v>161</v>
      </c>
      <c r="K139" s="10" t="s">
        <v>2272</v>
      </c>
      <c r="L139" s="10" t="s">
        <v>2240</v>
      </c>
      <c r="M139" s="64"/>
      <c r="N139" s="10" t="s">
        <v>2273</v>
      </c>
    </row>
    <row r="140" spans="1:14" s="4" customFormat="1" ht="30" hidden="1" customHeight="1" x14ac:dyDescent="0.25">
      <c r="A140" s="9" t="s">
        <v>1023</v>
      </c>
      <c r="B140" s="13">
        <f>VLOOKUP(Table245[[#This Row],[Location 
(drop-down)]],'List source'!D$2:E$59,2,FALSE)</f>
        <v>128</v>
      </c>
      <c r="C140" s="25" t="s">
        <v>405</v>
      </c>
      <c r="D140" s="33" t="str">
        <f t="shared" si="4"/>
        <v>A139-128-23</v>
      </c>
      <c r="E140" s="47">
        <v>45195</v>
      </c>
      <c r="F140" s="47">
        <v>45195</v>
      </c>
      <c r="G140" s="47">
        <v>45264</v>
      </c>
      <c r="H140" s="10" t="s">
        <v>2146</v>
      </c>
      <c r="I140" s="10" t="s">
        <v>2147</v>
      </c>
      <c r="J140" s="10" t="s">
        <v>161</v>
      </c>
      <c r="K140" s="10" t="s">
        <v>2274</v>
      </c>
      <c r="L140" s="10" t="s">
        <v>2275</v>
      </c>
      <c r="M140" s="64"/>
      <c r="N140" s="10" t="s">
        <v>2276</v>
      </c>
    </row>
    <row r="141" spans="1:14" s="4" customFormat="1" ht="30" hidden="1" customHeight="1" x14ac:dyDescent="0.25">
      <c r="A141" s="9" t="s">
        <v>1057</v>
      </c>
      <c r="B141" s="13">
        <f>VLOOKUP(Table245[[#This Row],[Location 
(drop-down)]],'List source'!D$2:E$59,2,FALSE)</f>
        <v>157</v>
      </c>
      <c r="C141" s="25" t="s">
        <v>406</v>
      </c>
      <c r="D141" s="33" t="str">
        <f t="shared" si="4"/>
        <v>A140-157-23</v>
      </c>
      <c r="E141" s="65">
        <v>45202</v>
      </c>
      <c r="F141" s="65">
        <v>45202</v>
      </c>
      <c r="G141" s="65">
        <v>45202</v>
      </c>
      <c r="H141" s="10" t="s">
        <v>2146</v>
      </c>
      <c r="I141" s="10" t="s">
        <v>2135</v>
      </c>
      <c r="J141" s="10" t="s">
        <v>129</v>
      </c>
      <c r="K141" s="10" t="s">
        <v>2277</v>
      </c>
      <c r="L141" s="10" t="s">
        <v>2278</v>
      </c>
      <c r="M141" s="64"/>
      <c r="N141" s="10" t="s">
        <v>2279</v>
      </c>
    </row>
    <row r="142" spans="1:14" s="4" customFormat="1" ht="30" hidden="1" customHeight="1" x14ac:dyDescent="0.25">
      <c r="A142" s="9" t="s">
        <v>42</v>
      </c>
      <c r="B142" s="13">
        <f>VLOOKUP(Table245[[#This Row],[Location 
(drop-down)]],'List source'!D$2:E$59,2,FALSE)</f>
        <v>198</v>
      </c>
      <c r="C142" s="25" t="s">
        <v>408</v>
      </c>
      <c r="D142" s="33" t="str">
        <f t="shared" si="4"/>
        <v>A141-198-23</v>
      </c>
      <c r="E142" s="65">
        <v>45156</v>
      </c>
      <c r="F142" s="65">
        <v>45156</v>
      </c>
      <c r="G142" s="65">
        <v>45177</v>
      </c>
      <c r="H142" s="10" t="s">
        <v>2146</v>
      </c>
      <c r="I142" s="10" t="s">
        <v>2139</v>
      </c>
      <c r="J142" s="10" t="s">
        <v>443</v>
      </c>
      <c r="K142" s="10" t="s">
        <v>2280</v>
      </c>
      <c r="L142" s="10" t="s">
        <v>2186</v>
      </c>
      <c r="M142" s="64"/>
      <c r="N142" s="10" t="s">
        <v>2186</v>
      </c>
    </row>
    <row r="143" spans="1:14" s="4" customFormat="1" ht="30" hidden="1" customHeight="1" x14ac:dyDescent="0.25">
      <c r="A143" s="9" t="s">
        <v>826</v>
      </c>
      <c r="B143" s="13">
        <f>VLOOKUP(Table245[[#This Row],[Location 
(drop-down)]],'List source'!D$2:E$59,2,FALSE)</f>
        <v>145</v>
      </c>
      <c r="C143" s="25" t="s">
        <v>412</v>
      </c>
      <c r="D143" s="33" t="str">
        <f t="shared" si="4"/>
        <v>A142-145-23</v>
      </c>
      <c r="E143" s="47">
        <v>45205</v>
      </c>
      <c r="F143" s="47">
        <v>45205</v>
      </c>
      <c r="G143" s="65" t="s">
        <v>2172</v>
      </c>
      <c r="H143" s="10" t="s">
        <v>2146</v>
      </c>
      <c r="I143" s="10" t="s">
        <v>2147</v>
      </c>
      <c r="J143" s="10" t="s">
        <v>96</v>
      </c>
      <c r="K143" s="10" t="s">
        <v>2266</v>
      </c>
      <c r="L143" s="10" t="s">
        <v>2281</v>
      </c>
      <c r="M143" s="64"/>
      <c r="N143" s="10"/>
    </row>
    <row r="144" spans="1:14" s="4" customFormat="1" ht="30" hidden="1" customHeight="1" x14ac:dyDescent="0.25">
      <c r="A144" s="9" t="s">
        <v>79</v>
      </c>
      <c r="B144" s="13">
        <f>VLOOKUP(Table245[[#This Row],[Location 
(drop-down)]],'List source'!D$2:E$59,2,FALSE)</f>
        <v>141</v>
      </c>
      <c r="C144" s="25" t="s">
        <v>414</v>
      </c>
      <c r="D144" s="33" t="str">
        <f t="shared" si="4"/>
        <v>A143-141-23</v>
      </c>
      <c r="E144" s="47">
        <v>45211</v>
      </c>
      <c r="F144" s="47">
        <v>45211</v>
      </c>
      <c r="G144" s="65" t="s">
        <v>2172</v>
      </c>
      <c r="H144" s="10" t="s">
        <v>2146</v>
      </c>
      <c r="I144" s="10" t="s">
        <v>2147</v>
      </c>
      <c r="J144" s="10" t="s">
        <v>96</v>
      </c>
      <c r="K144" s="10" t="s">
        <v>2282</v>
      </c>
      <c r="L144" s="10" t="s">
        <v>2186</v>
      </c>
      <c r="M144" s="64"/>
      <c r="N144" s="10"/>
    </row>
    <row r="145" spans="1:14" s="4" customFormat="1" ht="30" hidden="1" customHeight="1" x14ac:dyDescent="0.25">
      <c r="A145" s="9" t="s">
        <v>226</v>
      </c>
      <c r="B145" s="13">
        <f>VLOOKUP(Table245[[#This Row],[Location 
(drop-down)]],'List source'!D$2:E$59,2,FALSE)</f>
        <v>110</v>
      </c>
      <c r="C145" s="25" t="s">
        <v>419</v>
      </c>
      <c r="D145" s="33" t="str">
        <f t="shared" si="4"/>
        <v>A144-110-23</v>
      </c>
      <c r="E145" s="47">
        <v>45212</v>
      </c>
      <c r="F145" s="47">
        <v>45212</v>
      </c>
      <c r="G145" s="65" t="s">
        <v>2172</v>
      </c>
      <c r="H145" s="10" t="s">
        <v>2146</v>
      </c>
      <c r="I145" s="10" t="s">
        <v>2147</v>
      </c>
      <c r="J145" s="10" t="s">
        <v>435</v>
      </c>
      <c r="K145" s="10" t="s">
        <v>2282</v>
      </c>
      <c r="L145" s="10" t="s">
        <v>2186</v>
      </c>
      <c r="M145" s="64"/>
      <c r="N145" s="10"/>
    </row>
    <row r="146" spans="1:14" s="4" customFormat="1" ht="30" customHeight="1" x14ac:dyDescent="0.25">
      <c r="A146" s="9" t="s">
        <v>108</v>
      </c>
      <c r="B146" s="13">
        <f>VLOOKUP(Table245[[#This Row],[Location 
(drop-down)]],'List source'!D$2:E$59,2,FALSE)</f>
        <v>191</v>
      </c>
      <c r="C146" s="25" t="s">
        <v>422</v>
      </c>
      <c r="D146" s="33" t="str">
        <f t="shared" si="4"/>
        <v>A145-191-23</v>
      </c>
      <c r="E146" s="65">
        <v>45222</v>
      </c>
      <c r="F146" s="65">
        <v>45225</v>
      </c>
      <c r="G146" s="65">
        <v>45237</v>
      </c>
      <c r="H146" s="10" t="s">
        <v>2134</v>
      </c>
      <c r="I146" s="10" t="s">
        <v>2135</v>
      </c>
      <c r="J146" s="10" t="s">
        <v>435</v>
      </c>
      <c r="K146" s="10" t="s">
        <v>2283</v>
      </c>
      <c r="L146" s="10" t="s">
        <v>2136</v>
      </c>
      <c r="M146" s="64"/>
      <c r="N146" s="10" t="s">
        <v>2137</v>
      </c>
    </row>
    <row r="147" spans="1:14" s="4" customFormat="1" ht="30" hidden="1" customHeight="1" x14ac:dyDescent="0.25">
      <c r="A147" s="9" t="s">
        <v>108</v>
      </c>
      <c r="B147" s="13">
        <f>VLOOKUP(Table245[[#This Row],[Location 
(drop-down)]],'List source'!D$2:E$59,2,FALSE)</f>
        <v>191</v>
      </c>
      <c r="C147" s="25" t="s">
        <v>426</v>
      </c>
      <c r="D147" s="33" t="str">
        <f t="shared" si="4"/>
        <v>A146-191-23</v>
      </c>
      <c r="E147" s="65">
        <v>45222</v>
      </c>
      <c r="F147" s="65">
        <v>45225</v>
      </c>
      <c r="G147" s="65">
        <v>45237</v>
      </c>
      <c r="H147" s="10" t="s">
        <v>2134</v>
      </c>
      <c r="I147" s="10" t="s">
        <v>2139</v>
      </c>
      <c r="J147" s="13" t="s">
        <v>435</v>
      </c>
      <c r="K147" s="10" t="s">
        <v>2283</v>
      </c>
      <c r="L147" s="11" t="s">
        <v>2136</v>
      </c>
      <c r="M147" s="64"/>
      <c r="N147" s="10" t="s">
        <v>2140</v>
      </c>
    </row>
    <row r="148" spans="1:14" s="4" customFormat="1" ht="30" hidden="1" customHeight="1" x14ac:dyDescent="0.25">
      <c r="A148" s="9" t="s">
        <v>1020</v>
      </c>
      <c r="B148" s="13">
        <f>VLOOKUP(Table245[[#This Row],[Location 
(drop-down)]],'List source'!D$2:E$59,2,FALSE)</f>
        <v>199</v>
      </c>
      <c r="C148" s="25" t="s">
        <v>430</v>
      </c>
      <c r="D148" s="33" t="str">
        <f t="shared" si="4"/>
        <v>A147-199-23</v>
      </c>
      <c r="E148" s="47">
        <v>45203</v>
      </c>
      <c r="F148" s="47">
        <v>45203</v>
      </c>
      <c r="G148" s="65">
        <v>45225</v>
      </c>
      <c r="H148" s="10" t="s">
        <v>2146</v>
      </c>
      <c r="I148" s="10" t="s">
        <v>2147</v>
      </c>
      <c r="J148" s="17" t="s">
        <v>449</v>
      </c>
      <c r="K148" s="10" t="s">
        <v>2282</v>
      </c>
      <c r="L148" s="16" t="s">
        <v>2186</v>
      </c>
      <c r="M148" s="64"/>
      <c r="N148" s="17" t="s">
        <v>2263</v>
      </c>
    </row>
    <row r="149" spans="1:14" s="4" customFormat="1" ht="30" customHeight="1" x14ac:dyDescent="0.25">
      <c r="A149" s="9" t="s">
        <v>1385</v>
      </c>
      <c r="B149" s="13">
        <f>VLOOKUP(Table245[[#This Row],[Location 
(drop-down)]],'List source'!D$2:E$59,2,FALSE)</f>
        <v>139</v>
      </c>
      <c r="C149" s="25" t="s">
        <v>433</v>
      </c>
      <c r="D149" s="33" t="str">
        <f t="shared" si="4"/>
        <v>A148-139-23</v>
      </c>
      <c r="E149" s="65">
        <v>45223</v>
      </c>
      <c r="F149" s="65">
        <v>45225</v>
      </c>
      <c r="G149" s="47">
        <v>45275</v>
      </c>
      <c r="H149" s="10" t="s">
        <v>2134</v>
      </c>
      <c r="I149" s="10" t="s">
        <v>2135</v>
      </c>
      <c r="J149" s="13" t="s">
        <v>440</v>
      </c>
      <c r="K149" s="10" t="s">
        <v>440</v>
      </c>
      <c r="L149" s="11" t="s">
        <v>2136</v>
      </c>
      <c r="M149" s="64"/>
      <c r="N149" s="13" t="s">
        <v>2137</v>
      </c>
    </row>
    <row r="150" spans="1:14" s="4" customFormat="1" ht="30" hidden="1" customHeight="1" x14ac:dyDescent="0.25">
      <c r="A150" s="9" t="s">
        <v>22</v>
      </c>
      <c r="B150" s="13">
        <f>VLOOKUP(Table245[[#This Row],[Location 
(drop-down)]],'List source'!D$2:E$59,2,FALSE)</f>
        <v>130</v>
      </c>
      <c r="C150" s="25" t="s">
        <v>438</v>
      </c>
      <c r="D150" s="33" t="str">
        <f t="shared" si="4"/>
        <v>A149-130-23</v>
      </c>
      <c r="E150" s="47">
        <v>45215</v>
      </c>
      <c r="F150" s="47">
        <v>45215</v>
      </c>
      <c r="G150" s="47" t="s">
        <v>2284</v>
      </c>
      <c r="H150" s="10" t="s">
        <v>2146</v>
      </c>
      <c r="I150" s="10" t="s">
        <v>2139</v>
      </c>
      <c r="J150" s="17" t="s">
        <v>443</v>
      </c>
      <c r="K150" s="10" t="s">
        <v>2285</v>
      </c>
      <c r="L150" s="16" t="s">
        <v>2240</v>
      </c>
      <c r="M150" s="64"/>
      <c r="N150" s="17" t="s">
        <v>2286</v>
      </c>
    </row>
    <row r="151" spans="1:14" s="4" customFormat="1" ht="30" hidden="1" customHeight="1" x14ac:dyDescent="0.25">
      <c r="A151" s="9" t="s">
        <v>57</v>
      </c>
      <c r="B151" s="13">
        <f>VLOOKUP(Table245[[#This Row],[Location 
(drop-down)]],'List source'!D$2:E$59,2,FALSE)</f>
        <v>155</v>
      </c>
      <c r="C151" s="25" t="s">
        <v>441</v>
      </c>
      <c r="D151" s="33" t="str">
        <f t="shared" si="4"/>
        <v>A150-155-23</v>
      </c>
      <c r="E151" s="47">
        <v>45218</v>
      </c>
      <c r="F151" s="47">
        <v>45218</v>
      </c>
      <c r="G151" s="47">
        <v>45222</v>
      </c>
      <c r="H151" s="10" t="s">
        <v>2146</v>
      </c>
      <c r="I151" s="10" t="s">
        <v>2147</v>
      </c>
      <c r="J151" s="13" t="s">
        <v>129</v>
      </c>
      <c r="K151" s="10" t="s">
        <v>2287</v>
      </c>
      <c r="L151" s="11" t="s">
        <v>2177</v>
      </c>
      <c r="M151" s="64"/>
      <c r="N151" s="13" t="s">
        <v>2288</v>
      </c>
    </row>
    <row r="152" spans="1:14" ht="30" hidden="1" customHeight="1" x14ac:dyDescent="0.25">
      <c r="A152" s="9" t="s">
        <v>126</v>
      </c>
      <c r="B152" s="13">
        <f>VLOOKUP(Table245[[#This Row],[Location 
(drop-down)]],'List source'!D$2:E$59,2,FALSE)</f>
        <v>125</v>
      </c>
      <c r="C152" s="25" t="s">
        <v>444</v>
      </c>
      <c r="D152" s="117" t="str">
        <f t="shared" si="4"/>
        <v>A151-125-23</v>
      </c>
      <c r="E152" s="65">
        <v>45223</v>
      </c>
      <c r="F152" s="65">
        <v>45223</v>
      </c>
      <c r="G152" s="65" t="s">
        <v>2172</v>
      </c>
      <c r="H152" s="10" t="s">
        <v>2146</v>
      </c>
      <c r="I152" s="10" t="s">
        <v>2139</v>
      </c>
      <c r="J152" s="10" t="s">
        <v>416</v>
      </c>
      <c r="K152" s="10" t="s">
        <v>2289</v>
      </c>
      <c r="L152" s="10" t="s">
        <v>2177</v>
      </c>
      <c r="M152" s="10"/>
      <c r="N152" s="10"/>
    </row>
    <row r="153" spans="1:14" ht="30" hidden="1" customHeight="1" x14ac:dyDescent="0.25">
      <c r="A153" s="9" t="s">
        <v>13</v>
      </c>
      <c r="B153" s="13">
        <f>VLOOKUP(Table245[[#This Row],[Location 
(drop-down)]],'List source'!D$2:E$59,2,FALSE)</f>
        <v>126</v>
      </c>
      <c r="C153" s="25" t="s">
        <v>447</v>
      </c>
      <c r="D153" s="117" t="str">
        <f t="shared" si="4"/>
        <v>A152-126-23</v>
      </c>
      <c r="E153" s="65">
        <v>45225</v>
      </c>
      <c r="F153" s="65">
        <v>45225</v>
      </c>
      <c r="G153" s="65">
        <v>45237</v>
      </c>
      <c r="H153" s="10" t="s">
        <v>2146</v>
      </c>
      <c r="I153" s="10" t="s">
        <v>2139</v>
      </c>
      <c r="J153" s="10" t="s">
        <v>416</v>
      </c>
      <c r="K153" s="10" t="s">
        <v>2289</v>
      </c>
      <c r="L153" s="10" t="s">
        <v>2177</v>
      </c>
      <c r="M153" s="10"/>
      <c r="N153" s="10"/>
    </row>
    <row r="154" spans="1:14" ht="30" hidden="1" customHeight="1" x14ac:dyDescent="0.25">
      <c r="A154" s="9" t="s">
        <v>226</v>
      </c>
      <c r="B154" s="13">
        <f>VLOOKUP(Table245[[#This Row],[Location 
(drop-down)]],'List source'!D$2:E$59,2,FALSE)</f>
        <v>110</v>
      </c>
      <c r="C154" s="25" t="s">
        <v>452</v>
      </c>
      <c r="D154" s="117" t="str">
        <f t="shared" si="4"/>
        <v>A153-110-23</v>
      </c>
      <c r="E154" s="65">
        <v>45225</v>
      </c>
      <c r="F154" s="65">
        <v>45225</v>
      </c>
      <c r="G154" s="65" t="s">
        <v>2172</v>
      </c>
      <c r="H154" s="10" t="s">
        <v>2146</v>
      </c>
      <c r="I154" s="10" t="s">
        <v>2139</v>
      </c>
      <c r="J154" s="10" t="s">
        <v>129</v>
      </c>
      <c r="K154" s="10" t="s">
        <v>2290</v>
      </c>
      <c r="L154" s="10" t="s">
        <v>2214</v>
      </c>
      <c r="M154" s="10"/>
      <c r="N154" s="10" t="s">
        <v>2291</v>
      </c>
    </row>
    <row r="155" spans="1:14" ht="30" customHeight="1" x14ac:dyDescent="0.25">
      <c r="A155" s="9" t="s">
        <v>226</v>
      </c>
      <c r="B155" s="13">
        <f>VLOOKUP(Table245[[#This Row],[Location 
(drop-down)]],'List source'!D$2:E$59,2,FALSE)</f>
        <v>110</v>
      </c>
      <c r="C155" s="25" t="s">
        <v>454</v>
      </c>
      <c r="D155" s="117" t="str">
        <f t="shared" ref="D155:D186" si="5">"A" &amp; C155 &amp; "-" &amp; B155 &amp; "-" &amp; "23"</f>
        <v>A154-110-23</v>
      </c>
      <c r="E155" s="65">
        <v>45257</v>
      </c>
      <c r="F155" s="65">
        <v>45259</v>
      </c>
      <c r="G155" s="65">
        <v>45275</v>
      </c>
      <c r="H155" s="10" t="s">
        <v>2134</v>
      </c>
      <c r="I155" s="10" t="s">
        <v>2135</v>
      </c>
      <c r="J155" s="10" t="s">
        <v>129</v>
      </c>
      <c r="K155" s="10" t="s">
        <v>2292</v>
      </c>
      <c r="L155" s="11" t="s">
        <v>2136</v>
      </c>
      <c r="M155" s="10"/>
      <c r="N155" s="13" t="s">
        <v>2137</v>
      </c>
    </row>
    <row r="156" spans="1:14" ht="30" hidden="1" customHeight="1" x14ac:dyDescent="0.25">
      <c r="A156" s="9" t="s">
        <v>226</v>
      </c>
      <c r="B156" s="13">
        <f>VLOOKUP(Table245[[#This Row],[Location 
(drop-down)]],'List source'!D$2:E$59,2,FALSE)</f>
        <v>110</v>
      </c>
      <c r="C156" s="25" t="s">
        <v>456</v>
      </c>
      <c r="D156" s="117" t="str">
        <f t="shared" si="5"/>
        <v>A155-110-23</v>
      </c>
      <c r="E156" s="65">
        <v>45257</v>
      </c>
      <c r="F156" s="65">
        <v>45259</v>
      </c>
      <c r="G156" s="65">
        <v>45275</v>
      </c>
      <c r="H156" s="10" t="s">
        <v>2134</v>
      </c>
      <c r="I156" s="10" t="s">
        <v>2139</v>
      </c>
      <c r="J156" s="10" t="s">
        <v>129</v>
      </c>
      <c r="K156" s="10" t="s">
        <v>2292</v>
      </c>
      <c r="L156" s="11" t="s">
        <v>2136</v>
      </c>
      <c r="M156" s="10"/>
      <c r="N156" s="13" t="s">
        <v>2293</v>
      </c>
    </row>
    <row r="157" spans="1:14" ht="30" customHeight="1" x14ac:dyDescent="0.25">
      <c r="A157" s="9" t="s">
        <v>331</v>
      </c>
      <c r="B157" s="13">
        <f>VLOOKUP(Table245[[#This Row],[Location 
(drop-down)]],'List source'!D$2:E$59,2,FALSE)</f>
        <v>146</v>
      </c>
      <c r="C157" s="25" t="s">
        <v>458</v>
      </c>
      <c r="D157" s="117" t="str">
        <f t="shared" si="5"/>
        <v>A156-146-23</v>
      </c>
      <c r="E157" s="65">
        <v>45236</v>
      </c>
      <c r="F157" s="65">
        <v>45239</v>
      </c>
      <c r="G157" s="65">
        <v>45258</v>
      </c>
      <c r="H157" s="10" t="s">
        <v>2134</v>
      </c>
      <c r="I157" s="10" t="s">
        <v>2135</v>
      </c>
      <c r="J157" s="10" t="s">
        <v>435</v>
      </c>
      <c r="K157" s="10" t="s">
        <v>2203</v>
      </c>
      <c r="L157" s="11" t="s">
        <v>2136</v>
      </c>
      <c r="M157" s="10"/>
      <c r="N157" s="13" t="s">
        <v>2137</v>
      </c>
    </row>
    <row r="158" spans="1:14" ht="30" hidden="1" customHeight="1" x14ac:dyDescent="0.25">
      <c r="A158" s="9" t="s">
        <v>331</v>
      </c>
      <c r="B158" s="13">
        <f>VLOOKUP(Table245[[#This Row],[Location 
(drop-down)]],'List source'!D$2:E$59,2,FALSE)</f>
        <v>146</v>
      </c>
      <c r="C158" s="25" t="s">
        <v>460</v>
      </c>
      <c r="D158" s="117" t="str">
        <f t="shared" si="5"/>
        <v>A157-146-23</v>
      </c>
      <c r="E158" s="65">
        <v>45236</v>
      </c>
      <c r="F158" s="65">
        <v>45239</v>
      </c>
      <c r="G158" s="65">
        <v>45258</v>
      </c>
      <c r="H158" s="10" t="s">
        <v>2134</v>
      </c>
      <c r="I158" s="10" t="s">
        <v>2139</v>
      </c>
      <c r="J158" s="10" t="s">
        <v>435</v>
      </c>
      <c r="K158" s="10" t="s">
        <v>2203</v>
      </c>
      <c r="L158" s="11" t="s">
        <v>2136</v>
      </c>
      <c r="M158" s="10"/>
      <c r="N158" s="10" t="s">
        <v>2140</v>
      </c>
    </row>
    <row r="159" spans="1:14" ht="30" hidden="1" customHeight="1" x14ac:dyDescent="0.25">
      <c r="A159" s="9" t="s">
        <v>171</v>
      </c>
      <c r="B159" s="13">
        <f>VLOOKUP(Table245[[#This Row],[Location 
(drop-down)]],'List source'!D$2:E$59,2,FALSE)</f>
        <v>160</v>
      </c>
      <c r="C159" s="25" t="s">
        <v>463</v>
      </c>
      <c r="D159" s="117" t="str">
        <f t="shared" si="5"/>
        <v>A158-160-23</v>
      </c>
      <c r="E159" s="65">
        <v>45216</v>
      </c>
      <c r="F159" s="65">
        <v>45216</v>
      </c>
      <c r="G159" s="65" t="s">
        <v>2172</v>
      </c>
      <c r="H159" s="10" t="s">
        <v>2146</v>
      </c>
      <c r="I159" s="10" t="s">
        <v>2135</v>
      </c>
      <c r="J159" s="10" t="s">
        <v>443</v>
      </c>
      <c r="K159" s="10"/>
      <c r="L159" s="10" t="s">
        <v>2294</v>
      </c>
      <c r="M159" s="10"/>
      <c r="N159" s="10"/>
    </row>
    <row r="160" spans="1:14" ht="30" customHeight="1" x14ac:dyDescent="0.25">
      <c r="A160" s="9" t="s">
        <v>1094</v>
      </c>
      <c r="B160" s="13">
        <f>VLOOKUP(Table245[[#This Row],[Location 
(drop-down)]],'List source'!D$2:E$59,2,FALSE)</f>
        <v>189</v>
      </c>
      <c r="C160" s="25" t="s">
        <v>466</v>
      </c>
      <c r="D160" s="117" t="str">
        <f t="shared" si="5"/>
        <v>A159-189-23</v>
      </c>
      <c r="E160" s="65">
        <v>45236</v>
      </c>
      <c r="F160" s="65">
        <v>45237</v>
      </c>
      <c r="G160" s="65">
        <v>45243</v>
      </c>
      <c r="H160" s="10" t="s">
        <v>2134</v>
      </c>
      <c r="I160" s="10" t="s">
        <v>2135</v>
      </c>
      <c r="J160" s="10" t="s">
        <v>443</v>
      </c>
      <c r="K160" s="10" t="s">
        <v>443</v>
      </c>
      <c r="L160" s="10" t="s">
        <v>2136</v>
      </c>
      <c r="M160" s="10"/>
      <c r="N160" s="13" t="s">
        <v>2137</v>
      </c>
    </row>
    <row r="161" spans="1:14" ht="30" hidden="1" customHeight="1" x14ac:dyDescent="0.25">
      <c r="A161" s="9" t="s">
        <v>47</v>
      </c>
      <c r="B161" s="13">
        <f>VLOOKUP(Table245[[#This Row],[Location 
(drop-down)]],'List source'!D$2:E$59,2,FALSE)</f>
        <v>215</v>
      </c>
      <c r="C161" s="25" t="s">
        <v>469</v>
      </c>
      <c r="D161" s="117" t="str">
        <f t="shared" si="5"/>
        <v>A160-215-23</v>
      </c>
      <c r="E161" s="65">
        <v>45231</v>
      </c>
      <c r="F161" s="65">
        <v>45231</v>
      </c>
      <c r="G161" s="65">
        <v>45261</v>
      </c>
      <c r="H161" s="10" t="s">
        <v>2146</v>
      </c>
      <c r="I161" s="10" t="s">
        <v>2139</v>
      </c>
      <c r="J161" s="10" t="s">
        <v>1762</v>
      </c>
      <c r="K161" s="10" t="s">
        <v>2295</v>
      </c>
      <c r="L161" s="10" t="s">
        <v>2296</v>
      </c>
      <c r="M161" s="10"/>
      <c r="N161" s="10"/>
    </row>
    <row r="162" spans="1:14" ht="30" hidden="1" customHeight="1" x14ac:dyDescent="0.25">
      <c r="A162" s="9" t="s">
        <v>75</v>
      </c>
      <c r="B162" s="13">
        <f>VLOOKUP(Table245[[#This Row],[Location 
(drop-down)]],'List source'!D$2:E$59,2,FALSE)</f>
        <v>180</v>
      </c>
      <c r="C162" s="25" t="s">
        <v>470</v>
      </c>
      <c r="D162" s="117" t="str">
        <f t="shared" si="5"/>
        <v>A161-180-23</v>
      </c>
      <c r="E162" s="65">
        <v>45237</v>
      </c>
      <c r="F162" s="65">
        <v>45239</v>
      </c>
      <c r="G162" s="65">
        <v>45239</v>
      </c>
      <c r="H162" s="10" t="s">
        <v>2142</v>
      </c>
      <c r="I162" s="10" t="s">
        <v>2139</v>
      </c>
      <c r="J162" s="10" t="s">
        <v>440</v>
      </c>
      <c r="K162" s="10" t="s">
        <v>2297</v>
      </c>
      <c r="L162" s="10" t="s">
        <v>2159</v>
      </c>
      <c r="M162" s="10" t="s">
        <v>2142</v>
      </c>
      <c r="N162" s="10" t="s">
        <v>2298</v>
      </c>
    </row>
    <row r="163" spans="1:14" ht="30" hidden="1" customHeight="1" x14ac:dyDescent="0.25">
      <c r="A163" s="9" t="s">
        <v>331</v>
      </c>
      <c r="B163" s="13">
        <f>VLOOKUP(Table245[[#This Row],[Location 
(drop-down)]],'List source'!D$2:E$59,2,FALSE)</f>
        <v>146</v>
      </c>
      <c r="C163" s="25" t="s">
        <v>471</v>
      </c>
      <c r="D163" s="117" t="str">
        <f t="shared" si="5"/>
        <v>A162-146-23</v>
      </c>
      <c r="E163" s="65">
        <v>45224</v>
      </c>
      <c r="F163" s="65">
        <v>45224</v>
      </c>
      <c r="G163" s="65" t="s">
        <v>2299</v>
      </c>
      <c r="H163" s="10" t="s">
        <v>2146</v>
      </c>
      <c r="I163" s="10" t="s">
        <v>2139</v>
      </c>
      <c r="J163" s="10" t="s">
        <v>129</v>
      </c>
      <c r="K163" s="10" t="s">
        <v>2148</v>
      </c>
      <c r="L163" s="10" t="s">
        <v>2152</v>
      </c>
      <c r="M163" s="10"/>
      <c r="N163" s="10" t="s">
        <v>2300</v>
      </c>
    </row>
    <row r="164" spans="1:14" ht="30" hidden="1" customHeight="1" x14ac:dyDescent="0.25">
      <c r="A164" s="9" t="s">
        <v>226</v>
      </c>
      <c r="B164" s="13">
        <f>VLOOKUP(Table245[[#This Row],[Location 
(drop-down)]],'List source'!D$2:E$59,2,FALSE)</f>
        <v>110</v>
      </c>
      <c r="C164" s="25" t="s">
        <v>472</v>
      </c>
      <c r="D164" s="117" t="str">
        <f t="shared" si="5"/>
        <v>A163-110-23</v>
      </c>
      <c r="E164" s="65">
        <v>45243</v>
      </c>
      <c r="F164" s="65">
        <v>45244</v>
      </c>
      <c r="G164" s="65"/>
      <c r="H164" s="10" t="s">
        <v>2142</v>
      </c>
      <c r="I164" s="10" t="s">
        <v>2139</v>
      </c>
      <c r="J164" s="10" t="s">
        <v>129</v>
      </c>
      <c r="K164" s="10" t="s">
        <v>2301</v>
      </c>
      <c r="L164" s="10" t="s">
        <v>2302</v>
      </c>
      <c r="M164" s="10" t="s">
        <v>2302</v>
      </c>
      <c r="N164" s="10"/>
    </row>
    <row r="165" spans="1:14" ht="30" hidden="1" customHeight="1" x14ac:dyDescent="0.25">
      <c r="A165" s="9" t="s">
        <v>66</v>
      </c>
      <c r="B165" s="13">
        <f>VLOOKUP(Table245[[#This Row],[Location 
(drop-down)]],'List source'!D$2:E$59,2,FALSE)</f>
        <v>165</v>
      </c>
      <c r="C165" s="25" t="s">
        <v>473</v>
      </c>
      <c r="D165" s="216" t="str">
        <f t="shared" si="5"/>
        <v>A164-165-23</v>
      </c>
      <c r="E165" s="65">
        <v>45244</v>
      </c>
      <c r="F165" s="65">
        <v>45246</v>
      </c>
      <c r="G165" s="65">
        <v>45246</v>
      </c>
      <c r="H165" s="10" t="s">
        <v>2142</v>
      </c>
      <c r="I165" s="10" t="s">
        <v>2139</v>
      </c>
      <c r="J165" s="10" t="s">
        <v>161</v>
      </c>
      <c r="K165" s="10" t="s">
        <v>2269</v>
      </c>
      <c r="L165" s="10" t="s">
        <v>2159</v>
      </c>
      <c r="M165" s="10" t="s">
        <v>2160</v>
      </c>
      <c r="N165" s="10" t="s">
        <v>2303</v>
      </c>
    </row>
    <row r="166" spans="1:14" ht="30" hidden="1" customHeight="1" x14ac:dyDescent="0.25">
      <c r="A166" s="9" t="s">
        <v>22</v>
      </c>
      <c r="B166" s="13">
        <f>VLOOKUP(Table245[[#This Row],[Location 
(drop-down)]],'List source'!D$2:E$59,2,FALSE)</f>
        <v>130</v>
      </c>
      <c r="C166" s="25" t="s">
        <v>474</v>
      </c>
      <c r="D166" s="117" t="str">
        <f t="shared" si="5"/>
        <v>A165-130-23</v>
      </c>
      <c r="E166" s="65">
        <v>45266</v>
      </c>
      <c r="F166" s="65">
        <v>45268</v>
      </c>
      <c r="G166" s="65">
        <v>45268</v>
      </c>
      <c r="H166" s="10" t="s">
        <v>2142</v>
      </c>
      <c r="I166" s="10" t="s">
        <v>2139</v>
      </c>
      <c r="J166" s="10" t="s">
        <v>189</v>
      </c>
      <c r="K166" s="10" t="s">
        <v>2297</v>
      </c>
      <c r="L166" s="10" t="s">
        <v>2159</v>
      </c>
      <c r="M166" s="10" t="s">
        <v>2160</v>
      </c>
      <c r="N166" s="10" t="s">
        <v>2298</v>
      </c>
    </row>
    <row r="167" spans="1:14" ht="30" hidden="1" customHeight="1" x14ac:dyDescent="0.25">
      <c r="A167" s="9" t="s">
        <v>27</v>
      </c>
      <c r="B167" s="13">
        <f>VLOOKUP(Table245[[#This Row],[Location 
(drop-down)]],'List source'!D$2:E$59,2,FALSE)</f>
        <v>132</v>
      </c>
      <c r="C167" s="25" t="s">
        <v>475</v>
      </c>
      <c r="D167" s="117" t="str">
        <f t="shared" si="5"/>
        <v>A166-132-23</v>
      </c>
      <c r="E167" s="65">
        <v>45271</v>
      </c>
      <c r="F167" s="65">
        <v>45273</v>
      </c>
      <c r="G167" s="65">
        <v>45273</v>
      </c>
      <c r="H167" s="10" t="s">
        <v>2142</v>
      </c>
      <c r="I167" s="10" t="s">
        <v>2139</v>
      </c>
      <c r="J167" s="10" t="s">
        <v>443</v>
      </c>
      <c r="K167" s="10" t="s">
        <v>2297</v>
      </c>
      <c r="L167" s="10" t="s">
        <v>2159</v>
      </c>
      <c r="M167" s="10" t="s">
        <v>2160</v>
      </c>
      <c r="N167" s="10" t="s">
        <v>2298</v>
      </c>
    </row>
    <row r="168" spans="1:14" ht="30" hidden="1" customHeight="1" x14ac:dyDescent="0.25">
      <c r="A168" s="9" t="s">
        <v>171</v>
      </c>
      <c r="B168" s="13">
        <f>VLOOKUP(Table245[[#This Row],[Location 
(drop-down)]],'List source'!D$2:E$59,2,FALSE)</f>
        <v>160</v>
      </c>
      <c r="C168" s="25" t="s">
        <v>476</v>
      </c>
      <c r="D168" s="117" t="str">
        <f t="shared" si="5"/>
        <v>A167-160-23</v>
      </c>
      <c r="E168" s="65">
        <v>45251</v>
      </c>
      <c r="F168" s="65">
        <v>45251</v>
      </c>
      <c r="G168" s="65">
        <v>45273</v>
      </c>
      <c r="H168" s="10" t="s">
        <v>2146</v>
      </c>
      <c r="I168" s="10" t="s">
        <v>2139</v>
      </c>
      <c r="J168" s="10" t="s">
        <v>161</v>
      </c>
      <c r="K168" s="10" t="s">
        <v>2304</v>
      </c>
      <c r="L168" s="10" t="s">
        <v>2305</v>
      </c>
      <c r="M168" s="10"/>
      <c r="N168" s="10"/>
    </row>
    <row r="169" spans="1:14" ht="30" hidden="1" customHeight="1" x14ac:dyDescent="0.25">
      <c r="A169" s="9" t="s">
        <v>61</v>
      </c>
      <c r="B169" s="13">
        <f>VLOOKUP(Table245[[#This Row],[Location 
(drop-down)]],'List source'!D$2:E$59,2,FALSE)</f>
        <v>120</v>
      </c>
      <c r="C169" s="25" t="s">
        <v>477</v>
      </c>
      <c r="D169" s="117" t="str">
        <f t="shared" si="5"/>
        <v>A168-120-23</v>
      </c>
      <c r="E169" s="65">
        <v>45271</v>
      </c>
      <c r="F169" s="65">
        <v>45272</v>
      </c>
      <c r="G169" s="65">
        <v>45280</v>
      </c>
      <c r="H169" s="10" t="s">
        <v>2146</v>
      </c>
      <c r="I169" s="10" t="s">
        <v>2139</v>
      </c>
      <c r="J169" s="10" t="s">
        <v>161</v>
      </c>
      <c r="K169" s="10" t="s">
        <v>2306</v>
      </c>
      <c r="L169" s="10" t="s">
        <v>2152</v>
      </c>
      <c r="M169" s="10"/>
      <c r="N169" s="10"/>
    </row>
    <row r="170" spans="1:14" ht="30" hidden="1" customHeight="1" x14ac:dyDescent="0.25">
      <c r="A170" s="9" t="s">
        <v>331</v>
      </c>
      <c r="B170" s="13">
        <f>VLOOKUP(Table245[[#This Row],[Location 
(drop-down)]],'List source'!D$2:E$59,2,FALSE)</f>
        <v>146</v>
      </c>
      <c r="C170" s="25" t="s">
        <v>478</v>
      </c>
      <c r="D170" s="117" t="str">
        <f t="shared" si="5"/>
        <v>A169-146-23</v>
      </c>
      <c r="E170" s="65">
        <v>45273</v>
      </c>
      <c r="F170" s="65">
        <v>45273</v>
      </c>
      <c r="G170" s="65">
        <v>45293</v>
      </c>
      <c r="H170" s="10" t="s">
        <v>2146</v>
      </c>
      <c r="I170" s="10" t="s">
        <v>2147</v>
      </c>
      <c r="J170" s="10" t="s">
        <v>129</v>
      </c>
      <c r="K170" s="10" t="s">
        <v>2148</v>
      </c>
      <c r="L170" s="10" t="s">
        <v>2149</v>
      </c>
      <c r="M170" s="10"/>
      <c r="N170" s="10" t="s">
        <v>2307</v>
      </c>
    </row>
    <row r="171" spans="1:14" ht="30" hidden="1" customHeight="1" x14ac:dyDescent="0.25">
      <c r="A171" s="9" t="s">
        <v>22</v>
      </c>
      <c r="B171" s="13">
        <f>VLOOKUP(Table245[[#This Row],[Location 
(drop-down)]],'List source'!D$2:E$59,2,FALSE)</f>
        <v>130</v>
      </c>
      <c r="C171" s="25" t="s">
        <v>479</v>
      </c>
      <c r="D171" s="117" t="str">
        <f t="shared" si="5"/>
        <v>A170-130-23</v>
      </c>
      <c r="E171" s="65">
        <v>45271</v>
      </c>
      <c r="F171" s="65">
        <v>45271</v>
      </c>
      <c r="G171" s="65"/>
      <c r="H171" s="10" t="s">
        <v>2146</v>
      </c>
      <c r="I171" s="10" t="s">
        <v>2139</v>
      </c>
      <c r="J171" s="10" t="s">
        <v>440</v>
      </c>
      <c r="K171" s="10"/>
      <c r="L171" s="10" t="s">
        <v>2308</v>
      </c>
      <c r="M171" s="10"/>
      <c r="N171" s="10" t="s">
        <v>2309</v>
      </c>
    </row>
    <row r="172" spans="1:14" ht="30" hidden="1" customHeight="1" x14ac:dyDescent="0.25">
      <c r="A172" s="9" t="s">
        <v>61</v>
      </c>
      <c r="B172" s="13">
        <f>VLOOKUP(Table245[[#This Row],[Location 
(drop-down)]],'List source'!D$2:E$59,2,FALSE)</f>
        <v>120</v>
      </c>
      <c r="C172" s="25" t="s">
        <v>480</v>
      </c>
      <c r="D172" s="117" t="str">
        <f t="shared" si="5"/>
        <v>A171-120-23</v>
      </c>
      <c r="E172" s="65">
        <v>45280</v>
      </c>
      <c r="F172" s="65">
        <v>45280</v>
      </c>
      <c r="G172" s="65">
        <v>45338</v>
      </c>
      <c r="H172" s="10" t="s">
        <v>2146</v>
      </c>
      <c r="I172" s="10" t="s">
        <v>2135</v>
      </c>
      <c r="J172" s="10" t="s">
        <v>440</v>
      </c>
      <c r="K172" s="10" t="s">
        <v>2310</v>
      </c>
      <c r="L172" s="10" t="s">
        <v>2311</v>
      </c>
      <c r="M172" s="10"/>
      <c r="N172" s="10" t="s">
        <v>2312</v>
      </c>
    </row>
    <row r="173" spans="1:14" ht="30" hidden="1" customHeight="1" x14ac:dyDescent="0.25">
      <c r="A173" s="9" t="s">
        <v>37</v>
      </c>
      <c r="B173" s="13">
        <f>VLOOKUP(Table245[[#This Row],[Location 
(drop-down)]],'List source'!D$2:E$59,2,FALSE)</f>
        <v>158</v>
      </c>
      <c r="C173" s="25" t="s">
        <v>481</v>
      </c>
      <c r="D173" s="117" t="str">
        <f t="shared" si="5"/>
        <v>A172-158-23</v>
      </c>
      <c r="E173" s="65">
        <v>45093</v>
      </c>
      <c r="F173" s="65">
        <v>45093</v>
      </c>
      <c r="G173" s="65" t="s">
        <v>2299</v>
      </c>
      <c r="H173" s="10" t="s">
        <v>2168</v>
      </c>
      <c r="I173" s="10" t="s">
        <v>2135</v>
      </c>
      <c r="J173" s="10" t="s">
        <v>129</v>
      </c>
      <c r="K173" s="10" t="s">
        <v>2192</v>
      </c>
      <c r="L173" s="10" t="s">
        <v>2170</v>
      </c>
      <c r="M173" s="10" t="s">
        <v>2170</v>
      </c>
      <c r="N173" s="10" t="s">
        <v>2313</v>
      </c>
    </row>
    <row r="174" spans="1:14" ht="30" hidden="1" customHeight="1" x14ac:dyDescent="0.25">
      <c r="A174" s="9"/>
      <c r="B174" s="13" t="e">
        <f>VLOOKUP(Table245[[#This Row],[Location 
(drop-down)]],'List source'!D$2:E$59,2,FALSE)</f>
        <v>#N/A</v>
      </c>
      <c r="C174" s="25" t="s">
        <v>482</v>
      </c>
      <c r="D174" s="117" t="e">
        <f t="shared" si="5"/>
        <v>#N/A</v>
      </c>
      <c r="E174" s="65"/>
      <c r="F174" s="65"/>
      <c r="G174" s="65"/>
      <c r="H174" s="10"/>
      <c r="I174" s="10"/>
      <c r="J174" s="10"/>
      <c r="K174" s="10"/>
      <c r="L174" s="10"/>
      <c r="M174" s="10"/>
      <c r="N174" s="10"/>
    </row>
    <row r="175" spans="1:14" ht="30" hidden="1" customHeight="1" x14ac:dyDescent="0.25">
      <c r="A175" s="9"/>
      <c r="B175" s="13" t="e">
        <f>VLOOKUP(Table245[[#This Row],[Location 
(drop-down)]],'List source'!D$2:E$59,2,FALSE)</f>
        <v>#N/A</v>
      </c>
      <c r="C175" s="25" t="s">
        <v>483</v>
      </c>
      <c r="D175" s="117" t="e">
        <f t="shared" si="5"/>
        <v>#N/A</v>
      </c>
      <c r="E175" s="65"/>
      <c r="F175" s="65"/>
      <c r="G175" s="65"/>
      <c r="H175" s="10"/>
      <c r="I175" s="10"/>
      <c r="J175" s="10"/>
      <c r="K175" s="10"/>
      <c r="L175" s="10"/>
      <c r="M175" s="10"/>
      <c r="N175" s="10"/>
    </row>
    <row r="176" spans="1:14" ht="30" hidden="1" customHeight="1" x14ac:dyDescent="0.25">
      <c r="A176" s="9"/>
      <c r="B176" s="13" t="e">
        <f>VLOOKUP(Table245[[#This Row],[Location 
(drop-down)]],'List source'!D$2:E$59,2,FALSE)</f>
        <v>#N/A</v>
      </c>
      <c r="C176" s="25" t="s">
        <v>484</v>
      </c>
      <c r="D176" s="117" t="e">
        <f t="shared" si="5"/>
        <v>#N/A</v>
      </c>
      <c r="E176" s="65"/>
      <c r="F176" s="65"/>
      <c r="G176" s="65"/>
      <c r="H176" s="10"/>
      <c r="I176" s="10"/>
      <c r="J176" s="10"/>
      <c r="K176" s="10"/>
      <c r="L176" s="10"/>
      <c r="M176" s="10"/>
      <c r="N176" s="10"/>
    </row>
    <row r="177" spans="1:14" ht="30" hidden="1" customHeight="1" x14ac:dyDescent="0.25">
      <c r="A177" s="9"/>
      <c r="B177" s="13" t="e">
        <f>VLOOKUP(Table245[[#This Row],[Location 
(drop-down)]],'List source'!D$2:E$59,2,FALSE)</f>
        <v>#N/A</v>
      </c>
      <c r="C177" s="25" t="s">
        <v>485</v>
      </c>
      <c r="D177" s="117" t="e">
        <f t="shared" si="5"/>
        <v>#N/A</v>
      </c>
      <c r="E177" s="65"/>
      <c r="F177" s="65"/>
      <c r="G177" s="65"/>
      <c r="H177" s="10"/>
      <c r="I177" s="10"/>
      <c r="J177" s="10"/>
      <c r="K177" s="10"/>
      <c r="L177" s="10"/>
      <c r="M177" s="10"/>
      <c r="N177" s="10"/>
    </row>
    <row r="178" spans="1:14" ht="30" hidden="1" customHeight="1" x14ac:dyDescent="0.25">
      <c r="A178" s="9"/>
      <c r="B178" s="13" t="e">
        <f>VLOOKUP(Table245[[#This Row],[Location 
(drop-down)]],'List source'!D$2:E$59,2,FALSE)</f>
        <v>#N/A</v>
      </c>
      <c r="C178" s="25" t="s">
        <v>486</v>
      </c>
      <c r="D178" s="117" t="e">
        <f t="shared" si="5"/>
        <v>#N/A</v>
      </c>
      <c r="E178" s="65"/>
      <c r="F178" s="65"/>
      <c r="G178" s="65"/>
      <c r="H178" s="10"/>
      <c r="I178" s="10"/>
      <c r="J178" s="10"/>
      <c r="K178" s="10"/>
      <c r="L178" s="10"/>
      <c r="M178" s="10"/>
      <c r="N178" s="10"/>
    </row>
    <row r="179" spans="1:14" ht="30" hidden="1" customHeight="1" x14ac:dyDescent="0.25">
      <c r="A179" s="9"/>
      <c r="B179" s="13" t="e">
        <f>VLOOKUP(Table245[[#This Row],[Location 
(drop-down)]],'List source'!D$2:E$59,2,FALSE)</f>
        <v>#N/A</v>
      </c>
      <c r="C179" s="25" t="s">
        <v>487</v>
      </c>
      <c r="D179" s="117" t="e">
        <f t="shared" si="5"/>
        <v>#N/A</v>
      </c>
      <c r="E179" s="65"/>
      <c r="F179" s="65"/>
      <c r="G179" s="65"/>
      <c r="H179" s="10"/>
      <c r="I179" s="10"/>
      <c r="J179" s="10"/>
      <c r="K179" s="10"/>
      <c r="L179" s="10"/>
      <c r="M179" s="10"/>
      <c r="N179" s="10"/>
    </row>
    <row r="180" spans="1:14" ht="30" hidden="1" customHeight="1" x14ac:dyDescent="0.25">
      <c r="A180" s="9"/>
      <c r="B180" s="13" t="e">
        <f>VLOOKUP(Table245[[#This Row],[Location 
(drop-down)]],'List source'!D$2:E$59,2,FALSE)</f>
        <v>#N/A</v>
      </c>
      <c r="C180" s="25" t="s">
        <v>488</v>
      </c>
      <c r="D180" s="117" t="e">
        <f t="shared" si="5"/>
        <v>#N/A</v>
      </c>
      <c r="E180" s="65"/>
      <c r="F180" s="65"/>
      <c r="G180" s="65"/>
      <c r="H180" s="10"/>
      <c r="I180" s="10"/>
      <c r="J180" s="10"/>
      <c r="K180" s="10"/>
      <c r="L180" s="10"/>
      <c r="M180" s="10"/>
      <c r="N180" s="10"/>
    </row>
    <row r="181" spans="1:14" ht="30" hidden="1" customHeight="1" x14ac:dyDescent="0.25">
      <c r="A181" s="9"/>
      <c r="B181" s="13" t="e">
        <f>VLOOKUP(Table245[[#This Row],[Location 
(drop-down)]],'List source'!D$2:E$59,2,FALSE)</f>
        <v>#N/A</v>
      </c>
      <c r="C181" s="25" t="s">
        <v>489</v>
      </c>
      <c r="D181" s="117" t="e">
        <f t="shared" si="5"/>
        <v>#N/A</v>
      </c>
      <c r="E181" s="65"/>
      <c r="F181" s="65"/>
      <c r="G181" s="65"/>
      <c r="H181" s="10"/>
      <c r="I181" s="10"/>
      <c r="J181" s="10"/>
      <c r="K181" s="10"/>
      <c r="L181" s="10"/>
      <c r="M181" s="10"/>
      <c r="N181" s="10"/>
    </row>
    <row r="182" spans="1:14" ht="30" hidden="1" customHeight="1" x14ac:dyDescent="0.25">
      <c r="A182" s="9"/>
      <c r="B182" s="13" t="e">
        <f>VLOOKUP(Table245[[#This Row],[Location 
(drop-down)]],'List source'!D$2:E$59,2,FALSE)</f>
        <v>#N/A</v>
      </c>
      <c r="C182" s="25" t="s">
        <v>490</v>
      </c>
      <c r="D182" s="117" t="e">
        <f t="shared" si="5"/>
        <v>#N/A</v>
      </c>
      <c r="E182" s="65"/>
      <c r="F182" s="65"/>
      <c r="G182" s="65"/>
      <c r="H182" s="10"/>
      <c r="I182" s="10"/>
      <c r="J182" s="10"/>
      <c r="K182" s="10"/>
      <c r="L182" s="10"/>
      <c r="M182" s="10"/>
      <c r="N182" s="10"/>
    </row>
    <row r="183" spans="1:14" ht="30" hidden="1" customHeight="1" x14ac:dyDescent="0.25">
      <c r="A183" s="9"/>
      <c r="B183" s="13" t="e">
        <f>VLOOKUP(Table245[[#This Row],[Location 
(drop-down)]],'List source'!D$2:E$59,2,FALSE)</f>
        <v>#N/A</v>
      </c>
      <c r="C183" s="25" t="s">
        <v>491</v>
      </c>
      <c r="D183" s="117" t="e">
        <f t="shared" si="5"/>
        <v>#N/A</v>
      </c>
      <c r="E183" s="65"/>
      <c r="F183" s="65"/>
      <c r="G183" s="65"/>
      <c r="H183" s="10"/>
      <c r="I183" s="10"/>
      <c r="J183" s="10"/>
      <c r="K183" s="10"/>
      <c r="L183" s="10"/>
      <c r="M183" s="10"/>
      <c r="N183" s="10"/>
    </row>
    <row r="184" spans="1:14" ht="30" hidden="1" customHeight="1" x14ac:dyDescent="0.25">
      <c r="A184" s="111"/>
      <c r="B184" s="112" t="e">
        <f>VLOOKUP(Table245[[#This Row],[Location 
(drop-down)]],'List source'!D$2:E$59,2,FALSE)</f>
        <v>#N/A</v>
      </c>
      <c r="C184" s="25" t="s">
        <v>492</v>
      </c>
      <c r="D184" s="210" t="e">
        <f t="shared" si="5"/>
        <v>#N/A</v>
      </c>
      <c r="E184" s="209"/>
      <c r="F184" s="209"/>
      <c r="G184" s="209"/>
      <c r="H184" s="115"/>
      <c r="I184" s="115"/>
      <c r="J184" s="115"/>
      <c r="K184" s="115"/>
      <c r="L184" s="115"/>
      <c r="M184" s="115"/>
      <c r="N184" s="115"/>
    </row>
    <row r="185" spans="1:14" ht="30" hidden="1" customHeight="1" x14ac:dyDescent="0.25">
      <c r="A185" s="9"/>
      <c r="B185" s="13" t="e">
        <f>VLOOKUP(Table245[[#This Row],[Location 
(drop-down)]],'List source'!D$2:E$59,2,FALSE)</f>
        <v>#N/A</v>
      </c>
      <c r="C185" s="25" t="s">
        <v>493</v>
      </c>
      <c r="D185" s="117" t="e">
        <f t="shared" si="5"/>
        <v>#N/A</v>
      </c>
      <c r="E185" s="65"/>
      <c r="F185" s="65"/>
      <c r="G185" s="65"/>
      <c r="H185" s="10"/>
      <c r="I185" s="10"/>
      <c r="J185" s="10"/>
      <c r="K185" s="10"/>
      <c r="L185" s="10"/>
      <c r="M185" s="10"/>
      <c r="N185" s="10"/>
    </row>
    <row r="186" spans="1:14" ht="30" hidden="1" customHeight="1" x14ac:dyDescent="0.25">
      <c r="A186" s="9"/>
      <c r="B186" s="13" t="e">
        <f>VLOOKUP(Table245[[#This Row],[Location 
(drop-down)]],'List source'!D$2:E$59,2,FALSE)</f>
        <v>#N/A</v>
      </c>
      <c r="C186" s="25" t="s">
        <v>494</v>
      </c>
      <c r="D186" s="117" t="e">
        <f t="shared" si="5"/>
        <v>#N/A</v>
      </c>
      <c r="E186" s="65"/>
      <c r="F186" s="65"/>
      <c r="G186" s="65"/>
      <c r="H186" s="10"/>
      <c r="I186" s="10"/>
      <c r="J186" s="10"/>
      <c r="K186" s="10"/>
      <c r="L186" s="10"/>
      <c r="M186" s="10"/>
      <c r="N186" s="10"/>
    </row>
    <row r="187" spans="1:14" ht="30" hidden="1" customHeight="1" x14ac:dyDescent="0.25">
      <c r="A187" s="9"/>
      <c r="B187" s="13" t="e">
        <f>VLOOKUP(Table245[[#This Row],[Location 
(drop-down)]],'List source'!D$2:E$59,2,FALSE)</f>
        <v>#N/A</v>
      </c>
      <c r="C187" s="25" t="s">
        <v>495</v>
      </c>
      <c r="D187" s="117" t="e">
        <f t="shared" ref="D187:D201" si="6">"A" &amp; C187 &amp; "-" &amp; B187 &amp; "-" &amp; "23"</f>
        <v>#N/A</v>
      </c>
      <c r="E187" s="65"/>
      <c r="F187" s="65"/>
      <c r="G187" s="65"/>
      <c r="H187" s="10"/>
      <c r="I187" s="10"/>
      <c r="J187" s="10"/>
      <c r="K187" s="10"/>
      <c r="L187" s="10"/>
      <c r="M187" s="10"/>
      <c r="N187" s="10"/>
    </row>
    <row r="188" spans="1:14" ht="30" hidden="1" customHeight="1" x14ac:dyDescent="0.25">
      <c r="A188" s="9"/>
      <c r="B188" s="13" t="e">
        <f>VLOOKUP(Table245[[#This Row],[Location 
(drop-down)]],'List source'!D$2:E$59,2,FALSE)</f>
        <v>#N/A</v>
      </c>
      <c r="C188" s="25" t="s">
        <v>496</v>
      </c>
      <c r="D188" s="117" t="e">
        <f t="shared" si="6"/>
        <v>#N/A</v>
      </c>
      <c r="E188" s="65"/>
      <c r="F188" s="65"/>
      <c r="G188" s="65"/>
      <c r="H188" s="10"/>
      <c r="I188" s="10"/>
      <c r="J188" s="10"/>
      <c r="K188" s="10"/>
      <c r="L188" s="10"/>
      <c r="M188" s="10"/>
      <c r="N188" s="10"/>
    </row>
    <row r="189" spans="1:14" ht="30" hidden="1" customHeight="1" x14ac:dyDescent="0.25">
      <c r="A189" s="9"/>
      <c r="B189" s="13" t="e">
        <f>VLOOKUP(Table245[[#This Row],[Location 
(drop-down)]],'List source'!D$2:E$59,2,FALSE)</f>
        <v>#N/A</v>
      </c>
      <c r="C189" s="25" t="s">
        <v>497</v>
      </c>
      <c r="D189" s="117" t="e">
        <f t="shared" si="6"/>
        <v>#N/A</v>
      </c>
      <c r="E189" s="65"/>
      <c r="F189" s="65"/>
      <c r="G189" s="65"/>
      <c r="H189" s="10"/>
      <c r="I189" s="10"/>
      <c r="J189" s="10"/>
      <c r="K189" s="10"/>
      <c r="L189" s="10"/>
      <c r="M189" s="10"/>
      <c r="N189" s="10"/>
    </row>
    <row r="190" spans="1:14" ht="30" hidden="1" customHeight="1" x14ac:dyDescent="0.25">
      <c r="A190" s="9"/>
      <c r="B190" s="13" t="e">
        <f>VLOOKUP(Table245[[#This Row],[Location 
(drop-down)]],'List source'!D$2:E$59,2,FALSE)</f>
        <v>#N/A</v>
      </c>
      <c r="C190" s="25" t="s">
        <v>498</v>
      </c>
      <c r="D190" s="117" t="e">
        <f t="shared" si="6"/>
        <v>#N/A</v>
      </c>
      <c r="E190" s="65"/>
      <c r="F190" s="65"/>
      <c r="G190" s="65"/>
      <c r="H190" s="10"/>
      <c r="I190" s="10"/>
      <c r="J190" s="10"/>
      <c r="K190" s="10"/>
      <c r="L190" s="10"/>
      <c r="M190" s="10"/>
      <c r="N190" s="10"/>
    </row>
    <row r="191" spans="1:14" ht="30" hidden="1" customHeight="1" x14ac:dyDescent="0.25">
      <c r="A191" s="9"/>
      <c r="B191" s="13" t="e">
        <f>VLOOKUP(Table245[[#This Row],[Location 
(drop-down)]],'List source'!D$2:E$59,2,FALSE)</f>
        <v>#N/A</v>
      </c>
      <c r="C191" s="25" t="s">
        <v>499</v>
      </c>
      <c r="D191" s="117" t="e">
        <f t="shared" si="6"/>
        <v>#N/A</v>
      </c>
      <c r="E191" s="65"/>
      <c r="F191" s="65"/>
      <c r="G191" s="65"/>
      <c r="H191" s="10"/>
      <c r="I191" s="10"/>
      <c r="J191" s="10"/>
      <c r="K191" s="10"/>
      <c r="L191" s="10"/>
      <c r="M191" s="10"/>
      <c r="N191" s="10"/>
    </row>
    <row r="192" spans="1:14" ht="30" hidden="1" customHeight="1" x14ac:dyDescent="0.25">
      <c r="A192" s="9"/>
      <c r="B192" s="13" t="e">
        <f>VLOOKUP(Table245[[#This Row],[Location 
(drop-down)]],'List source'!D$2:E$59,2,FALSE)</f>
        <v>#N/A</v>
      </c>
      <c r="C192" s="25" t="s">
        <v>500</v>
      </c>
      <c r="D192" s="117" t="e">
        <f t="shared" si="6"/>
        <v>#N/A</v>
      </c>
      <c r="E192" s="65"/>
      <c r="F192" s="65"/>
      <c r="G192" s="65"/>
      <c r="H192" s="10"/>
      <c r="I192" s="10"/>
      <c r="J192" s="10"/>
      <c r="K192" s="10"/>
      <c r="L192" s="10"/>
      <c r="M192" s="10"/>
      <c r="N192" s="10"/>
    </row>
    <row r="193" spans="1:14" ht="30" hidden="1" customHeight="1" x14ac:dyDescent="0.25">
      <c r="A193" s="9"/>
      <c r="B193" s="13" t="e">
        <f>VLOOKUP(Table245[[#This Row],[Location 
(drop-down)]],'List source'!D$2:E$59,2,FALSE)</f>
        <v>#N/A</v>
      </c>
      <c r="C193" s="25" t="s">
        <v>501</v>
      </c>
      <c r="D193" s="117" t="e">
        <f t="shared" si="6"/>
        <v>#N/A</v>
      </c>
      <c r="E193" s="65"/>
      <c r="F193" s="65"/>
      <c r="G193" s="65"/>
      <c r="H193" s="10"/>
      <c r="I193" s="10"/>
      <c r="J193" s="10"/>
      <c r="K193" s="10"/>
      <c r="L193" s="10"/>
      <c r="M193" s="10"/>
      <c r="N193" s="10"/>
    </row>
    <row r="194" spans="1:14" ht="30" hidden="1" customHeight="1" x14ac:dyDescent="0.25">
      <c r="A194" s="9"/>
      <c r="B194" s="13" t="e">
        <f>VLOOKUP(Table245[[#This Row],[Location 
(drop-down)]],'List source'!D$2:E$59,2,FALSE)</f>
        <v>#N/A</v>
      </c>
      <c r="C194" s="25" t="s">
        <v>502</v>
      </c>
      <c r="D194" s="117" t="e">
        <f t="shared" si="6"/>
        <v>#N/A</v>
      </c>
      <c r="E194" s="65"/>
      <c r="F194" s="65"/>
      <c r="G194" s="65"/>
      <c r="H194" s="10"/>
      <c r="I194" s="10"/>
      <c r="J194" s="10"/>
      <c r="K194" s="10"/>
      <c r="L194" s="10"/>
      <c r="M194" s="10"/>
      <c r="N194" s="10"/>
    </row>
    <row r="195" spans="1:14" ht="30" hidden="1" customHeight="1" x14ac:dyDescent="0.25">
      <c r="A195" s="9"/>
      <c r="B195" s="13" t="e">
        <f>VLOOKUP(Table245[[#This Row],[Location 
(drop-down)]],'List source'!D$2:E$59,2,FALSE)</f>
        <v>#N/A</v>
      </c>
      <c r="C195" s="25" t="s">
        <v>503</v>
      </c>
      <c r="D195" s="117" t="e">
        <f t="shared" si="6"/>
        <v>#N/A</v>
      </c>
      <c r="E195" s="65"/>
      <c r="F195" s="65"/>
      <c r="G195" s="65"/>
      <c r="H195" s="10"/>
      <c r="I195" s="10"/>
      <c r="J195" s="10"/>
      <c r="K195" s="10"/>
      <c r="L195" s="10"/>
      <c r="M195" s="10"/>
      <c r="N195" s="10"/>
    </row>
    <row r="196" spans="1:14" ht="30" hidden="1" customHeight="1" x14ac:dyDescent="0.25">
      <c r="A196" s="9"/>
      <c r="B196" s="13" t="e">
        <f>VLOOKUP(Table245[[#This Row],[Location 
(drop-down)]],'List source'!D$2:E$59,2,FALSE)</f>
        <v>#N/A</v>
      </c>
      <c r="C196" s="25" t="s">
        <v>504</v>
      </c>
      <c r="D196" s="117" t="e">
        <f t="shared" si="6"/>
        <v>#N/A</v>
      </c>
      <c r="E196" s="65"/>
      <c r="F196" s="65"/>
      <c r="G196" s="65"/>
      <c r="H196" s="10"/>
      <c r="I196" s="10"/>
      <c r="J196" s="10"/>
      <c r="K196" s="10"/>
      <c r="L196" s="10"/>
      <c r="M196" s="10"/>
      <c r="N196" s="10"/>
    </row>
    <row r="197" spans="1:14" ht="30" hidden="1" customHeight="1" x14ac:dyDescent="0.25">
      <c r="A197" s="9"/>
      <c r="B197" s="13" t="e">
        <f>VLOOKUP(Table245[[#This Row],[Location 
(drop-down)]],'List source'!D$2:E$59,2,FALSE)</f>
        <v>#N/A</v>
      </c>
      <c r="C197" s="25" t="s">
        <v>505</v>
      </c>
      <c r="D197" s="117" t="e">
        <f t="shared" si="6"/>
        <v>#N/A</v>
      </c>
      <c r="E197" s="65"/>
      <c r="F197" s="65"/>
      <c r="G197" s="65"/>
      <c r="H197" s="10"/>
      <c r="I197" s="10"/>
      <c r="J197" s="10"/>
      <c r="K197" s="10"/>
      <c r="L197" s="10"/>
      <c r="M197" s="10"/>
      <c r="N197" s="10"/>
    </row>
    <row r="198" spans="1:14" ht="30" hidden="1" customHeight="1" x14ac:dyDescent="0.25">
      <c r="A198" s="9"/>
      <c r="B198" s="13" t="e">
        <f>VLOOKUP(Table245[[#This Row],[Location 
(drop-down)]],'List source'!D$2:E$59,2,FALSE)</f>
        <v>#N/A</v>
      </c>
      <c r="C198" s="25" t="s">
        <v>506</v>
      </c>
      <c r="D198" s="117" t="e">
        <f t="shared" si="6"/>
        <v>#N/A</v>
      </c>
      <c r="E198" s="65"/>
      <c r="F198" s="65"/>
      <c r="G198" s="65"/>
      <c r="H198" s="10"/>
      <c r="I198" s="10"/>
      <c r="J198" s="10"/>
      <c r="K198" s="10"/>
      <c r="L198" s="10"/>
      <c r="M198" s="10"/>
      <c r="N198" s="10"/>
    </row>
    <row r="199" spans="1:14" ht="30" hidden="1" customHeight="1" x14ac:dyDescent="0.25">
      <c r="A199" s="9"/>
      <c r="B199" s="13" t="e">
        <f>VLOOKUP(Table245[[#This Row],[Location 
(drop-down)]],'List source'!D$2:E$59,2,FALSE)</f>
        <v>#N/A</v>
      </c>
      <c r="C199" s="25" t="s">
        <v>507</v>
      </c>
      <c r="D199" s="117" t="e">
        <f t="shared" si="6"/>
        <v>#N/A</v>
      </c>
      <c r="E199" s="65"/>
      <c r="F199" s="65"/>
      <c r="G199" s="65"/>
      <c r="H199" s="10"/>
      <c r="I199" s="10"/>
      <c r="J199" s="10"/>
      <c r="K199" s="10"/>
      <c r="L199" s="10"/>
      <c r="M199" s="10"/>
      <c r="N199" s="10"/>
    </row>
    <row r="200" spans="1:14" ht="30" hidden="1" customHeight="1" x14ac:dyDescent="0.25">
      <c r="A200" s="9"/>
      <c r="B200" s="13" t="e">
        <f>VLOOKUP(Table245[[#This Row],[Location 
(drop-down)]],'List source'!D$2:E$59,2,FALSE)</f>
        <v>#N/A</v>
      </c>
      <c r="C200" s="25" t="s">
        <v>508</v>
      </c>
      <c r="D200" s="117" t="e">
        <f t="shared" si="6"/>
        <v>#N/A</v>
      </c>
      <c r="E200" s="65"/>
      <c r="F200" s="65"/>
      <c r="G200" s="65"/>
      <c r="H200" s="10"/>
      <c r="I200" s="10"/>
      <c r="J200" s="10"/>
      <c r="K200" s="10"/>
      <c r="L200" s="10"/>
      <c r="M200" s="10"/>
      <c r="N200" s="10"/>
    </row>
    <row r="201" spans="1:14" ht="30" hidden="1" customHeight="1" x14ac:dyDescent="0.25">
      <c r="A201" s="9"/>
      <c r="B201" s="13" t="e">
        <f>VLOOKUP(Table245[[#This Row],[Location 
(drop-down)]],'List source'!D$2:E$59,2,FALSE)</f>
        <v>#N/A</v>
      </c>
      <c r="C201" s="25" t="s">
        <v>509</v>
      </c>
      <c r="D201" s="117" t="e">
        <f t="shared" si="6"/>
        <v>#N/A</v>
      </c>
      <c r="E201" s="65"/>
      <c r="F201" s="65"/>
      <c r="G201" s="65"/>
      <c r="H201" s="10"/>
      <c r="I201" s="10"/>
      <c r="J201" s="10"/>
      <c r="K201" s="10"/>
      <c r="L201" s="10"/>
      <c r="M201" s="10"/>
      <c r="N201" s="10"/>
    </row>
  </sheetData>
  <phoneticPr fontId="4" type="noConversion"/>
  <pageMargins left="0.7" right="0.7" top="0.75" bottom="0.75" header="0.3" footer="0.3"/>
  <pageSetup scale="36"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7A823B04-A3FE-4E0B-A863-EBB28A7079B2}">
          <x14:formula1>
            <xm:f>'List source'!$A$25:$A$29</xm:f>
          </x14:formula1>
          <xm:sqref>H2:H54 H56:H201</xm:sqref>
        </x14:dataValidation>
        <x14:dataValidation type="list" allowBlank="1" showInputMessage="1" showErrorMessage="1" xr:uid="{DE4447E7-CC6D-4691-BB4D-90A1AD11933D}">
          <x14:formula1>
            <xm:f>'List source'!$B$25:$B$28</xm:f>
          </x14:formula1>
          <xm:sqref>I2:I54 I56:I201</xm:sqref>
        </x14:dataValidation>
        <x14:dataValidation type="list" allowBlank="1" showInputMessage="1" showErrorMessage="1" xr:uid="{F0B2EAAF-F803-4715-9954-E1755F055EB5}">
          <x14:formula1>
            <xm:f>'List source'!$A$32:$A$35</xm:f>
          </x14:formula1>
          <xm:sqref>M2:M54 M56:M151</xm:sqref>
        </x14:dataValidation>
        <x14:dataValidation type="list" allowBlank="1" showInputMessage="1" showErrorMessage="1" xr:uid="{00000000-0002-0000-0000-000000000000}">
          <x14:formula1>
            <xm:f>'List source'!$D$2:$D$59</xm:f>
          </x14:formula1>
          <xm:sqref>A2:A201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4CB1-320A-4D13-ABED-DC1EEDB0A386}">
  <sheetPr>
    <tabColor rgb="FFC00000"/>
    <pageSetUpPr fitToPage="1"/>
  </sheetPr>
  <dimension ref="A1:M1000"/>
  <sheetViews>
    <sheetView showGridLines="0" tabSelected="1" topLeftCell="B1" zoomScale="90" zoomScaleNormal="90" workbookViewId="0">
      <pane ySplit="1" topLeftCell="A47" activePane="bottomLeft" state="frozen"/>
      <selection activeCell="D1" sqref="D1"/>
      <selection pane="bottomLeft" activeCell="J52" sqref="J52"/>
    </sheetView>
  </sheetViews>
  <sheetFormatPr defaultRowHeight="15" x14ac:dyDescent="0.25"/>
  <cols>
    <col min="1" max="1" width="26.5703125" style="5" customWidth="1"/>
    <col min="2" max="2" width="9.5703125" customWidth="1"/>
    <col min="3" max="3" width="7.28515625" customWidth="1"/>
    <col min="4" max="4" width="19.28515625" customWidth="1"/>
    <col min="5" max="5" width="42.28515625" style="146" customWidth="1"/>
    <col min="6" max="6" width="17.140625" style="184" customWidth="1"/>
    <col min="7" max="7" width="26.28515625" style="146" customWidth="1"/>
    <col min="8" max="8" width="24.140625" style="184" customWidth="1"/>
    <col min="9" max="9" width="16.28515625" style="6" customWidth="1"/>
    <col min="10" max="10" width="10.85546875" style="6" customWidth="1"/>
    <col min="11" max="11" width="13.28515625" style="6" customWidth="1"/>
    <col min="12" max="12" width="25.28515625" style="8" customWidth="1"/>
    <col min="13" max="13" width="27.28515625" customWidth="1"/>
  </cols>
  <sheetData>
    <row r="1" spans="1:13" s="2" customFormat="1" ht="60" x14ac:dyDescent="0.25">
      <c r="A1" s="162" t="s">
        <v>0</v>
      </c>
      <c r="B1" s="163" t="s">
        <v>1</v>
      </c>
      <c r="C1" s="163" t="s">
        <v>2</v>
      </c>
      <c r="D1" s="163" t="s">
        <v>2314</v>
      </c>
      <c r="E1" s="164" t="s">
        <v>2315</v>
      </c>
      <c r="F1" s="164" t="s">
        <v>2316</v>
      </c>
      <c r="G1" s="164" t="s">
        <v>2317</v>
      </c>
      <c r="H1" s="164" t="s">
        <v>2318</v>
      </c>
      <c r="I1" s="164" t="s">
        <v>2319</v>
      </c>
      <c r="J1" s="164" t="s">
        <v>7</v>
      </c>
      <c r="K1" s="164" t="s">
        <v>815</v>
      </c>
      <c r="L1" s="224" t="s">
        <v>819</v>
      </c>
      <c r="M1" s="225" t="s">
        <v>12</v>
      </c>
    </row>
    <row r="2" spans="1:13" s="243" customFormat="1" ht="18.75" x14ac:dyDescent="0.25">
      <c r="A2" s="235" t="s">
        <v>108</v>
      </c>
      <c r="B2" s="236">
        <f>VLOOKUP(Table27[[#This Row],[Location 
(drop-down)]],'List source'!D$2:E$59,2,FALSE)</f>
        <v>191</v>
      </c>
      <c r="C2" s="237" t="s">
        <v>14</v>
      </c>
      <c r="D2" s="244" t="str">
        <f t="shared" ref="D2:D65" si="0">"PTO" &amp; C2 &amp; "-" &amp; B2 &amp; "-" &amp; "23"</f>
        <v>PTO001-191-23</v>
      </c>
      <c r="E2" s="239" t="s">
        <v>2320</v>
      </c>
      <c r="F2" s="240" t="s">
        <v>2321</v>
      </c>
      <c r="G2" s="239" t="s">
        <v>2322</v>
      </c>
      <c r="H2" s="240" t="s">
        <v>2323</v>
      </c>
      <c r="I2" s="241">
        <v>45197</v>
      </c>
      <c r="J2" s="241" t="s">
        <v>2324</v>
      </c>
      <c r="K2" s="242">
        <v>45358</v>
      </c>
      <c r="L2" s="180"/>
      <c r="M2" s="180"/>
    </row>
    <row r="3" spans="1:13" s="243" customFormat="1" ht="45" x14ac:dyDescent="0.25">
      <c r="A3" s="108" t="s">
        <v>108</v>
      </c>
      <c r="B3" s="58">
        <f>VLOOKUP(Table27[[#This Row],[Location 
(drop-down)]],'List source'!D$2:E$59,2,FALSE)</f>
        <v>191</v>
      </c>
      <c r="C3" s="237" t="s">
        <v>20</v>
      </c>
      <c r="D3" s="244" t="str">
        <f t="shared" si="0"/>
        <v>PTO002-191-23</v>
      </c>
      <c r="E3" s="245" t="s">
        <v>2325</v>
      </c>
      <c r="F3" s="240" t="s">
        <v>2321</v>
      </c>
      <c r="G3" s="239" t="s">
        <v>2326</v>
      </c>
      <c r="H3" s="240" t="s">
        <v>2327</v>
      </c>
      <c r="I3" s="241">
        <v>45142</v>
      </c>
      <c r="J3" s="241" t="s">
        <v>17</v>
      </c>
      <c r="K3" s="242">
        <v>45197</v>
      </c>
      <c r="L3" s="180" t="s">
        <v>837</v>
      </c>
      <c r="M3" s="180" t="s">
        <v>2328</v>
      </c>
    </row>
    <row r="4" spans="1:13" s="243" customFormat="1" ht="30" x14ac:dyDescent="0.25">
      <c r="A4" s="108" t="s">
        <v>178</v>
      </c>
      <c r="B4" s="58">
        <f>VLOOKUP(Table27[[#This Row],[Location 
(drop-down)]],'List source'!D$2:E$59,2,FALSE)</f>
        <v>150</v>
      </c>
      <c r="C4" s="237" t="s">
        <v>23</v>
      </c>
      <c r="D4" s="244" t="str">
        <f t="shared" si="0"/>
        <v>PTO003-150-23</v>
      </c>
      <c r="E4" s="108" t="s">
        <v>2329</v>
      </c>
      <c r="F4" s="247" t="s">
        <v>2330</v>
      </c>
      <c r="G4" s="235" t="s">
        <v>2331</v>
      </c>
      <c r="H4" s="240" t="s">
        <v>2332</v>
      </c>
      <c r="I4" s="241">
        <v>45142</v>
      </c>
      <c r="J4" s="241" t="s">
        <v>17</v>
      </c>
      <c r="K4" s="242">
        <v>45197</v>
      </c>
      <c r="L4" s="180" t="s">
        <v>837</v>
      </c>
      <c r="M4" s="227" t="s">
        <v>2328</v>
      </c>
    </row>
    <row r="5" spans="1:13" s="243" customFormat="1" ht="30" x14ac:dyDescent="0.25">
      <c r="A5" s="108" t="s">
        <v>37</v>
      </c>
      <c r="B5" s="58">
        <f>VLOOKUP(Table27[[#This Row],[Location 
(drop-down)]],'List source'!D$2:E$59,2,FALSE)</f>
        <v>158</v>
      </c>
      <c r="C5" s="237" t="s">
        <v>25</v>
      </c>
      <c r="D5" s="244" t="str">
        <f t="shared" si="0"/>
        <v>PTO004-158-23</v>
      </c>
      <c r="E5" s="108" t="s">
        <v>2333</v>
      </c>
      <c r="F5" s="247" t="s">
        <v>2330</v>
      </c>
      <c r="G5" s="235" t="s">
        <v>2331</v>
      </c>
      <c r="H5" s="240" t="s">
        <v>2334</v>
      </c>
      <c r="I5" s="241">
        <v>45142</v>
      </c>
      <c r="J5" s="241" t="s">
        <v>17</v>
      </c>
      <c r="K5" s="242">
        <v>45198</v>
      </c>
      <c r="L5" s="180" t="s">
        <v>837</v>
      </c>
      <c r="M5" s="180" t="s">
        <v>2328</v>
      </c>
    </row>
    <row r="6" spans="1:13" s="243" customFormat="1" ht="18.75" x14ac:dyDescent="0.25">
      <c r="A6" s="108" t="s">
        <v>178</v>
      </c>
      <c r="B6" s="58">
        <f>VLOOKUP(Table27[[#This Row],[Location 
(drop-down)]],'List source'!D$2:E$59,2,FALSE)</f>
        <v>150</v>
      </c>
      <c r="C6" s="237" t="s">
        <v>28</v>
      </c>
      <c r="D6" s="244" t="str">
        <f t="shared" si="0"/>
        <v>PTO005-150-23</v>
      </c>
      <c r="E6" s="168" t="s">
        <v>2335</v>
      </c>
      <c r="F6" s="58" t="s">
        <v>2330</v>
      </c>
      <c r="G6" s="168" t="s">
        <v>2336</v>
      </c>
      <c r="H6" s="234" t="s">
        <v>2337</v>
      </c>
      <c r="I6" s="229">
        <v>45142</v>
      </c>
      <c r="J6" s="229" t="s">
        <v>161</v>
      </c>
      <c r="K6" s="242">
        <v>45768</v>
      </c>
      <c r="L6" s="180"/>
      <c r="M6" s="180"/>
    </row>
    <row r="7" spans="1:13" s="243" customFormat="1" ht="30" x14ac:dyDescent="0.25">
      <c r="A7" s="108" t="s">
        <v>178</v>
      </c>
      <c r="B7" s="58">
        <f>VLOOKUP(Table27[[#This Row],[Location 
(drop-down)]],'List source'!D$2:E$59,2,FALSE)</f>
        <v>150</v>
      </c>
      <c r="C7" s="237" t="s">
        <v>30</v>
      </c>
      <c r="D7" s="244" t="str">
        <f t="shared" si="0"/>
        <v>PTO006-150-23</v>
      </c>
      <c r="E7" s="168" t="s">
        <v>2338</v>
      </c>
      <c r="F7" s="58" t="s">
        <v>2330</v>
      </c>
      <c r="G7" s="168" t="s">
        <v>2339</v>
      </c>
      <c r="H7" s="58">
        <v>-2.2000000000000002</v>
      </c>
      <c r="I7" s="229">
        <v>45142</v>
      </c>
      <c r="J7" s="229" t="s">
        <v>17</v>
      </c>
      <c r="K7" s="242">
        <v>45198</v>
      </c>
      <c r="L7" s="180" t="s">
        <v>828</v>
      </c>
      <c r="M7" s="180" t="s">
        <v>2340</v>
      </c>
    </row>
    <row r="8" spans="1:13" s="243" customFormat="1" ht="30" x14ac:dyDescent="0.25">
      <c r="A8" s="108" t="s">
        <v>37</v>
      </c>
      <c r="B8" s="58">
        <f>VLOOKUP(Table27[[#This Row],[Location 
(drop-down)]],'List source'!D$2:E$59,2,FALSE)</f>
        <v>158</v>
      </c>
      <c r="C8" s="237" t="s">
        <v>33</v>
      </c>
      <c r="D8" s="244" t="str">
        <f t="shared" si="0"/>
        <v>PTO007-158-23</v>
      </c>
      <c r="E8" s="168" t="s">
        <v>2341</v>
      </c>
      <c r="F8" s="58" t="s">
        <v>2330</v>
      </c>
      <c r="G8" s="168" t="s">
        <v>2336</v>
      </c>
      <c r="H8" s="58">
        <v>-2.2000000000000002</v>
      </c>
      <c r="I8" s="229">
        <v>45198</v>
      </c>
      <c r="J8" s="229" t="s">
        <v>17</v>
      </c>
      <c r="K8" s="242">
        <v>45198</v>
      </c>
      <c r="L8" s="180" t="s">
        <v>828</v>
      </c>
      <c r="M8" s="180" t="s">
        <v>2340</v>
      </c>
    </row>
    <row r="9" spans="1:13" s="243" customFormat="1" ht="30" x14ac:dyDescent="0.25">
      <c r="A9" s="108" t="s">
        <v>22</v>
      </c>
      <c r="B9" s="58">
        <f>VLOOKUP(Table27[[#This Row],[Location 
(drop-down)]],'List source'!D$2:E$59,2,FALSE)</f>
        <v>130</v>
      </c>
      <c r="C9" s="237" t="s">
        <v>38</v>
      </c>
      <c r="D9" s="244" t="str">
        <f t="shared" si="0"/>
        <v>PTO008-130-23</v>
      </c>
      <c r="E9" s="168" t="s">
        <v>2342</v>
      </c>
      <c r="F9" s="58" t="s">
        <v>2343</v>
      </c>
      <c r="G9" s="168" t="s">
        <v>2344</v>
      </c>
      <c r="H9" s="58">
        <v>2.84</v>
      </c>
      <c r="I9" s="229">
        <v>45198</v>
      </c>
      <c r="J9" s="229" t="s">
        <v>17</v>
      </c>
      <c r="K9" s="242">
        <v>45198</v>
      </c>
      <c r="L9" s="180" t="s">
        <v>828</v>
      </c>
      <c r="M9" s="180" t="s">
        <v>2340</v>
      </c>
    </row>
    <row r="10" spans="1:13" s="243" customFormat="1" ht="30" x14ac:dyDescent="0.25">
      <c r="A10" s="108" t="s">
        <v>22</v>
      </c>
      <c r="B10" s="58">
        <v>130</v>
      </c>
      <c r="C10" s="237" t="s">
        <v>40</v>
      </c>
      <c r="D10" s="244" t="str">
        <f t="shared" si="0"/>
        <v>PTO009-130-23</v>
      </c>
      <c r="E10" s="168" t="s">
        <v>2345</v>
      </c>
      <c r="F10" s="58" t="s">
        <v>2343</v>
      </c>
      <c r="G10" s="168" t="s">
        <v>2346</v>
      </c>
      <c r="H10" s="58">
        <v>-16.829999999999998</v>
      </c>
      <c r="I10" s="229">
        <v>45198</v>
      </c>
      <c r="J10" s="229" t="s">
        <v>435</v>
      </c>
      <c r="K10" s="246">
        <v>45281</v>
      </c>
      <c r="L10" s="180" t="s">
        <v>822</v>
      </c>
      <c r="M10" s="180"/>
    </row>
    <row r="11" spans="1:13" s="243" customFormat="1" ht="30" x14ac:dyDescent="0.25">
      <c r="A11" s="108" t="s">
        <v>22</v>
      </c>
      <c r="B11" s="58">
        <f>VLOOKUP(Table27[[#This Row],[Location 
(drop-down)]],'List source'!D$2:E$59,2,FALSE)</f>
        <v>130</v>
      </c>
      <c r="C11" s="237" t="s">
        <v>43</v>
      </c>
      <c r="D11" s="244" t="str">
        <f t="shared" si="0"/>
        <v>PTO010-130-23</v>
      </c>
      <c r="E11" s="168" t="s">
        <v>2347</v>
      </c>
      <c r="F11" s="58" t="s">
        <v>2343</v>
      </c>
      <c r="G11" s="168" t="s">
        <v>2348</v>
      </c>
      <c r="H11" s="58">
        <v>-2.1800000000000002</v>
      </c>
      <c r="I11" s="229">
        <v>45198</v>
      </c>
      <c r="J11" s="229" t="s">
        <v>17</v>
      </c>
      <c r="K11" s="242">
        <v>45198</v>
      </c>
      <c r="L11" s="180" t="s">
        <v>828</v>
      </c>
      <c r="M11" s="180" t="s">
        <v>2340</v>
      </c>
    </row>
    <row r="12" spans="1:13" s="243" customFormat="1" ht="30" x14ac:dyDescent="0.25">
      <c r="A12" s="108" t="s">
        <v>27</v>
      </c>
      <c r="B12" s="58">
        <f>VLOOKUP(Table27[[#This Row],[Location 
(drop-down)]],'List source'!D$2:E$59,2,FALSE)</f>
        <v>132</v>
      </c>
      <c r="C12" s="237" t="s">
        <v>45</v>
      </c>
      <c r="D12" s="244" t="str">
        <f t="shared" si="0"/>
        <v>PTO011-132-23</v>
      </c>
      <c r="E12" s="168" t="s">
        <v>2349</v>
      </c>
      <c r="F12" s="58" t="s">
        <v>2343</v>
      </c>
      <c r="G12" s="168" t="s">
        <v>2350</v>
      </c>
      <c r="H12" s="58" t="s">
        <v>2351</v>
      </c>
      <c r="I12" s="229">
        <v>45198</v>
      </c>
      <c r="J12" s="229" t="s">
        <v>17</v>
      </c>
      <c r="K12" s="242">
        <v>45198</v>
      </c>
      <c r="L12" s="180" t="s">
        <v>837</v>
      </c>
      <c r="M12" s="180" t="s">
        <v>2352</v>
      </c>
    </row>
    <row r="13" spans="1:13" s="243" customFormat="1" ht="30" x14ac:dyDescent="0.25">
      <c r="A13" s="108" t="s">
        <v>126</v>
      </c>
      <c r="B13" s="58">
        <f>VLOOKUP(Table27[[#This Row],[Location 
(drop-down)]],'List source'!D$2:E$59,2,FALSE)</f>
        <v>125</v>
      </c>
      <c r="C13" s="237" t="s">
        <v>48</v>
      </c>
      <c r="D13" s="244" t="str">
        <f t="shared" si="0"/>
        <v>PTO012-125-23</v>
      </c>
      <c r="E13" s="108" t="s">
        <v>2353</v>
      </c>
      <c r="F13" s="180" t="s">
        <v>2354</v>
      </c>
      <c r="G13" s="108" t="s">
        <v>2336</v>
      </c>
      <c r="H13" s="180">
        <v>2.08</v>
      </c>
      <c r="I13" s="229">
        <v>45198</v>
      </c>
      <c r="J13" s="229" t="s">
        <v>17</v>
      </c>
      <c r="K13" s="242">
        <v>45198</v>
      </c>
      <c r="L13" s="180" t="s">
        <v>828</v>
      </c>
      <c r="M13" s="180" t="s">
        <v>2340</v>
      </c>
    </row>
    <row r="14" spans="1:13" s="243" customFormat="1" ht="30" x14ac:dyDescent="0.25">
      <c r="A14" s="108" t="s">
        <v>237</v>
      </c>
      <c r="B14" s="58">
        <f>VLOOKUP(Table27[[#This Row],[Location 
(drop-down)]],'List source'!D$2:E$59,2,FALSE)</f>
        <v>192</v>
      </c>
      <c r="C14" s="237" t="s">
        <v>53</v>
      </c>
      <c r="D14" s="244" t="str">
        <f t="shared" si="0"/>
        <v>PTO013-192-23</v>
      </c>
      <c r="E14" s="108" t="s">
        <v>2355</v>
      </c>
      <c r="F14" s="180" t="s">
        <v>2354</v>
      </c>
      <c r="G14" s="108" t="s">
        <v>2346</v>
      </c>
      <c r="H14" s="180">
        <v>2.5</v>
      </c>
      <c r="I14" s="229">
        <v>45198</v>
      </c>
      <c r="J14" s="229" t="s">
        <v>17</v>
      </c>
      <c r="K14" s="242">
        <v>45198</v>
      </c>
      <c r="L14" s="180" t="s">
        <v>828</v>
      </c>
      <c r="M14" s="180" t="s">
        <v>2340</v>
      </c>
    </row>
    <row r="15" spans="1:13" s="243" customFormat="1" ht="30" x14ac:dyDescent="0.25">
      <c r="A15" s="108" t="s">
        <v>237</v>
      </c>
      <c r="B15" s="58">
        <f>VLOOKUP(Table27[[#This Row],[Location 
(drop-down)]],'List source'!D$2:E$59,2,FALSE)</f>
        <v>192</v>
      </c>
      <c r="C15" s="237" t="s">
        <v>58</v>
      </c>
      <c r="D15" s="244" t="str">
        <f t="shared" si="0"/>
        <v>PTO014-192-23</v>
      </c>
      <c r="E15" s="108" t="s">
        <v>2356</v>
      </c>
      <c r="F15" s="180" t="s">
        <v>2354</v>
      </c>
      <c r="G15" s="108" t="s">
        <v>2331</v>
      </c>
      <c r="H15" s="180">
        <v>-2.54</v>
      </c>
      <c r="I15" s="229">
        <v>45198</v>
      </c>
      <c r="J15" s="229" t="s">
        <v>17</v>
      </c>
      <c r="K15" s="242">
        <v>45198</v>
      </c>
      <c r="L15" s="180" t="s">
        <v>828</v>
      </c>
      <c r="M15" s="180" t="s">
        <v>2340</v>
      </c>
    </row>
    <row r="16" spans="1:13" s="243" customFormat="1" ht="30" x14ac:dyDescent="0.25">
      <c r="A16" s="108" t="s">
        <v>42</v>
      </c>
      <c r="B16" s="58">
        <f>VLOOKUP(Table27[[#This Row],[Location 
(drop-down)]],'List source'!D$2:E$59,2,FALSE)</f>
        <v>198</v>
      </c>
      <c r="C16" s="237" t="s">
        <v>62</v>
      </c>
      <c r="D16" s="244" t="str">
        <f t="shared" si="0"/>
        <v>PTO015-198-23</v>
      </c>
      <c r="E16" s="108" t="s">
        <v>2357</v>
      </c>
      <c r="F16" s="180" t="s">
        <v>2354</v>
      </c>
      <c r="G16" s="108" t="s">
        <v>2348</v>
      </c>
      <c r="H16" s="180" t="s">
        <v>2358</v>
      </c>
      <c r="I16" s="229">
        <v>45198</v>
      </c>
      <c r="J16" s="229" t="s">
        <v>17</v>
      </c>
      <c r="K16" s="242">
        <v>45198</v>
      </c>
      <c r="L16" s="180" t="s">
        <v>828</v>
      </c>
      <c r="M16" s="180" t="s">
        <v>2340</v>
      </c>
    </row>
    <row r="17" spans="1:13" s="243" customFormat="1" ht="30" x14ac:dyDescent="0.25">
      <c r="A17" s="108" t="s">
        <v>42</v>
      </c>
      <c r="B17" s="58">
        <f>VLOOKUP(Table27[[#This Row],[Location 
(drop-down)]],'List source'!D$2:E$59,2,FALSE)</f>
        <v>198</v>
      </c>
      <c r="C17" s="237" t="s">
        <v>67</v>
      </c>
      <c r="D17" s="244" t="str">
        <f t="shared" si="0"/>
        <v>PTO016-198-23</v>
      </c>
      <c r="E17" s="108" t="s">
        <v>2359</v>
      </c>
      <c r="F17" s="180" t="s">
        <v>2354</v>
      </c>
      <c r="G17" s="108" t="s">
        <v>2360</v>
      </c>
      <c r="H17" s="180">
        <v>2.12</v>
      </c>
      <c r="I17" s="229">
        <v>45198</v>
      </c>
      <c r="J17" s="229" t="s">
        <v>435</v>
      </c>
      <c r="K17" s="246">
        <v>45287</v>
      </c>
      <c r="L17" s="180" t="s">
        <v>828</v>
      </c>
      <c r="M17" s="180"/>
    </row>
    <row r="18" spans="1:13" s="243" customFormat="1" ht="30" x14ac:dyDescent="0.25">
      <c r="A18" s="108" t="s">
        <v>168</v>
      </c>
      <c r="B18" s="58">
        <f>VLOOKUP(Table27[[#This Row],[Location 
(drop-down)]],'List source'!D$2:E$59,2,FALSE)</f>
        <v>136</v>
      </c>
      <c r="C18" s="237" t="s">
        <v>69</v>
      </c>
      <c r="D18" s="244" t="str">
        <f t="shared" si="0"/>
        <v>PTO017-136-23</v>
      </c>
      <c r="E18" s="108" t="s">
        <v>2361</v>
      </c>
      <c r="F18" s="180" t="s">
        <v>2362</v>
      </c>
      <c r="G18" s="108" t="s">
        <v>2363</v>
      </c>
      <c r="H18" s="180">
        <v>2.42</v>
      </c>
      <c r="I18" s="229">
        <v>45199</v>
      </c>
      <c r="J18" s="229" t="s">
        <v>17</v>
      </c>
      <c r="K18" s="246">
        <v>45199</v>
      </c>
      <c r="L18" s="180" t="s">
        <v>828</v>
      </c>
      <c r="M18" s="180" t="s">
        <v>2340</v>
      </c>
    </row>
    <row r="19" spans="1:13" s="243" customFormat="1" ht="30" x14ac:dyDescent="0.25">
      <c r="A19" s="108" t="s">
        <v>226</v>
      </c>
      <c r="B19" s="58">
        <f>VLOOKUP(Table27[[#This Row],[Location 
(drop-down)]],'List source'!D$2:E$59,2,FALSE)</f>
        <v>110</v>
      </c>
      <c r="C19" s="237" t="s">
        <v>73</v>
      </c>
      <c r="D19" s="244" t="str">
        <f t="shared" si="0"/>
        <v>PTO018-110-23</v>
      </c>
      <c r="E19" s="108" t="s">
        <v>2364</v>
      </c>
      <c r="F19" s="180" t="s">
        <v>2365</v>
      </c>
      <c r="G19" s="108" t="s">
        <v>2366</v>
      </c>
      <c r="H19" s="180">
        <v>2.5</v>
      </c>
      <c r="I19" s="229">
        <v>45201</v>
      </c>
      <c r="J19" s="229" t="s">
        <v>17</v>
      </c>
      <c r="K19" s="246">
        <v>45214</v>
      </c>
      <c r="L19" s="180" t="s">
        <v>837</v>
      </c>
      <c r="M19" s="180" t="s">
        <v>2328</v>
      </c>
    </row>
    <row r="20" spans="1:13" s="243" customFormat="1" ht="30" x14ac:dyDescent="0.25">
      <c r="A20" s="108" t="s">
        <v>226</v>
      </c>
      <c r="B20" s="58">
        <f>VLOOKUP(Table27[[#This Row],[Location 
(drop-down)]],'List source'!D$2:E$59,2,FALSE)</f>
        <v>110</v>
      </c>
      <c r="C20" s="237" t="s">
        <v>76</v>
      </c>
      <c r="D20" s="244" t="str">
        <f t="shared" si="0"/>
        <v>PTO019-110-23</v>
      </c>
      <c r="E20" s="108" t="s">
        <v>2367</v>
      </c>
      <c r="F20" s="180" t="s">
        <v>2365</v>
      </c>
      <c r="G20" s="108" t="s">
        <v>2368</v>
      </c>
      <c r="H20" s="180">
        <v>-2.1</v>
      </c>
      <c r="I20" s="229">
        <v>45201</v>
      </c>
      <c r="J20" s="229" t="s">
        <v>1765</v>
      </c>
      <c r="K20" s="246">
        <v>45610</v>
      </c>
      <c r="L20" s="180" t="s">
        <v>822</v>
      </c>
      <c r="M20" s="180"/>
    </row>
    <row r="21" spans="1:13" s="243" customFormat="1" ht="30" x14ac:dyDescent="0.25">
      <c r="A21" s="108" t="s">
        <v>226</v>
      </c>
      <c r="B21" s="58">
        <f>VLOOKUP(Table27[[#This Row],[Location 
(drop-down)]],'List source'!D$2:E$59,2,FALSE)</f>
        <v>110</v>
      </c>
      <c r="C21" s="237" t="s">
        <v>80</v>
      </c>
      <c r="D21" s="244" t="str">
        <f t="shared" si="0"/>
        <v>PTO020-110-23</v>
      </c>
      <c r="E21" s="108" t="s">
        <v>2369</v>
      </c>
      <c r="F21" s="180" t="s">
        <v>2365</v>
      </c>
      <c r="G21" s="108" t="s">
        <v>2370</v>
      </c>
      <c r="H21" s="180">
        <v>-4.38</v>
      </c>
      <c r="I21" s="229">
        <v>45201</v>
      </c>
      <c r="J21" s="229" t="s">
        <v>17</v>
      </c>
      <c r="K21" s="246">
        <v>45214</v>
      </c>
      <c r="L21" s="180" t="s">
        <v>837</v>
      </c>
      <c r="M21" s="180" t="s">
        <v>2328</v>
      </c>
    </row>
    <row r="22" spans="1:13" s="243" customFormat="1" ht="30" x14ac:dyDescent="0.25">
      <c r="A22" s="108" t="s">
        <v>226</v>
      </c>
      <c r="B22" s="58">
        <f>VLOOKUP(Table27[[#This Row],[Location 
(drop-down)]],'List source'!D$2:E$59,2,FALSE)</f>
        <v>110</v>
      </c>
      <c r="C22" s="237" t="s">
        <v>84</v>
      </c>
      <c r="D22" s="244" t="str">
        <f t="shared" si="0"/>
        <v>PTO021-110-23</v>
      </c>
      <c r="E22" s="108" t="s">
        <v>2371</v>
      </c>
      <c r="F22" s="180" t="s">
        <v>2365</v>
      </c>
      <c r="G22" s="108" t="s">
        <v>2372</v>
      </c>
      <c r="H22" s="180">
        <v>2.4</v>
      </c>
      <c r="I22" s="229">
        <v>45199</v>
      </c>
      <c r="J22" s="229" t="s">
        <v>17</v>
      </c>
      <c r="K22" s="246">
        <v>45199</v>
      </c>
      <c r="L22" s="180" t="s">
        <v>828</v>
      </c>
      <c r="M22" s="180" t="s">
        <v>2340</v>
      </c>
    </row>
    <row r="23" spans="1:13" s="243" customFormat="1" ht="30" x14ac:dyDescent="0.25">
      <c r="A23" s="108" t="s">
        <v>61</v>
      </c>
      <c r="B23" s="58">
        <f>VLOOKUP(Table27[[#This Row],[Location 
(drop-down)]],'List source'!D$2:E$59,2,FALSE)</f>
        <v>120</v>
      </c>
      <c r="C23" s="237" t="s">
        <v>88</v>
      </c>
      <c r="D23" s="244" t="str">
        <f t="shared" si="0"/>
        <v>PTO022-120-23</v>
      </c>
      <c r="E23" s="108" t="s">
        <v>2373</v>
      </c>
      <c r="F23" s="180" t="s">
        <v>2365</v>
      </c>
      <c r="G23" s="108" t="s">
        <v>2374</v>
      </c>
      <c r="H23" s="180">
        <v>2.4700000000000002</v>
      </c>
      <c r="I23" s="229">
        <v>45199</v>
      </c>
      <c r="J23" s="229" t="s">
        <v>17</v>
      </c>
      <c r="K23" s="246">
        <v>45199</v>
      </c>
      <c r="L23" s="180" t="s">
        <v>828</v>
      </c>
      <c r="M23" s="180" t="s">
        <v>2340</v>
      </c>
    </row>
    <row r="24" spans="1:13" s="243" customFormat="1" ht="30" x14ac:dyDescent="0.25">
      <c r="A24" s="108" t="s">
        <v>22</v>
      </c>
      <c r="B24" s="58">
        <f>VLOOKUP(Table27[[#This Row],[Location 
(drop-down)]],'List source'!D$2:E$59,2,FALSE)</f>
        <v>130</v>
      </c>
      <c r="C24" s="237" t="s">
        <v>91</v>
      </c>
      <c r="D24" s="340" t="str">
        <f t="shared" si="0"/>
        <v>PTO023-130-23</v>
      </c>
      <c r="E24" s="108" t="s">
        <v>2375</v>
      </c>
      <c r="F24" s="180" t="s">
        <v>2365</v>
      </c>
      <c r="G24" s="108" t="s">
        <v>2376</v>
      </c>
      <c r="H24" s="180">
        <v>7.26</v>
      </c>
      <c r="I24" s="229">
        <v>45201</v>
      </c>
      <c r="J24" s="229" t="s">
        <v>1368</v>
      </c>
      <c r="K24" s="246">
        <v>45400</v>
      </c>
      <c r="L24" s="180" t="s">
        <v>822</v>
      </c>
      <c r="M24" s="180"/>
    </row>
    <row r="25" spans="1:13" s="243" customFormat="1" ht="30" x14ac:dyDescent="0.25">
      <c r="A25" s="108" t="s">
        <v>174</v>
      </c>
      <c r="B25" s="58">
        <f>VLOOKUP(Table27[[#This Row],[Location 
(drop-down)]],'List source'!D$2:E$59,2,FALSE)</f>
        <v>131</v>
      </c>
      <c r="C25" s="237" t="s">
        <v>93</v>
      </c>
      <c r="D25" s="244" t="str">
        <f t="shared" si="0"/>
        <v>PTO024-131-23</v>
      </c>
      <c r="E25" s="108" t="s">
        <v>2377</v>
      </c>
      <c r="F25" s="180" t="s">
        <v>2378</v>
      </c>
      <c r="G25" s="324" t="s">
        <v>2379</v>
      </c>
      <c r="H25" s="180">
        <v>2.0299999999999998</v>
      </c>
      <c r="I25" s="230">
        <v>45201</v>
      </c>
      <c r="J25" s="229" t="s">
        <v>129</v>
      </c>
      <c r="K25" s="246">
        <v>45215</v>
      </c>
      <c r="L25" s="180" t="s">
        <v>822</v>
      </c>
      <c r="M25" s="180" t="s">
        <v>2380</v>
      </c>
    </row>
    <row r="26" spans="1:13" s="243" customFormat="1" ht="30" x14ac:dyDescent="0.25">
      <c r="A26" s="108" t="s">
        <v>27</v>
      </c>
      <c r="B26" s="58">
        <f>VLOOKUP(Table27[[#This Row],[Location 
(drop-down)]],'List source'!D$2:E$59,2,FALSE)</f>
        <v>132</v>
      </c>
      <c r="C26" s="237" t="s">
        <v>100</v>
      </c>
      <c r="D26" s="244" t="str">
        <f t="shared" si="0"/>
        <v>PTO025-132-23</v>
      </c>
      <c r="E26" s="168" t="s">
        <v>2381</v>
      </c>
      <c r="F26" s="58" t="s">
        <v>2378</v>
      </c>
      <c r="G26" s="168" t="s">
        <v>2382</v>
      </c>
      <c r="H26" s="58">
        <v>-2.1</v>
      </c>
      <c r="I26" s="229">
        <v>45201</v>
      </c>
      <c r="J26" s="229" t="s">
        <v>17</v>
      </c>
      <c r="K26" s="246">
        <v>45201</v>
      </c>
      <c r="L26" s="180" t="s">
        <v>828</v>
      </c>
      <c r="M26" s="180" t="s">
        <v>2340</v>
      </c>
    </row>
    <row r="27" spans="1:13" s="243" customFormat="1" ht="30" x14ac:dyDescent="0.25">
      <c r="A27" s="108" t="s">
        <v>27</v>
      </c>
      <c r="B27" s="58">
        <f>VLOOKUP(Table27[[#This Row],[Location 
(drop-down)]],'List source'!D$2:E$59,2,FALSE)</f>
        <v>132</v>
      </c>
      <c r="C27" s="237" t="s">
        <v>104</v>
      </c>
      <c r="D27" s="244" t="str">
        <f t="shared" si="0"/>
        <v>PTO026-132-23</v>
      </c>
      <c r="E27" s="108" t="s">
        <v>2383</v>
      </c>
      <c r="F27" s="180" t="s">
        <v>2378</v>
      </c>
      <c r="G27" s="108" t="s">
        <v>2384</v>
      </c>
      <c r="H27" s="180">
        <v>2.56</v>
      </c>
      <c r="I27" s="229">
        <v>45201</v>
      </c>
      <c r="J27" s="229" t="s">
        <v>17</v>
      </c>
      <c r="K27" s="246">
        <v>45212</v>
      </c>
      <c r="L27" s="180" t="s">
        <v>837</v>
      </c>
      <c r="M27" s="180" t="s">
        <v>2328</v>
      </c>
    </row>
    <row r="28" spans="1:13" s="243" customFormat="1" ht="30" x14ac:dyDescent="0.25">
      <c r="A28" s="108" t="s">
        <v>27</v>
      </c>
      <c r="B28" s="58">
        <f>VLOOKUP(Table27[[#This Row],[Location 
(drop-down)]],'List source'!D$2:E$59,2,FALSE)</f>
        <v>132</v>
      </c>
      <c r="C28" s="237" t="s">
        <v>109</v>
      </c>
      <c r="D28" s="244" t="str">
        <f t="shared" si="0"/>
        <v>PTO027-132-23</v>
      </c>
      <c r="E28" s="108" t="s">
        <v>2385</v>
      </c>
      <c r="F28" s="180" t="s">
        <v>2378</v>
      </c>
      <c r="G28" s="108" t="s">
        <v>2386</v>
      </c>
      <c r="H28" s="180">
        <v>-30.93</v>
      </c>
      <c r="I28" s="229">
        <v>45201</v>
      </c>
      <c r="J28" s="229" t="s">
        <v>1368</v>
      </c>
      <c r="K28" s="246">
        <v>45799</v>
      </c>
      <c r="L28" s="180"/>
      <c r="M28" s="228"/>
    </row>
    <row r="29" spans="1:13" s="243" customFormat="1" ht="30" x14ac:dyDescent="0.25">
      <c r="A29" s="108" t="s">
        <v>1245</v>
      </c>
      <c r="B29" s="58">
        <f>VLOOKUP(Table27[[#This Row],[Location 
(drop-down)]],'List source'!D$2:E$59,2,FALSE)</f>
        <v>133</v>
      </c>
      <c r="C29" s="237" t="s">
        <v>113</v>
      </c>
      <c r="D29" s="244" t="str">
        <f t="shared" si="0"/>
        <v>PTO028-133-23</v>
      </c>
      <c r="E29" s="108" t="s">
        <v>2387</v>
      </c>
      <c r="F29" s="180" t="s">
        <v>2378</v>
      </c>
      <c r="G29" s="108" t="s">
        <v>2388</v>
      </c>
      <c r="H29" s="180">
        <v>-5.41</v>
      </c>
      <c r="I29" s="229">
        <v>45201</v>
      </c>
      <c r="J29" s="229" t="s">
        <v>1368</v>
      </c>
      <c r="K29" s="322">
        <v>46014</v>
      </c>
      <c r="L29" s="180"/>
      <c r="M29" s="180"/>
    </row>
    <row r="30" spans="1:13" s="243" customFormat="1" ht="30" x14ac:dyDescent="0.25">
      <c r="A30" s="108" t="s">
        <v>1385</v>
      </c>
      <c r="B30" s="58">
        <f>VLOOKUP(Table27[[#This Row],[Location 
(drop-down)]],'List source'!D$2:E$59,2,FALSE)</f>
        <v>139</v>
      </c>
      <c r="C30" s="237" t="s">
        <v>115</v>
      </c>
      <c r="D30" s="244" t="str">
        <f t="shared" si="0"/>
        <v>PTO029-139-23</v>
      </c>
      <c r="E30" s="108" t="s">
        <v>2389</v>
      </c>
      <c r="F30" s="180" t="s">
        <v>2378</v>
      </c>
      <c r="G30" s="108" t="s">
        <v>2382</v>
      </c>
      <c r="H30" s="180">
        <v>-14.58</v>
      </c>
      <c r="I30" s="229">
        <v>45202</v>
      </c>
      <c r="J30" s="229" t="s">
        <v>875</v>
      </c>
      <c r="K30" s="246">
        <v>45240</v>
      </c>
      <c r="L30" s="180" t="s">
        <v>822</v>
      </c>
      <c r="M30" s="180"/>
    </row>
    <row r="31" spans="1:13" s="243" customFormat="1" ht="30" x14ac:dyDescent="0.25">
      <c r="A31" s="108" t="s">
        <v>1385</v>
      </c>
      <c r="B31" s="58">
        <f>VLOOKUP(Table27[[#This Row],[Location 
(drop-down)]],'List source'!D$2:E$59,2,FALSE)</f>
        <v>139</v>
      </c>
      <c r="C31" s="237" t="s">
        <v>117</v>
      </c>
      <c r="D31" s="244" t="str">
        <f t="shared" si="0"/>
        <v>PTO030-139-23</v>
      </c>
      <c r="E31" s="108" t="s">
        <v>2390</v>
      </c>
      <c r="F31" s="180" t="s">
        <v>2378</v>
      </c>
      <c r="G31" s="108" t="s">
        <v>2391</v>
      </c>
      <c r="H31" s="180">
        <v>-2.4700000000000002</v>
      </c>
      <c r="I31" s="229">
        <v>45202</v>
      </c>
      <c r="J31" s="229" t="s">
        <v>17</v>
      </c>
      <c r="K31" s="246">
        <v>45202</v>
      </c>
      <c r="L31" s="180" t="s">
        <v>828</v>
      </c>
      <c r="M31" s="180" t="s">
        <v>2340</v>
      </c>
    </row>
    <row r="32" spans="1:13" s="243" customFormat="1" ht="30" x14ac:dyDescent="0.25">
      <c r="A32" s="108" t="s">
        <v>331</v>
      </c>
      <c r="B32" s="58">
        <f>VLOOKUP(Table27[[#This Row],[Location 
(drop-down)]],'List source'!D$2:E$59,2,FALSE)</f>
        <v>146</v>
      </c>
      <c r="C32" s="237" t="s">
        <v>119</v>
      </c>
      <c r="D32" s="244" t="str">
        <f t="shared" si="0"/>
        <v>PTO031-146-23</v>
      </c>
      <c r="E32" s="326" t="s">
        <v>2392</v>
      </c>
      <c r="F32" s="248" t="s">
        <v>2378</v>
      </c>
      <c r="G32" s="326" t="s">
        <v>2384</v>
      </c>
      <c r="H32" s="249">
        <v>13.21</v>
      </c>
      <c r="I32" s="229">
        <v>45202</v>
      </c>
      <c r="J32" s="229" t="s">
        <v>17</v>
      </c>
      <c r="K32" s="246">
        <v>45226</v>
      </c>
      <c r="L32" s="229" t="s">
        <v>837</v>
      </c>
      <c r="M32" s="229" t="s">
        <v>2393</v>
      </c>
    </row>
    <row r="33" spans="1:13" s="243" customFormat="1" ht="30" x14ac:dyDescent="0.25">
      <c r="A33" s="108" t="s">
        <v>331</v>
      </c>
      <c r="B33" s="58">
        <f>VLOOKUP(Table27[[#This Row],[Location 
(drop-down)]],'List source'!D$2:E$59,2,FALSE)</f>
        <v>146</v>
      </c>
      <c r="C33" s="237" t="s">
        <v>121</v>
      </c>
      <c r="D33" s="244" t="str">
        <f t="shared" si="0"/>
        <v>PTO032-146-23</v>
      </c>
      <c r="E33" s="108" t="s">
        <v>2377</v>
      </c>
      <c r="F33" s="180" t="s">
        <v>2378</v>
      </c>
      <c r="G33" s="108" t="s">
        <v>2379</v>
      </c>
      <c r="H33" s="180">
        <v>2.65</v>
      </c>
      <c r="I33" s="229">
        <v>45202</v>
      </c>
      <c r="J33" s="229" t="s">
        <v>17</v>
      </c>
      <c r="K33" s="246">
        <v>45226</v>
      </c>
      <c r="L33" s="180" t="s">
        <v>837</v>
      </c>
      <c r="M33" s="180" t="s">
        <v>2393</v>
      </c>
    </row>
    <row r="34" spans="1:13" s="243" customFormat="1" ht="30" x14ac:dyDescent="0.25">
      <c r="A34" s="108" t="s">
        <v>331</v>
      </c>
      <c r="B34" s="58">
        <f>VLOOKUP(Table27[[#This Row],[Location 
(drop-down)]],'List source'!D$2:E$59,2,FALSE)</f>
        <v>146</v>
      </c>
      <c r="C34" s="237" t="s">
        <v>124</v>
      </c>
      <c r="D34" s="244" t="str">
        <f t="shared" si="0"/>
        <v>PTO033-146-23</v>
      </c>
      <c r="E34" s="108" t="s">
        <v>2394</v>
      </c>
      <c r="F34" s="180" t="s">
        <v>2378</v>
      </c>
      <c r="G34" s="108" t="s">
        <v>2386</v>
      </c>
      <c r="H34" s="180">
        <v>2.9</v>
      </c>
      <c r="I34" s="229">
        <v>45202</v>
      </c>
      <c r="J34" s="229" t="s">
        <v>17</v>
      </c>
      <c r="K34" s="246">
        <v>45202</v>
      </c>
      <c r="L34" s="180" t="s">
        <v>828</v>
      </c>
      <c r="M34" s="180" t="s">
        <v>2340</v>
      </c>
    </row>
    <row r="35" spans="1:13" s="243" customFormat="1" ht="30" x14ac:dyDescent="0.25">
      <c r="A35" s="108" t="s">
        <v>178</v>
      </c>
      <c r="B35" s="58">
        <f>VLOOKUP(Table27[[#This Row],[Location 
(drop-down)]],'List source'!D$2:E$59,2,FALSE)</f>
        <v>150</v>
      </c>
      <c r="C35" s="237" t="s">
        <v>127</v>
      </c>
      <c r="D35" s="244" t="str">
        <f t="shared" si="0"/>
        <v>PTO034-150-23</v>
      </c>
      <c r="E35" s="108" t="s">
        <v>2381</v>
      </c>
      <c r="F35" s="180" t="s">
        <v>2378</v>
      </c>
      <c r="G35" s="108" t="s">
        <v>2382</v>
      </c>
      <c r="H35" s="180">
        <v>2.33</v>
      </c>
      <c r="I35" s="229">
        <v>45202</v>
      </c>
      <c r="J35" s="229" t="s">
        <v>17</v>
      </c>
      <c r="K35" s="246">
        <v>45202</v>
      </c>
      <c r="L35" s="180" t="s">
        <v>828</v>
      </c>
      <c r="M35" s="180" t="s">
        <v>2340</v>
      </c>
    </row>
    <row r="36" spans="1:13" s="243" customFormat="1" ht="30" x14ac:dyDescent="0.25">
      <c r="A36" s="108" t="s">
        <v>178</v>
      </c>
      <c r="B36" s="58">
        <f>VLOOKUP(Table27[[#This Row],[Location 
(drop-down)]],'List source'!D$2:E$59,2,FALSE)</f>
        <v>150</v>
      </c>
      <c r="C36" s="237" t="s">
        <v>132</v>
      </c>
      <c r="D36" s="244" t="str">
        <f t="shared" si="0"/>
        <v>PTO035-150-23</v>
      </c>
      <c r="E36" s="108" t="s">
        <v>2390</v>
      </c>
      <c r="F36" s="180" t="s">
        <v>2378</v>
      </c>
      <c r="G36" s="108" t="s">
        <v>2391</v>
      </c>
      <c r="H36" s="180">
        <v>21.85</v>
      </c>
      <c r="I36" s="229">
        <v>45202</v>
      </c>
      <c r="J36" s="229" t="s">
        <v>161</v>
      </c>
      <c r="K36" s="322">
        <v>45768</v>
      </c>
      <c r="L36" s="180"/>
      <c r="M36" s="180"/>
    </row>
    <row r="37" spans="1:13" s="243" customFormat="1" ht="30" x14ac:dyDescent="0.25">
      <c r="A37" s="108" t="s">
        <v>57</v>
      </c>
      <c r="B37" s="58">
        <f>VLOOKUP(Table27[[#This Row],[Location 
(drop-down)]],'List source'!D$2:E$59,2,FALSE)</f>
        <v>155</v>
      </c>
      <c r="C37" s="237" t="s">
        <v>134</v>
      </c>
      <c r="D37" s="244" t="str">
        <f t="shared" si="0"/>
        <v>PTO036-155-23</v>
      </c>
      <c r="E37" s="108" t="s">
        <v>2395</v>
      </c>
      <c r="F37" s="180" t="s">
        <v>2378</v>
      </c>
      <c r="G37" s="108" t="s">
        <v>2386</v>
      </c>
      <c r="H37" s="180">
        <v>15.73</v>
      </c>
      <c r="I37" s="229">
        <v>45202</v>
      </c>
      <c r="J37" s="229" t="s">
        <v>161</v>
      </c>
      <c r="K37" s="246">
        <v>45394</v>
      </c>
      <c r="L37" s="180"/>
      <c r="M37" s="180"/>
    </row>
    <row r="38" spans="1:13" s="243" customFormat="1" ht="30" x14ac:dyDescent="0.25">
      <c r="A38" s="108" t="s">
        <v>57</v>
      </c>
      <c r="B38" s="58">
        <f>VLOOKUP(Table27[[#This Row],[Location 
(drop-down)]],'List source'!D$2:E$59,2,FALSE)</f>
        <v>155</v>
      </c>
      <c r="C38" s="237" t="s">
        <v>137</v>
      </c>
      <c r="D38" s="244" t="str">
        <f t="shared" si="0"/>
        <v>PTO037-155-23</v>
      </c>
      <c r="E38" s="108" t="s">
        <v>2396</v>
      </c>
      <c r="F38" s="180" t="s">
        <v>2378</v>
      </c>
      <c r="G38" s="108" t="s">
        <v>2388</v>
      </c>
      <c r="H38" s="180">
        <v>6.69</v>
      </c>
      <c r="I38" s="229">
        <v>45202</v>
      </c>
      <c r="J38" s="229" t="s">
        <v>161</v>
      </c>
      <c r="K38" s="322">
        <v>45268</v>
      </c>
      <c r="L38" s="180"/>
      <c r="M38" s="180"/>
    </row>
    <row r="39" spans="1:13" s="243" customFormat="1" ht="45" x14ac:dyDescent="0.25">
      <c r="A39" s="108" t="s">
        <v>233</v>
      </c>
      <c r="B39" s="58">
        <f>VLOOKUP(Table27[[#This Row],[Location 
(drop-down)]],'List source'!D$2:E$59,2,FALSE)</f>
        <v>156</v>
      </c>
      <c r="C39" s="237" t="s">
        <v>141</v>
      </c>
      <c r="D39" s="244" t="str">
        <f t="shared" si="0"/>
        <v>PTO038-156-23</v>
      </c>
      <c r="E39" s="108" t="s">
        <v>2397</v>
      </c>
      <c r="F39" s="180" t="s">
        <v>2378</v>
      </c>
      <c r="G39" s="108" t="s">
        <v>2398</v>
      </c>
      <c r="H39" s="180">
        <v>2.1800000000000002</v>
      </c>
      <c r="I39" s="229">
        <v>45203</v>
      </c>
      <c r="J39" s="229" t="s">
        <v>17</v>
      </c>
      <c r="K39" s="246">
        <v>45203</v>
      </c>
      <c r="L39" s="180" t="s">
        <v>828</v>
      </c>
      <c r="M39" s="180" t="s">
        <v>2340</v>
      </c>
    </row>
    <row r="40" spans="1:13" s="243" customFormat="1" ht="30" x14ac:dyDescent="0.25">
      <c r="A40" s="108" t="s">
        <v>37</v>
      </c>
      <c r="B40" s="58">
        <f>VLOOKUP(Table27[[#This Row],[Location 
(drop-down)]],'List source'!D$2:E$59,2,FALSE)</f>
        <v>158</v>
      </c>
      <c r="C40" s="237" t="s">
        <v>145</v>
      </c>
      <c r="D40" s="244" t="str">
        <f t="shared" si="0"/>
        <v>PTO039-158-23</v>
      </c>
      <c r="E40" s="108" t="s">
        <v>2399</v>
      </c>
      <c r="F40" s="180" t="s">
        <v>2378</v>
      </c>
      <c r="G40" s="108" t="s">
        <v>2386</v>
      </c>
      <c r="H40" s="180">
        <v>-4.8</v>
      </c>
      <c r="I40" s="229">
        <v>45203</v>
      </c>
      <c r="J40" s="229" t="s">
        <v>17</v>
      </c>
      <c r="K40" s="246">
        <v>45212</v>
      </c>
      <c r="L40" s="180" t="s">
        <v>837</v>
      </c>
      <c r="M40" s="180" t="s">
        <v>2340</v>
      </c>
    </row>
    <row r="41" spans="1:13" s="243" customFormat="1" ht="30" x14ac:dyDescent="0.25">
      <c r="A41" s="108" t="s">
        <v>1658</v>
      </c>
      <c r="B41" s="58">
        <f>VLOOKUP(Table27[[#This Row],[Location 
(drop-down)]],'List source'!D$2:E$59,2,FALSE)</f>
        <v>159</v>
      </c>
      <c r="C41" s="237" t="s">
        <v>150</v>
      </c>
      <c r="D41" s="244" t="str">
        <f t="shared" si="0"/>
        <v>PTO040-159-23</v>
      </c>
      <c r="E41" s="108" t="s">
        <v>2400</v>
      </c>
      <c r="F41" s="180" t="s">
        <v>2378</v>
      </c>
      <c r="G41" s="108" t="s">
        <v>2401</v>
      </c>
      <c r="H41" s="180">
        <v>3.42</v>
      </c>
      <c r="I41" s="229">
        <v>45203</v>
      </c>
      <c r="J41" s="229" t="s">
        <v>443</v>
      </c>
      <c r="K41" s="246">
        <v>45218</v>
      </c>
      <c r="L41" s="180" t="s">
        <v>832</v>
      </c>
      <c r="M41" s="180" t="s">
        <v>2402</v>
      </c>
    </row>
    <row r="42" spans="1:13" s="243" customFormat="1" ht="30" x14ac:dyDescent="0.25">
      <c r="A42" s="108" t="s">
        <v>1658</v>
      </c>
      <c r="B42" s="58">
        <f>VLOOKUP(Table27[[#This Row],[Location 
(drop-down)]],'List source'!D$2:E$59,2,FALSE)</f>
        <v>159</v>
      </c>
      <c r="C42" s="237" t="s">
        <v>154</v>
      </c>
      <c r="D42" s="244" t="str">
        <f t="shared" si="0"/>
        <v>PTO041-159-23</v>
      </c>
      <c r="E42" s="250" t="s">
        <v>2403</v>
      </c>
      <c r="F42" s="251" t="s">
        <v>2378</v>
      </c>
      <c r="G42" s="250" t="s">
        <v>2382</v>
      </c>
      <c r="H42" s="251" t="s">
        <v>2404</v>
      </c>
      <c r="I42" s="229">
        <v>45203</v>
      </c>
      <c r="J42" s="229" t="s">
        <v>17</v>
      </c>
      <c r="K42" s="246">
        <v>45208</v>
      </c>
      <c r="L42" s="180" t="s">
        <v>837</v>
      </c>
      <c r="M42" s="180" t="s">
        <v>2328</v>
      </c>
    </row>
    <row r="43" spans="1:13" s="243" customFormat="1" ht="30" x14ac:dyDescent="0.25">
      <c r="A43" s="108" t="s">
        <v>66</v>
      </c>
      <c r="B43" s="58">
        <f>VLOOKUP(Table27[[#This Row],[Location 
(drop-down)]],'List source'!D$2:E$59,2,FALSE)</f>
        <v>165</v>
      </c>
      <c r="C43" s="237" t="s">
        <v>158</v>
      </c>
      <c r="D43" s="244" t="str">
        <f t="shared" si="0"/>
        <v>PTO042-165-23</v>
      </c>
      <c r="E43" s="108" t="s">
        <v>2405</v>
      </c>
      <c r="F43" s="180" t="s">
        <v>2378</v>
      </c>
      <c r="G43" s="108" t="s">
        <v>2406</v>
      </c>
      <c r="H43" s="180">
        <v>2.31</v>
      </c>
      <c r="I43" s="229">
        <v>45203</v>
      </c>
      <c r="J43" s="229" t="s">
        <v>17</v>
      </c>
      <c r="K43" s="246">
        <v>45203</v>
      </c>
      <c r="L43" s="180" t="s">
        <v>828</v>
      </c>
      <c r="M43" s="180" t="s">
        <v>2340</v>
      </c>
    </row>
    <row r="44" spans="1:13" s="243" customFormat="1" ht="30" x14ac:dyDescent="0.25">
      <c r="A44" s="108" t="s">
        <v>324</v>
      </c>
      <c r="B44" s="58">
        <f>VLOOKUP(Table27[[#This Row],[Location 
(drop-down)]],'List source'!D$2:E$59,2,FALSE)</f>
        <v>170</v>
      </c>
      <c r="C44" s="237" t="s">
        <v>162</v>
      </c>
      <c r="D44" s="244" t="str">
        <f t="shared" si="0"/>
        <v>PTO043-170-23</v>
      </c>
      <c r="E44" s="108" t="s">
        <v>2407</v>
      </c>
      <c r="F44" s="180" t="s">
        <v>2378</v>
      </c>
      <c r="G44" s="108" t="s">
        <v>2408</v>
      </c>
      <c r="H44" s="180">
        <v>3.37</v>
      </c>
      <c r="I44" s="229">
        <v>45203</v>
      </c>
      <c r="J44" s="229" t="s">
        <v>17</v>
      </c>
      <c r="K44" s="322">
        <v>45203</v>
      </c>
      <c r="L44" s="180" t="s">
        <v>837</v>
      </c>
      <c r="M44" s="180" t="s">
        <v>2328</v>
      </c>
    </row>
    <row r="45" spans="1:13" s="243" customFormat="1" ht="30" x14ac:dyDescent="0.25">
      <c r="A45" s="108" t="s">
        <v>873</v>
      </c>
      <c r="B45" s="58">
        <f>VLOOKUP(Table27[[#This Row],[Location 
(drop-down)]],'List source'!D$2:E$59,2,FALSE)</f>
        <v>190</v>
      </c>
      <c r="C45" s="237" t="s">
        <v>164</v>
      </c>
      <c r="D45" s="244" t="str">
        <f t="shared" si="0"/>
        <v>PTO044-190-23</v>
      </c>
      <c r="E45" s="108" t="s">
        <v>2409</v>
      </c>
      <c r="F45" s="180" t="s">
        <v>2378</v>
      </c>
      <c r="G45" s="108" t="s">
        <v>2410</v>
      </c>
      <c r="H45" s="180">
        <v>2.59</v>
      </c>
      <c r="I45" s="229">
        <v>45203</v>
      </c>
      <c r="J45" s="229" t="s">
        <v>17</v>
      </c>
      <c r="K45" s="246">
        <v>45203</v>
      </c>
      <c r="L45" s="180" t="s">
        <v>828</v>
      </c>
      <c r="M45" s="180" t="s">
        <v>2340</v>
      </c>
    </row>
    <row r="46" spans="1:13" s="243" customFormat="1" ht="30" x14ac:dyDescent="0.25">
      <c r="A46" s="108" t="s">
        <v>873</v>
      </c>
      <c r="B46" s="58">
        <f>VLOOKUP(Table27[[#This Row],[Location 
(drop-down)]],'List source'!D$2:E$59,2,FALSE)</f>
        <v>190</v>
      </c>
      <c r="C46" s="237" t="s">
        <v>166</v>
      </c>
      <c r="D46" s="244" t="str">
        <f t="shared" si="0"/>
        <v>PTO045-190-23</v>
      </c>
      <c r="E46" s="108" t="s">
        <v>2411</v>
      </c>
      <c r="F46" s="180" t="s">
        <v>2378</v>
      </c>
      <c r="G46" s="108" t="s">
        <v>2384</v>
      </c>
      <c r="H46" s="180">
        <v>19.760000000000002</v>
      </c>
      <c r="I46" s="229">
        <v>45203</v>
      </c>
      <c r="J46" s="229" t="s">
        <v>17</v>
      </c>
      <c r="K46" s="246">
        <v>45203</v>
      </c>
      <c r="L46" s="180" t="s">
        <v>837</v>
      </c>
      <c r="M46" s="180" t="s">
        <v>2328</v>
      </c>
    </row>
    <row r="47" spans="1:13" s="243" customFormat="1" ht="30" x14ac:dyDescent="0.25">
      <c r="A47" s="108" t="s">
        <v>108</v>
      </c>
      <c r="B47" s="58">
        <f>VLOOKUP(Table27[[#This Row],[Location 
(drop-down)]],'List source'!D$2:E$59,2,FALSE)</f>
        <v>191</v>
      </c>
      <c r="C47" s="237" t="s">
        <v>169</v>
      </c>
      <c r="D47" s="244" t="str">
        <f t="shared" si="0"/>
        <v>PTO046-191-23</v>
      </c>
      <c r="E47" s="108" t="s">
        <v>2409</v>
      </c>
      <c r="F47" s="180" t="s">
        <v>2378</v>
      </c>
      <c r="G47" s="108" t="s">
        <v>2410</v>
      </c>
      <c r="H47" s="180">
        <v>2.36</v>
      </c>
      <c r="I47" s="229">
        <v>45203</v>
      </c>
      <c r="J47" s="229" t="s">
        <v>17</v>
      </c>
      <c r="K47" s="246">
        <v>45203</v>
      </c>
      <c r="L47" s="180" t="s">
        <v>828</v>
      </c>
      <c r="M47" s="180" t="s">
        <v>2340</v>
      </c>
    </row>
    <row r="48" spans="1:13" s="243" customFormat="1" ht="18.75" x14ac:dyDescent="0.25">
      <c r="A48" s="108" t="s">
        <v>108</v>
      </c>
      <c r="B48" s="58">
        <f>VLOOKUP(Table27[[#This Row],[Location 
(drop-down)]],'List source'!D$2:E$59,2,FALSE)</f>
        <v>191</v>
      </c>
      <c r="C48" s="237" t="s">
        <v>172</v>
      </c>
      <c r="D48" s="244" t="str">
        <f t="shared" si="0"/>
        <v>PTO047-191-23</v>
      </c>
      <c r="E48" s="252" t="s">
        <v>2412</v>
      </c>
      <c r="F48" s="253" t="s">
        <v>2378</v>
      </c>
      <c r="G48" s="252" t="s">
        <v>2413</v>
      </c>
      <c r="H48" s="253">
        <v>-2.1800000000000002</v>
      </c>
      <c r="I48" s="229">
        <v>45203</v>
      </c>
      <c r="J48" s="229" t="s">
        <v>875</v>
      </c>
      <c r="K48" s="246">
        <v>45303</v>
      </c>
      <c r="L48" s="180"/>
      <c r="M48" s="180"/>
    </row>
    <row r="49" spans="1:13" s="243" customFormat="1" ht="18.75" x14ac:dyDescent="0.25">
      <c r="A49" s="108" t="s">
        <v>87</v>
      </c>
      <c r="B49" s="58">
        <f>VLOOKUP(Table27[[#This Row],[Location 
(drop-down)]],'List source'!D$2:E$59,2,FALSE)</f>
        <v>210</v>
      </c>
      <c r="C49" s="237" t="s">
        <v>175</v>
      </c>
      <c r="D49" s="244" t="str">
        <f t="shared" si="0"/>
        <v>PTO048-210-23</v>
      </c>
      <c r="E49" s="235" t="s">
        <v>2414</v>
      </c>
      <c r="F49" s="247" t="s">
        <v>2378</v>
      </c>
      <c r="G49" s="235" t="s">
        <v>2384</v>
      </c>
      <c r="H49" s="247">
        <v>37.78</v>
      </c>
      <c r="I49" s="229">
        <v>45203</v>
      </c>
      <c r="J49" s="229" t="s">
        <v>17</v>
      </c>
      <c r="K49" s="246">
        <v>45239</v>
      </c>
      <c r="L49" s="180" t="s">
        <v>822</v>
      </c>
      <c r="M49" s="180"/>
    </row>
    <row r="50" spans="1:13" s="243" customFormat="1" ht="30" x14ac:dyDescent="0.25">
      <c r="A50" s="108" t="s">
        <v>126</v>
      </c>
      <c r="B50" s="58">
        <f>VLOOKUP(Table27[[#This Row],[Location 
(drop-down)]],'List source'!D$2:E$59,2,FALSE)</f>
        <v>125</v>
      </c>
      <c r="C50" s="237" t="s">
        <v>179</v>
      </c>
      <c r="D50" s="238" t="str">
        <f t="shared" si="0"/>
        <v>PTO049-125-23</v>
      </c>
      <c r="E50" s="108" t="s">
        <v>2415</v>
      </c>
      <c r="F50" s="180" t="s">
        <v>2416</v>
      </c>
      <c r="G50" s="108" t="s">
        <v>2417</v>
      </c>
      <c r="H50" s="180" t="s">
        <v>2418</v>
      </c>
      <c r="I50" s="229">
        <v>45204</v>
      </c>
      <c r="J50" s="308" t="s">
        <v>1762</v>
      </c>
      <c r="K50" s="309">
        <v>45838</v>
      </c>
      <c r="L50" s="180"/>
      <c r="M50" s="180"/>
    </row>
    <row r="51" spans="1:13" s="243" customFormat="1" ht="30" x14ac:dyDescent="0.25">
      <c r="A51" s="108" t="s">
        <v>13</v>
      </c>
      <c r="B51" s="58">
        <f>VLOOKUP(Table27[[#This Row],[Location 
(drop-down)]],'List source'!D$2:E$59,2,FALSE)</f>
        <v>126</v>
      </c>
      <c r="C51" s="237" t="s">
        <v>181</v>
      </c>
      <c r="D51" s="238" t="str">
        <f t="shared" si="0"/>
        <v>PTO050-126-23</v>
      </c>
      <c r="E51" s="108" t="s">
        <v>2419</v>
      </c>
      <c r="F51" s="180" t="s">
        <v>2416</v>
      </c>
      <c r="G51" s="108" t="s">
        <v>2420</v>
      </c>
      <c r="H51" s="180">
        <v>6.89</v>
      </c>
      <c r="I51" s="229">
        <v>45204</v>
      </c>
      <c r="J51" s="308" t="s">
        <v>416</v>
      </c>
      <c r="K51" s="309">
        <v>46006</v>
      </c>
      <c r="L51" s="180"/>
      <c r="M51" s="180"/>
    </row>
    <row r="52" spans="1:13" s="243" customFormat="1" ht="30" x14ac:dyDescent="0.25">
      <c r="A52" s="108" t="s">
        <v>52</v>
      </c>
      <c r="B52" s="58">
        <f>VLOOKUP(Table27[[#This Row],[Location 
(drop-down)]],'List source'!D$2:E$59,2,FALSE)</f>
        <v>127</v>
      </c>
      <c r="C52" s="237" t="s">
        <v>183</v>
      </c>
      <c r="D52" s="244" t="str">
        <f t="shared" si="0"/>
        <v>PTO051-127-23</v>
      </c>
      <c r="E52" s="123" t="s">
        <v>2421</v>
      </c>
      <c r="F52" s="180" t="s">
        <v>2416</v>
      </c>
      <c r="G52" s="108" t="s">
        <v>2417</v>
      </c>
      <c r="H52" s="254" t="s">
        <v>2422</v>
      </c>
      <c r="I52" s="229">
        <v>45204</v>
      </c>
      <c r="J52" s="229" t="s">
        <v>17</v>
      </c>
      <c r="K52" s="246">
        <v>45204</v>
      </c>
      <c r="L52" s="180" t="s">
        <v>828</v>
      </c>
      <c r="M52" s="180" t="s">
        <v>2340</v>
      </c>
    </row>
    <row r="53" spans="1:13" s="243" customFormat="1" ht="30" x14ac:dyDescent="0.25">
      <c r="A53" s="108" t="s">
        <v>52</v>
      </c>
      <c r="B53" s="58">
        <f>VLOOKUP(Table27[[#This Row],[Location 
(drop-down)]],'List source'!D$2:E$59,2,FALSE)</f>
        <v>127</v>
      </c>
      <c r="C53" s="237" t="s">
        <v>187</v>
      </c>
      <c r="D53" s="244" t="str">
        <f t="shared" si="0"/>
        <v>PTO052-127-23</v>
      </c>
      <c r="E53" s="108" t="s">
        <v>2423</v>
      </c>
      <c r="F53" s="180" t="s">
        <v>2416</v>
      </c>
      <c r="G53" s="108" t="s">
        <v>2424</v>
      </c>
      <c r="H53" s="180">
        <v>-3.2</v>
      </c>
      <c r="I53" s="229">
        <v>45204</v>
      </c>
      <c r="J53" s="229" t="s">
        <v>17</v>
      </c>
      <c r="K53" s="246">
        <v>45204</v>
      </c>
      <c r="L53" s="180" t="s">
        <v>837</v>
      </c>
      <c r="M53" s="180" t="s">
        <v>2328</v>
      </c>
    </row>
    <row r="54" spans="1:13" s="243" customFormat="1" ht="30" x14ac:dyDescent="0.25">
      <c r="A54" s="108" t="s">
        <v>174</v>
      </c>
      <c r="B54" s="58">
        <f>VLOOKUP(Table27[[#This Row],[Location 
(drop-down)]],'List source'!D$2:E$59,2,FALSE)</f>
        <v>131</v>
      </c>
      <c r="C54" s="237" t="s">
        <v>191</v>
      </c>
      <c r="D54" s="244" t="str">
        <f t="shared" si="0"/>
        <v>PTO053-131-23</v>
      </c>
      <c r="E54" s="108" t="s">
        <v>2425</v>
      </c>
      <c r="F54" s="180" t="s">
        <v>2416</v>
      </c>
      <c r="G54" s="108" t="s">
        <v>2426</v>
      </c>
      <c r="H54" s="180">
        <v>2.17</v>
      </c>
      <c r="I54" s="229">
        <v>45204</v>
      </c>
      <c r="J54" s="229" t="s">
        <v>17</v>
      </c>
      <c r="K54" s="246">
        <v>45204</v>
      </c>
      <c r="L54" s="180" t="s">
        <v>828</v>
      </c>
      <c r="M54" s="180" t="s">
        <v>2340</v>
      </c>
    </row>
    <row r="55" spans="1:13" s="243" customFormat="1" ht="30" x14ac:dyDescent="0.25">
      <c r="A55" s="108" t="s">
        <v>27</v>
      </c>
      <c r="B55" s="58">
        <f>VLOOKUP(Table27[[#This Row],[Location 
(drop-down)]],'List source'!D$2:E$59,2,FALSE)</f>
        <v>132</v>
      </c>
      <c r="C55" s="237" t="s">
        <v>194</v>
      </c>
      <c r="D55" s="244" t="str">
        <f t="shared" si="0"/>
        <v>PTO054-132-23</v>
      </c>
      <c r="E55" s="108" t="s">
        <v>2427</v>
      </c>
      <c r="F55" s="180" t="s">
        <v>2416</v>
      </c>
      <c r="G55" s="108" t="s">
        <v>2426</v>
      </c>
      <c r="H55" s="255" t="s">
        <v>2428</v>
      </c>
      <c r="I55" s="229">
        <v>45204</v>
      </c>
      <c r="J55" s="229" t="s">
        <v>1368</v>
      </c>
      <c r="K55" s="246">
        <v>45792</v>
      </c>
      <c r="L55" s="180"/>
      <c r="M55" s="180"/>
    </row>
    <row r="56" spans="1:13" s="243" customFormat="1" ht="30" x14ac:dyDescent="0.25">
      <c r="A56" s="108" t="s">
        <v>27</v>
      </c>
      <c r="B56" s="58">
        <f>VLOOKUP(Table27[[#This Row],[Location 
(drop-down)]],'List source'!D$2:E$59,2,FALSE)</f>
        <v>132</v>
      </c>
      <c r="C56" s="237" t="s">
        <v>195</v>
      </c>
      <c r="D56" s="244" t="str">
        <f t="shared" si="0"/>
        <v>PTO055-132-23</v>
      </c>
      <c r="E56" s="108" t="s">
        <v>2429</v>
      </c>
      <c r="F56" s="180" t="s">
        <v>2416</v>
      </c>
      <c r="G56" s="108" t="s">
        <v>2420</v>
      </c>
      <c r="H56" s="180">
        <v>2.1800000000000002</v>
      </c>
      <c r="I56" s="229">
        <v>45204</v>
      </c>
      <c r="J56" s="229" t="s">
        <v>17</v>
      </c>
      <c r="K56" s="246">
        <v>45204</v>
      </c>
      <c r="L56" s="180" t="s">
        <v>828</v>
      </c>
      <c r="M56" s="180" t="s">
        <v>2340</v>
      </c>
    </row>
    <row r="57" spans="1:13" s="243" customFormat="1" ht="30" x14ac:dyDescent="0.25">
      <c r="A57" s="108" t="s">
        <v>27</v>
      </c>
      <c r="B57" s="58">
        <f>VLOOKUP(Table27[[#This Row],[Location 
(drop-down)]],'List source'!D$2:E$59,2,FALSE)</f>
        <v>132</v>
      </c>
      <c r="C57" s="237" t="s">
        <v>200</v>
      </c>
      <c r="D57" s="244" t="str">
        <f t="shared" si="0"/>
        <v>PTO056-132-23</v>
      </c>
      <c r="E57" s="108" t="s">
        <v>2430</v>
      </c>
      <c r="F57" s="180" t="s">
        <v>2416</v>
      </c>
      <c r="G57" s="108" t="s">
        <v>2348</v>
      </c>
      <c r="H57" s="180" t="s">
        <v>2327</v>
      </c>
      <c r="I57" s="229">
        <v>45204</v>
      </c>
      <c r="J57" s="229" t="s">
        <v>17</v>
      </c>
      <c r="K57" s="246">
        <v>45204</v>
      </c>
      <c r="L57" s="180" t="s">
        <v>837</v>
      </c>
      <c r="M57" s="180" t="s">
        <v>2328</v>
      </c>
    </row>
    <row r="58" spans="1:13" s="243" customFormat="1" ht="30" x14ac:dyDescent="0.25">
      <c r="A58" s="108" t="s">
        <v>27</v>
      </c>
      <c r="B58" s="58">
        <f>VLOOKUP(Table27[[#This Row],[Location 
(drop-down)]],'List source'!D$2:E$59,2,FALSE)</f>
        <v>132</v>
      </c>
      <c r="C58" s="237" t="s">
        <v>203</v>
      </c>
      <c r="D58" s="244" t="str">
        <f t="shared" si="0"/>
        <v>PTO057-132-23</v>
      </c>
      <c r="E58" s="108" t="s">
        <v>2431</v>
      </c>
      <c r="F58" s="180" t="s">
        <v>2416</v>
      </c>
      <c r="G58" s="108" t="s">
        <v>2432</v>
      </c>
      <c r="H58" s="180">
        <v>-13.16</v>
      </c>
      <c r="I58" s="229">
        <v>45204</v>
      </c>
      <c r="J58" s="229" t="s">
        <v>443</v>
      </c>
      <c r="K58" s="246">
        <v>45548</v>
      </c>
      <c r="L58" s="180"/>
      <c r="M58" s="180"/>
    </row>
    <row r="59" spans="1:13" s="243" customFormat="1" ht="30" x14ac:dyDescent="0.25">
      <c r="A59" s="108" t="s">
        <v>27</v>
      </c>
      <c r="B59" s="58">
        <f>VLOOKUP(Table27[[#This Row],[Location 
(drop-down)]],'List source'!D$2:E$59,2,FALSE)</f>
        <v>132</v>
      </c>
      <c r="C59" s="237" t="s">
        <v>206</v>
      </c>
      <c r="D59" s="244" t="str">
        <f t="shared" si="0"/>
        <v>PTO058-132-23</v>
      </c>
      <c r="E59" s="108" t="s">
        <v>2433</v>
      </c>
      <c r="F59" s="180" t="s">
        <v>2416</v>
      </c>
      <c r="G59" s="108" t="s">
        <v>2424</v>
      </c>
      <c r="H59" s="180">
        <v>11.38</v>
      </c>
      <c r="I59" s="229">
        <v>45204</v>
      </c>
      <c r="J59" s="229" t="s">
        <v>17</v>
      </c>
      <c r="K59" s="246">
        <v>45204</v>
      </c>
      <c r="L59" s="180" t="s">
        <v>837</v>
      </c>
      <c r="M59" s="180" t="s">
        <v>2328</v>
      </c>
    </row>
    <row r="60" spans="1:13" s="243" customFormat="1" ht="30" x14ac:dyDescent="0.25">
      <c r="A60" s="108" t="s">
        <v>27</v>
      </c>
      <c r="B60" s="58">
        <f>VLOOKUP(Table27[[#This Row],[Location 
(drop-down)]],'List source'!D$2:E$59,2,FALSE)</f>
        <v>132</v>
      </c>
      <c r="C60" s="237" t="s">
        <v>209</v>
      </c>
      <c r="D60" s="244" t="str">
        <f t="shared" si="0"/>
        <v>PTO059-132-23</v>
      </c>
      <c r="E60" s="108" t="s">
        <v>2434</v>
      </c>
      <c r="F60" s="180" t="s">
        <v>2416</v>
      </c>
      <c r="G60" s="108" t="s">
        <v>2435</v>
      </c>
      <c r="H60" s="180">
        <v>3.23</v>
      </c>
      <c r="I60" s="229">
        <v>45204</v>
      </c>
      <c r="J60" s="229" t="s">
        <v>443</v>
      </c>
      <c r="K60" s="322">
        <v>45546</v>
      </c>
      <c r="L60" s="180"/>
      <c r="M60" s="180"/>
    </row>
    <row r="61" spans="1:13" s="243" customFormat="1" ht="30" x14ac:dyDescent="0.25">
      <c r="A61" s="108" t="s">
        <v>168</v>
      </c>
      <c r="B61" s="58">
        <f>VLOOKUP(Table27[[#This Row],[Location 
(drop-down)]],'List source'!D$2:E$59,2,FALSE)</f>
        <v>136</v>
      </c>
      <c r="C61" s="237" t="s">
        <v>212</v>
      </c>
      <c r="D61" s="244" t="str">
        <f t="shared" si="0"/>
        <v>PTO060-136-23</v>
      </c>
      <c r="E61" s="108" t="s">
        <v>2436</v>
      </c>
      <c r="F61" s="180" t="s">
        <v>2416</v>
      </c>
      <c r="G61" s="108" t="s">
        <v>2348</v>
      </c>
      <c r="H61" s="180" t="s">
        <v>2437</v>
      </c>
      <c r="I61" s="229">
        <v>45204</v>
      </c>
      <c r="J61" s="229" t="s">
        <v>17</v>
      </c>
      <c r="K61" s="246">
        <v>45204</v>
      </c>
      <c r="L61" s="180" t="s">
        <v>828</v>
      </c>
      <c r="M61" s="180" t="s">
        <v>2340</v>
      </c>
    </row>
    <row r="62" spans="1:13" s="243" customFormat="1" ht="30" x14ac:dyDescent="0.25">
      <c r="A62" s="108" t="s">
        <v>79</v>
      </c>
      <c r="B62" s="58">
        <f>VLOOKUP(Table27[[#This Row],[Location 
(drop-down)]],'List source'!D$2:E$59,2,FALSE)</f>
        <v>141</v>
      </c>
      <c r="C62" s="237" t="s">
        <v>214</v>
      </c>
      <c r="D62" s="244" t="str">
        <f t="shared" si="0"/>
        <v>PTO061-141-23</v>
      </c>
      <c r="E62" s="108" t="s">
        <v>2438</v>
      </c>
      <c r="F62" s="180" t="s">
        <v>2416</v>
      </c>
      <c r="G62" s="108" t="s">
        <v>2432</v>
      </c>
      <c r="H62" s="180">
        <v>-4.58</v>
      </c>
      <c r="I62" s="229">
        <v>45204</v>
      </c>
      <c r="J62" s="229" t="s">
        <v>96</v>
      </c>
      <c r="K62" s="246">
        <v>45240</v>
      </c>
      <c r="L62" s="180" t="s">
        <v>910</v>
      </c>
      <c r="M62" s="180"/>
    </row>
    <row r="63" spans="1:13" s="243" customFormat="1" ht="30" x14ac:dyDescent="0.25">
      <c r="A63" s="108" t="s">
        <v>331</v>
      </c>
      <c r="B63" s="58">
        <f>VLOOKUP(Table27[[#This Row],[Location 
(drop-down)]],'List source'!D$2:E$59,2,FALSE)</f>
        <v>146</v>
      </c>
      <c r="C63" s="237" t="s">
        <v>217</v>
      </c>
      <c r="D63" s="244" t="str">
        <f t="shared" si="0"/>
        <v>PTO062-146-23</v>
      </c>
      <c r="E63" s="108" t="s">
        <v>2439</v>
      </c>
      <c r="F63" s="180" t="s">
        <v>2416</v>
      </c>
      <c r="G63" s="108" t="s">
        <v>2348</v>
      </c>
      <c r="H63" s="255" t="s">
        <v>2440</v>
      </c>
      <c r="I63" s="229">
        <v>45204</v>
      </c>
      <c r="J63" s="229" t="s">
        <v>2324</v>
      </c>
      <c r="K63" s="246">
        <v>45309</v>
      </c>
      <c r="L63" s="180" t="s">
        <v>822</v>
      </c>
      <c r="M63" s="180"/>
    </row>
    <row r="64" spans="1:13" s="243" customFormat="1" ht="30" x14ac:dyDescent="0.25">
      <c r="A64" s="108" t="s">
        <v>178</v>
      </c>
      <c r="B64" s="58">
        <f>VLOOKUP(Table27[[#This Row],[Location 
(drop-down)]],'List source'!D$2:E$59,2,FALSE)</f>
        <v>150</v>
      </c>
      <c r="C64" s="237" t="s">
        <v>220</v>
      </c>
      <c r="D64" s="244" t="str">
        <f t="shared" si="0"/>
        <v>PTO063-150-23</v>
      </c>
      <c r="E64" s="108" t="s">
        <v>2441</v>
      </c>
      <c r="F64" s="180" t="s">
        <v>2416</v>
      </c>
      <c r="G64" s="108" t="s">
        <v>2348</v>
      </c>
      <c r="H64" s="180">
        <v>2.98</v>
      </c>
      <c r="I64" s="229">
        <v>45204</v>
      </c>
      <c r="J64" s="229" t="s">
        <v>17</v>
      </c>
      <c r="K64" s="246">
        <v>45204</v>
      </c>
      <c r="L64" s="180" t="s">
        <v>828</v>
      </c>
      <c r="M64" s="180" t="s">
        <v>2340</v>
      </c>
    </row>
    <row r="65" spans="1:13" s="243" customFormat="1" ht="30" x14ac:dyDescent="0.25">
      <c r="A65" s="108" t="s">
        <v>171</v>
      </c>
      <c r="B65" s="58">
        <f>VLOOKUP(Table27[[#This Row],[Location 
(drop-down)]],'List source'!D$2:E$59,2,FALSE)</f>
        <v>160</v>
      </c>
      <c r="C65" s="237" t="s">
        <v>222</v>
      </c>
      <c r="D65" s="244" t="str">
        <f t="shared" si="0"/>
        <v>PTO064-160-23</v>
      </c>
      <c r="E65" s="108" t="s">
        <v>2442</v>
      </c>
      <c r="F65" s="180" t="s">
        <v>2416</v>
      </c>
      <c r="G65" s="108" t="s">
        <v>2348</v>
      </c>
      <c r="H65" s="180">
        <v>2.74</v>
      </c>
      <c r="I65" s="229">
        <v>45204</v>
      </c>
      <c r="J65" s="229" t="s">
        <v>17</v>
      </c>
      <c r="K65" s="246">
        <v>45204</v>
      </c>
      <c r="L65" s="180" t="s">
        <v>828</v>
      </c>
      <c r="M65" s="180" t="s">
        <v>2340</v>
      </c>
    </row>
    <row r="66" spans="1:13" s="243" customFormat="1" ht="30" x14ac:dyDescent="0.25">
      <c r="A66" s="108" t="s">
        <v>66</v>
      </c>
      <c r="B66" s="58">
        <f>VLOOKUP(Table27[[#This Row],[Location 
(drop-down)]],'List source'!D$2:E$59,2,FALSE)</f>
        <v>165</v>
      </c>
      <c r="C66" s="237" t="s">
        <v>224</v>
      </c>
      <c r="D66" s="244" t="str">
        <f t="shared" ref="D66:D117" si="1">"PTO" &amp; C66 &amp; "-" &amp; B66 &amp; "-" &amp; "23"</f>
        <v>PTO065-165-23</v>
      </c>
      <c r="E66" s="108" t="s">
        <v>2443</v>
      </c>
      <c r="F66" s="180" t="s">
        <v>2416</v>
      </c>
      <c r="G66" s="108" t="s">
        <v>2444</v>
      </c>
      <c r="H66" s="180">
        <v>2.11</v>
      </c>
      <c r="I66" s="229">
        <v>45204</v>
      </c>
      <c r="J66" s="229" t="s">
        <v>17</v>
      </c>
      <c r="K66" s="246">
        <v>45204</v>
      </c>
      <c r="L66" s="180" t="s">
        <v>828</v>
      </c>
      <c r="M66" s="180" t="s">
        <v>2340</v>
      </c>
    </row>
    <row r="67" spans="1:13" s="243" customFormat="1" ht="30" x14ac:dyDescent="0.25">
      <c r="A67" s="108" t="s">
        <v>75</v>
      </c>
      <c r="B67" s="58">
        <f>VLOOKUP(Table27[[#This Row],[Location 
(drop-down)]],'List source'!D$2:E$59,2,FALSE)</f>
        <v>180</v>
      </c>
      <c r="C67" s="237" t="s">
        <v>227</v>
      </c>
      <c r="D67" s="244" t="str">
        <f t="shared" si="1"/>
        <v>PTO066-180-23</v>
      </c>
      <c r="E67" s="108" t="s">
        <v>2445</v>
      </c>
      <c r="F67" s="180" t="s">
        <v>2416</v>
      </c>
      <c r="G67" s="108" t="s">
        <v>2446</v>
      </c>
      <c r="H67" s="180">
        <v>2.69</v>
      </c>
      <c r="I67" s="229">
        <v>45204</v>
      </c>
      <c r="J67" s="229" t="s">
        <v>435</v>
      </c>
      <c r="K67" s="246">
        <v>45281</v>
      </c>
      <c r="L67" s="180" t="s">
        <v>822</v>
      </c>
      <c r="M67" s="180"/>
    </row>
    <row r="68" spans="1:13" s="243" customFormat="1" ht="45" x14ac:dyDescent="0.25">
      <c r="A68" s="108" t="s">
        <v>411</v>
      </c>
      <c r="B68" s="58">
        <f>VLOOKUP(Table27[[#This Row],[Location 
(drop-down)]],'List source'!D$2:E$59,2,FALSE)</f>
        <v>185</v>
      </c>
      <c r="C68" s="237" t="s">
        <v>229</v>
      </c>
      <c r="D68" s="244" t="str">
        <f t="shared" si="1"/>
        <v>PTO067-185-23</v>
      </c>
      <c r="E68" s="108" t="s">
        <v>2447</v>
      </c>
      <c r="F68" s="180" t="s">
        <v>2416</v>
      </c>
      <c r="G68" s="108" t="s">
        <v>2348</v>
      </c>
      <c r="H68" s="255" t="s">
        <v>2448</v>
      </c>
      <c r="I68" s="229">
        <v>45204</v>
      </c>
      <c r="J68" s="229" t="s">
        <v>17</v>
      </c>
      <c r="K68" s="246">
        <v>45259</v>
      </c>
      <c r="L68" s="180" t="s">
        <v>822</v>
      </c>
      <c r="M68" s="180"/>
    </row>
    <row r="69" spans="1:13" s="243" customFormat="1" ht="30" x14ac:dyDescent="0.25">
      <c r="A69" s="108" t="s">
        <v>87</v>
      </c>
      <c r="B69" s="58">
        <f>VLOOKUP(Table27[[#This Row],[Location 
(drop-down)]],'List source'!D$2:E$59,2,FALSE)</f>
        <v>210</v>
      </c>
      <c r="C69" s="237" t="s">
        <v>232</v>
      </c>
      <c r="D69" s="244" t="str">
        <f t="shared" si="1"/>
        <v>PTO068-210-23</v>
      </c>
      <c r="E69" s="108" t="s">
        <v>2441</v>
      </c>
      <c r="F69" s="180" t="s">
        <v>2416</v>
      </c>
      <c r="G69" s="108" t="s">
        <v>2348</v>
      </c>
      <c r="H69" s="180">
        <v>2.11</v>
      </c>
      <c r="I69" s="229">
        <v>45204</v>
      </c>
      <c r="J69" s="229" t="s">
        <v>17</v>
      </c>
      <c r="K69" s="246">
        <v>45204</v>
      </c>
      <c r="L69" s="180" t="s">
        <v>828</v>
      </c>
      <c r="M69" s="180" t="s">
        <v>2340</v>
      </c>
    </row>
    <row r="70" spans="1:13" s="243" customFormat="1" ht="30" x14ac:dyDescent="0.25">
      <c r="A70" s="108" t="s">
        <v>61</v>
      </c>
      <c r="B70" s="58">
        <f>VLOOKUP(Table27[[#This Row],[Location 
(drop-down)]],'List source'!D$2:E$59,2,FALSE)</f>
        <v>120</v>
      </c>
      <c r="C70" s="237" t="s">
        <v>234</v>
      </c>
      <c r="D70" s="244" t="str">
        <f t="shared" si="1"/>
        <v>PTO069-120-23</v>
      </c>
      <c r="E70" s="108" t="s">
        <v>2449</v>
      </c>
      <c r="F70" s="180" t="s">
        <v>2450</v>
      </c>
      <c r="G70" s="108" t="s">
        <v>2401</v>
      </c>
      <c r="H70" s="180">
        <v>2.54</v>
      </c>
      <c r="I70" s="229">
        <v>45212</v>
      </c>
      <c r="J70" s="229" t="s">
        <v>17</v>
      </c>
      <c r="K70" s="246">
        <v>45212</v>
      </c>
      <c r="L70" s="180" t="s">
        <v>828</v>
      </c>
      <c r="M70" s="180" t="s">
        <v>2340</v>
      </c>
    </row>
    <row r="71" spans="1:13" s="243" customFormat="1" ht="48" customHeight="1" x14ac:dyDescent="0.25">
      <c r="A71" s="108" t="s">
        <v>61</v>
      </c>
      <c r="B71" s="58">
        <f>VLOOKUP(Table27[[#This Row],[Location 
(drop-down)]],'List source'!D$2:E$59,2,FALSE)</f>
        <v>120</v>
      </c>
      <c r="C71" s="237" t="s">
        <v>238</v>
      </c>
      <c r="D71" s="327" t="str">
        <f t="shared" si="1"/>
        <v>PTO070-120-23</v>
      </c>
      <c r="E71" s="108" t="s">
        <v>2451</v>
      </c>
      <c r="F71" s="180" t="s">
        <v>2450</v>
      </c>
      <c r="G71" s="108" t="s">
        <v>2452</v>
      </c>
      <c r="H71" s="180">
        <v>4.17</v>
      </c>
      <c r="I71" s="229">
        <v>45212</v>
      </c>
      <c r="J71" s="229" t="s">
        <v>2453</v>
      </c>
      <c r="K71" s="246">
        <v>45559</v>
      </c>
      <c r="L71" s="180"/>
      <c r="M71" s="180"/>
    </row>
    <row r="72" spans="1:13" s="243" customFormat="1" ht="48.75" customHeight="1" x14ac:dyDescent="0.25">
      <c r="A72" s="108" t="s">
        <v>61</v>
      </c>
      <c r="B72" s="58">
        <f>VLOOKUP(Table27[[#This Row],[Location 
(drop-down)]],'List source'!D$2:E$59,2,FALSE)</f>
        <v>120</v>
      </c>
      <c r="C72" s="237" t="s">
        <v>240</v>
      </c>
      <c r="D72" s="244" t="str">
        <f t="shared" si="1"/>
        <v>PTO071-120-23</v>
      </c>
      <c r="E72" s="108" t="s">
        <v>2454</v>
      </c>
      <c r="F72" s="180" t="s">
        <v>2450</v>
      </c>
      <c r="G72" s="108" t="s">
        <v>2455</v>
      </c>
      <c r="H72" s="180">
        <v>-2.06</v>
      </c>
      <c r="I72" s="229">
        <v>45212</v>
      </c>
      <c r="J72" s="229" t="s">
        <v>443</v>
      </c>
      <c r="K72" s="246">
        <v>45355</v>
      </c>
      <c r="L72" s="180"/>
      <c r="M72" s="180"/>
    </row>
    <row r="73" spans="1:13" s="243" customFormat="1" ht="30" x14ac:dyDescent="0.25">
      <c r="A73" s="108" t="s">
        <v>178</v>
      </c>
      <c r="B73" s="58">
        <f>VLOOKUP(Table27[[#This Row],[Location 
(drop-down)]],'List source'!D$2:E$59,2,FALSE)</f>
        <v>150</v>
      </c>
      <c r="C73" s="237" t="s">
        <v>244</v>
      </c>
      <c r="D73" s="244" t="str">
        <f t="shared" si="1"/>
        <v>PTO072-150-23</v>
      </c>
      <c r="E73" s="108" t="s">
        <v>2456</v>
      </c>
      <c r="F73" s="180" t="s">
        <v>2416</v>
      </c>
      <c r="G73" s="108" t="s">
        <v>2457</v>
      </c>
      <c r="H73" s="180">
        <v>10.89</v>
      </c>
      <c r="I73" s="229">
        <v>45212</v>
      </c>
      <c r="J73" s="229" t="s">
        <v>443</v>
      </c>
      <c r="K73" s="246">
        <v>45337</v>
      </c>
      <c r="L73" s="180"/>
      <c r="M73" s="180"/>
    </row>
    <row r="74" spans="1:13" s="243" customFormat="1" ht="45" x14ac:dyDescent="0.25">
      <c r="A74" s="108" t="s">
        <v>178</v>
      </c>
      <c r="B74" s="58">
        <f>VLOOKUP(Table27[[#This Row],[Location 
(drop-down)]],'List source'!D$2:E$59,2,FALSE)</f>
        <v>150</v>
      </c>
      <c r="C74" s="237" t="s">
        <v>246</v>
      </c>
      <c r="D74" s="244" t="str">
        <f t="shared" si="1"/>
        <v>PTO073-150-23</v>
      </c>
      <c r="E74" s="168" t="s">
        <v>2458</v>
      </c>
      <c r="F74" s="58" t="s">
        <v>2416</v>
      </c>
      <c r="G74" s="168" t="s">
        <v>2459</v>
      </c>
      <c r="H74" s="58" t="s">
        <v>2460</v>
      </c>
      <c r="I74" s="229">
        <v>45212</v>
      </c>
      <c r="J74" s="230" t="s">
        <v>443</v>
      </c>
      <c r="K74" s="246">
        <v>45344</v>
      </c>
      <c r="L74" s="180"/>
      <c r="M74" s="180"/>
    </row>
    <row r="75" spans="1:13" s="243" customFormat="1" ht="30" x14ac:dyDescent="0.25">
      <c r="A75" s="108" t="s">
        <v>22</v>
      </c>
      <c r="B75" s="58">
        <f>VLOOKUP(Table27[[#This Row],[Location 
(drop-down)]],'List source'!D$2:E$59,2,FALSE)</f>
        <v>130</v>
      </c>
      <c r="C75" s="237" t="s">
        <v>248</v>
      </c>
      <c r="D75" s="244" t="str">
        <f t="shared" si="1"/>
        <v>PTO074-130-23</v>
      </c>
      <c r="E75" s="168" t="s">
        <v>2461</v>
      </c>
      <c r="F75" s="58" t="s">
        <v>2462</v>
      </c>
      <c r="G75" s="168" t="s">
        <v>2420</v>
      </c>
      <c r="H75" s="58">
        <v>2.29</v>
      </c>
      <c r="I75" s="229">
        <v>45215</v>
      </c>
      <c r="J75" s="230" t="s">
        <v>17</v>
      </c>
      <c r="K75" s="246">
        <v>45215</v>
      </c>
      <c r="L75" s="180" t="s">
        <v>828</v>
      </c>
      <c r="M75" s="180" t="s">
        <v>2463</v>
      </c>
    </row>
    <row r="76" spans="1:13" s="243" customFormat="1" ht="45" x14ac:dyDescent="0.25">
      <c r="A76" s="108" t="s">
        <v>22</v>
      </c>
      <c r="B76" s="58">
        <f>VLOOKUP(Table27[[#This Row],[Location 
(drop-down)]],'List source'!D$2:E$59,2,FALSE)</f>
        <v>130</v>
      </c>
      <c r="C76" s="237" t="s">
        <v>250</v>
      </c>
      <c r="D76" s="244" t="str">
        <f t="shared" si="1"/>
        <v>PTO075-130-23</v>
      </c>
      <c r="E76" s="168" t="s">
        <v>2464</v>
      </c>
      <c r="F76" s="58" t="s">
        <v>2462</v>
      </c>
      <c r="G76" s="311" t="s">
        <v>2465</v>
      </c>
      <c r="H76" s="321" t="s">
        <v>2466</v>
      </c>
      <c r="I76" s="229">
        <v>45215</v>
      </c>
      <c r="J76" s="230" t="s">
        <v>443</v>
      </c>
      <c r="K76" s="246">
        <v>45316</v>
      </c>
      <c r="L76" s="180"/>
      <c r="M76" s="180"/>
    </row>
    <row r="77" spans="1:13" s="243" customFormat="1" ht="30" x14ac:dyDescent="0.25">
      <c r="A77" s="108" t="s">
        <v>22</v>
      </c>
      <c r="B77" s="58">
        <f>VLOOKUP(Table27[[#This Row],[Location 
(drop-down)]],'List source'!D$2:E$59,2,FALSE)</f>
        <v>130</v>
      </c>
      <c r="C77" s="237" t="s">
        <v>252</v>
      </c>
      <c r="D77" s="244" t="str">
        <f t="shared" si="1"/>
        <v>PTO076-130-23</v>
      </c>
      <c r="E77" s="168" t="s">
        <v>2467</v>
      </c>
      <c r="F77" s="58" t="s">
        <v>2450</v>
      </c>
      <c r="G77" s="168" t="s">
        <v>2468</v>
      </c>
      <c r="H77" s="58">
        <v>-3.96</v>
      </c>
      <c r="I77" s="229">
        <v>45215</v>
      </c>
      <c r="J77" s="230" t="s">
        <v>435</v>
      </c>
      <c r="K77" s="246">
        <v>45302</v>
      </c>
      <c r="L77" s="180" t="s">
        <v>837</v>
      </c>
      <c r="M77" s="180"/>
    </row>
    <row r="78" spans="1:13" s="243" customFormat="1" ht="30" x14ac:dyDescent="0.25">
      <c r="A78" s="108" t="s">
        <v>22</v>
      </c>
      <c r="B78" s="58">
        <f>VLOOKUP(Table27[[#This Row],[Location 
(drop-down)]],'List source'!D$2:E$59,2,FALSE)</f>
        <v>130</v>
      </c>
      <c r="C78" s="237" t="s">
        <v>256</v>
      </c>
      <c r="D78" s="244" t="str">
        <f t="shared" si="1"/>
        <v>PTO077-130-23</v>
      </c>
      <c r="E78" s="168" t="s">
        <v>2469</v>
      </c>
      <c r="F78" s="58" t="s">
        <v>2450</v>
      </c>
      <c r="G78" s="168" t="s">
        <v>2470</v>
      </c>
      <c r="H78" s="58">
        <v>-5.36</v>
      </c>
      <c r="I78" s="229">
        <v>45215</v>
      </c>
      <c r="J78" s="230" t="s">
        <v>435</v>
      </c>
      <c r="K78" s="246">
        <v>45309</v>
      </c>
      <c r="L78" s="180" t="s">
        <v>837</v>
      </c>
      <c r="M78" s="180"/>
    </row>
    <row r="79" spans="1:13" s="243" customFormat="1" ht="30" x14ac:dyDescent="0.25">
      <c r="A79" s="108" t="s">
        <v>22</v>
      </c>
      <c r="B79" s="58">
        <f>VLOOKUP(Table27[[#This Row],[Location 
(drop-down)]],'List source'!D$2:E$59,2,FALSE)</f>
        <v>130</v>
      </c>
      <c r="C79" s="237" t="s">
        <v>259</v>
      </c>
      <c r="D79" s="244" t="str">
        <f t="shared" si="1"/>
        <v>PTO078-130-23</v>
      </c>
      <c r="E79" s="168" t="s">
        <v>2471</v>
      </c>
      <c r="F79" s="58" t="s">
        <v>2450</v>
      </c>
      <c r="G79" s="256" t="s">
        <v>2465</v>
      </c>
      <c r="H79" s="321" t="s">
        <v>2472</v>
      </c>
      <c r="I79" s="229">
        <v>45215</v>
      </c>
      <c r="J79" s="230" t="s">
        <v>435</v>
      </c>
      <c r="K79" s="246">
        <v>45309</v>
      </c>
      <c r="L79" s="180" t="s">
        <v>822</v>
      </c>
      <c r="M79" s="180"/>
    </row>
    <row r="80" spans="1:13" s="243" customFormat="1" ht="30" x14ac:dyDescent="0.25">
      <c r="A80" s="108" t="s">
        <v>22</v>
      </c>
      <c r="B80" s="58">
        <f>VLOOKUP(Table27[[#This Row],[Location 
(drop-down)]],'List source'!D$2:E$59,2,FALSE)</f>
        <v>130</v>
      </c>
      <c r="C80" s="237" t="s">
        <v>263</v>
      </c>
      <c r="D80" s="244" t="str">
        <f t="shared" si="1"/>
        <v>PTO079-130-23</v>
      </c>
      <c r="E80" s="250" t="s">
        <v>2473</v>
      </c>
      <c r="F80" s="257" t="s">
        <v>2450</v>
      </c>
      <c r="G80" s="258" t="s">
        <v>2474</v>
      </c>
      <c r="H80" s="259" t="str">
        <f>-2.06 &amp; -2.12</f>
        <v>-2.06-2.12</v>
      </c>
      <c r="I80" s="229">
        <v>45215</v>
      </c>
      <c r="J80" s="230" t="s">
        <v>435</v>
      </c>
      <c r="K80" s="246">
        <v>45309</v>
      </c>
      <c r="L80" s="180" t="s">
        <v>822</v>
      </c>
      <c r="M80" s="180"/>
    </row>
    <row r="81" spans="1:13" s="243" customFormat="1" ht="30" x14ac:dyDescent="0.25">
      <c r="A81" s="108" t="s">
        <v>22</v>
      </c>
      <c r="B81" s="58">
        <f>VLOOKUP(Table27[[#This Row],[Location 
(drop-down)]],'List source'!D$2:E$59,2,FALSE)</f>
        <v>130</v>
      </c>
      <c r="C81" s="237" t="s">
        <v>266</v>
      </c>
      <c r="D81" s="244" t="str">
        <f t="shared" si="1"/>
        <v>PTO080-130-23</v>
      </c>
      <c r="E81" s="168" t="s">
        <v>2475</v>
      </c>
      <c r="F81" s="58" t="s">
        <v>2450</v>
      </c>
      <c r="G81" s="323" t="s">
        <v>2476</v>
      </c>
      <c r="H81" s="58">
        <v>-7.04</v>
      </c>
      <c r="I81" s="229">
        <v>45215</v>
      </c>
      <c r="J81" s="230" t="s">
        <v>443</v>
      </c>
      <c r="K81" s="246">
        <v>45310</v>
      </c>
      <c r="L81" s="180"/>
      <c r="M81" s="180"/>
    </row>
    <row r="82" spans="1:13" s="243" customFormat="1" ht="30" x14ac:dyDescent="0.25">
      <c r="A82" s="108" t="s">
        <v>22</v>
      </c>
      <c r="B82" s="58">
        <f>VLOOKUP(Table27[[#This Row],[Location 
(drop-down)]],'List source'!D$2:E$59,2,FALSE)</f>
        <v>130</v>
      </c>
      <c r="C82" s="237" t="s">
        <v>267</v>
      </c>
      <c r="D82" s="244" t="str">
        <f t="shared" si="1"/>
        <v>PTO081-130-23</v>
      </c>
      <c r="E82" s="168" t="s">
        <v>2477</v>
      </c>
      <c r="F82" s="58" t="s">
        <v>2450</v>
      </c>
      <c r="G82" s="168" t="s">
        <v>2478</v>
      </c>
      <c r="H82" s="58">
        <v>2.9</v>
      </c>
      <c r="I82" s="229">
        <v>45215</v>
      </c>
      <c r="J82" s="230" t="s">
        <v>17</v>
      </c>
      <c r="K82" s="246">
        <v>45215</v>
      </c>
      <c r="L82" s="180" t="s">
        <v>828</v>
      </c>
      <c r="M82" s="180" t="s">
        <v>2463</v>
      </c>
    </row>
    <row r="83" spans="1:13" s="243" customFormat="1" ht="30" x14ac:dyDescent="0.25">
      <c r="A83" s="108" t="s">
        <v>61</v>
      </c>
      <c r="B83" s="58">
        <f>VLOOKUP(Table27[[#This Row],[Location 
(drop-down)]],'List source'!D$2:E$59,2,FALSE)</f>
        <v>120</v>
      </c>
      <c r="C83" s="237" t="s">
        <v>268</v>
      </c>
      <c r="D83" s="327" t="str">
        <f t="shared" si="1"/>
        <v>PTO082-120-23</v>
      </c>
      <c r="E83" s="354" t="s">
        <v>2479</v>
      </c>
      <c r="F83" s="355" t="s">
        <v>2480</v>
      </c>
      <c r="G83" s="354" t="s">
        <v>2481</v>
      </c>
      <c r="H83" s="355" t="s">
        <v>2482</v>
      </c>
      <c r="I83" s="332">
        <v>45215</v>
      </c>
      <c r="J83" s="356" t="s">
        <v>2453</v>
      </c>
      <c r="K83" s="333">
        <v>45560</v>
      </c>
      <c r="L83" s="180"/>
      <c r="M83" s="180"/>
    </row>
    <row r="84" spans="1:13" s="243" customFormat="1" ht="30" x14ac:dyDescent="0.25">
      <c r="A84" s="108" t="s">
        <v>61</v>
      </c>
      <c r="B84" s="58">
        <f>VLOOKUP(Table27[[#This Row],[Location 
(drop-down)]],'List source'!D$2:E$59,2,FALSE)</f>
        <v>120</v>
      </c>
      <c r="C84" s="237" t="s">
        <v>272</v>
      </c>
      <c r="D84" s="244" t="str">
        <f t="shared" si="1"/>
        <v>PTO083-120-23</v>
      </c>
      <c r="E84" s="108" t="s">
        <v>2483</v>
      </c>
      <c r="F84" s="180" t="s">
        <v>2480</v>
      </c>
      <c r="G84" s="108" t="s">
        <v>2465</v>
      </c>
      <c r="H84" s="180">
        <v>2.59</v>
      </c>
      <c r="I84" s="229">
        <v>45215</v>
      </c>
      <c r="J84" s="230" t="s">
        <v>17</v>
      </c>
      <c r="K84" s="246">
        <v>45215</v>
      </c>
      <c r="L84" s="180" t="s">
        <v>828</v>
      </c>
      <c r="M84" s="180" t="s">
        <v>2463</v>
      </c>
    </row>
    <row r="85" spans="1:13" s="243" customFormat="1" ht="30" x14ac:dyDescent="0.25">
      <c r="A85" s="108" t="s">
        <v>126</v>
      </c>
      <c r="B85" s="58">
        <f>VLOOKUP(Table27[[#This Row],[Location 
(drop-down)]],'List source'!D$2:E$59,2,FALSE)</f>
        <v>125</v>
      </c>
      <c r="C85" s="237" t="s">
        <v>276</v>
      </c>
      <c r="D85" s="244" t="str">
        <f t="shared" si="1"/>
        <v>PTO084-125-23</v>
      </c>
      <c r="E85" s="108" t="s">
        <v>2484</v>
      </c>
      <c r="F85" s="180" t="s">
        <v>2480</v>
      </c>
      <c r="G85" s="108" t="s">
        <v>2485</v>
      </c>
      <c r="H85" s="180" t="s">
        <v>2486</v>
      </c>
      <c r="I85" s="229">
        <v>45215</v>
      </c>
      <c r="J85" s="230" t="s">
        <v>17</v>
      </c>
      <c r="K85" s="246">
        <v>45215</v>
      </c>
      <c r="L85" s="230" t="s">
        <v>828</v>
      </c>
      <c r="M85" s="180" t="s">
        <v>2463</v>
      </c>
    </row>
    <row r="86" spans="1:13" s="243" customFormat="1" ht="30" x14ac:dyDescent="0.25">
      <c r="A86" s="108" t="s">
        <v>126</v>
      </c>
      <c r="B86" s="58">
        <f>VLOOKUP(Table27[[#This Row],[Location 
(drop-down)]],'List source'!D$2:E$59,2,FALSE)</f>
        <v>125</v>
      </c>
      <c r="C86" s="334" t="s">
        <v>280</v>
      </c>
      <c r="D86" s="340" t="str">
        <f t="shared" si="1"/>
        <v>PTO085-125-23</v>
      </c>
      <c r="E86" s="336" t="s">
        <v>2487</v>
      </c>
      <c r="F86" s="337" t="s">
        <v>2480</v>
      </c>
      <c r="G86" s="336" t="s">
        <v>2488</v>
      </c>
      <c r="H86" s="342">
        <v>2.27</v>
      </c>
      <c r="I86" s="338">
        <v>45215</v>
      </c>
      <c r="J86" s="338" t="s">
        <v>1762</v>
      </c>
      <c r="K86" s="339">
        <v>45372</v>
      </c>
      <c r="L86" s="180" t="s">
        <v>858</v>
      </c>
      <c r="M86" s="180"/>
    </row>
    <row r="87" spans="1:13" s="243" customFormat="1" ht="30" x14ac:dyDescent="0.25">
      <c r="A87" s="108" t="s">
        <v>52</v>
      </c>
      <c r="B87" s="58">
        <f>VLOOKUP(Table27[[#This Row],[Location 
(drop-down)]],'List source'!D$2:E$59,2,FALSE)</f>
        <v>127</v>
      </c>
      <c r="C87" s="237" t="s">
        <v>282</v>
      </c>
      <c r="D87" s="244" t="str">
        <f t="shared" si="1"/>
        <v>PTO086-127-23</v>
      </c>
      <c r="E87" s="108" t="s">
        <v>2489</v>
      </c>
      <c r="F87" s="180" t="s">
        <v>2480</v>
      </c>
      <c r="G87" s="261" t="s">
        <v>2465</v>
      </c>
      <c r="H87" s="180">
        <v>-3.09</v>
      </c>
      <c r="I87" s="229">
        <v>45215</v>
      </c>
      <c r="J87" s="229" t="s">
        <v>1762</v>
      </c>
      <c r="K87" s="246">
        <v>45274</v>
      </c>
      <c r="L87" s="180" t="s">
        <v>832</v>
      </c>
      <c r="M87" s="180"/>
    </row>
    <row r="88" spans="1:13" s="243" customFormat="1" ht="30" x14ac:dyDescent="0.25">
      <c r="A88" s="108" t="s">
        <v>52</v>
      </c>
      <c r="B88" s="58">
        <f>VLOOKUP(Table27[[#This Row],[Location 
(drop-down)]],'List source'!D$2:E$59,2,FALSE)</f>
        <v>127</v>
      </c>
      <c r="C88" s="237" t="s">
        <v>285</v>
      </c>
      <c r="D88" s="244" t="str">
        <f t="shared" si="1"/>
        <v>PTO087-127-23</v>
      </c>
      <c r="E88" s="108" t="s">
        <v>2490</v>
      </c>
      <c r="F88" s="262" t="s">
        <v>2480</v>
      </c>
      <c r="G88" s="258" t="s">
        <v>2491</v>
      </c>
      <c r="H88" s="263">
        <v>2.2599999999999998</v>
      </c>
      <c r="I88" s="229">
        <v>45215</v>
      </c>
      <c r="J88" s="229" t="s">
        <v>1762</v>
      </c>
      <c r="K88" s="246">
        <v>45274</v>
      </c>
      <c r="L88" s="180"/>
      <c r="M88" s="180"/>
    </row>
    <row r="89" spans="1:13" s="243" customFormat="1" ht="30" x14ac:dyDescent="0.25">
      <c r="A89" s="108" t="s">
        <v>52</v>
      </c>
      <c r="B89" s="58">
        <f>VLOOKUP(Table27[[#This Row],[Location 
(drop-down)]],'List source'!D$2:E$59,2,FALSE)</f>
        <v>127</v>
      </c>
      <c r="C89" s="237" t="s">
        <v>288</v>
      </c>
      <c r="D89" s="244" t="str">
        <f t="shared" si="1"/>
        <v>PTO088-127-23</v>
      </c>
      <c r="E89" s="108" t="s">
        <v>2492</v>
      </c>
      <c r="F89" s="180" t="s">
        <v>2480</v>
      </c>
      <c r="G89" s="324" t="s">
        <v>2493</v>
      </c>
      <c r="H89" s="180">
        <v>-10.56</v>
      </c>
      <c r="I89" s="229">
        <v>45215</v>
      </c>
      <c r="J89" s="229" t="s">
        <v>17</v>
      </c>
      <c r="K89" s="246">
        <v>45215</v>
      </c>
      <c r="L89" s="180" t="s">
        <v>837</v>
      </c>
      <c r="M89" s="180" t="s">
        <v>2393</v>
      </c>
    </row>
    <row r="90" spans="1:13" s="243" customFormat="1" ht="30" x14ac:dyDescent="0.25">
      <c r="A90" s="108" t="s">
        <v>174</v>
      </c>
      <c r="B90" s="58">
        <f>VLOOKUP(Table27[[#This Row],[Location 
(drop-down)]],'List source'!D$2:E$59,2,FALSE)</f>
        <v>131</v>
      </c>
      <c r="C90" s="237" t="s">
        <v>292</v>
      </c>
      <c r="D90" s="244" t="str">
        <f t="shared" si="1"/>
        <v>PTO089-131-23</v>
      </c>
      <c r="E90" s="108" t="s">
        <v>2494</v>
      </c>
      <c r="F90" s="180" t="s">
        <v>2480</v>
      </c>
      <c r="G90" s="108" t="s">
        <v>2413</v>
      </c>
      <c r="H90" s="180">
        <v>2.2999999999999998</v>
      </c>
      <c r="I90" s="229">
        <v>45215</v>
      </c>
      <c r="J90" s="229" t="s">
        <v>17</v>
      </c>
      <c r="K90" s="246">
        <v>45215</v>
      </c>
      <c r="L90" s="180" t="s">
        <v>828</v>
      </c>
      <c r="M90" s="180" t="s">
        <v>2463</v>
      </c>
    </row>
    <row r="91" spans="1:13" s="243" customFormat="1" ht="30" x14ac:dyDescent="0.25">
      <c r="A91" s="108" t="s">
        <v>27</v>
      </c>
      <c r="B91" s="58">
        <f>VLOOKUP(Table27[[#This Row],[Location 
(drop-down)]],'List source'!D$2:E$59,2,FALSE)</f>
        <v>132</v>
      </c>
      <c r="C91" s="237" t="s">
        <v>296</v>
      </c>
      <c r="D91" s="244" t="str">
        <f t="shared" si="1"/>
        <v>PTO090-132-23</v>
      </c>
      <c r="E91" s="137" t="s">
        <v>2495</v>
      </c>
      <c r="F91" s="264" t="s">
        <v>2480</v>
      </c>
      <c r="G91" s="207" t="s">
        <v>2370</v>
      </c>
      <c r="H91" s="190">
        <v>-2.19</v>
      </c>
      <c r="I91" s="229">
        <v>45215</v>
      </c>
      <c r="J91" s="229" t="s">
        <v>1368</v>
      </c>
      <c r="K91" s="246">
        <v>45713</v>
      </c>
      <c r="L91" s="180"/>
      <c r="M91" s="180"/>
    </row>
    <row r="92" spans="1:13" s="243" customFormat="1" ht="30" x14ac:dyDescent="0.25">
      <c r="A92" s="108" t="s">
        <v>27</v>
      </c>
      <c r="B92" s="58">
        <f>VLOOKUP(Table27[[#This Row],[Location 
(drop-down)]],'List source'!D$2:E$59,2,FALSE)</f>
        <v>132</v>
      </c>
      <c r="C92" s="237" t="s">
        <v>297</v>
      </c>
      <c r="D92" s="244" t="str">
        <f t="shared" si="1"/>
        <v>PTO091-132-23</v>
      </c>
      <c r="E92" s="108" t="s">
        <v>2496</v>
      </c>
      <c r="F92" s="180" t="s">
        <v>2480</v>
      </c>
      <c r="G92" s="108" t="s">
        <v>2497</v>
      </c>
      <c r="H92" s="180">
        <v>3.43</v>
      </c>
      <c r="I92" s="229">
        <v>45215</v>
      </c>
      <c r="J92" s="229" t="s">
        <v>1368</v>
      </c>
      <c r="K92" s="242">
        <v>45735</v>
      </c>
      <c r="L92" s="180"/>
      <c r="M92" s="180"/>
    </row>
    <row r="93" spans="1:13" s="243" customFormat="1" ht="30" x14ac:dyDescent="0.25">
      <c r="A93" s="108" t="s">
        <v>27</v>
      </c>
      <c r="B93" s="58">
        <f>VLOOKUP(Table27[[#This Row],[Location 
(drop-down)]],'List source'!D$2:E$59,2,FALSE)</f>
        <v>132</v>
      </c>
      <c r="C93" s="237" t="s">
        <v>299</v>
      </c>
      <c r="D93" s="244" t="str">
        <f t="shared" si="1"/>
        <v>PTO092-132-23</v>
      </c>
      <c r="E93" s="108" t="s">
        <v>2498</v>
      </c>
      <c r="F93" s="180" t="s">
        <v>2480</v>
      </c>
      <c r="G93" s="108" t="s">
        <v>2413</v>
      </c>
      <c r="H93" s="180">
        <v>4.9000000000000004</v>
      </c>
      <c r="I93" s="229">
        <v>45215</v>
      </c>
      <c r="J93" s="229" t="s">
        <v>1368</v>
      </c>
      <c r="K93" s="242">
        <v>45838</v>
      </c>
      <c r="L93" s="180"/>
      <c r="M93" s="180"/>
    </row>
    <row r="94" spans="1:13" s="243" customFormat="1" ht="30" x14ac:dyDescent="0.25">
      <c r="A94" s="108" t="s">
        <v>1385</v>
      </c>
      <c r="B94" s="58">
        <f>VLOOKUP(Table27[[#This Row],[Location 
(drop-down)]],'List source'!D$2:E$59,2,FALSE)</f>
        <v>139</v>
      </c>
      <c r="C94" s="237" t="s">
        <v>300</v>
      </c>
      <c r="D94" s="244" t="str">
        <f t="shared" si="1"/>
        <v>PTO093-139-23</v>
      </c>
      <c r="E94" s="108" t="s">
        <v>2499</v>
      </c>
      <c r="F94" s="180" t="s">
        <v>2480</v>
      </c>
      <c r="G94" s="108" t="s">
        <v>2420</v>
      </c>
      <c r="H94" s="180">
        <v>-28.39</v>
      </c>
      <c r="I94" s="229">
        <v>45215</v>
      </c>
      <c r="J94" s="229" t="s">
        <v>875</v>
      </c>
      <c r="K94" s="246">
        <v>45240</v>
      </c>
      <c r="L94" s="180" t="s">
        <v>822</v>
      </c>
      <c r="M94" s="180"/>
    </row>
    <row r="95" spans="1:13" s="243" customFormat="1" ht="30" x14ac:dyDescent="0.25">
      <c r="A95" s="108" t="s">
        <v>1385</v>
      </c>
      <c r="B95" s="58">
        <f>VLOOKUP(Table27[[#This Row],[Location 
(drop-down)]],'List source'!D$2:E$59,2,FALSE)</f>
        <v>139</v>
      </c>
      <c r="C95" s="237" t="s">
        <v>302</v>
      </c>
      <c r="D95" s="244" t="str">
        <f t="shared" si="1"/>
        <v>PTO094-139-23</v>
      </c>
      <c r="E95" s="108" t="s">
        <v>2494</v>
      </c>
      <c r="F95" s="180" t="s">
        <v>2480</v>
      </c>
      <c r="G95" s="108" t="s">
        <v>2413</v>
      </c>
      <c r="H95" s="180">
        <v>2.2000000000000002</v>
      </c>
      <c r="I95" s="229">
        <v>45215</v>
      </c>
      <c r="J95" s="229" t="s">
        <v>17</v>
      </c>
      <c r="K95" s="246">
        <v>45215</v>
      </c>
      <c r="L95" s="180" t="s">
        <v>828</v>
      </c>
      <c r="M95" s="180" t="s">
        <v>2463</v>
      </c>
    </row>
    <row r="96" spans="1:13" s="243" customFormat="1" ht="30" x14ac:dyDescent="0.25">
      <c r="A96" s="108" t="s">
        <v>79</v>
      </c>
      <c r="B96" s="58">
        <f>VLOOKUP(Table27[[#This Row],[Location 
(drop-down)]],'List source'!D$2:E$59,2,FALSE)</f>
        <v>141</v>
      </c>
      <c r="C96" s="237" t="s">
        <v>305</v>
      </c>
      <c r="D96" s="244" t="str">
        <f t="shared" si="1"/>
        <v>PTO095-141-23</v>
      </c>
      <c r="E96" s="235" t="s">
        <v>2483</v>
      </c>
      <c r="F96" s="247" t="s">
        <v>2480</v>
      </c>
      <c r="G96" s="235" t="s">
        <v>2465</v>
      </c>
      <c r="H96" s="247">
        <v>-2.19</v>
      </c>
      <c r="I96" s="229">
        <v>45215</v>
      </c>
      <c r="J96" s="229" t="s">
        <v>17</v>
      </c>
      <c r="K96" s="246">
        <v>45215</v>
      </c>
      <c r="L96" s="180" t="s">
        <v>828</v>
      </c>
      <c r="M96" s="227" t="s">
        <v>2463</v>
      </c>
    </row>
    <row r="97" spans="1:13" s="243" customFormat="1" ht="30" x14ac:dyDescent="0.25">
      <c r="A97" s="108" t="s">
        <v>826</v>
      </c>
      <c r="B97" s="58">
        <f>VLOOKUP(Table27[[#This Row],[Location 
(drop-down)]],'List source'!D$2:E$59,2,FALSE)</f>
        <v>145</v>
      </c>
      <c r="C97" s="237" t="s">
        <v>307</v>
      </c>
      <c r="D97" s="244" t="str">
        <f t="shared" si="1"/>
        <v>PTO096-145-23</v>
      </c>
      <c r="E97" s="108" t="s">
        <v>2500</v>
      </c>
      <c r="F97" s="180" t="s">
        <v>2480</v>
      </c>
      <c r="G97" s="108" t="s">
        <v>2501</v>
      </c>
      <c r="H97" s="180">
        <v>2.4700000000000002</v>
      </c>
      <c r="I97" s="229">
        <v>45215</v>
      </c>
      <c r="J97" s="229" t="s">
        <v>17</v>
      </c>
      <c r="K97" s="246">
        <v>45215</v>
      </c>
      <c r="L97" s="180" t="s">
        <v>828</v>
      </c>
      <c r="M97" s="227" t="s">
        <v>2463</v>
      </c>
    </row>
    <row r="98" spans="1:13" s="243" customFormat="1" ht="30" x14ac:dyDescent="0.25">
      <c r="A98" s="108" t="s">
        <v>331</v>
      </c>
      <c r="B98" s="58">
        <f>VLOOKUP(Table27[[#This Row],[Location 
(drop-down)]],'List source'!D$2:E$59,2,FALSE)</f>
        <v>146</v>
      </c>
      <c r="C98" s="237" t="s">
        <v>311</v>
      </c>
      <c r="D98" s="244" t="str">
        <f t="shared" si="1"/>
        <v>PTO097-146-23</v>
      </c>
      <c r="E98" s="108" t="s">
        <v>2483</v>
      </c>
      <c r="F98" s="180" t="s">
        <v>2480</v>
      </c>
      <c r="G98" s="108" t="s">
        <v>2465</v>
      </c>
      <c r="H98" s="180">
        <v>-2.98</v>
      </c>
      <c r="I98" s="229">
        <v>45215</v>
      </c>
      <c r="J98" s="229" t="s">
        <v>17</v>
      </c>
      <c r="K98" s="246">
        <v>45215</v>
      </c>
      <c r="L98" s="180" t="s">
        <v>828</v>
      </c>
      <c r="M98" s="180" t="s">
        <v>2463</v>
      </c>
    </row>
    <row r="99" spans="1:13" s="243" customFormat="1" ht="30" x14ac:dyDescent="0.25">
      <c r="A99" s="108" t="s">
        <v>331</v>
      </c>
      <c r="B99" s="58">
        <f>VLOOKUP(Table27[[#This Row],[Location 
(drop-down)]],'List source'!D$2:E$59,2,FALSE)</f>
        <v>146</v>
      </c>
      <c r="C99" s="237" t="s">
        <v>313</v>
      </c>
      <c r="D99" s="244" t="str">
        <f t="shared" si="1"/>
        <v>PTO098-146-23</v>
      </c>
      <c r="E99" s="108" t="s">
        <v>2502</v>
      </c>
      <c r="F99" s="180" t="s">
        <v>2480</v>
      </c>
      <c r="G99" s="108" t="s">
        <v>2503</v>
      </c>
      <c r="H99" s="180">
        <v>-2.2000000000000002</v>
      </c>
      <c r="I99" s="229">
        <v>45215</v>
      </c>
      <c r="J99" s="229" t="s">
        <v>2324</v>
      </c>
      <c r="K99" s="246">
        <v>45309</v>
      </c>
      <c r="L99" s="180" t="s">
        <v>822</v>
      </c>
      <c r="M99" s="180"/>
    </row>
    <row r="100" spans="1:13" s="243" customFormat="1" ht="30" x14ac:dyDescent="0.25">
      <c r="A100" s="108" t="s">
        <v>178</v>
      </c>
      <c r="B100" s="58">
        <f>VLOOKUP(Table27[[#This Row],[Location 
(drop-down)]],'List source'!D$2:E$59,2,FALSE)</f>
        <v>150</v>
      </c>
      <c r="C100" s="237" t="s">
        <v>314</v>
      </c>
      <c r="D100" s="244" t="str">
        <f t="shared" si="1"/>
        <v>PTO099-150-23</v>
      </c>
      <c r="E100" s="108" t="s">
        <v>2504</v>
      </c>
      <c r="F100" s="180" t="s">
        <v>2480</v>
      </c>
      <c r="G100" s="108" t="s">
        <v>2505</v>
      </c>
      <c r="H100" s="180">
        <v>4.24</v>
      </c>
      <c r="I100" s="229">
        <v>45215</v>
      </c>
      <c r="J100" s="229" t="s">
        <v>161</v>
      </c>
      <c r="K100" s="246">
        <v>45331</v>
      </c>
      <c r="L100" s="180"/>
      <c r="M100" s="180"/>
    </row>
    <row r="101" spans="1:13" s="243" customFormat="1" ht="30" x14ac:dyDescent="0.25">
      <c r="A101" s="108" t="s">
        <v>178</v>
      </c>
      <c r="B101" s="58">
        <f>VLOOKUP(Table27[[#This Row],[Location 
(drop-down)]],'List source'!D$2:E$59,2,FALSE)</f>
        <v>150</v>
      </c>
      <c r="C101" s="237" t="s">
        <v>316</v>
      </c>
      <c r="D101" s="244" t="str">
        <f t="shared" si="1"/>
        <v>PTO100-150-23</v>
      </c>
      <c r="E101" s="108" t="s">
        <v>2506</v>
      </c>
      <c r="F101" s="180" t="s">
        <v>2480</v>
      </c>
      <c r="G101" s="108" t="s">
        <v>2488</v>
      </c>
      <c r="H101" s="180">
        <v>-10.01</v>
      </c>
      <c r="I101" s="229">
        <v>45215</v>
      </c>
      <c r="J101" s="229" t="s">
        <v>161</v>
      </c>
      <c r="K101" s="246">
        <v>45754</v>
      </c>
      <c r="L101" s="180"/>
      <c r="M101" s="180"/>
    </row>
    <row r="102" spans="1:13" s="243" customFormat="1" ht="30" x14ac:dyDescent="0.25">
      <c r="A102" s="108" t="s">
        <v>171</v>
      </c>
      <c r="B102" s="58">
        <f>VLOOKUP(Table27[[#This Row],[Location 
(drop-down)]],'List source'!D$2:E$59,2,FALSE)</f>
        <v>160</v>
      </c>
      <c r="C102" s="237" t="s">
        <v>318</v>
      </c>
      <c r="D102" s="238" t="str">
        <f t="shared" si="1"/>
        <v>PTO101-160-23</v>
      </c>
      <c r="E102" s="108" t="s">
        <v>2507</v>
      </c>
      <c r="F102" s="180" t="s">
        <v>2480</v>
      </c>
      <c r="G102" s="323" t="s">
        <v>2508</v>
      </c>
      <c r="H102" s="180">
        <v>8.57</v>
      </c>
      <c r="I102" s="229">
        <v>45215</v>
      </c>
      <c r="J102" s="308" t="s">
        <v>161</v>
      </c>
      <c r="K102" s="309">
        <v>45330</v>
      </c>
      <c r="L102" s="180"/>
      <c r="M102" s="180"/>
    </row>
    <row r="103" spans="1:13" s="243" customFormat="1" ht="30" x14ac:dyDescent="0.25">
      <c r="A103" s="108" t="s">
        <v>66</v>
      </c>
      <c r="B103" s="58">
        <f>VLOOKUP(Table27[[#This Row],[Location 
(drop-down)]],'List source'!D$2:E$59,2,FALSE)</f>
        <v>165</v>
      </c>
      <c r="C103" s="237" t="s">
        <v>320</v>
      </c>
      <c r="D103" s="244" t="str">
        <f t="shared" si="1"/>
        <v>PTO102-165-23</v>
      </c>
      <c r="E103" s="108" t="s">
        <v>2509</v>
      </c>
      <c r="F103" s="180" t="s">
        <v>2480</v>
      </c>
      <c r="G103" s="108" t="s">
        <v>2465</v>
      </c>
      <c r="H103" s="180">
        <v>-5.37</v>
      </c>
      <c r="I103" s="229">
        <v>45215</v>
      </c>
      <c r="J103" s="229" t="s">
        <v>161</v>
      </c>
      <c r="K103" s="265">
        <v>45307</v>
      </c>
      <c r="L103" s="180"/>
      <c r="M103" s="180"/>
    </row>
    <row r="104" spans="1:13" s="243" customFormat="1" ht="30" x14ac:dyDescent="0.25">
      <c r="A104" s="108" t="s">
        <v>66</v>
      </c>
      <c r="B104" s="58">
        <f>VLOOKUP(Table27[[#This Row],[Location 
(drop-down)]],'List source'!D$2:E$59,2,FALSE)</f>
        <v>165</v>
      </c>
      <c r="C104" s="237" t="s">
        <v>322</v>
      </c>
      <c r="D104" s="244" t="str">
        <f t="shared" si="1"/>
        <v>PTO103-165-23</v>
      </c>
      <c r="E104" s="266" t="s">
        <v>2510</v>
      </c>
      <c r="F104" s="267" t="s">
        <v>2480</v>
      </c>
      <c r="G104" s="266" t="s">
        <v>2370</v>
      </c>
      <c r="H104" s="268">
        <v>3.24</v>
      </c>
      <c r="I104" s="229">
        <v>45215</v>
      </c>
      <c r="J104" s="269" t="s">
        <v>17</v>
      </c>
      <c r="K104" s="270">
        <v>45307</v>
      </c>
      <c r="L104" s="180"/>
      <c r="M104" s="180"/>
    </row>
    <row r="105" spans="1:13" s="243" customFormat="1" ht="30" x14ac:dyDescent="0.25">
      <c r="A105" s="108" t="s">
        <v>324</v>
      </c>
      <c r="B105" s="58">
        <f>VLOOKUP(Table27[[#This Row],[Location 
(drop-down)]],'List source'!D$2:E$59,2,FALSE)</f>
        <v>170</v>
      </c>
      <c r="C105" s="237" t="s">
        <v>325</v>
      </c>
      <c r="D105" s="244" t="str">
        <f t="shared" si="1"/>
        <v>PTO104-170-23</v>
      </c>
      <c r="E105" s="108" t="s">
        <v>2511</v>
      </c>
      <c r="F105" s="180" t="s">
        <v>2480</v>
      </c>
      <c r="G105" s="108" t="s">
        <v>2465</v>
      </c>
      <c r="H105" s="180">
        <v>2.78</v>
      </c>
      <c r="I105" s="229">
        <v>45215</v>
      </c>
      <c r="J105" s="269" t="s">
        <v>17</v>
      </c>
      <c r="K105" s="270">
        <v>45215</v>
      </c>
      <c r="L105" s="180" t="s">
        <v>828</v>
      </c>
      <c r="M105" s="180" t="s">
        <v>2463</v>
      </c>
    </row>
    <row r="106" spans="1:13" s="243" customFormat="1" ht="30" x14ac:dyDescent="0.25">
      <c r="A106" s="108" t="s">
        <v>324</v>
      </c>
      <c r="B106" s="58">
        <f>VLOOKUP(Table27[[#This Row],[Location 
(drop-down)]],'List source'!D$2:E$59,2,FALSE)</f>
        <v>170</v>
      </c>
      <c r="C106" s="237" t="s">
        <v>327</v>
      </c>
      <c r="D106" s="244" t="str">
        <f t="shared" si="1"/>
        <v>PTO105-170-23</v>
      </c>
      <c r="E106" s="108" t="s">
        <v>2512</v>
      </c>
      <c r="F106" s="180" t="s">
        <v>2480</v>
      </c>
      <c r="G106" s="108" t="s">
        <v>2513</v>
      </c>
      <c r="H106" s="180">
        <v>-2.7</v>
      </c>
      <c r="I106" s="229">
        <v>45215</v>
      </c>
      <c r="J106" s="269" t="s">
        <v>17</v>
      </c>
      <c r="K106" s="270">
        <v>45215</v>
      </c>
      <c r="L106" s="180" t="s">
        <v>828</v>
      </c>
      <c r="M106" s="231" t="s">
        <v>2463</v>
      </c>
    </row>
    <row r="107" spans="1:13" s="243" customFormat="1" ht="18.75" x14ac:dyDescent="0.25">
      <c r="A107" s="108" t="s">
        <v>75</v>
      </c>
      <c r="B107" s="58">
        <f>VLOOKUP(Table27[[#This Row],[Location 
(drop-down)]],'List source'!D$2:E$59,2,FALSE)</f>
        <v>180</v>
      </c>
      <c r="C107" s="237" t="s">
        <v>328</v>
      </c>
      <c r="D107" s="244" t="str">
        <f t="shared" si="1"/>
        <v>PTO106-180-23</v>
      </c>
      <c r="E107" s="108" t="s">
        <v>2514</v>
      </c>
      <c r="F107" s="180" t="s">
        <v>2480</v>
      </c>
      <c r="G107" s="108" t="s">
        <v>2515</v>
      </c>
      <c r="H107" s="180">
        <v>2.11</v>
      </c>
      <c r="I107" s="229">
        <v>45215</v>
      </c>
      <c r="J107" s="229" t="s">
        <v>435</v>
      </c>
      <c r="K107" s="313">
        <v>45324</v>
      </c>
      <c r="L107" s="180" t="s">
        <v>822</v>
      </c>
      <c r="M107" s="180"/>
    </row>
    <row r="108" spans="1:13" s="243" customFormat="1" ht="30" x14ac:dyDescent="0.25">
      <c r="A108" s="108" t="s">
        <v>75</v>
      </c>
      <c r="B108" s="58">
        <f>VLOOKUP(Table27[[#This Row],[Location 
(drop-down)]],'List source'!D$2:E$59,2,FALSE)</f>
        <v>180</v>
      </c>
      <c r="C108" s="237" t="s">
        <v>332</v>
      </c>
      <c r="D108" s="244" t="str">
        <f t="shared" si="1"/>
        <v>PTO107-180-23</v>
      </c>
      <c r="E108" s="108" t="s">
        <v>2516</v>
      </c>
      <c r="F108" s="180" t="s">
        <v>2480</v>
      </c>
      <c r="G108" s="108" t="s">
        <v>2517</v>
      </c>
      <c r="H108" s="180" t="s">
        <v>2518</v>
      </c>
      <c r="I108" s="229">
        <v>45215</v>
      </c>
      <c r="J108" s="229" t="s">
        <v>435</v>
      </c>
      <c r="K108" s="246">
        <v>45303</v>
      </c>
      <c r="L108" s="180" t="s">
        <v>822</v>
      </c>
      <c r="M108" s="180"/>
    </row>
    <row r="109" spans="1:13" s="243" customFormat="1" ht="30" x14ac:dyDescent="0.25">
      <c r="A109" s="108" t="s">
        <v>75</v>
      </c>
      <c r="B109" s="58">
        <f>VLOOKUP(Table27[[#This Row],[Location 
(drop-down)]],'List source'!D$2:E$59,2,FALSE)</f>
        <v>180</v>
      </c>
      <c r="C109" s="237" t="s">
        <v>335</v>
      </c>
      <c r="D109" s="244" t="str">
        <f t="shared" si="1"/>
        <v>PTO108-180-23</v>
      </c>
      <c r="E109" s="108" t="s">
        <v>2512</v>
      </c>
      <c r="F109" s="180" t="s">
        <v>2480</v>
      </c>
      <c r="G109" s="108" t="s">
        <v>2513</v>
      </c>
      <c r="H109" s="180">
        <v>-2.7</v>
      </c>
      <c r="I109" s="229">
        <v>45215</v>
      </c>
      <c r="J109" s="314" t="s">
        <v>17</v>
      </c>
      <c r="K109" s="315">
        <v>45215</v>
      </c>
      <c r="L109" s="180" t="s">
        <v>837</v>
      </c>
      <c r="M109" s="180" t="s">
        <v>2328</v>
      </c>
    </row>
    <row r="110" spans="1:13" s="243" customFormat="1" ht="30" x14ac:dyDescent="0.25">
      <c r="A110" s="108" t="s">
        <v>75</v>
      </c>
      <c r="B110" s="58">
        <f>VLOOKUP(Table27[[#This Row],[Location 
(drop-down)]],'List source'!D$2:E$59,2,FALSE)</f>
        <v>180</v>
      </c>
      <c r="C110" s="237" t="s">
        <v>337</v>
      </c>
      <c r="D110" s="244" t="str">
        <f t="shared" si="1"/>
        <v>PTO109-180-23</v>
      </c>
      <c r="E110" s="108" t="s">
        <v>2519</v>
      </c>
      <c r="F110" s="180" t="s">
        <v>2480</v>
      </c>
      <c r="G110" s="108" t="s">
        <v>2520</v>
      </c>
      <c r="H110" s="180" t="s">
        <v>2521</v>
      </c>
      <c r="I110" s="229">
        <v>45215</v>
      </c>
      <c r="J110" s="269" t="s">
        <v>17</v>
      </c>
      <c r="K110" s="270">
        <v>45216</v>
      </c>
      <c r="L110" s="180" t="s">
        <v>837</v>
      </c>
      <c r="M110" s="180" t="s">
        <v>2328</v>
      </c>
    </row>
    <row r="111" spans="1:13" s="243" customFormat="1" ht="30" x14ac:dyDescent="0.25">
      <c r="A111" s="108" t="s">
        <v>75</v>
      </c>
      <c r="B111" s="58">
        <f>VLOOKUP(Table27[[#This Row],[Location 
(drop-down)]],'List source'!D$2:E$59,2,FALSE)</f>
        <v>180</v>
      </c>
      <c r="C111" s="237" t="s">
        <v>339</v>
      </c>
      <c r="D111" s="244" t="str">
        <f t="shared" si="1"/>
        <v>PTO110-180-23</v>
      </c>
      <c r="E111" s="108" t="s">
        <v>2522</v>
      </c>
      <c r="F111" s="180" t="s">
        <v>2480</v>
      </c>
      <c r="G111" s="108" t="s">
        <v>2493</v>
      </c>
      <c r="H111" s="180">
        <v>-2.4500000000000002</v>
      </c>
      <c r="I111" s="229">
        <v>45215</v>
      </c>
      <c r="J111" s="316" t="s">
        <v>17</v>
      </c>
      <c r="K111" s="317">
        <v>45216</v>
      </c>
      <c r="L111" s="180" t="s">
        <v>837</v>
      </c>
      <c r="M111" s="180" t="s">
        <v>2393</v>
      </c>
    </row>
    <row r="112" spans="1:13" s="243" customFormat="1" ht="30" x14ac:dyDescent="0.25">
      <c r="A112" s="108" t="s">
        <v>75</v>
      </c>
      <c r="B112" s="58">
        <f>VLOOKUP(Table27[[#This Row],[Location 
(drop-down)]],'List source'!D$2:E$59,2,FALSE)</f>
        <v>180</v>
      </c>
      <c r="C112" s="237" t="s">
        <v>341</v>
      </c>
      <c r="D112" s="244" t="str">
        <f t="shared" si="1"/>
        <v>PTO111-180-23</v>
      </c>
      <c r="E112" s="261" t="s">
        <v>2523</v>
      </c>
      <c r="F112" s="180" t="s">
        <v>2480</v>
      </c>
      <c r="G112" s="108" t="s">
        <v>2524</v>
      </c>
      <c r="H112" s="180">
        <v>-3.5</v>
      </c>
      <c r="I112" s="229">
        <v>45215</v>
      </c>
      <c r="J112" s="229" t="s">
        <v>435</v>
      </c>
      <c r="K112" s="246">
        <v>45303</v>
      </c>
      <c r="L112" s="180" t="s">
        <v>822</v>
      </c>
      <c r="M112" s="180"/>
    </row>
    <row r="113" spans="1:13" s="243" customFormat="1" ht="30" x14ac:dyDescent="0.25">
      <c r="A113" s="108" t="s">
        <v>75</v>
      </c>
      <c r="B113" s="58">
        <f>VLOOKUP(Table27[[#This Row],[Location 
(drop-down)]],'List source'!D$2:E$59,2,FALSE)</f>
        <v>180</v>
      </c>
      <c r="C113" s="237" t="s">
        <v>343</v>
      </c>
      <c r="D113" s="244" t="str">
        <f t="shared" si="1"/>
        <v>PTO112-180-23</v>
      </c>
      <c r="E113" s="208" t="s">
        <v>2502</v>
      </c>
      <c r="F113" s="206" t="s">
        <v>2480</v>
      </c>
      <c r="G113" s="207" t="s">
        <v>2503</v>
      </c>
      <c r="H113" s="190">
        <v>-2.5</v>
      </c>
      <c r="I113" s="229">
        <v>45215</v>
      </c>
      <c r="J113" s="229" t="s">
        <v>435</v>
      </c>
      <c r="K113" s="246">
        <v>45303</v>
      </c>
      <c r="L113" s="180" t="s">
        <v>822</v>
      </c>
      <c r="M113" s="180"/>
    </row>
    <row r="114" spans="1:13" s="243" customFormat="1" ht="30" x14ac:dyDescent="0.25">
      <c r="A114" s="108" t="s">
        <v>1094</v>
      </c>
      <c r="B114" s="58">
        <f>VLOOKUP(Table27[[#This Row],[Location 
(drop-down)]],'List source'!D$2:E$59,2,FALSE)</f>
        <v>189</v>
      </c>
      <c r="C114" s="237" t="s">
        <v>345</v>
      </c>
      <c r="D114" s="244" t="str">
        <f t="shared" si="1"/>
        <v>PTO113-189-23</v>
      </c>
      <c r="E114" s="235" t="s">
        <v>2525</v>
      </c>
      <c r="F114" s="180" t="s">
        <v>2480</v>
      </c>
      <c r="G114" s="108" t="s">
        <v>2526</v>
      </c>
      <c r="H114" s="180">
        <v>-2.5</v>
      </c>
      <c r="I114" s="229">
        <v>45215</v>
      </c>
      <c r="J114" s="314" t="s">
        <v>435</v>
      </c>
      <c r="K114" s="315">
        <v>45327</v>
      </c>
      <c r="L114" s="180" t="s">
        <v>822</v>
      </c>
      <c r="M114" s="180"/>
    </row>
    <row r="115" spans="1:13" s="243" customFormat="1" ht="30" x14ac:dyDescent="0.25">
      <c r="A115" s="108" t="s">
        <v>108</v>
      </c>
      <c r="B115" s="58">
        <f>VLOOKUP(Table27[[#This Row],[Location 
(drop-down)]],'List source'!D$2:E$59,2,FALSE)</f>
        <v>191</v>
      </c>
      <c r="C115" s="237" t="s">
        <v>347</v>
      </c>
      <c r="D115" s="244" t="str">
        <f t="shared" si="1"/>
        <v>PTO114-191-23</v>
      </c>
      <c r="E115" s="108" t="s">
        <v>2527</v>
      </c>
      <c r="F115" s="180" t="s">
        <v>2480</v>
      </c>
      <c r="G115" s="108" t="s">
        <v>2465</v>
      </c>
      <c r="H115" s="180">
        <v>-4.58</v>
      </c>
      <c r="I115" s="229">
        <v>45215</v>
      </c>
      <c r="J115" s="269" t="s">
        <v>17</v>
      </c>
      <c r="K115" s="270">
        <v>45226</v>
      </c>
      <c r="L115" s="180" t="s">
        <v>837</v>
      </c>
      <c r="M115" s="180" t="s">
        <v>2328</v>
      </c>
    </row>
    <row r="116" spans="1:13" s="243" customFormat="1" ht="30" x14ac:dyDescent="0.25">
      <c r="A116" s="108" t="s">
        <v>1289</v>
      </c>
      <c r="B116" s="58">
        <f>VLOOKUP(Table27[[#This Row],[Location 
(drop-down)]],'List source'!D$2:E$59,2,FALSE)</f>
        <v>194</v>
      </c>
      <c r="C116" s="237" t="s">
        <v>348</v>
      </c>
      <c r="D116" s="244" t="str">
        <f t="shared" si="1"/>
        <v>PTO115-194-23</v>
      </c>
      <c r="E116" s="108" t="s">
        <v>2500</v>
      </c>
      <c r="F116" s="180" t="s">
        <v>2480</v>
      </c>
      <c r="G116" s="108" t="s">
        <v>2501</v>
      </c>
      <c r="H116" s="180">
        <v>2.4700000000000002</v>
      </c>
      <c r="I116" s="229">
        <v>45215</v>
      </c>
      <c r="J116" s="269" t="s">
        <v>17</v>
      </c>
      <c r="K116" s="270">
        <v>45215</v>
      </c>
      <c r="L116" s="180" t="s">
        <v>828</v>
      </c>
      <c r="M116" s="180" t="s">
        <v>2463</v>
      </c>
    </row>
    <row r="117" spans="1:13" s="243" customFormat="1" ht="30" x14ac:dyDescent="0.25">
      <c r="A117" s="108" t="s">
        <v>1289</v>
      </c>
      <c r="B117" s="58">
        <f>VLOOKUP(Table27[[#This Row],[Location 
(drop-down)]],'List source'!D$2:E$59,2,FALSE)</f>
        <v>194</v>
      </c>
      <c r="C117" s="237" t="s">
        <v>350</v>
      </c>
      <c r="D117" s="244" t="str">
        <f t="shared" si="1"/>
        <v>PTO116-194-23</v>
      </c>
      <c r="E117" s="108" t="s">
        <v>2528</v>
      </c>
      <c r="F117" s="180" t="s">
        <v>2480</v>
      </c>
      <c r="G117" s="108" t="s">
        <v>2465</v>
      </c>
      <c r="H117" s="180">
        <v>-2.42</v>
      </c>
      <c r="I117" s="229">
        <v>45215</v>
      </c>
      <c r="J117" s="229" t="s">
        <v>17</v>
      </c>
      <c r="K117" s="242">
        <v>45215</v>
      </c>
      <c r="L117" s="180" t="s">
        <v>828</v>
      </c>
      <c r="M117" s="231" t="s">
        <v>2463</v>
      </c>
    </row>
    <row r="118" spans="1:13" s="243" customFormat="1" ht="45" x14ac:dyDescent="0.25">
      <c r="A118" s="108" t="s">
        <v>72</v>
      </c>
      <c r="B118" s="58">
        <f>VLOOKUP(Table27[[#This Row],[Location 
(drop-down)]],'List source'!D$2:E$59,2,FALSE)</f>
        <v>197</v>
      </c>
      <c r="C118" s="237" t="s">
        <v>352</v>
      </c>
      <c r="D118" s="244" t="str">
        <f t="shared" ref="D118:D181" si="2">"PTO" &amp; C118 &amp; "-" &amp; B118 &amp; "-" &amp; "23"</f>
        <v>PTO117-197-23</v>
      </c>
      <c r="E118" s="108" t="s">
        <v>2529</v>
      </c>
      <c r="F118" s="180" t="s">
        <v>2480</v>
      </c>
      <c r="G118" s="108" t="s">
        <v>2465</v>
      </c>
      <c r="H118" s="180" t="s">
        <v>2530</v>
      </c>
      <c r="I118" s="229">
        <v>45215</v>
      </c>
      <c r="J118" s="229" t="s">
        <v>17</v>
      </c>
      <c r="K118" s="246">
        <v>45216</v>
      </c>
      <c r="L118" s="180" t="s">
        <v>837</v>
      </c>
      <c r="M118" s="180" t="s">
        <v>2531</v>
      </c>
    </row>
    <row r="119" spans="1:13" s="243" customFormat="1" ht="30" x14ac:dyDescent="0.25">
      <c r="A119" s="108" t="s">
        <v>72</v>
      </c>
      <c r="B119" s="58">
        <f>VLOOKUP(Table27[[#This Row],[Location 
(drop-down)]],'List source'!D$2:E$59,2,FALSE)</f>
        <v>197</v>
      </c>
      <c r="C119" s="237" t="s">
        <v>354</v>
      </c>
      <c r="D119" s="244" t="str">
        <f t="shared" si="2"/>
        <v>PTO118-197-23</v>
      </c>
      <c r="E119" s="108" t="s">
        <v>2532</v>
      </c>
      <c r="F119" s="180" t="s">
        <v>2480</v>
      </c>
      <c r="G119" s="108" t="s">
        <v>2488</v>
      </c>
      <c r="H119" s="180">
        <v>24.91</v>
      </c>
      <c r="I119" s="229">
        <v>45215</v>
      </c>
      <c r="J119" s="229" t="s">
        <v>17</v>
      </c>
      <c r="K119" s="246">
        <v>45216</v>
      </c>
      <c r="L119" s="180" t="s">
        <v>837</v>
      </c>
      <c r="M119" s="180" t="s">
        <v>2533</v>
      </c>
    </row>
    <row r="120" spans="1:13" s="243" customFormat="1" ht="18.75" x14ac:dyDescent="0.25">
      <c r="A120" s="108" t="s">
        <v>72</v>
      </c>
      <c r="B120" s="58">
        <f>VLOOKUP(Table27[[#This Row],[Location 
(drop-down)]],'List source'!D$2:E$59,2,FALSE)</f>
        <v>197</v>
      </c>
      <c r="C120" s="237" t="s">
        <v>356</v>
      </c>
      <c r="D120" s="244" t="str">
        <f t="shared" si="2"/>
        <v>PTO119-197-23</v>
      </c>
      <c r="E120" s="108" t="s">
        <v>2534</v>
      </c>
      <c r="F120" s="180" t="s">
        <v>2480</v>
      </c>
      <c r="G120" s="108" t="s">
        <v>2497</v>
      </c>
      <c r="H120" s="180">
        <v>-2.63</v>
      </c>
      <c r="I120" s="229">
        <v>45215</v>
      </c>
      <c r="J120" s="229" t="s">
        <v>435</v>
      </c>
      <c r="K120" s="246">
        <v>45594</v>
      </c>
      <c r="L120" s="180"/>
      <c r="M120" s="180"/>
    </row>
    <row r="121" spans="1:13" s="243" customFormat="1" ht="30" x14ac:dyDescent="0.25">
      <c r="A121" s="108" t="s">
        <v>72</v>
      </c>
      <c r="B121" s="58">
        <f>VLOOKUP(Table27[[#This Row],[Location 
(drop-down)]],'List source'!D$2:E$59,2,FALSE)</f>
        <v>197</v>
      </c>
      <c r="C121" s="237" t="s">
        <v>358</v>
      </c>
      <c r="D121" s="244" t="str">
        <f t="shared" si="2"/>
        <v>PTO120-197-23</v>
      </c>
      <c r="E121" s="108" t="s">
        <v>2535</v>
      </c>
      <c r="F121" s="180" t="s">
        <v>2480</v>
      </c>
      <c r="G121" s="108" t="s">
        <v>2536</v>
      </c>
      <c r="H121" s="180">
        <v>-5.9</v>
      </c>
      <c r="I121" s="229">
        <v>45215</v>
      </c>
      <c r="J121" s="229" t="s">
        <v>435</v>
      </c>
      <c r="K121" s="246">
        <v>45559</v>
      </c>
      <c r="L121" s="180"/>
      <c r="M121" s="180"/>
    </row>
    <row r="122" spans="1:13" s="243" customFormat="1" ht="45" x14ac:dyDescent="0.25">
      <c r="A122" s="108" t="s">
        <v>72</v>
      </c>
      <c r="B122" s="58">
        <f>VLOOKUP(Table27[[#This Row],[Location 
(drop-down)]],'List source'!D$2:E$59,2,FALSE)</f>
        <v>197</v>
      </c>
      <c r="C122" s="237" t="s">
        <v>360</v>
      </c>
      <c r="D122" s="244" t="str">
        <f t="shared" si="2"/>
        <v>PTO121-197-23</v>
      </c>
      <c r="E122" s="108" t="s">
        <v>2537</v>
      </c>
      <c r="F122" s="180" t="s">
        <v>2480</v>
      </c>
      <c r="G122" s="323" t="s">
        <v>2538</v>
      </c>
      <c r="H122" s="180" t="s">
        <v>2539</v>
      </c>
      <c r="I122" s="229">
        <v>45215</v>
      </c>
      <c r="J122" s="229" t="s">
        <v>435</v>
      </c>
      <c r="K122" s="246">
        <v>45602</v>
      </c>
      <c r="L122" s="180"/>
      <c r="M122" s="180"/>
    </row>
    <row r="123" spans="1:13" s="243" customFormat="1" ht="30" x14ac:dyDescent="0.25">
      <c r="A123" s="108" t="s">
        <v>72</v>
      </c>
      <c r="B123" s="58">
        <f>VLOOKUP(Table27[[#This Row],[Location 
(drop-down)]],'List source'!D$2:E$59,2,FALSE)</f>
        <v>197</v>
      </c>
      <c r="C123" s="237" t="s">
        <v>363</v>
      </c>
      <c r="D123" s="244" t="str">
        <f t="shared" si="2"/>
        <v>PTO122-197-23</v>
      </c>
      <c r="E123" s="108" t="s">
        <v>2540</v>
      </c>
      <c r="F123" s="180" t="s">
        <v>2480</v>
      </c>
      <c r="G123" s="108" t="s">
        <v>2541</v>
      </c>
      <c r="H123" s="180">
        <v>-19.64</v>
      </c>
      <c r="I123" s="229">
        <v>45215</v>
      </c>
      <c r="J123" s="229" t="s">
        <v>435</v>
      </c>
      <c r="K123" s="322">
        <v>45657</v>
      </c>
      <c r="L123" s="180"/>
      <c r="M123" s="180"/>
    </row>
    <row r="124" spans="1:13" s="243" customFormat="1" ht="18.75" x14ac:dyDescent="0.25">
      <c r="A124" s="108" t="s">
        <v>42</v>
      </c>
      <c r="B124" s="58">
        <f>VLOOKUP(Table27[[#This Row],[Location 
(drop-down)]],'List source'!D$2:E$59,2,FALSE)</f>
        <v>198</v>
      </c>
      <c r="C124" s="237" t="s">
        <v>365</v>
      </c>
      <c r="D124" s="244" t="str">
        <f t="shared" si="2"/>
        <v>PTO123-198-23</v>
      </c>
      <c r="E124" s="108" t="s">
        <v>2534</v>
      </c>
      <c r="F124" s="180" t="s">
        <v>2480</v>
      </c>
      <c r="G124" s="324" t="s">
        <v>2497</v>
      </c>
      <c r="H124" s="180">
        <v>-2.02</v>
      </c>
      <c r="I124" s="229">
        <v>45215</v>
      </c>
      <c r="J124" s="229" t="s">
        <v>435</v>
      </c>
      <c r="K124" s="246">
        <v>45596</v>
      </c>
      <c r="L124" s="180"/>
      <c r="M124" s="180"/>
    </row>
    <row r="125" spans="1:13" s="243" customFormat="1" ht="30" x14ac:dyDescent="0.25">
      <c r="A125" s="108" t="s">
        <v>87</v>
      </c>
      <c r="B125" s="58">
        <f>VLOOKUP(Table27[[#This Row],[Location 
(drop-down)]],'List source'!D$2:E$59,2,FALSE)</f>
        <v>210</v>
      </c>
      <c r="C125" s="237" t="s">
        <v>368</v>
      </c>
      <c r="D125" s="244" t="str">
        <f t="shared" si="2"/>
        <v>PTO124-210-23</v>
      </c>
      <c r="E125" s="108" t="s">
        <v>2542</v>
      </c>
      <c r="F125" s="180" t="s">
        <v>2480</v>
      </c>
      <c r="G125" s="324" t="s">
        <v>2470</v>
      </c>
      <c r="H125" s="180">
        <v>-3.1</v>
      </c>
      <c r="I125" s="229">
        <v>45215</v>
      </c>
      <c r="J125" s="229" t="s">
        <v>17</v>
      </c>
      <c r="K125" s="246">
        <v>45239</v>
      </c>
      <c r="L125" s="180" t="s">
        <v>822</v>
      </c>
      <c r="M125" s="180"/>
    </row>
    <row r="126" spans="1:13" s="243" customFormat="1" ht="45" x14ac:dyDescent="0.25">
      <c r="A126" s="108" t="s">
        <v>87</v>
      </c>
      <c r="B126" s="58">
        <f>VLOOKUP(Table27[[#This Row],[Location 
(drop-down)]],'List source'!D$2:E$59,2,FALSE)</f>
        <v>210</v>
      </c>
      <c r="C126" s="237" t="s">
        <v>370</v>
      </c>
      <c r="D126" s="244" t="str">
        <f t="shared" si="2"/>
        <v>PTO125-210-23</v>
      </c>
      <c r="E126" s="108" t="s">
        <v>2543</v>
      </c>
      <c r="F126" s="180" t="s">
        <v>2480</v>
      </c>
      <c r="G126" s="108" t="s">
        <v>2465</v>
      </c>
      <c r="H126" s="180" t="s">
        <v>2544</v>
      </c>
      <c r="I126" s="229">
        <v>45215</v>
      </c>
      <c r="J126" s="229" t="s">
        <v>17</v>
      </c>
      <c r="K126" s="322">
        <v>45249</v>
      </c>
      <c r="L126" s="180"/>
      <c r="M126" s="180"/>
    </row>
    <row r="127" spans="1:13" s="243" customFormat="1" ht="30" x14ac:dyDescent="0.25">
      <c r="A127" s="108" t="s">
        <v>87</v>
      </c>
      <c r="B127" s="58">
        <f>VLOOKUP(Table27[[#This Row],[Location 
(drop-down)]],'List source'!D$2:E$59,2,FALSE)</f>
        <v>210</v>
      </c>
      <c r="C127" s="237" t="s">
        <v>372</v>
      </c>
      <c r="D127" s="244" t="str">
        <f t="shared" si="2"/>
        <v>PTO126-210-23</v>
      </c>
      <c r="E127" s="108" t="s">
        <v>2545</v>
      </c>
      <c r="F127" s="180" t="s">
        <v>2480</v>
      </c>
      <c r="G127" s="108" t="s">
        <v>2520</v>
      </c>
      <c r="H127" s="180" t="str">
        <f>-3 &amp; 3.53</f>
        <v>-33.53</v>
      </c>
      <c r="I127" s="229">
        <v>45215</v>
      </c>
      <c r="J127" s="229" t="s">
        <v>17</v>
      </c>
      <c r="K127" s="246">
        <v>45243</v>
      </c>
      <c r="L127" s="180" t="s">
        <v>822</v>
      </c>
      <c r="M127" s="180"/>
    </row>
    <row r="128" spans="1:13" s="243" customFormat="1" ht="30" x14ac:dyDescent="0.25">
      <c r="A128" s="108" t="s">
        <v>87</v>
      </c>
      <c r="B128" s="58">
        <f>VLOOKUP(Table27[[#This Row],[Location 
(drop-down)]],'List source'!D$2:E$59,2,FALSE)</f>
        <v>210</v>
      </c>
      <c r="C128" s="237" t="s">
        <v>374</v>
      </c>
      <c r="D128" s="244" t="str">
        <f t="shared" si="2"/>
        <v>PTO127-210-23</v>
      </c>
      <c r="E128" s="108" t="s">
        <v>2546</v>
      </c>
      <c r="F128" s="180" t="s">
        <v>2480</v>
      </c>
      <c r="G128" s="108" t="s">
        <v>2547</v>
      </c>
      <c r="H128" s="180">
        <v>2.56</v>
      </c>
      <c r="I128" s="229">
        <v>45215</v>
      </c>
      <c r="J128" s="229" t="s">
        <v>17</v>
      </c>
      <c r="K128" s="246">
        <v>45243</v>
      </c>
      <c r="L128" s="180" t="s">
        <v>822</v>
      </c>
      <c r="M128" s="180"/>
    </row>
    <row r="129" spans="1:13" s="243" customFormat="1" ht="30" x14ac:dyDescent="0.25">
      <c r="A129" s="108" t="s">
        <v>87</v>
      </c>
      <c r="B129" s="58">
        <f>VLOOKUP(Table27[[#This Row],[Location 
(drop-down)]],'List source'!D$2:E$59,2,FALSE)</f>
        <v>210</v>
      </c>
      <c r="C129" s="237" t="s">
        <v>376</v>
      </c>
      <c r="D129" s="244" t="str">
        <f t="shared" si="2"/>
        <v>PTO128-210-23</v>
      </c>
      <c r="E129" s="108" t="s">
        <v>2548</v>
      </c>
      <c r="F129" s="180" t="s">
        <v>2480</v>
      </c>
      <c r="G129" s="108" t="s">
        <v>2549</v>
      </c>
      <c r="H129" s="180">
        <v>25.1</v>
      </c>
      <c r="I129" s="229">
        <v>45215</v>
      </c>
      <c r="J129" s="229" t="s">
        <v>17</v>
      </c>
      <c r="K129" s="246">
        <v>45243</v>
      </c>
      <c r="L129" s="180" t="s">
        <v>822</v>
      </c>
      <c r="M129" s="180"/>
    </row>
    <row r="130" spans="1:13" s="243" customFormat="1" ht="18.75" x14ac:dyDescent="0.25">
      <c r="A130" s="108" t="s">
        <v>47</v>
      </c>
      <c r="B130" s="58">
        <f>VLOOKUP(Table27[[#This Row],[Location 
(drop-down)]],'List source'!D$2:E$59,2,FALSE)</f>
        <v>215</v>
      </c>
      <c r="C130" s="237" t="s">
        <v>379</v>
      </c>
      <c r="D130" s="244" t="str">
        <f t="shared" si="2"/>
        <v>PTO129-215-23</v>
      </c>
      <c r="E130" s="108" t="s">
        <v>2550</v>
      </c>
      <c r="F130" s="180" t="s">
        <v>2480</v>
      </c>
      <c r="G130" s="324" t="s">
        <v>2551</v>
      </c>
      <c r="H130" s="180">
        <v>-2.4900000000000002</v>
      </c>
      <c r="I130" s="229">
        <v>45215</v>
      </c>
      <c r="J130" s="229" t="s">
        <v>1762</v>
      </c>
      <c r="K130" s="246">
        <v>45524</v>
      </c>
      <c r="L130" s="229"/>
      <c r="M130" s="180"/>
    </row>
    <row r="131" spans="1:13" s="243" customFormat="1" ht="30" x14ac:dyDescent="0.25">
      <c r="A131" s="108" t="s">
        <v>47</v>
      </c>
      <c r="B131" s="58">
        <f>VLOOKUP(Table27[[#This Row],[Location 
(drop-down)]],'List source'!D$2:E$59,2,FALSE)</f>
        <v>215</v>
      </c>
      <c r="C131" s="237" t="s">
        <v>381</v>
      </c>
      <c r="D131" s="244" t="str">
        <f t="shared" si="2"/>
        <v>PTO130-215-23</v>
      </c>
      <c r="E131" s="261" t="s">
        <v>2487</v>
      </c>
      <c r="F131" s="271" t="s">
        <v>2480</v>
      </c>
      <c r="G131" s="261" t="s">
        <v>2549</v>
      </c>
      <c r="H131" s="271">
        <v>2.84</v>
      </c>
      <c r="I131" s="229">
        <v>45215</v>
      </c>
      <c r="J131" s="229" t="s">
        <v>1762</v>
      </c>
      <c r="K131" s="246">
        <v>45524</v>
      </c>
      <c r="L131" s="229"/>
      <c r="M131" s="180"/>
    </row>
    <row r="132" spans="1:13" s="243" customFormat="1" ht="18.75" x14ac:dyDescent="0.25">
      <c r="A132" s="108" t="s">
        <v>47</v>
      </c>
      <c r="B132" s="58">
        <f>VLOOKUP(Table27[[#This Row],[Location 
(drop-down)]],'List source'!D$2:E$59,2,FALSE)</f>
        <v>215</v>
      </c>
      <c r="C132" s="237" t="s">
        <v>384</v>
      </c>
      <c r="D132" s="244" t="str">
        <f t="shared" si="2"/>
        <v>PTO131-215-23</v>
      </c>
      <c r="E132" s="208" t="s">
        <v>2552</v>
      </c>
      <c r="F132" s="272" t="s">
        <v>2480</v>
      </c>
      <c r="G132" s="208" t="s">
        <v>2553</v>
      </c>
      <c r="H132" s="272">
        <v>-2.5</v>
      </c>
      <c r="I132" s="273">
        <v>45215</v>
      </c>
      <c r="J132" s="229" t="s">
        <v>1762</v>
      </c>
      <c r="K132" s="246">
        <v>45534</v>
      </c>
      <c r="L132" s="180"/>
      <c r="M132" s="180"/>
    </row>
    <row r="133" spans="1:13" s="243" customFormat="1" ht="18.75" x14ac:dyDescent="0.25">
      <c r="A133" s="108" t="s">
        <v>47</v>
      </c>
      <c r="B133" s="58">
        <f>VLOOKUP(Table27[[#This Row],[Location 
(drop-down)]],'List source'!D$2:E$59,2,FALSE)</f>
        <v>215</v>
      </c>
      <c r="C133" s="237" t="s">
        <v>386</v>
      </c>
      <c r="D133" s="244" t="str">
        <f t="shared" si="2"/>
        <v>PTO132-215-23</v>
      </c>
      <c r="E133" s="235" t="s">
        <v>2554</v>
      </c>
      <c r="F133" s="247" t="s">
        <v>2480</v>
      </c>
      <c r="G133" s="274" t="s">
        <v>2555</v>
      </c>
      <c r="H133" s="247">
        <v>2.9</v>
      </c>
      <c r="I133" s="229">
        <v>45215</v>
      </c>
      <c r="J133" s="229" t="s">
        <v>1762</v>
      </c>
      <c r="K133" s="246">
        <v>45532</v>
      </c>
      <c r="L133" s="180"/>
      <c r="M133" s="180"/>
    </row>
    <row r="134" spans="1:13" s="243" customFormat="1" ht="30" x14ac:dyDescent="0.25">
      <c r="A134" s="108" t="s">
        <v>112</v>
      </c>
      <c r="B134" s="58">
        <f>VLOOKUP(Table27[[#This Row],[Location 
(drop-down)]],'List source'!D$2:E$59,2,FALSE)</f>
        <v>115</v>
      </c>
      <c r="C134" s="237" t="s">
        <v>388</v>
      </c>
      <c r="D134" s="244" t="str">
        <f t="shared" si="2"/>
        <v>PTO133-115-23</v>
      </c>
      <c r="E134" s="108" t="s">
        <v>2556</v>
      </c>
      <c r="F134" s="262" t="s">
        <v>2416</v>
      </c>
      <c r="G134" s="258" t="s">
        <v>2417</v>
      </c>
      <c r="H134" s="263">
        <v>4.84</v>
      </c>
      <c r="I134" s="229">
        <v>45216</v>
      </c>
      <c r="J134" s="229" t="s">
        <v>17</v>
      </c>
      <c r="K134" s="246">
        <v>45216</v>
      </c>
      <c r="L134" s="180" t="s">
        <v>837</v>
      </c>
      <c r="M134" s="180" t="s">
        <v>2533</v>
      </c>
    </row>
    <row r="135" spans="1:13" s="243" customFormat="1" ht="30" x14ac:dyDescent="0.25">
      <c r="A135" s="108" t="s">
        <v>126</v>
      </c>
      <c r="B135" s="58">
        <f>VLOOKUP(Table27[[#This Row],[Location 
(drop-down)]],'List source'!D$2:E$59,2,FALSE)</f>
        <v>125</v>
      </c>
      <c r="C135" s="237" t="s">
        <v>390</v>
      </c>
      <c r="D135" s="244" t="str">
        <f t="shared" si="2"/>
        <v>PTO134-125-23</v>
      </c>
      <c r="E135" s="108" t="s">
        <v>2557</v>
      </c>
      <c r="F135" s="180" t="s">
        <v>2416</v>
      </c>
      <c r="G135" s="324" t="s">
        <v>2417</v>
      </c>
      <c r="H135" s="180" t="s">
        <v>2558</v>
      </c>
      <c r="I135" s="229">
        <v>45216</v>
      </c>
      <c r="J135" s="229" t="s">
        <v>17</v>
      </c>
      <c r="K135" s="246">
        <v>45216</v>
      </c>
      <c r="L135" s="180" t="s">
        <v>828</v>
      </c>
      <c r="M135" s="180" t="s">
        <v>2463</v>
      </c>
    </row>
    <row r="136" spans="1:13" s="243" customFormat="1" ht="45" x14ac:dyDescent="0.25">
      <c r="A136" s="108" t="s">
        <v>126</v>
      </c>
      <c r="B136" s="58">
        <f>VLOOKUP(Table27[[#This Row],[Location 
(drop-down)]],'List source'!D$2:E$59,2,FALSE)</f>
        <v>125</v>
      </c>
      <c r="C136" s="334" t="s">
        <v>393</v>
      </c>
      <c r="D136" s="335" t="str">
        <f t="shared" si="2"/>
        <v>PTO135-125-23</v>
      </c>
      <c r="E136" s="336" t="s">
        <v>2559</v>
      </c>
      <c r="F136" s="337" t="s">
        <v>2416</v>
      </c>
      <c r="G136" s="336" t="s">
        <v>2465</v>
      </c>
      <c r="H136" s="342" t="s">
        <v>2560</v>
      </c>
      <c r="I136" s="338">
        <v>45216</v>
      </c>
      <c r="J136" s="338" t="s">
        <v>1762</v>
      </c>
      <c r="K136" s="339">
        <v>45372</v>
      </c>
      <c r="L136" s="180" t="s">
        <v>822</v>
      </c>
      <c r="M136" s="180"/>
    </row>
    <row r="137" spans="1:13" s="243" customFormat="1" ht="30" x14ac:dyDescent="0.25">
      <c r="A137" s="108" t="s">
        <v>13</v>
      </c>
      <c r="B137" s="58">
        <f>VLOOKUP(Table27[[#This Row],[Location 
(drop-down)]],'List source'!D$2:E$59,2,FALSE)</f>
        <v>126</v>
      </c>
      <c r="C137" s="237" t="s">
        <v>396</v>
      </c>
      <c r="D137" s="244" t="str">
        <f t="shared" si="2"/>
        <v>PTO136-126-23</v>
      </c>
      <c r="E137" s="108" t="s">
        <v>2561</v>
      </c>
      <c r="F137" s="180" t="s">
        <v>2416</v>
      </c>
      <c r="G137" s="108" t="s">
        <v>2465</v>
      </c>
      <c r="H137" s="180" t="s">
        <v>2562</v>
      </c>
      <c r="I137" s="229">
        <v>45216</v>
      </c>
      <c r="J137" s="229" t="s">
        <v>17</v>
      </c>
      <c r="K137" s="246">
        <v>45216</v>
      </c>
      <c r="L137" s="180" t="s">
        <v>828</v>
      </c>
      <c r="M137" s="180" t="s">
        <v>2463</v>
      </c>
    </row>
    <row r="138" spans="1:13" s="243" customFormat="1" ht="30" x14ac:dyDescent="0.25">
      <c r="A138" s="108" t="s">
        <v>22</v>
      </c>
      <c r="B138" s="58">
        <f>VLOOKUP(Table27[[#This Row],[Location 
(drop-down)]],'List source'!D$2:E$59,2,FALSE)</f>
        <v>130</v>
      </c>
      <c r="C138" s="237" t="s">
        <v>398</v>
      </c>
      <c r="D138" s="244" t="str">
        <f t="shared" si="2"/>
        <v>PTO137-130-23</v>
      </c>
      <c r="E138" s="168" t="s">
        <v>2563</v>
      </c>
      <c r="F138" s="275" t="s">
        <v>2416</v>
      </c>
      <c r="G138" s="108" t="s">
        <v>2465</v>
      </c>
      <c r="H138" s="275" t="s">
        <v>2564</v>
      </c>
      <c r="I138" s="273">
        <v>45216</v>
      </c>
      <c r="J138" s="229" t="s">
        <v>17</v>
      </c>
      <c r="K138" s="246">
        <v>45216</v>
      </c>
      <c r="L138" s="180" t="s">
        <v>828</v>
      </c>
      <c r="M138" s="180" t="s">
        <v>2463</v>
      </c>
    </row>
    <row r="139" spans="1:13" s="243" customFormat="1" ht="30" x14ac:dyDescent="0.25">
      <c r="A139" s="108" t="s">
        <v>174</v>
      </c>
      <c r="B139" s="58">
        <f>VLOOKUP(Table27[[#This Row],[Location 
(drop-down)]],'List source'!D$2:E$59,2,FALSE)</f>
        <v>131</v>
      </c>
      <c r="C139" s="237" t="s">
        <v>401</v>
      </c>
      <c r="D139" s="244" t="str">
        <f t="shared" si="2"/>
        <v>PTO138-131-23</v>
      </c>
      <c r="E139" s="168" t="s">
        <v>2565</v>
      </c>
      <c r="F139" s="275" t="s">
        <v>2416</v>
      </c>
      <c r="G139" s="108" t="s">
        <v>2465</v>
      </c>
      <c r="H139" s="275" t="s">
        <v>2566</v>
      </c>
      <c r="I139" s="273">
        <v>45216</v>
      </c>
      <c r="J139" s="229" t="s">
        <v>17</v>
      </c>
      <c r="K139" s="246">
        <v>45216</v>
      </c>
      <c r="L139" s="180" t="s">
        <v>828</v>
      </c>
      <c r="M139" s="180" t="s">
        <v>2463</v>
      </c>
    </row>
    <row r="140" spans="1:13" s="243" customFormat="1" ht="30" x14ac:dyDescent="0.25">
      <c r="A140" s="108" t="s">
        <v>27</v>
      </c>
      <c r="B140" s="58">
        <f>VLOOKUP(Table27[[#This Row],[Location 
(drop-down)]],'List source'!D$2:E$59,2,FALSE)</f>
        <v>132</v>
      </c>
      <c r="C140" s="237" t="s">
        <v>405</v>
      </c>
      <c r="D140" s="244" t="str">
        <f t="shared" si="2"/>
        <v>PTO139-132-23</v>
      </c>
      <c r="E140" s="168" t="s">
        <v>2567</v>
      </c>
      <c r="F140" s="58" t="s">
        <v>2416</v>
      </c>
      <c r="G140" s="168" t="s">
        <v>2465</v>
      </c>
      <c r="H140" s="58">
        <v>5.77</v>
      </c>
      <c r="I140" s="229">
        <v>45216</v>
      </c>
      <c r="J140" s="229" t="s">
        <v>17</v>
      </c>
      <c r="K140" s="246">
        <v>45216</v>
      </c>
      <c r="L140" s="180" t="s">
        <v>837</v>
      </c>
      <c r="M140" s="180" t="s">
        <v>2393</v>
      </c>
    </row>
    <row r="141" spans="1:13" s="243" customFormat="1" ht="45" x14ac:dyDescent="0.25">
      <c r="A141" s="108" t="s">
        <v>27</v>
      </c>
      <c r="B141" s="58">
        <f>VLOOKUP(Table27[[#This Row],[Location 
(drop-down)]],'List source'!D$2:E$59,2,FALSE)</f>
        <v>132</v>
      </c>
      <c r="C141" s="237" t="s">
        <v>406</v>
      </c>
      <c r="D141" s="340" t="str">
        <f t="shared" si="2"/>
        <v>PTO140-132-23</v>
      </c>
      <c r="E141" s="168" t="s">
        <v>2568</v>
      </c>
      <c r="F141" s="58" t="s">
        <v>2416</v>
      </c>
      <c r="G141" s="168" t="s">
        <v>2553</v>
      </c>
      <c r="H141" s="58">
        <v>-8.61</v>
      </c>
      <c r="I141" s="229">
        <v>45216</v>
      </c>
      <c r="J141" s="338" t="s">
        <v>1368</v>
      </c>
      <c r="K141" s="339">
        <v>45372</v>
      </c>
      <c r="L141" s="180" t="s">
        <v>837</v>
      </c>
      <c r="M141" s="180" t="s">
        <v>2569</v>
      </c>
    </row>
    <row r="142" spans="1:13" s="243" customFormat="1" ht="30" x14ac:dyDescent="0.25">
      <c r="A142" s="108" t="s">
        <v>27</v>
      </c>
      <c r="B142" s="58">
        <f>VLOOKUP(Table27[[#This Row],[Location 
(drop-down)]],'List source'!D$2:E$59,2,FALSE)</f>
        <v>132</v>
      </c>
      <c r="C142" s="237" t="s">
        <v>408</v>
      </c>
      <c r="D142" s="244" t="str">
        <f t="shared" si="2"/>
        <v>PTO141-132-23</v>
      </c>
      <c r="E142" s="168" t="s">
        <v>2570</v>
      </c>
      <c r="F142" s="58" t="s">
        <v>2416</v>
      </c>
      <c r="G142" s="168" t="s">
        <v>2435</v>
      </c>
      <c r="H142" s="58">
        <v>2.39</v>
      </c>
      <c r="I142" s="276">
        <v>45216</v>
      </c>
      <c r="J142" s="229" t="s">
        <v>443</v>
      </c>
      <c r="K142" s="322">
        <v>45546</v>
      </c>
      <c r="L142" s="180"/>
      <c r="M142" s="180"/>
    </row>
    <row r="143" spans="1:13" s="243" customFormat="1" ht="30" x14ac:dyDescent="0.25">
      <c r="A143" s="108" t="s">
        <v>1508</v>
      </c>
      <c r="B143" s="58">
        <f>VLOOKUP(Table27[[#This Row],[Location 
(drop-down)]],'List source'!D$2:E$59,2,FALSE)</f>
        <v>140</v>
      </c>
      <c r="C143" s="237" t="s">
        <v>412</v>
      </c>
      <c r="D143" s="244" t="str">
        <f t="shared" si="2"/>
        <v>PTO142-140-23</v>
      </c>
      <c r="E143" s="168" t="s">
        <v>2571</v>
      </c>
      <c r="F143" s="58" t="s">
        <v>2416</v>
      </c>
      <c r="G143" s="168" t="s">
        <v>2465</v>
      </c>
      <c r="H143" s="58">
        <v>2.4</v>
      </c>
      <c r="I143" s="229">
        <v>45216</v>
      </c>
      <c r="J143" s="229" t="s">
        <v>17</v>
      </c>
      <c r="K143" s="246">
        <v>45216</v>
      </c>
      <c r="L143" s="180" t="s">
        <v>828</v>
      </c>
      <c r="M143" s="180" t="s">
        <v>2463</v>
      </c>
    </row>
    <row r="144" spans="1:13" s="243" customFormat="1" ht="30" x14ac:dyDescent="0.25">
      <c r="A144" s="108" t="s">
        <v>1508</v>
      </c>
      <c r="B144" s="58">
        <f>VLOOKUP(Table27[[#This Row],[Location 
(drop-down)]],'List source'!D$2:E$59,2,FALSE)</f>
        <v>140</v>
      </c>
      <c r="C144" s="237" t="s">
        <v>414</v>
      </c>
      <c r="D144" s="244" t="str">
        <f t="shared" si="2"/>
        <v>PTO143-140-23</v>
      </c>
      <c r="E144" s="168" t="s">
        <v>2572</v>
      </c>
      <c r="F144" s="58" t="s">
        <v>2416</v>
      </c>
      <c r="G144" s="168" t="s">
        <v>2417</v>
      </c>
      <c r="H144" s="277" t="s">
        <v>2573</v>
      </c>
      <c r="I144" s="229">
        <v>45216</v>
      </c>
      <c r="J144" s="229" t="s">
        <v>17</v>
      </c>
      <c r="K144" s="246">
        <v>45216</v>
      </c>
      <c r="L144" s="180" t="s">
        <v>828</v>
      </c>
      <c r="M144" s="180" t="s">
        <v>2463</v>
      </c>
    </row>
    <row r="145" spans="1:13" s="243" customFormat="1" ht="30" x14ac:dyDescent="0.25">
      <c r="A145" s="108" t="s">
        <v>924</v>
      </c>
      <c r="B145" s="58">
        <f>VLOOKUP(Table27[[#This Row],[Location 
(drop-down)]],'List source'!D$2:E$59,2,FALSE)</f>
        <v>144</v>
      </c>
      <c r="C145" s="237" t="s">
        <v>419</v>
      </c>
      <c r="D145" s="244" t="str">
        <f t="shared" si="2"/>
        <v>PTO144-144-23</v>
      </c>
      <c r="E145" s="168" t="s">
        <v>2574</v>
      </c>
      <c r="F145" s="58" t="s">
        <v>2416</v>
      </c>
      <c r="G145" s="168" t="s">
        <v>2575</v>
      </c>
      <c r="H145" s="58" t="s">
        <v>2576</v>
      </c>
      <c r="I145" s="229">
        <v>45216</v>
      </c>
      <c r="J145" s="229" t="s">
        <v>17</v>
      </c>
      <c r="K145" s="246">
        <v>45217</v>
      </c>
      <c r="L145" s="180" t="s">
        <v>837</v>
      </c>
      <c r="M145" s="180" t="s">
        <v>2577</v>
      </c>
    </row>
    <row r="146" spans="1:13" s="243" customFormat="1" ht="18.75" x14ac:dyDescent="0.25">
      <c r="A146" s="108" t="s">
        <v>826</v>
      </c>
      <c r="B146" s="58">
        <f>VLOOKUP(Table27[[#This Row],[Location 
(drop-down)]],'List source'!D$2:E$59,2,FALSE)</f>
        <v>145</v>
      </c>
      <c r="C146" s="237" t="s">
        <v>422</v>
      </c>
      <c r="D146" s="244" t="str">
        <f t="shared" si="2"/>
        <v>PTO145-145-23</v>
      </c>
      <c r="E146" s="168" t="s">
        <v>2578</v>
      </c>
      <c r="F146" s="58" t="s">
        <v>2416</v>
      </c>
      <c r="G146" s="168" t="s">
        <v>2575</v>
      </c>
      <c r="H146" s="234" t="s">
        <v>2579</v>
      </c>
      <c r="I146" s="229">
        <v>45216</v>
      </c>
      <c r="J146" s="229" t="s">
        <v>96</v>
      </c>
      <c r="K146" s="246">
        <v>45239</v>
      </c>
      <c r="L146" s="180" t="s">
        <v>832</v>
      </c>
      <c r="M146" s="180"/>
    </row>
    <row r="147" spans="1:13" s="243" customFormat="1" ht="30" x14ac:dyDescent="0.25">
      <c r="A147" s="108" t="s">
        <v>57</v>
      </c>
      <c r="B147" s="58">
        <f>VLOOKUP(Table27[[#This Row],[Location 
(drop-down)]],'List source'!D$2:E$59,2,FALSE)</f>
        <v>155</v>
      </c>
      <c r="C147" s="237" t="s">
        <v>426</v>
      </c>
      <c r="D147" s="244" t="str">
        <f t="shared" si="2"/>
        <v>PTO146-155-23</v>
      </c>
      <c r="E147" s="168" t="s">
        <v>2580</v>
      </c>
      <c r="F147" s="58" t="s">
        <v>2416</v>
      </c>
      <c r="G147" s="168" t="s">
        <v>2420</v>
      </c>
      <c r="H147" s="58">
        <v>2.69</v>
      </c>
      <c r="I147" s="229">
        <v>45216</v>
      </c>
      <c r="J147" s="229" t="s">
        <v>17</v>
      </c>
      <c r="K147" s="246">
        <v>45216</v>
      </c>
      <c r="L147" s="180" t="s">
        <v>828</v>
      </c>
      <c r="M147" s="180" t="s">
        <v>2463</v>
      </c>
    </row>
    <row r="148" spans="1:13" s="243" customFormat="1" ht="18.75" x14ac:dyDescent="0.25">
      <c r="A148" s="108" t="s">
        <v>57</v>
      </c>
      <c r="B148" s="58">
        <f>VLOOKUP(Table27[[#This Row],[Location 
(drop-down)]],'List source'!D$2:E$59,2,FALSE)</f>
        <v>155</v>
      </c>
      <c r="C148" s="237" t="s">
        <v>430</v>
      </c>
      <c r="D148" s="244" t="str">
        <f t="shared" si="2"/>
        <v>PTO147-155-23</v>
      </c>
      <c r="E148" s="168" t="s">
        <v>2581</v>
      </c>
      <c r="F148" s="58" t="s">
        <v>2416</v>
      </c>
      <c r="G148" s="168" t="s">
        <v>2582</v>
      </c>
      <c r="H148" s="58">
        <v>-2.0299999999999998</v>
      </c>
      <c r="I148" s="229">
        <v>45216</v>
      </c>
      <c r="J148" s="229" t="s">
        <v>161</v>
      </c>
      <c r="K148" s="246">
        <v>45265</v>
      </c>
      <c r="L148" s="180"/>
      <c r="M148" s="223"/>
    </row>
    <row r="149" spans="1:13" s="243" customFormat="1" ht="30" x14ac:dyDescent="0.25">
      <c r="A149" s="108" t="s">
        <v>171</v>
      </c>
      <c r="B149" s="58">
        <f>VLOOKUP(Table27[[#This Row],[Location 
(drop-down)]],'List source'!D$2:E$59,2,FALSE)</f>
        <v>160</v>
      </c>
      <c r="C149" s="237" t="s">
        <v>433</v>
      </c>
      <c r="D149" s="244" t="str">
        <f t="shared" si="2"/>
        <v>PTO148-160-23</v>
      </c>
      <c r="E149" s="168" t="s">
        <v>2583</v>
      </c>
      <c r="F149" s="236" t="s">
        <v>2416</v>
      </c>
      <c r="G149" s="278" t="s">
        <v>2348</v>
      </c>
      <c r="H149" s="236">
        <v>5.9</v>
      </c>
      <c r="I149" s="279">
        <v>45216</v>
      </c>
      <c r="J149" s="229" t="s">
        <v>17</v>
      </c>
      <c r="K149" s="246">
        <v>45345</v>
      </c>
      <c r="L149" s="180"/>
      <c r="M149" s="180"/>
    </row>
    <row r="150" spans="1:13" s="243" customFormat="1" ht="30" x14ac:dyDescent="0.25">
      <c r="A150" s="108" t="s">
        <v>66</v>
      </c>
      <c r="B150" s="58">
        <f>VLOOKUP(Table27[[#This Row],[Location 
(drop-down)]],'List source'!D$2:E$59,2,FALSE)</f>
        <v>165</v>
      </c>
      <c r="C150" s="237" t="s">
        <v>438</v>
      </c>
      <c r="D150" s="244" t="str">
        <f t="shared" si="2"/>
        <v>PTO149-165-23</v>
      </c>
      <c r="E150" s="168" t="s">
        <v>2584</v>
      </c>
      <c r="F150" s="58" t="s">
        <v>2416</v>
      </c>
      <c r="G150" s="168" t="s">
        <v>2420</v>
      </c>
      <c r="H150" s="58">
        <v>5.5</v>
      </c>
      <c r="I150" s="276">
        <v>45216</v>
      </c>
      <c r="J150" s="229" t="s">
        <v>161</v>
      </c>
      <c r="K150" s="246">
        <v>45310</v>
      </c>
      <c r="L150" s="180"/>
      <c r="M150" s="180"/>
    </row>
    <row r="151" spans="1:13" s="243" customFormat="1" ht="30" x14ac:dyDescent="0.25">
      <c r="A151" s="108" t="s">
        <v>66</v>
      </c>
      <c r="B151" s="58">
        <f>VLOOKUP(Table27[[#This Row],[Location 
(drop-down)]],'List source'!D$2:E$59,2,FALSE)</f>
        <v>165</v>
      </c>
      <c r="C151" s="237" t="s">
        <v>441</v>
      </c>
      <c r="D151" s="244" t="str">
        <f t="shared" si="2"/>
        <v>PTO150-165-23</v>
      </c>
      <c r="E151" s="168" t="s">
        <v>2585</v>
      </c>
      <c r="F151" s="58" t="s">
        <v>2416</v>
      </c>
      <c r="G151" s="168" t="s">
        <v>2465</v>
      </c>
      <c r="H151" s="58">
        <v>2.31</v>
      </c>
      <c r="I151" s="276">
        <v>45216</v>
      </c>
      <c r="J151" s="229" t="s">
        <v>17</v>
      </c>
      <c r="K151" s="246">
        <v>45216</v>
      </c>
      <c r="L151" s="180" t="s">
        <v>828</v>
      </c>
      <c r="M151" s="180" t="s">
        <v>2463</v>
      </c>
    </row>
    <row r="152" spans="1:13" s="243" customFormat="1" ht="30" x14ac:dyDescent="0.25">
      <c r="A152" s="108" t="s">
        <v>66</v>
      </c>
      <c r="B152" s="58">
        <f>VLOOKUP(Table27[[#This Row],[Location 
(drop-down)]],'List source'!D$2:E$59,2,FALSE)</f>
        <v>165</v>
      </c>
      <c r="C152" s="237" t="s">
        <v>444</v>
      </c>
      <c r="D152" s="244" t="str">
        <f t="shared" si="2"/>
        <v>PTO151-165-23</v>
      </c>
      <c r="E152" s="168" t="s">
        <v>2586</v>
      </c>
      <c r="F152" s="58" t="s">
        <v>2416</v>
      </c>
      <c r="G152" s="168" t="s">
        <v>2587</v>
      </c>
      <c r="H152" s="58">
        <v>-2.13</v>
      </c>
      <c r="I152" s="276">
        <v>45216</v>
      </c>
      <c r="J152" s="230" t="s">
        <v>161</v>
      </c>
      <c r="K152" s="280">
        <v>45314</v>
      </c>
      <c r="L152" s="232"/>
      <c r="M152" s="180"/>
    </row>
    <row r="153" spans="1:13" s="243" customFormat="1" ht="30" x14ac:dyDescent="0.25">
      <c r="A153" s="108" t="s">
        <v>324</v>
      </c>
      <c r="B153" s="58">
        <f>VLOOKUP(Table27[[#This Row],[Location 
(drop-down)]],'List source'!D$2:E$59,2,FALSE)</f>
        <v>170</v>
      </c>
      <c r="C153" s="237" t="s">
        <v>447</v>
      </c>
      <c r="D153" s="244" t="str">
        <f t="shared" si="2"/>
        <v>PTO152-170-23</v>
      </c>
      <c r="E153" s="168" t="s">
        <v>2588</v>
      </c>
      <c r="F153" s="58" t="s">
        <v>2416</v>
      </c>
      <c r="G153" s="168" t="s">
        <v>2465</v>
      </c>
      <c r="H153" s="58">
        <v>-2.0499999999999998</v>
      </c>
      <c r="I153" s="276">
        <v>45216</v>
      </c>
      <c r="J153" s="230" t="s">
        <v>17</v>
      </c>
      <c r="K153" s="280">
        <v>45216</v>
      </c>
      <c r="L153" s="232" t="s">
        <v>828</v>
      </c>
      <c r="M153" s="231" t="s">
        <v>2463</v>
      </c>
    </row>
    <row r="154" spans="1:13" s="243" customFormat="1" ht="30" x14ac:dyDescent="0.25">
      <c r="A154" s="108" t="s">
        <v>75</v>
      </c>
      <c r="B154" s="58">
        <f>VLOOKUP(Table27[[#This Row],[Location 
(drop-down)]],'List source'!D$2:E$59,2,FALSE)</f>
        <v>180</v>
      </c>
      <c r="C154" s="237" t="s">
        <v>452</v>
      </c>
      <c r="D154" s="244" t="str">
        <f t="shared" si="2"/>
        <v>PTO153-180-23</v>
      </c>
      <c r="E154" s="168" t="s">
        <v>2589</v>
      </c>
      <c r="F154" s="58" t="s">
        <v>2416</v>
      </c>
      <c r="G154" s="168" t="s">
        <v>2465</v>
      </c>
      <c r="H154" s="58" t="s">
        <v>2590</v>
      </c>
      <c r="I154" s="276">
        <v>45216</v>
      </c>
      <c r="J154" s="230" t="s">
        <v>17</v>
      </c>
      <c r="K154" s="322">
        <v>45216</v>
      </c>
      <c r="L154" s="232" t="s">
        <v>828</v>
      </c>
      <c r="M154" s="180" t="s">
        <v>2463</v>
      </c>
    </row>
    <row r="155" spans="1:13" s="243" customFormat="1" ht="30" x14ac:dyDescent="0.25">
      <c r="A155" s="108" t="s">
        <v>75</v>
      </c>
      <c r="B155" s="58">
        <f>VLOOKUP(Table27[[#This Row],[Location 
(drop-down)]],'List source'!D$2:E$59,2,FALSE)</f>
        <v>180</v>
      </c>
      <c r="C155" s="237" t="s">
        <v>454</v>
      </c>
      <c r="D155" s="244" t="str">
        <f t="shared" si="2"/>
        <v>PTO154-180-23</v>
      </c>
      <c r="E155" s="168" t="s">
        <v>2591</v>
      </c>
      <c r="F155" s="281" t="s">
        <v>2416</v>
      </c>
      <c r="G155" s="256" t="s">
        <v>2520</v>
      </c>
      <c r="H155" s="281" t="s">
        <v>2592</v>
      </c>
      <c r="I155" s="276">
        <v>45216</v>
      </c>
      <c r="J155" s="230" t="s">
        <v>435</v>
      </c>
      <c r="K155" s="280">
        <v>45308</v>
      </c>
      <c r="L155" s="232" t="s">
        <v>822</v>
      </c>
      <c r="M155" s="180"/>
    </row>
    <row r="156" spans="1:13" s="243" customFormat="1" ht="30" x14ac:dyDescent="0.25">
      <c r="A156" s="108" t="s">
        <v>108</v>
      </c>
      <c r="B156" s="58">
        <f>VLOOKUP(Table27[[#This Row],[Location 
(drop-down)]],'List source'!D$2:E$59,2,FALSE)</f>
        <v>191</v>
      </c>
      <c r="C156" s="237" t="s">
        <v>456</v>
      </c>
      <c r="D156" s="244" t="str">
        <f t="shared" si="2"/>
        <v>PTO155-191-23</v>
      </c>
      <c r="E156" s="325" t="s">
        <v>2593</v>
      </c>
      <c r="F156" s="282" t="s">
        <v>2416</v>
      </c>
      <c r="G156" s="283" t="s">
        <v>2465</v>
      </c>
      <c r="H156" s="282">
        <v>2.17</v>
      </c>
      <c r="I156" s="284">
        <v>45216</v>
      </c>
      <c r="J156" s="285" t="s">
        <v>17</v>
      </c>
      <c r="K156" s="246">
        <v>45216</v>
      </c>
      <c r="L156" s="233" t="s">
        <v>828</v>
      </c>
      <c r="M156" s="180" t="s">
        <v>2463</v>
      </c>
    </row>
    <row r="157" spans="1:13" s="243" customFormat="1" ht="30" x14ac:dyDescent="0.25">
      <c r="A157" s="108" t="s">
        <v>108</v>
      </c>
      <c r="B157" s="58">
        <f>VLOOKUP(Table27[[#This Row],[Location 
(drop-down)]],'List source'!D$2:E$59,2,FALSE)</f>
        <v>191</v>
      </c>
      <c r="C157" s="237" t="s">
        <v>458</v>
      </c>
      <c r="D157" s="244" t="str">
        <f t="shared" si="2"/>
        <v>PTO156-191-23</v>
      </c>
      <c r="E157" s="168" t="s">
        <v>2594</v>
      </c>
      <c r="F157" s="236" t="s">
        <v>2416</v>
      </c>
      <c r="G157" s="278" t="s">
        <v>2555</v>
      </c>
      <c r="H157" s="236">
        <v>-2.92</v>
      </c>
      <c r="I157" s="276">
        <v>45216</v>
      </c>
      <c r="J157" s="230" t="s">
        <v>17</v>
      </c>
      <c r="K157" s="322">
        <v>45216</v>
      </c>
      <c r="L157" s="232" t="s">
        <v>828</v>
      </c>
      <c r="M157" s="180" t="s">
        <v>2463</v>
      </c>
    </row>
    <row r="158" spans="1:13" s="243" customFormat="1" ht="30" x14ac:dyDescent="0.25">
      <c r="A158" s="108" t="s">
        <v>87</v>
      </c>
      <c r="B158" s="58">
        <f>VLOOKUP(Table27[[#This Row],[Location 
(drop-down)]],'List source'!D$2:E$59,2,FALSE)</f>
        <v>210</v>
      </c>
      <c r="C158" s="237" t="s">
        <v>460</v>
      </c>
      <c r="D158" s="244" t="str">
        <f t="shared" si="2"/>
        <v>PTO157-210-23</v>
      </c>
      <c r="E158" s="108" t="s">
        <v>2595</v>
      </c>
      <c r="F158" s="180" t="s">
        <v>2416</v>
      </c>
      <c r="G158" s="108" t="s">
        <v>2596</v>
      </c>
      <c r="H158" s="180">
        <v>-3.26</v>
      </c>
      <c r="I158" s="287">
        <v>45216</v>
      </c>
      <c r="J158" s="285" t="s">
        <v>1765</v>
      </c>
      <c r="K158" s="286">
        <v>45296</v>
      </c>
      <c r="L158" s="232" t="s">
        <v>822</v>
      </c>
      <c r="M158" s="223"/>
    </row>
    <row r="159" spans="1:13" s="243" customFormat="1" ht="30" x14ac:dyDescent="0.25">
      <c r="A159" s="108" t="s">
        <v>87</v>
      </c>
      <c r="B159" s="58">
        <f>VLOOKUP(Table27[[#This Row],[Location 
(drop-down)]],'List source'!D$2:E$59,2,FALSE)</f>
        <v>210</v>
      </c>
      <c r="C159" s="237" t="s">
        <v>463</v>
      </c>
      <c r="D159" s="244" t="str">
        <f t="shared" si="2"/>
        <v>PTO158-210-23</v>
      </c>
      <c r="E159" s="168" t="s">
        <v>2580</v>
      </c>
      <c r="F159" s="58" t="s">
        <v>2416</v>
      </c>
      <c r="G159" s="168" t="s">
        <v>2597</v>
      </c>
      <c r="H159" s="58">
        <v>2.46</v>
      </c>
      <c r="I159" s="276">
        <v>45216</v>
      </c>
      <c r="J159" s="230" t="s">
        <v>17</v>
      </c>
      <c r="K159" s="280">
        <v>45216</v>
      </c>
      <c r="L159" s="232" t="s">
        <v>828</v>
      </c>
      <c r="M159" s="180" t="s">
        <v>2463</v>
      </c>
    </row>
    <row r="160" spans="1:13" s="243" customFormat="1" ht="45" x14ac:dyDescent="0.25">
      <c r="A160" s="108" t="s">
        <v>87</v>
      </c>
      <c r="B160" s="58">
        <f>VLOOKUP(Table27[[#This Row],[Location 
(drop-down)]],'List source'!D$2:E$59,2,FALSE)</f>
        <v>210</v>
      </c>
      <c r="C160" s="237" t="s">
        <v>466</v>
      </c>
      <c r="D160" s="320" t="str">
        <f t="shared" si="2"/>
        <v>PTO159-210-23</v>
      </c>
      <c r="E160" s="288" t="s">
        <v>2598</v>
      </c>
      <c r="F160" s="289" t="s">
        <v>2416</v>
      </c>
      <c r="G160" s="288" t="s">
        <v>2348</v>
      </c>
      <c r="H160" s="321" t="s">
        <v>2327</v>
      </c>
      <c r="I160" s="287">
        <v>45216</v>
      </c>
      <c r="J160" s="230" t="s">
        <v>1765</v>
      </c>
      <c r="K160" s="280">
        <v>45348</v>
      </c>
      <c r="L160" s="233" t="s">
        <v>822</v>
      </c>
      <c r="M160" s="223"/>
    </row>
    <row r="161" spans="1:13" s="243" customFormat="1" ht="30" x14ac:dyDescent="0.25">
      <c r="A161" s="108" t="s">
        <v>87</v>
      </c>
      <c r="B161" s="58">
        <f>VLOOKUP(Table27[[#This Row],[Location 
(drop-down)]],'List source'!D$2:E$59,2,FALSE)</f>
        <v>210</v>
      </c>
      <c r="C161" s="237" t="s">
        <v>469</v>
      </c>
      <c r="D161" s="244" t="str">
        <f t="shared" si="2"/>
        <v>PTO160-210-23</v>
      </c>
      <c r="E161" s="168" t="s">
        <v>2599</v>
      </c>
      <c r="F161" s="58" t="s">
        <v>2416</v>
      </c>
      <c r="G161" s="168" t="s">
        <v>2424</v>
      </c>
      <c r="H161" s="58">
        <v>-2.17</v>
      </c>
      <c r="I161" s="276">
        <v>45216</v>
      </c>
      <c r="J161" s="230" t="s">
        <v>17</v>
      </c>
      <c r="K161" s="280">
        <v>45216</v>
      </c>
      <c r="L161" s="232" t="s">
        <v>828</v>
      </c>
      <c r="M161" s="226" t="s">
        <v>2463</v>
      </c>
    </row>
    <row r="162" spans="1:13" s="243" customFormat="1" ht="30" x14ac:dyDescent="0.25">
      <c r="A162" s="108" t="s">
        <v>87</v>
      </c>
      <c r="B162" s="58">
        <f>VLOOKUP(Table27[[#This Row],[Location 
(drop-down)]],'List source'!D$2:E$59,2,FALSE)</f>
        <v>210</v>
      </c>
      <c r="C162" s="237" t="s">
        <v>470</v>
      </c>
      <c r="D162" s="244" t="str">
        <f t="shared" si="2"/>
        <v>PTO161-210-23</v>
      </c>
      <c r="E162" s="288" t="s">
        <v>2600</v>
      </c>
      <c r="F162" s="289" t="s">
        <v>2416</v>
      </c>
      <c r="G162" s="288" t="s">
        <v>2601</v>
      </c>
      <c r="H162" s="289">
        <v>-2.42</v>
      </c>
      <c r="I162" s="287">
        <v>45216</v>
      </c>
      <c r="J162" s="285" t="s">
        <v>1765</v>
      </c>
      <c r="K162" s="322">
        <v>45303</v>
      </c>
      <c r="L162" s="233" t="s">
        <v>822</v>
      </c>
      <c r="M162" s="223"/>
    </row>
    <row r="163" spans="1:13" s="243" customFormat="1" ht="30" x14ac:dyDescent="0.25">
      <c r="A163" s="108" t="s">
        <v>47</v>
      </c>
      <c r="B163" s="58">
        <f>VLOOKUP(Table27[[#This Row],[Location 
(drop-down)]],'List source'!D$2:E$59,2,FALSE)</f>
        <v>215</v>
      </c>
      <c r="C163" s="237" t="s">
        <v>471</v>
      </c>
      <c r="D163" s="238" t="str">
        <f t="shared" si="2"/>
        <v>PTO162-215-23</v>
      </c>
      <c r="E163" s="168" t="s">
        <v>2602</v>
      </c>
      <c r="F163" s="58" t="s">
        <v>2416</v>
      </c>
      <c r="G163" s="168" t="s">
        <v>2603</v>
      </c>
      <c r="H163" s="58">
        <v>2.2000000000000002</v>
      </c>
      <c r="I163" s="276">
        <v>45216</v>
      </c>
      <c r="J163" s="308" t="s">
        <v>50</v>
      </c>
      <c r="K163" s="310" t="s">
        <v>50</v>
      </c>
      <c r="L163" s="232"/>
      <c r="M163" s="2" t="s">
        <v>51</v>
      </c>
    </row>
    <row r="164" spans="1:13" s="243" customFormat="1" ht="30" x14ac:dyDescent="0.25">
      <c r="A164" s="108" t="s">
        <v>47</v>
      </c>
      <c r="B164" s="58">
        <f>VLOOKUP(Table27[[#This Row],[Location 
(drop-down)]],'List source'!D$2:E$59,2,FALSE)</f>
        <v>215</v>
      </c>
      <c r="C164" s="237" t="s">
        <v>472</v>
      </c>
      <c r="D164" s="244" t="str">
        <f t="shared" si="2"/>
        <v>PTO163-215-23</v>
      </c>
      <c r="E164" s="288" t="s">
        <v>2604</v>
      </c>
      <c r="F164" s="289" t="s">
        <v>2416</v>
      </c>
      <c r="G164" s="288" t="s">
        <v>2420</v>
      </c>
      <c r="H164" s="289">
        <v>-4.8099999999999996</v>
      </c>
      <c r="I164" s="287">
        <v>45216</v>
      </c>
      <c r="J164" s="229" t="s">
        <v>1765</v>
      </c>
      <c r="K164" s="280">
        <v>45610</v>
      </c>
      <c r="L164" s="233" t="s">
        <v>822</v>
      </c>
      <c r="M164" s="223"/>
    </row>
    <row r="165" spans="1:13" s="243" customFormat="1" ht="30" x14ac:dyDescent="0.25">
      <c r="A165" s="108" t="s">
        <v>47</v>
      </c>
      <c r="B165" s="58">
        <f>VLOOKUP(Table27[[#This Row],[Location 
(drop-down)]],'List source'!D$2:E$59,2,FALSE)</f>
        <v>215</v>
      </c>
      <c r="C165" s="237" t="s">
        <v>473</v>
      </c>
      <c r="D165" s="244" t="str">
        <f t="shared" si="2"/>
        <v>PTO164-215-23</v>
      </c>
      <c r="E165" s="168" t="s">
        <v>2605</v>
      </c>
      <c r="F165" s="58" t="s">
        <v>2416</v>
      </c>
      <c r="G165" s="168" t="s">
        <v>2348</v>
      </c>
      <c r="H165" s="58">
        <v>-5.37</v>
      </c>
      <c r="I165" s="276">
        <v>45216</v>
      </c>
      <c r="J165" s="229" t="s">
        <v>17</v>
      </c>
      <c r="K165" s="246">
        <v>45226</v>
      </c>
      <c r="L165" s="232" t="s">
        <v>837</v>
      </c>
      <c r="M165" s="180" t="s">
        <v>2393</v>
      </c>
    </row>
    <row r="166" spans="1:13" s="243" customFormat="1" ht="45" x14ac:dyDescent="0.25">
      <c r="A166" s="108" t="s">
        <v>47</v>
      </c>
      <c r="B166" s="58">
        <f>VLOOKUP(Table27[[#This Row],[Location 
(drop-down)]],'List source'!D$2:E$59,2,FALSE)</f>
        <v>215</v>
      </c>
      <c r="C166" s="237" t="s">
        <v>474</v>
      </c>
      <c r="D166" s="244" t="str">
        <f t="shared" si="2"/>
        <v>PTO165-215-23</v>
      </c>
      <c r="E166" s="288" t="s">
        <v>2606</v>
      </c>
      <c r="F166" s="289" t="s">
        <v>2416</v>
      </c>
      <c r="G166" s="288" t="s">
        <v>2601</v>
      </c>
      <c r="H166" s="289" t="s">
        <v>2607</v>
      </c>
      <c r="I166" s="287">
        <v>45216</v>
      </c>
      <c r="J166" s="229" t="s">
        <v>17</v>
      </c>
      <c r="K166" s="286">
        <v>45226</v>
      </c>
      <c r="L166" s="233" t="s">
        <v>837</v>
      </c>
      <c r="M166" s="223" t="s">
        <v>2577</v>
      </c>
    </row>
    <row r="167" spans="1:13" s="243" customFormat="1" ht="30" x14ac:dyDescent="0.25">
      <c r="A167" s="108" t="s">
        <v>174</v>
      </c>
      <c r="B167" s="58">
        <f>VLOOKUP(Table27[[#This Row],[Location 
(drop-down)]],'List source'!D$2:E$59,2,FALSE)</f>
        <v>131</v>
      </c>
      <c r="C167" s="237" t="s">
        <v>475</v>
      </c>
      <c r="D167" s="244" t="str">
        <f t="shared" si="2"/>
        <v>PTO166-131-23</v>
      </c>
      <c r="E167" s="168" t="s">
        <v>2608</v>
      </c>
      <c r="F167" s="58" t="s">
        <v>2462</v>
      </c>
      <c r="G167" s="168" t="s">
        <v>2609</v>
      </c>
      <c r="H167" s="58">
        <v>-2.4300000000000002</v>
      </c>
      <c r="I167" s="276">
        <v>45232</v>
      </c>
      <c r="J167" s="229" t="s">
        <v>17</v>
      </c>
      <c r="K167" s="246">
        <v>45232</v>
      </c>
      <c r="L167" s="232" t="s">
        <v>828</v>
      </c>
      <c r="M167" s="180" t="s">
        <v>2463</v>
      </c>
    </row>
    <row r="168" spans="1:13" s="243" customFormat="1" ht="30" x14ac:dyDescent="0.25">
      <c r="A168" s="108" t="s">
        <v>174</v>
      </c>
      <c r="B168" s="58">
        <f>VLOOKUP(Table27[[#This Row],[Location 
(drop-down)]],'List source'!D$2:E$59,2,FALSE)</f>
        <v>131</v>
      </c>
      <c r="C168" s="237" t="s">
        <v>476</v>
      </c>
      <c r="D168" s="244" t="str">
        <f t="shared" si="2"/>
        <v>PTO167-131-23</v>
      </c>
      <c r="E168" s="288" t="s">
        <v>2610</v>
      </c>
      <c r="F168" s="289" t="s">
        <v>2462</v>
      </c>
      <c r="G168" s="288" t="s">
        <v>2435</v>
      </c>
      <c r="H168" s="289">
        <v>-5.4</v>
      </c>
      <c r="I168" s="287">
        <v>45232</v>
      </c>
      <c r="J168" s="229" t="s">
        <v>129</v>
      </c>
      <c r="K168" s="322">
        <v>45278</v>
      </c>
      <c r="L168" s="233" t="s">
        <v>822</v>
      </c>
      <c r="M168" s="223" t="s">
        <v>2611</v>
      </c>
    </row>
    <row r="169" spans="1:13" s="243" customFormat="1" ht="30" x14ac:dyDescent="0.25">
      <c r="A169" s="108" t="s">
        <v>27</v>
      </c>
      <c r="B169" s="58">
        <f>VLOOKUP(Table27[[#This Row],[Location 
(drop-down)]],'List source'!D$2:E$59,2,FALSE)</f>
        <v>132</v>
      </c>
      <c r="C169" s="237" t="s">
        <v>477</v>
      </c>
      <c r="D169" s="244" t="str">
        <f t="shared" si="2"/>
        <v>PTO168-132-23</v>
      </c>
      <c r="E169" s="108" t="s">
        <v>2612</v>
      </c>
      <c r="F169" s="180" t="s">
        <v>2462</v>
      </c>
      <c r="G169" s="108" t="s">
        <v>2613</v>
      </c>
      <c r="H169" s="180" t="s">
        <v>2614</v>
      </c>
      <c r="I169" s="276">
        <v>45232</v>
      </c>
      <c r="J169" s="229" t="s">
        <v>1368</v>
      </c>
      <c r="K169" s="246">
        <v>45792</v>
      </c>
      <c r="L169" s="180"/>
      <c r="M169" s="180"/>
    </row>
    <row r="170" spans="1:13" s="243" customFormat="1" ht="30" x14ac:dyDescent="0.25">
      <c r="A170" s="108" t="s">
        <v>27</v>
      </c>
      <c r="B170" s="58">
        <f>VLOOKUP(Table27[[#This Row],[Location 
(drop-down)]],'List source'!D$2:E$59,2,FALSE)</f>
        <v>132</v>
      </c>
      <c r="C170" s="237" t="s">
        <v>478</v>
      </c>
      <c r="D170" s="244" t="str">
        <f t="shared" si="2"/>
        <v>PTO169-132-23</v>
      </c>
      <c r="E170" s="234" t="s">
        <v>2615</v>
      </c>
      <c r="F170" s="234" t="s">
        <v>2462</v>
      </c>
      <c r="G170" s="290" t="s">
        <v>2348</v>
      </c>
      <c r="H170" s="234" t="s">
        <v>2327</v>
      </c>
      <c r="I170" s="276">
        <v>45232</v>
      </c>
      <c r="J170" s="234" t="s">
        <v>17</v>
      </c>
      <c r="K170" s="291">
        <v>45239</v>
      </c>
      <c r="L170" s="234" t="s">
        <v>837</v>
      </c>
      <c r="M170" s="180" t="s">
        <v>2577</v>
      </c>
    </row>
    <row r="171" spans="1:13" s="243" customFormat="1" ht="30" x14ac:dyDescent="0.25">
      <c r="A171" s="108" t="s">
        <v>27</v>
      </c>
      <c r="B171" s="58">
        <f>VLOOKUP(Table27[[#This Row],[Location 
(drop-down)]],'List source'!D$2:E$59,2,FALSE)</f>
        <v>132</v>
      </c>
      <c r="C171" s="237" t="s">
        <v>479</v>
      </c>
      <c r="D171" s="244" t="str">
        <f t="shared" si="2"/>
        <v>PTO170-132-23</v>
      </c>
      <c r="E171" s="250" t="s">
        <v>2616</v>
      </c>
      <c r="F171" s="251" t="s">
        <v>2462</v>
      </c>
      <c r="G171" s="250" t="s">
        <v>2617</v>
      </c>
      <c r="H171" s="292">
        <v>3.44</v>
      </c>
      <c r="I171" s="276">
        <v>45232</v>
      </c>
      <c r="J171" s="269">
        <v>45807</v>
      </c>
      <c r="K171" s="270">
        <v>45807</v>
      </c>
      <c r="L171" s="180"/>
      <c r="M171" s="180"/>
    </row>
    <row r="172" spans="1:13" s="243" customFormat="1" ht="30" x14ac:dyDescent="0.25">
      <c r="A172" s="108" t="s">
        <v>27</v>
      </c>
      <c r="B172" s="58">
        <f>VLOOKUP(Table27[[#This Row],[Location 
(drop-down)]],'List source'!D$2:E$59,2,FALSE)</f>
        <v>132</v>
      </c>
      <c r="C172" s="237" t="s">
        <v>480</v>
      </c>
      <c r="D172" s="244" t="str">
        <f t="shared" si="2"/>
        <v>PTO171-132-23</v>
      </c>
      <c r="E172" s="108" t="s">
        <v>2618</v>
      </c>
      <c r="F172" s="247" t="s">
        <v>2462</v>
      </c>
      <c r="G172" s="235" t="s">
        <v>2435</v>
      </c>
      <c r="H172" s="247">
        <v>2.2999999999999998</v>
      </c>
      <c r="I172" s="279">
        <v>45232</v>
      </c>
      <c r="J172" s="293" t="s">
        <v>17</v>
      </c>
      <c r="K172" s="294">
        <v>45232</v>
      </c>
      <c r="L172" s="232" t="s">
        <v>828</v>
      </c>
      <c r="M172" s="180" t="s">
        <v>2463</v>
      </c>
    </row>
    <row r="173" spans="1:13" s="243" customFormat="1" ht="45" x14ac:dyDescent="0.25">
      <c r="A173" s="108" t="s">
        <v>1508</v>
      </c>
      <c r="B173" s="58">
        <f>VLOOKUP(Table27[[#This Row],[Location 
(drop-down)]],'List source'!D$2:E$59,2,FALSE)</f>
        <v>140</v>
      </c>
      <c r="C173" s="237" t="s">
        <v>481</v>
      </c>
      <c r="D173" s="244" t="str">
        <f t="shared" si="2"/>
        <v>PTO172-140-23</v>
      </c>
      <c r="E173" s="108" t="s">
        <v>2619</v>
      </c>
      <c r="F173" s="180" t="s">
        <v>2462</v>
      </c>
      <c r="G173" s="108" t="s">
        <v>2348</v>
      </c>
      <c r="H173" s="180" t="s">
        <v>2327</v>
      </c>
      <c r="I173" s="276">
        <v>45232</v>
      </c>
      <c r="J173" s="229" t="s">
        <v>17</v>
      </c>
      <c r="K173" s="246">
        <v>45236</v>
      </c>
      <c r="L173" s="180" t="s">
        <v>837</v>
      </c>
      <c r="M173" s="180" t="s">
        <v>2577</v>
      </c>
    </row>
    <row r="174" spans="1:13" s="243" customFormat="1" ht="30" x14ac:dyDescent="0.25">
      <c r="A174" s="108" t="s">
        <v>1508</v>
      </c>
      <c r="B174" s="58">
        <f>VLOOKUP(Table27[[#This Row],[Location 
(drop-down)]],'List source'!D$2:E$59,2,FALSE)</f>
        <v>140</v>
      </c>
      <c r="C174" s="237" t="s">
        <v>482</v>
      </c>
      <c r="D174" s="244" t="str">
        <f t="shared" si="2"/>
        <v>PTO173-140-23</v>
      </c>
      <c r="E174" s="108" t="s">
        <v>2620</v>
      </c>
      <c r="F174" s="180" t="s">
        <v>2462</v>
      </c>
      <c r="G174" s="108" t="s">
        <v>2601</v>
      </c>
      <c r="H174" s="180" t="s">
        <v>2621</v>
      </c>
      <c r="I174" s="276">
        <v>45232</v>
      </c>
      <c r="J174" s="229" t="s">
        <v>17</v>
      </c>
      <c r="K174" s="246">
        <v>45236</v>
      </c>
      <c r="L174" s="180" t="s">
        <v>837</v>
      </c>
      <c r="M174" s="180" t="s">
        <v>2577</v>
      </c>
    </row>
    <row r="175" spans="1:13" s="243" customFormat="1" ht="30" x14ac:dyDescent="0.25">
      <c r="A175" s="108" t="s">
        <v>79</v>
      </c>
      <c r="B175" s="58">
        <f>VLOOKUP(Table27[[#This Row],[Location 
(drop-down)]],'List source'!D$2:E$59,2,FALSE)</f>
        <v>141</v>
      </c>
      <c r="C175" s="237" t="s">
        <v>483</v>
      </c>
      <c r="D175" s="244" t="str">
        <f t="shared" si="2"/>
        <v>PTO174-141-23</v>
      </c>
      <c r="E175" s="108" t="s">
        <v>2622</v>
      </c>
      <c r="F175" s="180" t="s">
        <v>2462</v>
      </c>
      <c r="G175" s="108" t="s">
        <v>2348</v>
      </c>
      <c r="H175" s="180">
        <v>-2.4</v>
      </c>
      <c r="I175" s="276">
        <v>45232</v>
      </c>
      <c r="J175" s="229" t="s">
        <v>17</v>
      </c>
      <c r="K175" s="246">
        <v>45232</v>
      </c>
      <c r="L175" s="180" t="s">
        <v>828</v>
      </c>
      <c r="M175" s="180" t="s">
        <v>2463</v>
      </c>
    </row>
    <row r="176" spans="1:13" s="243" customFormat="1" ht="30" x14ac:dyDescent="0.25">
      <c r="A176" s="108" t="s">
        <v>331</v>
      </c>
      <c r="B176" s="58">
        <f>VLOOKUP(Table27[[#This Row],[Location 
(drop-down)]],'List source'!D$2:E$59,2,FALSE)</f>
        <v>146</v>
      </c>
      <c r="C176" s="237" t="s">
        <v>484</v>
      </c>
      <c r="D176" s="238" t="str">
        <f t="shared" si="2"/>
        <v>PTO175-146-23</v>
      </c>
      <c r="E176" s="108" t="s">
        <v>2623</v>
      </c>
      <c r="F176" s="180" t="s">
        <v>2462</v>
      </c>
      <c r="G176" s="108" t="s">
        <v>2601</v>
      </c>
      <c r="H176" s="180" t="s">
        <v>2624</v>
      </c>
      <c r="I176" s="276">
        <v>45232</v>
      </c>
      <c r="J176" s="308" t="s">
        <v>17</v>
      </c>
      <c r="K176" s="309">
        <v>45306</v>
      </c>
      <c r="L176" s="180"/>
      <c r="M176" s="180"/>
    </row>
    <row r="177" spans="1:13" s="243" customFormat="1" ht="30" x14ac:dyDescent="0.25">
      <c r="A177" s="108" t="s">
        <v>178</v>
      </c>
      <c r="B177" s="58">
        <f>VLOOKUP(Table27[[#This Row],[Location 
(drop-down)]],'List source'!D$2:E$59,2,FALSE)</f>
        <v>150</v>
      </c>
      <c r="C177" s="237" t="s">
        <v>485</v>
      </c>
      <c r="D177" s="244" t="str">
        <f t="shared" si="2"/>
        <v>PTO176-150-23</v>
      </c>
      <c r="E177" s="108" t="s">
        <v>2625</v>
      </c>
      <c r="F177" s="180" t="s">
        <v>2462</v>
      </c>
      <c r="G177" s="108" t="s">
        <v>2348</v>
      </c>
      <c r="H177" s="180">
        <v>-2.2000000000000002</v>
      </c>
      <c r="I177" s="276">
        <v>45232</v>
      </c>
      <c r="J177" s="229" t="s">
        <v>17</v>
      </c>
      <c r="K177" s="246">
        <v>45232</v>
      </c>
      <c r="L177" s="180" t="s">
        <v>828</v>
      </c>
      <c r="M177" s="180" t="s">
        <v>2463</v>
      </c>
    </row>
    <row r="178" spans="1:13" s="243" customFormat="1" ht="45" x14ac:dyDescent="0.25">
      <c r="A178" s="108" t="s">
        <v>178</v>
      </c>
      <c r="B178" s="58">
        <f>VLOOKUP(Table27[[#This Row],[Location 
(drop-down)]],'List source'!D$2:E$59,2,FALSE)</f>
        <v>150</v>
      </c>
      <c r="C178" s="237" t="s">
        <v>486</v>
      </c>
      <c r="D178" s="244" t="str">
        <f t="shared" si="2"/>
        <v>PTO177-150-23</v>
      </c>
      <c r="E178" s="108" t="s">
        <v>2626</v>
      </c>
      <c r="F178" s="180" t="s">
        <v>2462</v>
      </c>
      <c r="G178" s="108" t="s">
        <v>2520</v>
      </c>
      <c r="H178" s="180" t="s">
        <v>2627</v>
      </c>
      <c r="I178" s="276">
        <v>45232</v>
      </c>
      <c r="J178" s="229" t="s">
        <v>443</v>
      </c>
      <c r="K178" s="246">
        <v>45359</v>
      </c>
      <c r="L178" s="180"/>
      <c r="M178" s="180"/>
    </row>
    <row r="179" spans="1:13" s="243" customFormat="1" ht="30" x14ac:dyDescent="0.25">
      <c r="A179" s="108" t="s">
        <v>57</v>
      </c>
      <c r="B179" s="58">
        <f>VLOOKUP(Table27[[#This Row],[Location 
(drop-down)]],'List source'!D$2:E$59,2,FALSE)</f>
        <v>155</v>
      </c>
      <c r="C179" s="237" t="s">
        <v>487</v>
      </c>
      <c r="D179" s="244" t="str">
        <f t="shared" si="2"/>
        <v>PTO178-155-23</v>
      </c>
      <c r="E179" s="108" t="s">
        <v>2628</v>
      </c>
      <c r="F179" s="180" t="s">
        <v>2462</v>
      </c>
      <c r="G179" s="108" t="s">
        <v>2348</v>
      </c>
      <c r="H179" s="180">
        <v>-2.0699999999999998</v>
      </c>
      <c r="I179" s="276">
        <v>45232</v>
      </c>
      <c r="J179" s="229" t="s">
        <v>17</v>
      </c>
      <c r="K179" s="246">
        <v>45232</v>
      </c>
      <c r="L179" s="180" t="s">
        <v>828</v>
      </c>
      <c r="M179" s="180" t="s">
        <v>2463</v>
      </c>
    </row>
    <row r="180" spans="1:13" s="243" customFormat="1" ht="45" x14ac:dyDescent="0.25">
      <c r="A180" s="108" t="s">
        <v>57</v>
      </c>
      <c r="B180" s="58">
        <f>VLOOKUP(Table27[[#This Row],[Location 
(drop-down)]],'List source'!D$2:E$59,2,FALSE)</f>
        <v>155</v>
      </c>
      <c r="C180" s="237" t="s">
        <v>488</v>
      </c>
      <c r="D180" s="244" t="str">
        <f t="shared" si="2"/>
        <v>PTO179-155-23</v>
      </c>
      <c r="E180" s="108" t="s">
        <v>2629</v>
      </c>
      <c r="F180" s="180" t="s">
        <v>2462</v>
      </c>
      <c r="G180" s="108" t="s">
        <v>2609</v>
      </c>
      <c r="H180" s="180" t="str">
        <f>-6.15 &amp; -6.52</f>
        <v>-6.15-6.52</v>
      </c>
      <c r="I180" s="276">
        <v>45232</v>
      </c>
      <c r="J180" s="229" t="s">
        <v>161</v>
      </c>
      <c r="K180" s="246">
        <v>45266</v>
      </c>
      <c r="L180" s="180"/>
      <c r="M180" s="180"/>
    </row>
    <row r="181" spans="1:13" s="243" customFormat="1" ht="30" x14ac:dyDescent="0.25">
      <c r="A181" s="108" t="s">
        <v>37</v>
      </c>
      <c r="B181" s="58">
        <f>VLOOKUP(Table27[[#This Row],[Location 
(drop-down)]],'List source'!D$2:E$59,2,FALSE)</f>
        <v>158</v>
      </c>
      <c r="C181" s="237" t="s">
        <v>489</v>
      </c>
      <c r="D181" s="244" t="str">
        <f t="shared" si="2"/>
        <v>PTO180-158-23</v>
      </c>
      <c r="E181" s="235" t="s">
        <v>2630</v>
      </c>
      <c r="F181" s="180" t="s">
        <v>2462</v>
      </c>
      <c r="G181" s="108" t="s">
        <v>2348</v>
      </c>
      <c r="H181" s="180">
        <v>-151.83000000000001</v>
      </c>
      <c r="I181" s="276">
        <v>45232</v>
      </c>
      <c r="J181" s="229" t="s">
        <v>17</v>
      </c>
      <c r="K181" s="246">
        <v>45236</v>
      </c>
      <c r="L181" s="180" t="s">
        <v>837</v>
      </c>
      <c r="M181" s="180" t="s">
        <v>2577</v>
      </c>
    </row>
    <row r="182" spans="1:13" s="243" customFormat="1" ht="30" x14ac:dyDescent="0.25">
      <c r="A182" s="108" t="s">
        <v>37</v>
      </c>
      <c r="B182" s="58">
        <f>VLOOKUP(Table27[[#This Row],[Location 
(drop-down)]],'List source'!D$2:E$59,2,FALSE)</f>
        <v>158</v>
      </c>
      <c r="C182" s="237" t="s">
        <v>490</v>
      </c>
      <c r="D182" s="244" t="str">
        <f t="shared" ref="D182:D245" si="3">"PTO" &amp; C182 &amp; "-" &amp; B182 &amp; "-" &amp; "23"</f>
        <v>PTO181-158-23</v>
      </c>
      <c r="E182" s="108" t="s">
        <v>2631</v>
      </c>
      <c r="F182" s="180" t="s">
        <v>2462</v>
      </c>
      <c r="G182" s="108" t="s">
        <v>2632</v>
      </c>
      <c r="H182" s="180">
        <v>2.0099999999999998</v>
      </c>
      <c r="I182" s="276">
        <v>45232</v>
      </c>
      <c r="J182" s="229" t="s">
        <v>17</v>
      </c>
      <c r="K182" s="322">
        <v>45259</v>
      </c>
      <c r="L182" s="180" t="s">
        <v>837</v>
      </c>
      <c r="M182" s="180" t="s">
        <v>2633</v>
      </c>
    </row>
    <row r="183" spans="1:13" s="243" customFormat="1" ht="45" x14ac:dyDescent="0.25">
      <c r="A183" s="108" t="s">
        <v>37</v>
      </c>
      <c r="B183" s="58">
        <f>VLOOKUP(Table27[[#This Row],[Location 
(drop-down)]],'List source'!D$2:E$59,2,FALSE)</f>
        <v>158</v>
      </c>
      <c r="C183" s="237" t="s">
        <v>491</v>
      </c>
      <c r="D183" s="244" t="str">
        <f t="shared" si="3"/>
        <v>PTO182-158-23</v>
      </c>
      <c r="E183" s="108" t="s">
        <v>2634</v>
      </c>
      <c r="F183" s="180" t="s">
        <v>2462</v>
      </c>
      <c r="G183" s="108" t="s">
        <v>2520</v>
      </c>
      <c r="H183" s="180" t="s">
        <v>2635</v>
      </c>
      <c r="I183" s="276">
        <v>45232</v>
      </c>
      <c r="J183" s="269" t="s">
        <v>17</v>
      </c>
      <c r="K183" s="270">
        <v>45236</v>
      </c>
      <c r="L183" s="180" t="s">
        <v>837</v>
      </c>
      <c r="M183" s="180" t="s">
        <v>2577</v>
      </c>
    </row>
    <row r="184" spans="1:13" s="243" customFormat="1" ht="30" x14ac:dyDescent="0.25">
      <c r="A184" s="108" t="s">
        <v>66</v>
      </c>
      <c r="B184" s="58">
        <f>VLOOKUP(Table27[[#This Row],[Location 
(drop-down)]],'List source'!D$2:E$59,2,FALSE)</f>
        <v>165</v>
      </c>
      <c r="C184" s="237" t="s">
        <v>492</v>
      </c>
      <c r="D184" s="244" t="str">
        <f t="shared" si="3"/>
        <v>PTO183-165-23</v>
      </c>
      <c r="E184" s="108" t="s">
        <v>2636</v>
      </c>
      <c r="F184" s="180" t="s">
        <v>2462</v>
      </c>
      <c r="G184" s="108" t="s">
        <v>2420</v>
      </c>
      <c r="H184" s="180">
        <v>8.32</v>
      </c>
      <c r="I184" s="276">
        <v>45232</v>
      </c>
      <c r="J184" s="229" t="s">
        <v>161</v>
      </c>
      <c r="K184" s="322">
        <v>45310</v>
      </c>
      <c r="L184" s="180"/>
      <c r="M184" s="180"/>
    </row>
    <row r="185" spans="1:13" s="243" customFormat="1" ht="45" x14ac:dyDescent="0.25">
      <c r="A185" s="108" t="s">
        <v>66</v>
      </c>
      <c r="B185" s="58">
        <f>VLOOKUP(Table27[[#This Row],[Location 
(drop-down)]],'List source'!D$2:E$59,2,FALSE)</f>
        <v>165</v>
      </c>
      <c r="C185" s="237" t="s">
        <v>493</v>
      </c>
      <c r="D185" s="244" t="str">
        <f t="shared" si="3"/>
        <v>PTO184-165-23</v>
      </c>
      <c r="E185" s="108" t="s">
        <v>2637</v>
      </c>
      <c r="F185" s="180" t="s">
        <v>2462</v>
      </c>
      <c r="G185" s="108" t="s">
        <v>2520</v>
      </c>
      <c r="H185" s="180" t="s">
        <v>2638</v>
      </c>
      <c r="I185" s="276">
        <v>45232</v>
      </c>
      <c r="J185" s="229" t="s">
        <v>161</v>
      </c>
      <c r="K185" s="246">
        <v>45315</v>
      </c>
      <c r="L185" s="180"/>
      <c r="M185" s="180"/>
    </row>
    <row r="186" spans="1:13" s="243" customFormat="1" ht="45" x14ac:dyDescent="0.25">
      <c r="A186" s="108" t="s">
        <v>66</v>
      </c>
      <c r="B186" s="58">
        <f>VLOOKUP(Table27[[#This Row],[Location 
(drop-down)]],'List source'!D$2:E$59,2,FALSE)</f>
        <v>165</v>
      </c>
      <c r="C186" s="237" t="s">
        <v>494</v>
      </c>
      <c r="D186" s="244" t="str">
        <f t="shared" si="3"/>
        <v>PTO185-165-23</v>
      </c>
      <c r="E186" s="108" t="s">
        <v>2639</v>
      </c>
      <c r="F186" s="180" t="s">
        <v>2462</v>
      </c>
      <c r="G186" s="108" t="s">
        <v>2609</v>
      </c>
      <c r="H186" s="180" t="s">
        <v>2640</v>
      </c>
      <c r="I186" s="276">
        <v>45232</v>
      </c>
      <c r="J186" s="229" t="s">
        <v>161</v>
      </c>
      <c r="K186" s="246">
        <v>45433</v>
      </c>
      <c r="L186" s="180"/>
      <c r="M186" s="180"/>
    </row>
    <row r="187" spans="1:13" s="243" customFormat="1" ht="30" x14ac:dyDescent="0.25">
      <c r="A187" s="108" t="s">
        <v>66</v>
      </c>
      <c r="B187" s="58">
        <f>VLOOKUP(Table27[[#This Row],[Location 
(drop-down)]],'List source'!D$2:E$59,2,FALSE)</f>
        <v>165</v>
      </c>
      <c r="C187" s="237" t="s">
        <v>495</v>
      </c>
      <c r="D187" s="244" t="str">
        <f t="shared" si="3"/>
        <v>PTO186-165-23</v>
      </c>
      <c r="E187" s="108" t="s">
        <v>2641</v>
      </c>
      <c r="F187" s="180" t="s">
        <v>2462</v>
      </c>
      <c r="G187" s="108" t="s">
        <v>2617</v>
      </c>
      <c r="H187" s="180">
        <v>11.44</v>
      </c>
      <c r="I187" s="276">
        <v>45232</v>
      </c>
      <c r="J187" s="229" t="s">
        <v>161</v>
      </c>
      <c r="K187" s="246">
        <v>45328</v>
      </c>
      <c r="L187" s="180"/>
      <c r="M187" s="180"/>
    </row>
    <row r="188" spans="1:13" s="243" customFormat="1" ht="30" x14ac:dyDescent="0.25">
      <c r="A188" s="108" t="s">
        <v>324</v>
      </c>
      <c r="B188" s="58">
        <f>VLOOKUP(Table27[[#This Row],[Location 
(drop-down)]],'List source'!D$2:E$59,2,FALSE)</f>
        <v>170</v>
      </c>
      <c r="C188" s="237" t="s">
        <v>496</v>
      </c>
      <c r="D188" s="244" t="str">
        <f t="shared" si="3"/>
        <v>PTO187-170-23</v>
      </c>
      <c r="E188" s="108" t="s">
        <v>2642</v>
      </c>
      <c r="F188" s="180" t="s">
        <v>2462</v>
      </c>
      <c r="G188" s="108" t="s">
        <v>2420</v>
      </c>
      <c r="H188" s="180">
        <v>7.69</v>
      </c>
      <c r="I188" s="276">
        <v>45232</v>
      </c>
      <c r="J188" s="229" t="s">
        <v>17</v>
      </c>
      <c r="K188" s="265">
        <v>45232</v>
      </c>
      <c r="L188" s="180" t="s">
        <v>837</v>
      </c>
      <c r="M188" s="180" t="s">
        <v>2577</v>
      </c>
    </row>
    <row r="189" spans="1:13" s="243" customFormat="1" ht="30" x14ac:dyDescent="0.25">
      <c r="A189" s="108" t="s">
        <v>75</v>
      </c>
      <c r="B189" s="58">
        <f>VLOOKUP(Table27[[#This Row],[Location 
(drop-down)]],'List source'!D$2:E$59,2,FALSE)</f>
        <v>180</v>
      </c>
      <c r="C189" s="237" t="s">
        <v>497</v>
      </c>
      <c r="D189" s="244" t="str">
        <f t="shared" si="3"/>
        <v>PTO188-180-23</v>
      </c>
      <c r="E189" s="108" t="s">
        <v>2643</v>
      </c>
      <c r="F189" s="180" t="s">
        <v>2462</v>
      </c>
      <c r="G189" s="108" t="s">
        <v>2617</v>
      </c>
      <c r="H189" s="180">
        <v>2.5499999999999998</v>
      </c>
      <c r="I189" s="276">
        <v>45232</v>
      </c>
      <c r="J189" s="269" t="s">
        <v>17</v>
      </c>
      <c r="K189" s="270">
        <v>45232</v>
      </c>
      <c r="L189" s="180" t="s">
        <v>828</v>
      </c>
      <c r="M189" s="180" t="s">
        <v>2463</v>
      </c>
    </row>
    <row r="190" spans="1:13" s="243" customFormat="1" ht="30" x14ac:dyDescent="0.25">
      <c r="A190" s="108" t="s">
        <v>1289</v>
      </c>
      <c r="B190" s="58">
        <f>VLOOKUP(Table27[[#This Row],[Location 
(drop-down)]],'List source'!D$2:E$59,2,FALSE)</f>
        <v>194</v>
      </c>
      <c r="C190" s="237" t="s">
        <v>498</v>
      </c>
      <c r="D190" s="244" t="str">
        <f t="shared" si="3"/>
        <v>PTO189-194-23</v>
      </c>
      <c r="E190" s="108" t="s">
        <v>2644</v>
      </c>
      <c r="F190" s="180" t="s">
        <v>2462</v>
      </c>
      <c r="G190" s="108" t="s">
        <v>2348</v>
      </c>
      <c r="H190" s="180">
        <v>4.54</v>
      </c>
      <c r="I190" s="276">
        <v>45232</v>
      </c>
      <c r="J190" s="269" t="s">
        <v>17</v>
      </c>
      <c r="K190" s="270">
        <v>45232</v>
      </c>
      <c r="L190" s="180" t="s">
        <v>837</v>
      </c>
      <c r="M190" s="180" t="s">
        <v>2577</v>
      </c>
    </row>
    <row r="191" spans="1:13" s="243" customFormat="1" ht="30" x14ac:dyDescent="0.25">
      <c r="A191" s="108" t="s">
        <v>87</v>
      </c>
      <c r="B191" s="58">
        <f>VLOOKUP(Table27[[#This Row],[Location 
(drop-down)]],'List source'!D$2:E$59,2,FALSE)</f>
        <v>210</v>
      </c>
      <c r="C191" s="237" t="s">
        <v>499</v>
      </c>
      <c r="D191" s="244" t="str">
        <f t="shared" si="3"/>
        <v>PTO190-210-23</v>
      </c>
      <c r="E191" s="108" t="s">
        <v>2645</v>
      </c>
      <c r="F191" s="180" t="s">
        <v>2462</v>
      </c>
      <c r="G191" s="108" t="s">
        <v>2348</v>
      </c>
      <c r="H191" s="180">
        <v>-4.41</v>
      </c>
      <c r="I191" s="276">
        <v>45232</v>
      </c>
      <c r="J191" s="269" t="s">
        <v>17</v>
      </c>
      <c r="K191" s="270">
        <v>45238</v>
      </c>
      <c r="L191" s="180" t="s">
        <v>837</v>
      </c>
      <c r="M191" s="180" t="s">
        <v>2577</v>
      </c>
    </row>
    <row r="192" spans="1:13" s="243" customFormat="1" ht="30" x14ac:dyDescent="0.25">
      <c r="A192" s="108" t="s">
        <v>27</v>
      </c>
      <c r="B192" s="58">
        <f>VLOOKUP(Table27[[#This Row],[Location 
(drop-down)]],'List source'!D$2:E$59,2,FALSE)</f>
        <v>132</v>
      </c>
      <c r="C192" s="237" t="s">
        <v>500</v>
      </c>
      <c r="D192" s="244" t="str">
        <f t="shared" si="3"/>
        <v>PTO191-132-23</v>
      </c>
      <c r="E192" s="108" t="s">
        <v>2646</v>
      </c>
      <c r="F192" s="180" t="s">
        <v>2343</v>
      </c>
      <c r="G192" s="108" t="s">
        <v>2348</v>
      </c>
      <c r="H192" s="180">
        <v>2.23</v>
      </c>
      <c r="I192" s="276">
        <v>45236</v>
      </c>
      <c r="J192" s="269" t="s">
        <v>17</v>
      </c>
      <c r="K192" s="270">
        <v>45236</v>
      </c>
      <c r="L192" s="180" t="s">
        <v>828</v>
      </c>
      <c r="M192" s="226" t="s">
        <v>2463</v>
      </c>
    </row>
    <row r="193" spans="1:13" s="243" customFormat="1" ht="30" x14ac:dyDescent="0.25">
      <c r="A193" s="108" t="s">
        <v>27</v>
      </c>
      <c r="B193" s="58">
        <f>VLOOKUP(Table27[[#This Row],[Location 
(drop-down)]],'List source'!D$2:E$59,2,FALSE)</f>
        <v>132</v>
      </c>
      <c r="C193" s="237" t="s">
        <v>501</v>
      </c>
      <c r="D193" s="244" t="str">
        <f t="shared" si="3"/>
        <v>PTO192-132-23</v>
      </c>
      <c r="E193" s="108" t="s">
        <v>2647</v>
      </c>
      <c r="F193" s="180" t="s">
        <v>2648</v>
      </c>
      <c r="G193" s="108" t="s">
        <v>2520</v>
      </c>
      <c r="H193" s="180">
        <v>-4.4800000000000004</v>
      </c>
      <c r="I193" s="276">
        <v>45236</v>
      </c>
      <c r="J193" s="269" t="s">
        <v>17</v>
      </c>
      <c r="K193" s="270">
        <v>45546</v>
      </c>
      <c r="L193" s="180"/>
      <c r="M193" s="180"/>
    </row>
    <row r="194" spans="1:13" s="243" customFormat="1" ht="30" x14ac:dyDescent="0.25">
      <c r="A194" s="108" t="s">
        <v>112</v>
      </c>
      <c r="B194" s="58">
        <f>VLOOKUP(Table27[[#This Row],[Location 
(drop-down)]],'List source'!D$2:E$59,2,FALSE)</f>
        <v>115</v>
      </c>
      <c r="C194" s="237" t="s">
        <v>502</v>
      </c>
      <c r="D194" s="244" t="str">
        <f t="shared" si="3"/>
        <v>PTO193-115-23</v>
      </c>
      <c r="E194" s="108" t="s">
        <v>2649</v>
      </c>
      <c r="F194" s="180" t="s">
        <v>2321</v>
      </c>
      <c r="G194" s="108" t="s">
        <v>2650</v>
      </c>
      <c r="H194" s="180">
        <v>2.66</v>
      </c>
      <c r="I194" s="276">
        <v>45236</v>
      </c>
      <c r="J194" s="269" t="s">
        <v>17</v>
      </c>
      <c r="K194" s="270">
        <v>45236</v>
      </c>
      <c r="L194" s="180" t="s">
        <v>828</v>
      </c>
      <c r="M194" s="226" t="s">
        <v>2463</v>
      </c>
    </row>
    <row r="195" spans="1:13" s="243" customFormat="1" ht="30" x14ac:dyDescent="0.25">
      <c r="A195" s="108" t="s">
        <v>168</v>
      </c>
      <c r="B195" s="58">
        <f>VLOOKUP(Table27[[#This Row],[Location 
(drop-down)]],'List source'!D$2:E$59,2,FALSE)</f>
        <v>136</v>
      </c>
      <c r="C195" s="237" t="s">
        <v>503</v>
      </c>
      <c r="D195" s="244" t="str">
        <f t="shared" si="3"/>
        <v>PTO194-136-23</v>
      </c>
      <c r="E195" s="108" t="s">
        <v>2651</v>
      </c>
      <c r="F195" s="180" t="s">
        <v>2321</v>
      </c>
      <c r="G195" s="108" t="s">
        <v>2348</v>
      </c>
      <c r="H195" s="180">
        <v>2.27</v>
      </c>
      <c r="I195" s="276">
        <v>45236</v>
      </c>
      <c r="J195" s="269" t="s">
        <v>17</v>
      </c>
      <c r="K195" s="270">
        <v>45236</v>
      </c>
      <c r="L195" s="180" t="s">
        <v>828</v>
      </c>
      <c r="M195" s="226" t="s">
        <v>2463</v>
      </c>
    </row>
    <row r="196" spans="1:13" s="243" customFormat="1" ht="18.75" x14ac:dyDescent="0.25">
      <c r="A196" s="108" t="s">
        <v>168</v>
      </c>
      <c r="B196" s="58">
        <f>VLOOKUP(Table27[[#This Row],[Location 
(drop-down)]],'List source'!D$2:E$59,2,FALSE)</f>
        <v>136</v>
      </c>
      <c r="C196" s="237" t="s">
        <v>504</v>
      </c>
      <c r="D196" s="244" t="str">
        <f t="shared" si="3"/>
        <v>PTO195-136-23</v>
      </c>
      <c r="E196" s="108" t="s">
        <v>2652</v>
      </c>
      <c r="F196" s="180" t="s">
        <v>2321</v>
      </c>
      <c r="G196" s="108" t="s">
        <v>2653</v>
      </c>
      <c r="H196" s="180">
        <v>-2.97</v>
      </c>
      <c r="I196" s="276">
        <v>45236</v>
      </c>
      <c r="J196" s="269" t="s">
        <v>875</v>
      </c>
      <c r="K196" s="270">
        <v>45243</v>
      </c>
      <c r="L196" s="180"/>
      <c r="M196" s="180"/>
    </row>
    <row r="197" spans="1:13" s="243" customFormat="1" ht="30" x14ac:dyDescent="0.25">
      <c r="A197" s="108" t="s">
        <v>331</v>
      </c>
      <c r="B197" s="58">
        <f>VLOOKUP(Table27[[#This Row],[Location 
(drop-down)]],'List source'!D$2:E$59,2,FALSE)</f>
        <v>146</v>
      </c>
      <c r="C197" s="237" t="s">
        <v>505</v>
      </c>
      <c r="D197" s="244" t="str">
        <f t="shared" si="3"/>
        <v>PTO196-146-23</v>
      </c>
      <c r="E197" s="108" t="s">
        <v>2654</v>
      </c>
      <c r="F197" s="180" t="s">
        <v>2321</v>
      </c>
      <c r="G197" s="108" t="s">
        <v>2348</v>
      </c>
      <c r="H197" s="180" t="s">
        <v>2327</v>
      </c>
      <c r="I197" s="276">
        <v>45236</v>
      </c>
      <c r="J197" s="269" t="s">
        <v>875</v>
      </c>
      <c r="K197" s="270">
        <v>45298</v>
      </c>
      <c r="L197" s="180"/>
      <c r="M197" s="180"/>
    </row>
    <row r="198" spans="1:13" s="243" customFormat="1" ht="30" x14ac:dyDescent="0.25">
      <c r="A198" s="108" t="s">
        <v>324</v>
      </c>
      <c r="B198" s="58">
        <f>VLOOKUP(Table27[[#This Row],[Location 
(drop-down)]],'List source'!D$2:E$59,2,FALSE)</f>
        <v>170</v>
      </c>
      <c r="C198" s="237" t="s">
        <v>506</v>
      </c>
      <c r="D198" s="244" t="str">
        <f t="shared" si="3"/>
        <v>PTO197-170-23</v>
      </c>
      <c r="E198" s="108" t="s">
        <v>2655</v>
      </c>
      <c r="F198" s="180" t="s">
        <v>2321</v>
      </c>
      <c r="G198" s="325" t="s">
        <v>2596</v>
      </c>
      <c r="H198" s="180">
        <v>-4.22</v>
      </c>
      <c r="I198" s="276">
        <v>45236</v>
      </c>
      <c r="J198" s="269" t="s">
        <v>875</v>
      </c>
      <c r="K198" s="270">
        <v>45275</v>
      </c>
      <c r="L198" s="180"/>
      <c r="M198" s="180"/>
    </row>
    <row r="199" spans="1:13" s="243" customFormat="1" ht="30" x14ac:dyDescent="0.25">
      <c r="A199" s="108" t="s">
        <v>108</v>
      </c>
      <c r="B199" s="58">
        <f>VLOOKUP(Table27[[#This Row],[Location 
(drop-down)]],'List source'!D$2:E$59,2,FALSE)</f>
        <v>191</v>
      </c>
      <c r="C199" s="237" t="s">
        <v>507</v>
      </c>
      <c r="D199" s="244" t="str">
        <f t="shared" si="3"/>
        <v>PTO198-191-23</v>
      </c>
      <c r="E199" s="108" t="s">
        <v>2656</v>
      </c>
      <c r="F199" s="180" t="s">
        <v>2321</v>
      </c>
      <c r="G199" s="108" t="s">
        <v>2348</v>
      </c>
      <c r="H199" s="295" t="s">
        <v>2657</v>
      </c>
      <c r="I199" s="276">
        <v>45236</v>
      </c>
      <c r="J199" s="229" t="s">
        <v>17</v>
      </c>
      <c r="K199" s="322">
        <v>45236</v>
      </c>
      <c r="L199" s="180" t="s">
        <v>828</v>
      </c>
      <c r="M199" s="226" t="s">
        <v>2463</v>
      </c>
    </row>
    <row r="200" spans="1:13" s="243" customFormat="1" ht="30" x14ac:dyDescent="0.25">
      <c r="A200" s="108" t="s">
        <v>108</v>
      </c>
      <c r="B200" s="58">
        <f>VLOOKUP(Table27[[#This Row],[Location 
(drop-down)]],'List source'!D$2:E$59,2,FALSE)</f>
        <v>191</v>
      </c>
      <c r="C200" s="237" t="s">
        <v>508</v>
      </c>
      <c r="D200" s="244" t="str">
        <f t="shared" si="3"/>
        <v>PTO199-191-23</v>
      </c>
      <c r="E200" s="108" t="s">
        <v>2658</v>
      </c>
      <c r="F200" s="180" t="s">
        <v>2321</v>
      </c>
      <c r="G200" s="108" t="s">
        <v>2555</v>
      </c>
      <c r="H200" s="180">
        <v>-2.44</v>
      </c>
      <c r="I200" s="276">
        <v>45236</v>
      </c>
      <c r="J200" s="229" t="s">
        <v>17</v>
      </c>
      <c r="K200" s="246">
        <v>45259</v>
      </c>
      <c r="L200" s="180" t="s">
        <v>837</v>
      </c>
      <c r="M200" s="180" t="s">
        <v>2531</v>
      </c>
    </row>
    <row r="201" spans="1:13" s="243" customFormat="1" ht="30" x14ac:dyDescent="0.25">
      <c r="A201" s="108" t="s">
        <v>108</v>
      </c>
      <c r="B201" s="58">
        <f>VLOOKUP(Table27[[#This Row],[Location 
(drop-down)]],'List source'!D$2:E$59,2,FALSE)</f>
        <v>191</v>
      </c>
      <c r="C201" s="237" t="s">
        <v>509</v>
      </c>
      <c r="D201" s="244" t="str">
        <f t="shared" si="3"/>
        <v>PTO200-191-23</v>
      </c>
      <c r="E201" s="108" t="s">
        <v>2659</v>
      </c>
      <c r="F201" s="180" t="s">
        <v>2321</v>
      </c>
      <c r="G201" s="108" t="s">
        <v>2575</v>
      </c>
      <c r="H201" s="180">
        <v>-2.12</v>
      </c>
      <c r="I201" s="276">
        <v>45236</v>
      </c>
      <c r="J201" s="229" t="s">
        <v>17</v>
      </c>
      <c r="K201" s="246">
        <v>45236</v>
      </c>
      <c r="L201" s="180" t="s">
        <v>828</v>
      </c>
      <c r="M201" s="226" t="s">
        <v>2463</v>
      </c>
    </row>
    <row r="202" spans="1:13" s="243" customFormat="1" ht="18.75" x14ac:dyDescent="0.25">
      <c r="A202" s="108" t="s">
        <v>108</v>
      </c>
      <c r="B202" s="58">
        <f>VLOOKUP(Table27[[#This Row],[Location 
(drop-down)]],'List source'!D$2:E$59,2,FALSE)</f>
        <v>191</v>
      </c>
      <c r="C202" s="237" t="s">
        <v>510</v>
      </c>
      <c r="D202" s="244" t="str">
        <f t="shared" si="3"/>
        <v>PTO201-191-23</v>
      </c>
      <c r="E202" s="108" t="s">
        <v>2652</v>
      </c>
      <c r="F202" s="180" t="s">
        <v>2321</v>
      </c>
      <c r="G202" s="108" t="s">
        <v>2653</v>
      </c>
      <c r="H202" s="180">
        <v>-2.64</v>
      </c>
      <c r="I202" s="276">
        <v>45236</v>
      </c>
      <c r="J202" s="229" t="s">
        <v>2324</v>
      </c>
      <c r="K202" s="246">
        <v>45310</v>
      </c>
      <c r="L202" s="180" t="s">
        <v>822</v>
      </c>
      <c r="M202" s="180"/>
    </row>
    <row r="203" spans="1:13" s="243" customFormat="1" ht="30" x14ac:dyDescent="0.25">
      <c r="A203" s="108" t="s">
        <v>226</v>
      </c>
      <c r="B203" s="58">
        <f>VLOOKUP(Table27[[#This Row],[Location 
(drop-down)]],'List source'!D$2:E$59,2,FALSE)</f>
        <v>110</v>
      </c>
      <c r="C203" s="237" t="s">
        <v>511</v>
      </c>
      <c r="D203" s="244" t="str">
        <f t="shared" si="3"/>
        <v>PTO202-110-23</v>
      </c>
      <c r="E203" s="108" t="s">
        <v>2660</v>
      </c>
      <c r="F203" s="180" t="s">
        <v>2661</v>
      </c>
      <c r="G203" s="108" t="s">
        <v>2662</v>
      </c>
      <c r="H203" s="180">
        <v>2.0699999999999998</v>
      </c>
      <c r="I203" s="276">
        <v>45236</v>
      </c>
      <c r="J203" s="229" t="s">
        <v>17</v>
      </c>
      <c r="K203" s="246">
        <v>45236</v>
      </c>
      <c r="L203" s="180" t="s">
        <v>828</v>
      </c>
      <c r="M203" s="226" t="s">
        <v>2463</v>
      </c>
    </row>
    <row r="204" spans="1:13" s="243" customFormat="1" ht="30" x14ac:dyDescent="0.25">
      <c r="A204" s="108" t="s">
        <v>52</v>
      </c>
      <c r="B204" s="58">
        <f>VLOOKUP(Table27[[#This Row],[Location 
(drop-down)]],'List source'!D$2:E$59,2,FALSE)</f>
        <v>127</v>
      </c>
      <c r="C204" s="237" t="s">
        <v>512</v>
      </c>
      <c r="D204" s="244" t="str">
        <f t="shared" si="3"/>
        <v>PTO203-127-23</v>
      </c>
      <c r="E204" s="108" t="s">
        <v>2663</v>
      </c>
      <c r="F204" s="180" t="s">
        <v>2661</v>
      </c>
      <c r="G204" s="108" t="s">
        <v>2360</v>
      </c>
      <c r="H204" s="180">
        <v>2.21</v>
      </c>
      <c r="I204" s="276">
        <v>45236</v>
      </c>
      <c r="J204" s="229" t="s">
        <v>17</v>
      </c>
      <c r="K204" s="246">
        <v>45236</v>
      </c>
      <c r="L204" s="180" t="s">
        <v>828</v>
      </c>
      <c r="M204" s="226" t="s">
        <v>2463</v>
      </c>
    </row>
    <row r="205" spans="1:13" s="243" customFormat="1" ht="30" x14ac:dyDescent="0.25">
      <c r="A205" s="108" t="s">
        <v>79</v>
      </c>
      <c r="B205" s="58">
        <f>VLOOKUP(Table27[[#This Row],[Location 
(drop-down)]],'List source'!D$2:E$59,2,FALSE)</f>
        <v>141</v>
      </c>
      <c r="C205" s="237" t="s">
        <v>513</v>
      </c>
      <c r="D205" s="244" t="str">
        <f t="shared" si="3"/>
        <v>PTO204-141-23</v>
      </c>
      <c r="E205" s="108" t="s">
        <v>2664</v>
      </c>
      <c r="F205" s="180" t="s">
        <v>2661</v>
      </c>
      <c r="G205" s="108" t="s">
        <v>2665</v>
      </c>
      <c r="H205" s="180">
        <v>-2.0699999999999998</v>
      </c>
      <c r="I205" s="276">
        <v>45236</v>
      </c>
      <c r="J205" s="229" t="s">
        <v>17</v>
      </c>
      <c r="K205" s="246">
        <v>45236</v>
      </c>
      <c r="L205" s="180" t="s">
        <v>828</v>
      </c>
      <c r="M205" s="226" t="s">
        <v>2463</v>
      </c>
    </row>
    <row r="206" spans="1:13" s="243" customFormat="1" ht="30" x14ac:dyDescent="0.25">
      <c r="A206" s="108" t="s">
        <v>826</v>
      </c>
      <c r="B206" s="58">
        <f>VLOOKUP(Table27[[#This Row],[Location 
(drop-down)]],'List source'!D$2:E$59,2,FALSE)</f>
        <v>145</v>
      </c>
      <c r="C206" s="237" t="s">
        <v>514</v>
      </c>
      <c r="D206" s="327" t="str">
        <f t="shared" si="3"/>
        <v>PTO205-145-23</v>
      </c>
      <c r="E206" s="328" t="s">
        <v>2666</v>
      </c>
      <c r="F206" s="329" t="s">
        <v>2661</v>
      </c>
      <c r="G206" s="328" t="s">
        <v>2348</v>
      </c>
      <c r="H206" s="330" t="s">
        <v>2667</v>
      </c>
      <c r="I206" s="331">
        <v>45236</v>
      </c>
      <c r="J206" s="332" t="s">
        <v>96</v>
      </c>
      <c r="K206" s="333">
        <v>45324</v>
      </c>
      <c r="L206" s="180" t="s">
        <v>822</v>
      </c>
      <c r="M206" s="180"/>
    </row>
    <row r="207" spans="1:13" s="243" customFormat="1" ht="30" x14ac:dyDescent="0.25">
      <c r="A207" s="108" t="s">
        <v>411</v>
      </c>
      <c r="B207" s="58">
        <f>VLOOKUP(Table27[[#This Row],[Location 
(drop-down)]],'List source'!D$2:E$59,2,FALSE)</f>
        <v>185</v>
      </c>
      <c r="C207" s="237" t="s">
        <v>515</v>
      </c>
      <c r="D207" s="244" t="str">
        <f t="shared" si="3"/>
        <v>PTO206-185-23</v>
      </c>
      <c r="E207" s="108" t="s">
        <v>2668</v>
      </c>
      <c r="F207" s="180" t="s">
        <v>2661</v>
      </c>
      <c r="G207" s="108" t="s">
        <v>2348</v>
      </c>
      <c r="H207" s="180">
        <v>-2.11</v>
      </c>
      <c r="I207" s="276">
        <v>45236</v>
      </c>
      <c r="J207" s="229" t="s">
        <v>17</v>
      </c>
      <c r="K207" s="246">
        <v>45236</v>
      </c>
      <c r="L207" s="180" t="s">
        <v>828</v>
      </c>
      <c r="M207" s="226" t="s">
        <v>2463</v>
      </c>
    </row>
    <row r="208" spans="1:13" s="243" customFormat="1" ht="18.75" x14ac:dyDescent="0.25">
      <c r="A208" s="108" t="s">
        <v>226</v>
      </c>
      <c r="B208" s="58">
        <f>VLOOKUP(Table27[[#This Row],[Location 
(drop-down)]],'List source'!D$2:E$59,2,FALSE)</f>
        <v>110</v>
      </c>
      <c r="C208" s="237" t="s">
        <v>516</v>
      </c>
      <c r="D208" s="244" t="str">
        <f t="shared" si="3"/>
        <v>PTO207-110-23</v>
      </c>
      <c r="E208" s="108" t="s">
        <v>2669</v>
      </c>
      <c r="F208" s="180" t="s">
        <v>2670</v>
      </c>
      <c r="G208" s="108" t="s">
        <v>2348</v>
      </c>
      <c r="H208" s="180">
        <v>2.63</v>
      </c>
      <c r="I208" s="276">
        <v>45236</v>
      </c>
      <c r="J208" s="229" t="s">
        <v>1765</v>
      </c>
      <c r="K208" s="246">
        <v>45574</v>
      </c>
      <c r="L208" s="180" t="s">
        <v>822</v>
      </c>
      <c r="M208" s="180"/>
    </row>
    <row r="209" spans="1:13" s="243" customFormat="1" ht="30" x14ac:dyDescent="0.25">
      <c r="A209" s="108" t="s">
        <v>226</v>
      </c>
      <c r="B209" s="58">
        <f>VLOOKUP(Table27[[#This Row],[Location 
(drop-down)]],'List source'!D$2:E$59,2,FALSE)</f>
        <v>110</v>
      </c>
      <c r="C209" s="237" t="s">
        <v>517</v>
      </c>
      <c r="D209" s="244" t="str">
        <f t="shared" si="3"/>
        <v>PTO208-110-23</v>
      </c>
      <c r="E209" s="108" t="s">
        <v>2671</v>
      </c>
      <c r="F209" s="180" t="s">
        <v>2670</v>
      </c>
      <c r="G209" s="108" t="s">
        <v>2555</v>
      </c>
      <c r="H209" s="180">
        <v>-2.52</v>
      </c>
      <c r="I209" s="276">
        <v>45236</v>
      </c>
      <c r="J209" s="229" t="s">
        <v>17</v>
      </c>
      <c r="K209" s="246">
        <v>45259</v>
      </c>
      <c r="L209" s="180" t="s">
        <v>837</v>
      </c>
      <c r="M209" s="180" t="s">
        <v>2531</v>
      </c>
    </row>
    <row r="210" spans="1:13" s="243" customFormat="1" ht="18.75" x14ac:dyDescent="0.25">
      <c r="A210" s="108" t="s">
        <v>226</v>
      </c>
      <c r="B210" s="58">
        <f>VLOOKUP(Table27[[#This Row],[Location 
(drop-down)]],'List source'!D$2:E$59,2,FALSE)</f>
        <v>110</v>
      </c>
      <c r="C210" s="237" t="s">
        <v>518</v>
      </c>
      <c r="D210" s="244" t="str">
        <f t="shared" si="3"/>
        <v>PTO209-110-23</v>
      </c>
      <c r="E210" s="108" t="s">
        <v>2672</v>
      </c>
      <c r="F210" s="180" t="s">
        <v>2670</v>
      </c>
      <c r="G210" s="108" t="s">
        <v>2386</v>
      </c>
      <c r="H210" s="180">
        <v>-2.23</v>
      </c>
      <c r="I210" s="276">
        <v>45236</v>
      </c>
      <c r="J210" s="229" t="s">
        <v>1765</v>
      </c>
      <c r="K210" s="246">
        <v>45574</v>
      </c>
      <c r="L210" s="180" t="s">
        <v>822</v>
      </c>
      <c r="M210" s="180"/>
    </row>
    <row r="211" spans="1:13" s="243" customFormat="1" ht="30" x14ac:dyDescent="0.25">
      <c r="A211" s="108" t="s">
        <v>61</v>
      </c>
      <c r="B211" s="58">
        <f>VLOOKUP(Table27[[#This Row],[Location 
(drop-down)]],'List source'!D$2:E$59,2,FALSE)</f>
        <v>120</v>
      </c>
      <c r="C211" s="237" t="s">
        <v>519</v>
      </c>
      <c r="D211" s="244" t="str">
        <f t="shared" si="3"/>
        <v>PTO210-120-23</v>
      </c>
      <c r="E211" s="108" t="s">
        <v>2673</v>
      </c>
      <c r="F211" s="180" t="s">
        <v>2670</v>
      </c>
      <c r="G211" s="108" t="s">
        <v>2348</v>
      </c>
      <c r="H211" s="180">
        <v>2.08</v>
      </c>
      <c r="I211" s="276">
        <v>45236</v>
      </c>
      <c r="J211" s="229" t="s">
        <v>17</v>
      </c>
      <c r="K211" s="246">
        <v>45236</v>
      </c>
      <c r="L211" s="180" t="s">
        <v>828</v>
      </c>
      <c r="M211" s="226" t="s">
        <v>2463</v>
      </c>
    </row>
    <row r="212" spans="1:13" s="243" customFormat="1" ht="30" x14ac:dyDescent="0.25">
      <c r="A212" s="108" t="s">
        <v>178</v>
      </c>
      <c r="B212" s="58">
        <f>VLOOKUP(Table27[[#This Row],[Location 
(drop-down)]],'List source'!D$2:E$59,2,FALSE)</f>
        <v>150</v>
      </c>
      <c r="C212" s="237" t="s">
        <v>520</v>
      </c>
      <c r="D212" s="244" t="str">
        <f t="shared" si="3"/>
        <v>PTO211-150-23</v>
      </c>
      <c r="E212" s="144" t="s">
        <v>2674</v>
      </c>
      <c r="F212" s="179" t="s">
        <v>2670</v>
      </c>
      <c r="G212" s="144" t="s">
        <v>2344</v>
      </c>
      <c r="H212" s="179">
        <v>-2.54</v>
      </c>
      <c r="I212" s="276">
        <v>45236</v>
      </c>
      <c r="J212" s="229" t="s">
        <v>17</v>
      </c>
      <c r="K212" s="246">
        <v>45236</v>
      </c>
      <c r="L212" s="180" t="s">
        <v>828</v>
      </c>
      <c r="M212" s="226" t="s">
        <v>2463</v>
      </c>
    </row>
    <row r="213" spans="1:13" s="243" customFormat="1" ht="30" x14ac:dyDescent="0.25">
      <c r="A213" s="108" t="s">
        <v>324</v>
      </c>
      <c r="B213" s="58">
        <f>VLOOKUP(Table27[[#This Row],[Location 
(drop-down)]],'List source'!D$2:E$59,2,FALSE)</f>
        <v>170</v>
      </c>
      <c r="C213" s="237" t="s">
        <v>521</v>
      </c>
      <c r="D213" s="244" t="str">
        <f t="shared" si="3"/>
        <v>PTO212-170-23</v>
      </c>
      <c r="E213" s="108" t="s">
        <v>2675</v>
      </c>
      <c r="F213" s="180" t="s">
        <v>2670</v>
      </c>
      <c r="G213" s="108" t="s">
        <v>2520</v>
      </c>
      <c r="H213" s="295" t="s">
        <v>2676</v>
      </c>
      <c r="I213" s="276">
        <v>45236</v>
      </c>
      <c r="J213" s="229" t="s">
        <v>17</v>
      </c>
      <c r="K213" s="246">
        <v>45239</v>
      </c>
      <c r="L213" s="180" t="s">
        <v>837</v>
      </c>
      <c r="M213" s="180" t="s">
        <v>2677</v>
      </c>
    </row>
    <row r="214" spans="1:13" s="243" customFormat="1" ht="18.75" x14ac:dyDescent="0.25">
      <c r="A214" s="108" t="s">
        <v>87</v>
      </c>
      <c r="B214" s="58">
        <f>VLOOKUP(Table27[[#This Row],[Location 
(drop-down)]],'List source'!D$2:E$59,2,FALSE)</f>
        <v>210</v>
      </c>
      <c r="C214" s="237" t="s">
        <v>522</v>
      </c>
      <c r="D214" s="320" t="str">
        <f t="shared" si="3"/>
        <v>PTO213-210-23</v>
      </c>
      <c r="E214" s="108" t="s">
        <v>2678</v>
      </c>
      <c r="F214" s="180" t="s">
        <v>2670</v>
      </c>
      <c r="G214" s="108" t="s">
        <v>2348</v>
      </c>
      <c r="H214" s="180">
        <v>-2.1</v>
      </c>
      <c r="I214" s="276">
        <v>45236</v>
      </c>
      <c r="J214" s="229" t="s">
        <v>1765</v>
      </c>
      <c r="K214" s="246">
        <v>45343</v>
      </c>
      <c r="L214" s="180" t="s">
        <v>822</v>
      </c>
      <c r="M214" s="180"/>
    </row>
    <row r="215" spans="1:13" s="243" customFormat="1" ht="30" x14ac:dyDescent="0.25">
      <c r="A215" s="108" t="s">
        <v>171</v>
      </c>
      <c r="B215" s="58">
        <f>VLOOKUP(Table27[[#This Row],[Location 
(drop-down)]],'List source'!D$2:E$59,2,FALSE)</f>
        <v>160</v>
      </c>
      <c r="C215" s="237" t="s">
        <v>523</v>
      </c>
      <c r="D215" s="244" t="str">
        <f t="shared" si="3"/>
        <v>PTO214-160-23</v>
      </c>
      <c r="E215" s="296" t="s">
        <v>2679</v>
      </c>
      <c r="F215" s="180" t="s">
        <v>2330</v>
      </c>
      <c r="G215" s="296" t="s">
        <v>2348</v>
      </c>
      <c r="H215" s="180">
        <v>2.0099999999999998</v>
      </c>
      <c r="I215" s="276">
        <v>45238</v>
      </c>
      <c r="J215" s="229" t="s">
        <v>17</v>
      </c>
      <c r="K215" s="246">
        <v>45238</v>
      </c>
      <c r="L215" s="180" t="s">
        <v>828</v>
      </c>
      <c r="M215" s="226" t="s">
        <v>2463</v>
      </c>
    </row>
    <row r="216" spans="1:13" s="243" customFormat="1" ht="30" x14ac:dyDescent="0.25">
      <c r="A216" s="108" t="s">
        <v>324</v>
      </c>
      <c r="B216" s="58">
        <f>VLOOKUP(Table27[[#This Row],[Location 
(drop-down)]],'List source'!D$2:E$59,2,FALSE)</f>
        <v>170</v>
      </c>
      <c r="C216" s="237" t="s">
        <v>524</v>
      </c>
      <c r="D216" s="244" t="str">
        <f t="shared" si="3"/>
        <v>PTO215-170-23</v>
      </c>
      <c r="E216" s="108" t="s">
        <v>2680</v>
      </c>
      <c r="F216" s="180" t="s">
        <v>2330</v>
      </c>
      <c r="G216" s="108" t="s">
        <v>2336</v>
      </c>
      <c r="H216" s="180">
        <v>4.91</v>
      </c>
      <c r="I216" s="276">
        <v>45238</v>
      </c>
      <c r="J216" s="229" t="s">
        <v>875</v>
      </c>
      <c r="K216" s="246">
        <v>45275</v>
      </c>
      <c r="L216" s="180"/>
      <c r="M216" s="180"/>
    </row>
    <row r="217" spans="1:13" s="243" customFormat="1" ht="30" x14ac:dyDescent="0.25">
      <c r="A217" s="108" t="s">
        <v>324</v>
      </c>
      <c r="B217" s="58">
        <f>VLOOKUP(Table27[[#This Row],[Location 
(drop-down)]],'List source'!D$2:E$59,2,FALSE)</f>
        <v>170</v>
      </c>
      <c r="C217" s="237" t="s">
        <v>525</v>
      </c>
      <c r="D217" s="244" t="str">
        <f t="shared" si="3"/>
        <v>PTO216-170-23</v>
      </c>
      <c r="E217" s="108" t="s">
        <v>2681</v>
      </c>
      <c r="F217" s="180" t="s">
        <v>2330</v>
      </c>
      <c r="G217" s="108" t="s">
        <v>2336</v>
      </c>
      <c r="H217" s="180">
        <v>8.17</v>
      </c>
      <c r="I217" s="276">
        <v>45238</v>
      </c>
      <c r="J217" s="229" t="s">
        <v>875</v>
      </c>
      <c r="K217" s="246">
        <v>45275</v>
      </c>
      <c r="L217" s="180"/>
      <c r="M217" s="180"/>
    </row>
    <row r="218" spans="1:13" s="243" customFormat="1" ht="30" x14ac:dyDescent="0.25">
      <c r="A218" s="108" t="s">
        <v>126</v>
      </c>
      <c r="B218" s="58">
        <f>VLOOKUP(Table27[[#This Row],[Location 
(drop-down)]],'List source'!D$2:E$59,2,FALSE)</f>
        <v>125</v>
      </c>
      <c r="C218" s="237" t="s">
        <v>526</v>
      </c>
      <c r="D218" s="244" t="str">
        <f t="shared" si="3"/>
        <v>PTO217-125-23</v>
      </c>
      <c r="E218" s="108" t="s">
        <v>2682</v>
      </c>
      <c r="F218" s="180" t="s">
        <v>2354</v>
      </c>
      <c r="G218" s="108" t="s">
        <v>2683</v>
      </c>
      <c r="H218" s="180">
        <v>2.2200000000000002</v>
      </c>
      <c r="I218" s="276">
        <v>45238</v>
      </c>
      <c r="J218" s="229" t="s">
        <v>17</v>
      </c>
      <c r="K218" s="246">
        <v>45238</v>
      </c>
      <c r="L218" s="180" t="s">
        <v>828</v>
      </c>
      <c r="M218" s="226" t="s">
        <v>2463</v>
      </c>
    </row>
    <row r="219" spans="1:13" s="243" customFormat="1" ht="30" x14ac:dyDescent="0.25">
      <c r="A219" s="108" t="s">
        <v>174</v>
      </c>
      <c r="B219" s="58">
        <f>VLOOKUP(Table27[[#This Row],[Location 
(drop-down)]],'List source'!D$2:E$59,2,FALSE)</f>
        <v>131</v>
      </c>
      <c r="C219" s="237" t="s">
        <v>527</v>
      </c>
      <c r="D219" s="244" t="str">
        <f t="shared" si="3"/>
        <v>PTO218-131-23</v>
      </c>
      <c r="E219" s="108" t="s">
        <v>2684</v>
      </c>
      <c r="F219" s="180" t="s">
        <v>2343</v>
      </c>
      <c r="G219" s="108" t="s">
        <v>2344</v>
      </c>
      <c r="H219" s="180">
        <v>2.08</v>
      </c>
      <c r="I219" s="276">
        <v>45238</v>
      </c>
      <c r="J219" s="229" t="s">
        <v>17</v>
      </c>
      <c r="K219" s="246">
        <v>45238</v>
      </c>
      <c r="L219" s="180" t="s">
        <v>828</v>
      </c>
      <c r="M219" s="226" t="s">
        <v>2463</v>
      </c>
    </row>
    <row r="220" spans="1:13" s="243" customFormat="1" ht="30" x14ac:dyDescent="0.25">
      <c r="A220" s="108" t="s">
        <v>27</v>
      </c>
      <c r="B220" s="58">
        <f>VLOOKUP(Table27[[#This Row],[Location 
(drop-down)]],'List source'!D$2:E$59,2,FALSE)</f>
        <v>132</v>
      </c>
      <c r="C220" s="237" t="s">
        <v>528</v>
      </c>
      <c r="D220" s="244" t="str">
        <f t="shared" si="3"/>
        <v>PTO219-132-23</v>
      </c>
      <c r="E220" s="108" t="s">
        <v>2685</v>
      </c>
      <c r="F220" s="180" t="s">
        <v>2343</v>
      </c>
      <c r="G220" s="108" t="s">
        <v>2686</v>
      </c>
      <c r="H220" s="180">
        <v>-2.4900000000000002</v>
      </c>
      <c r="I220" s="276">
        <v>45238</v>
      </c>
      <c r="J220" s="229" t="s">
        <v>17</v>
      </c>
      <c r="K220" s="246">
        <v>45238</v>
      </c>
      <c r="L220" s="180" t="s">
        <v>828</v>
      </c>
      <c r="M220" s="226" t="s">
        <v>2463</v>
      </c>
    </row>
    <row r="221" spans="1:13" s="243" customFormat="1" ht="30" x14ac:dyDescent="0.25">
      <c r="A221" s="108" t="s">
        <v>112</v>
      </c>
      <c r="B221" s="58">
        <f>VLOOKUP(Table27[[#This Row],[Location 
(drop-down)]],'List source'!D$2:E$59,2,FALSE)</f>
        <v>115</v>
      </c>
      <c r="C221" s="237" t="s">
        <v>529</v>
      </c>
      <c r="D221" s="244" t="str">
        <f t="shared" si="3"/>
        <v>PTO220-115-23</v>
      </c>
      <c r="E221" s="108" t="s">
        <v>2687</v>
      </c>
      <c r="F221" s="180" t="s">
        <v>2321</v>
      </c>
      <c r="G221" s="108" t="s">
        <v>2348</v>
      </c>
      <c r="H221" s="180" t="s">
        <v>2688</v>
      </c>
      <c r="I221" s="276">
        <v>45238</v>
      </c>
      <c r="J221" s="229" t="s">
        <v>17</v>
      </c>
      <c r="K221" s="246">
        <v>45238</v>
      </c>
      <c r="L221" s="180" t="s">
        <v>828</v>
      </c>
      <c r="M221" s="226" t="s">
        <v>2463</v>
      </c>
    </row>
    <row r="222" spans="1:13" s="243" customFormat="1" ht="18.75" x14ac:dyDescent="0.25">
      <c r="A222" s="108" t="s">
        <v>168</v>
      </c>
      <c r="B222" s="58">
        <f>VLOOKUP(Table27[[#This Row],[Location 
(drop-down)]],'List source'!D$2:E$59,2,FALSE)</f>
        <v>136</v>
      </c>
      <c r="C222" s="237" t="s">
        <v>530</v>
      </c>
      <c r="D222" s="244" t="str">
        <f t="shared" si="3"/>
        <v>PTO221-136-23</v>
      </c>
      <c r="E222" s="108" t="s">
        <v>2689</v>
      </c>
      <c r="F222" s="180" t="s">
        <v>2321</v>
      </c>
      <c r="G222" s="108" t="s">
        <v>2690</v>
      </c>
      <c r="H222" s="180">
        <v>-2.4500000000000002</v>
      </c>
      <c r="I222" s="276">
        <v>45238</v>
      </c>
      <c r="J222" s="229" t="s">
        <v>2324</v>
      </c>
      <c r="K222" s="246">
        <v>45309</v>
      </c>
      <c r="L222" s="180" t="s">
        <v>832</v>
      </c>
      <c r="M222" s="180"/>
    </row>
    <row r="223" spans="1:13" s="243" customFormat="1" ht="30" x14ac:dyDescent="0.25">
      <c r="A223" s="108" t="s">
        <v>331</v>
      </c>
      <c r="B223" s="58">
        <f>VLOOKUP(Table27[[#This Row],[Location 
(drop-down)]],'List source'!D$2:E$59,2,FALSE)</f>
        <v>146</v>
      </c>
      <c r="C223" s="237" t="s">
        <v>531</v>
      </c>
      <c r="D223" s="244" t="str">
        <f t="shared" si="3"/>
        <v>PTO222-146-23</v>
      </c>
      <c r="E223" s="108" t="s">
        <v>2691</v>
      </c>
      <c r="F223" s="180" t="s">
        <v>2321</v>
      </c>
      <c r="G223" s="108" t="s">
        <v>2331</v>
      </c>
      <c r="H223" s="180">
        <v>2.4900000000000002</v>
      </c>
      <c r="I223" s="276">
        <v>45238</v>
      </c>
      <c r="J223" s="229" t="s">
        <v>2324</v>
      </c>
      <c r="K223" s="246">
        <v>45343</v>
      </c>
      <c r="L223" s="180"/>
      <c r="M223" s="180"/>
    </row>
    <row r="224" spans="1:13" s="243" customFormat="1" ht="30" x14ac:dyDescent="0.25">
      <c r="A224" s="108" t="s">
        <v>331</v>
      </c>
      <c r="B224" s="58">
        <f>VLOOKUP(Table27[[#This Row],[Location 
(drop-down)]],'List source'!D$2:E$59,2,FALSE)</f>
        <v>146</v>
      </c>
      <c r="C224" s="237" t="s">
        <v>532</v>
      </c>
      <c r="D224" s="244" t="str">
        <f t="shared" si="3"/>
        <v>PTO223-146-23</v>
      </c>
      <c r="E224" s="108" t="s">
        <v>2692</v>
      </c>
      <c r="F224" s="180" t="s">
        <v>2321</v>
      </c>
      <c r="G224" s="108" t="s">
        <v>2322</v>
      </c>
      <c r="H224" s="180">
        <v>-2.5099999999999998</v>
      </c>
      <c r="I224" s="276">
        <v>45238</v>
      </c>
      <c r="J224" s="229" t="s">
        <v>17</v>
      </c>
      <c r="K224" s="246">
        <v>45238</v>
      </c>
      <c r="L224" s="180" t="s">
        <v>828</v>
      </c>
      <c r="M224" s="226" t="s">
        <v>2463</v>
      </c>
    </row>
    <row r="225" spans="1:13" s="243" customFormat="1" ht="18.75" x14ac:dyDescent="0.25">
      <c r="A225" s="108" t="s">
        <v>331</v>
      </c>
      <c r="B225" s="58">
        <f>VLOOKUP(Table27[[#This Row],[Location 
(drop-down)]],'List source'!D$2:E$59,2,FALSE)</f>
        <v>146</v>
      </c>
      <c r="C225" s="237" t="s">
        <v>533</v>
      </c>
      <c r="D225" s="244" t="str">
        <f t="shared" si="3"/>
        <v>PTO224-146-23</v>
      </c>
      <c r="E225" s="108" t="s">
        <v>2693</v>
      </c>
      <c r="F225" s="180" t="s">
        <v>2321</v>
      </c>
      <c r="G225" s="108" t="s">
        <v>2348</v>
      </c>
      <c r="H225" s="180">
        <v>-3.1</v>
      </c>
      <c r="I225" s="276">
        <v>45238</v>
      </c>
      <c r="J225" s="229" t="s">
        <v>2324</v>
      </c>
      <c r="K225" s="246">
        <v>45341</v>
      </c>
      <c r="L225" s="180"/>
      <c r="M225" s="180"/>
    </row>
    <row r="226" spans="1:13" s="243" customFormat="1" ht="30" x14ac:dyDescent="0.25">
      <c r="A226" s="108" t="s">
        <v>324</v>
      </c>
      <c r="B226" s="58">
        <f>VLOOKUP(Table27[[#This Row],[Location 
(drop-down)]],'List source'!D$2:E$59,2,FALSE)</f>
        <v>170</v>
      </c>
      <c r="C226" s="237" t="s">
        <v>534</v>
      </c>
      <c r="D226" s="244" t="str">
        <f t="shared" si="3"/>
        <v>PTO225-170-23</v>
      </c>
      <c r="E226" s="108" t="s">
        <v>2694</v>
      </c>
      <c r="F226" s="180" t="s">
        <v>2321</v>
      </c>
      <c r="G226" s="108" t="s">
        <v>2520</v>
      </c>
      <c r="H226" s="180">
        <v>2.04</v>
      </c>
      <c r="I226" s="276">
        <v>45238</v>
      </c>
      <c r="J226" s="229" t="s">
        <v>2324</v>
      </c>
      <c r="K226" s="246">
        <v>45322</v>
      </c>
      <c r="L226" s="180"/>
      <c r="M226" s="180"/>
    </row>
    <row r="227" spans="1:13" s="243" customFormat="1" ht="30" x14ac:dyDescent="0.25">
      <c r="A227" s="108" t="s">
        <v>108</v>
      </c>
      <c r="B227" s="58">
        <f>VLOOKUP(Table27[[#This Row],[Location 
(drop-down)]],'List source'!D$2:E$59,2,FALSE)</f>
        <v>191</v>
      </c>
      <c r="C227" s="237" t="s">
        <v>535</v>
      </c>
      <c r="D227" s="244" t="str">
        <f t="shared" si="3"/>
        <v>PTO226-191-23</v>
      </c>
      <c r="E227" s="108" t="s">
        <v>2695</v>
      </c>
      <c r="F227" s="180" t="s">
        <v>2321</v>
      </c>
      <c r="G227" s="108" t="s">
        <v>2596</v>
      </c>
      <c r="H227" s="180">
        <v>2.87</v>
      </c>
      <c r="I227" s="276">
        <v>45238</v>
      </c>
      <c r="J227" s="229" t="s">
        <v>17</v>
      </c>
      <c r="K227" s="246">
        <v>45238</v>
      </c>
      <c r="L227" s="180" t="s">
        <v>828</v>
      </c>
      <c r="M227" s="226" t="s">
        <v>2463</v>
      </c>
    </row>
    <row r="228" spans="1:13" s="243" customFormat="1" ht="30" x14ac:dyDescent="0.25">
      <c r="A228" s="108" t="s">
        <v>75</v>
      </c>
      <c r="B228" s="58">
        <f>VLOOKUP(Table27[[#This Row],[Location 
(drop-down)]],'List source'!D$2:E$59,2,FALSE)</f>
        <v>180</v>
      </c>
      <c r="C228" s="237" t="s">
        <v>536</v>
      </c>
      <c r="D228" s="244" t="str">
        <f t="shared" si="3"/>
        <v>PTO227-180-23</v>
      </c>
      <c r="E228" s="108" t="s">
        <v>2696</v>
      </c>
      <c r="F228" s="180" t="s">
        <v>2697</v>
      </c>
      <c r="G228" s="108" t="s">
        <v>2517</v>
      </c>
      <c r="H228" s="180">
        <v>-4.95</v>
      </c>
      <c r="I228" s="276">
        <v>45239</v>
      </c>
      <c r="J228" s="229" t="s">
        <v>435</v>
      </c>
      <c r="K228" s="246">
        <v>45303</v>
      </c>
      <c r="L228" s="180" t="s">
        <v>822</v>
      </c>
      <c r="M228" s="180"/>
    </row>
    <row r="229" spans="1:13" s="243" customFormat="1" ht="30" x14ac:dyDescent="0.25">
      <c r="A229" s="108" t="s">
        <v>75</v>
      </c>
      <c r="B229" s="58">
        <f>VLOOKUP(Table27[[#This Row],[Location 
(drop-down)]],'List source'!D$2:E$59,2,FALSE)</f>
        <v>180</v>
      </c>
      <c r="C229" s="237" t="s">
        <v>537</v>
      </c>
      <c r="D229" s="244" t="str">
        <f t="shared" si="3"/>
        <v>PTO228-180-23</v>
      </c>
      <c r="E229" s="108" t="s">
        <v>2698</v>
      </c>
      <c r="F229" s="180" t="s">
        <v>2697</v>
      </c>
      <c r="G229" s="108" t="s">
        <v>2699</v>
      </c>
      <c r="H229" s="180">
        <v>-2.6</v>
      </c>
      <c r="I229" s="276">
        <v>45239</v>
      </c>
      <c r="J229" s="229" t="s">
        <v>17</v>
      </c>
      <c r="K229" s="246">
        <v>45239</v>
      </c>
      <c r="L229" s="180" t="s">
        <v>828</v>
      </c>
      <c r="M229" s="226" t="s">
        <v>2463</v>
      </c>
    </row>
    <row r="230" spans="1:13" s="243" customFormat="1" ht="30" x14ac:dyDescent="0.25">
      <c r="A230" s="108" t="s">
        <v>75</v>
      </c>
      <c r="B230" s="58">
        <f>VLOOKUP(Table27[[#This Row],[Location 
(drop-down)]],'List source'!D$2:E$59,2,FALSE)</f>
        <v>180</v>
      </c>
      <c r="C230" s="237" t="s">
        <v>538</v>
      </c>
      <c r="D230" s="244" t="str">
        <f t="shared" si="3"/>
        <v>PTO229-180-23</v>
      </c>
      <c r="E230" s="108" t="s">
        <v>2700</v>
      </c>
      <c r="F230" s="180" t="s">
        <v>2697</v>
      </c>
      <c r="G230" s="108" t="s">
        <v>2420</v>
      </c>
      <c r="H230" s="180">
        <v>11.35</v>
      </c>
      <c r="I230" s="276">
        <v>45239</v>
      </c>
      <c r="J230" s="229" t="s">
        <v>17</v>
      </c>
      <c r="K230" s="246">
        <v>45239</v>
      </c>
      <c r="L230" s="180" t="s">
        <v>837</v>
      </c>
      <c r="M230" s="180" t="s">
        <v>2577</v>
      </c>
    </row>
    <row r="231" spans="1:13" s="243" customFormat="1" ht="30" x14ac:dyDescent="0.25">
      <c r="A231" s="108" t="s">
        <v>75</v>
      </c>
      <c r="B231" s="58">
        <f>VLOOKUP(Table27[[#This Row],[Location 
(drop-down)]],'List source'!D$2:E$59,2,FALSE)</f>
        <v>180</v>
      </c>
      <c r="C231" s="237" t="s">
        <v>539</v>
      </c>
      <c r="D231" s="244" t="str">
        <f t="shared" si="3"/>
        <v>PTO230-180-23</v>
      </c>
      <c r="E231" s="108" t="s">
        <v>2701</v>
      </c>
      <c r="F231" s="180" t="s">
        <v>2697</v>
      </c>
      <c r="G231" s="108" t="s">
        <v>2609</v>
      </c>
      <c r="H231" s="180">
        <v>2.13</v>
      </c>
      <c r="I231" s="276">
        <v>45239</v>
      </c>
      <c r="J231" s="229" t="s">
        <v>17</v>
      </c>
      <c r="K231" s="246">
        <v>45239</v>
      </c>
      <c r="L231" s="180" t="s">
        <v>828</v>
      </c>
      <c r="M231" s="226" t="s">
        <v>2463</v>
      </c>
    </row>
    <row r="232" spans="1:13" s="243" customFormat="1" ht="30" x14ac:dyDescent="0.25">
      <c r="A232" s="108" t="s">
        <v>226</v>
      </c>
      <c r="B232" s="58">
        <f>VLOOKUP(Table27[[#This Row],[Location 
(drop-down)]],'List source'!D$2:E$59,2,FALSE)</f>
        <v>110</v>
      </c>
      <c r="C232" s="237" t="s">
        <v>540</v>
      </c>
      <c r="D232" s="244" t="str">
        <f t="shared" si="3"/>
        <v>PTO231-110-23</v>
      </c>
      <c r="E232" s="108" t="s">
        <v>2702</v>
      </c>
      <c r="F232" s="180" t="s">
        <v>2450</v>
      </c>
      <c r="G232" s="108" t="s">
        <v>2703</v>
      </c>
      <c r="H232" s="180">
        <v>2.09</v>
      </c>
      <c r="I232" s="276">
        <v>45271</v>
      </c>
      <c r="J232" s="180" t="s">
        <v>17</v>
      </c>
      <c r="K232" s="227">
        <v>45280</v>
      </c>
      <c r="L232" s="180" t="s">
        <v>837</v>
      </c>
      <c r="M232" s="180" t="s">
        <v>2577</v>
      </c>
    </row>
    <row r="233" spans="1:13" s="243" customFormat="1" ht="30" x14ac:dyDescent="0.25">
      <c r="A233" s="108" t="s">
        <v>226</v>
      </c>
      <c r="B233" s="58">
        <f>VLOOKUP(Table27[[#This Row],[Location 
(drop-down)]],'List source'!D$2:E$59,2,FALSE)</f>
        <v>110</v>
      </c>
      <c r="C233" s="237" t="s">
        <v>541</v>
      </c>
      <c r="D233" s="244" t="str">
        <f t="shared" si="3"/>
        <v>PTO232-110-23</v>
      </c>
      <c r="E233" s="108" t="s">
        <v>2704</v>
      </c>
      <c r="F233" s="180" t="s">
        <v>2450</v>
      </c>
      <c r="G233" s="108" t="s">
        <v>2348</v>
      </c>
      <c r="H233" s="180">
        <v>2.44</v>
      </c>
      <c r="I233" s="276">
        <v>45271</v>
      </c>
      <c r="J233" s="229" t="s">
        <v>17</v>
      </c>
      <c r="K233" s="246">
        <v>45271</v>
      </c>
      <c r="L233" s="180" t="s">
        <v>828</v>
      </c>
      <c r="M233" s="180" t="s">
        <v>2463</v>
      </c>
    </row>
    <row r="234" spans="1:13" s="243" customFormat="1" ht="30" x14ac:dyDescent="0.25">
      <c r="A234" s="108" t="s">
        <v>1270</v>
      </c>
      <c r="B234" s="58">
        <f>VLOOKUP(Table27[[#This Row],[Location 
(drop-down)]],'List source'!D$2:E$59,2,FALSE)</f>
        <v>124</v>
      </c>
      <c r="C234" s="237" t="s">
        <v>542</v>
      </c>
      <c r="D234" s="244" t="str">
        <f t="shared" si="3"/>
        <v>PTO233-124-23</v>
      </c>
      <c r="E234" s="108" t="s">
        <v>2705</v>
      </c>
      <c r="F234" s="180" t="s">
        <v>2450</v>
      </c>
      <c r="G234" s="108" t="s">
        <v>2420</v>
      </c>
      <c r="H234" s="180">
        <v>-2.31</v>
      </c>
      <c r="I234" s="276">
        <v>45271</v>
      </c>
      <c r="J234" s="229" t="s">
        <v>17</v>
      </c>
      <c r="K234" s="246">
        <v>45300</v>
      </c>
      <c r="L234" s="180" t="s">
        <v>837</v>
      </c>
      <c r="M234" s="180" t="s">
        <v>2577</v>
      </c>
    </row>
    <row r="235" spans="1:13" s="243" customFormat="1" ht="30" x14ac:dyDescent="0.25">
      <c r="A235" s="108" t="s">
        <v>1270</v>
      </c>
      <c r="B235" s="58">
        <f>VLOOKUP(Table27[[#This Row],[Location 
(drop-down)]],'List source'!D$2:E$59,2,FALSE)</f>
        <v>124</v>
      </c>
      <c r="C235" s="237" t="s">
        <v>543</v>
      </c>
      <c r="D235" s="244" t="str">
        <f t="shared" si="3"/>
        <v>PTO234-124-23</v>
      </c>
      <c r="E235" s="108" t="s">
        <v>2706</v>
      </c>
      <c r="F235" s="180" t="s">
        <v>2450</v>
      </c>
      <c r="G235" s="108" t="s">
        <v>2386</v>
      </c>
      <c r="H235" s="180">
        <v>-2.02</v>
      </c>
      <c r="I235" s="276">
        <v>45271</v>
      </c>
      <c r="J235" s="180" t="s">
        <v>17</v>
      </c>
      <c r="K235" s="246">
        <v>45271</v>
      </c>
      <c r="L235" s="180" t="s">
        <v>828</v>
      </c>
      <c r="M235" s="180" t="s">
        <v>2463</v>
      </c>
    </row>
    <row r="236" spans="1:13" s="243" customFormat="1" ht="30" x14ac:dyDescent="0.25">
      <c r="A236" s="108" t="s">
        <v>126</v>
      </c>
      <c r="B236" s="58">
        <f>VLOOKUP(Table27[[#This Row],[Location 
(drop-down)]],'List source'!D$2:E$59,2,FALSE)</f>
        <v>125</v>
      </c>
      <c r="C236" s="334" t="s">
        <v>544</v>
      </c>
      <c r="D236" s="340" t="str">
        <f t="shared" si="3"/>
        <v>PTO235-125-23</v>
      </c>
      <c r="E236" s="336" t="s">
        <v>2707</v>
      </c>
      <c r="F236" s="337" t="s">
        <v>2450</v>
      </c>
      <c r="G236" s="336" t="s">
        <v>2708</v>
      </c>
      <c r="H236" s="342" t="s">
        <v>2709</v>
      </c>
      <c r="I236" s="338">
        <v>45271</v>
      </c>
      <c r="J236" s="338" t="s">
        <v>1762</v>
      </c>
      <c r="K236" s="339">
        <v>45371</v>
      </c>
      <c r="L236" s="180" t="s">
        <v>822</v>
      </c>
      <c r="M236" s="180"/>
    </row>
    <row r="237" spans="1:13" s="243" customFormat="1" ht="30" x14ac:dyDescent="0.25">
      <c r="A237" s="108" t="s">
        <v>13</v>
      </c>
      <c r="B237" s="58">
        <f>VLOOKUP(Table27[[#This Row],[Location 
(drop-down)]],'List source'!D$2:E$59,2,FALSE)</f>
        <v>126</v>
      </c>
      <c r="C237" s="237" t="s">
        <v>545</v>
      </c>
      <c r="D237" s="244" t="str">
        <f t="shared" si="3"/>
        <v>PTO236-126-23</v>
      </c>
      <c r="E237" s="108" t="s">
        <v>2710</v>
      </c>
      <c r="F237" s="180" t="s">
        <v>2450</v>
      </c>
      <c r="G237" s="108" t="s">
        <v>2526</v>
      </c>
      <c r="H237" s="180">
        <v>-4.3</v>
      </c>
      <c r="I237" s="276">
        <v>45271</v>
      </c>
      <c r="J237" s="229" t="s">
        <v>1762</v>
      </c>
      <c r="K237" s="246">
        <v>45372</v>
      </c>
      <c r="L237" s="180" t="s">
        <v>822</v>
      </c>
      <c r="M237" s="180"/>
    </row>
    <row r="238" spans="1:13" s="243" customFormat="1" ht="18.75" x14ac:dyDescent="0.25">
      <c r="A238" s="108" t="s">
        <v>27</v>
      </c>
      <c r="B238" s="58">
        <f>VLOOKUP(Table27[[#This Row],[Location 
(drop-down)]],'List source'!D$2:E$59,2,FALSE)</f>
        <v>132</v>
      </c>
      <c r="C238" s="237" t="s">
        <v>546</v>
      </c>
      <c r="D238" s="244" t="str">
        <f t="shared" si="3"/>
        <v>PTO237-132-23</v>
      </c>
      <c r="E238" s="108" t="s">
        <v>2711</v>
      </c>
      <c r="F238" s="180" t="s">
        <v>2450</v>
      </c>
      <c r="G238" s="108" t="s">
        <v>2712</v>
      </c>
      <c r="H238" s="180">
        <v>6.24</v>
      </c>
      <c r="I238" s="276">
        <v>45271</v>
      </c>
      <c r="J238" s="229" t="s">
        <v>2713</v>
      </c>
      <c r="K238" s="246">
        <v>45783</v>
      </c>
      <c r="L238" s="180"/>
      <c r="M238" s="180"/>
    </row>
    <row r="239" spans="1:13" s="243" customFormat="1" ht="30" x14ac:dyDescent="0.25">
      <c r="A239" s="108" t="s">
        <v>27</v>
      </c>
      <c r="B239" s="58">
        <f>VLOOKUP(Table27[[#This Row],[Location 
(drop-down)]],'List source'!D$2:E$59,2,FALSE)</f>
        <v>132</v>
      </c>
      <c r="C239" s="237" t="s">
        <v>547</v>
      </c>
      <c r="D239" s="340" t="str">
        <f t="shared" si="3"/>
        <v>PTO238-132-23</v>
      </c>
      <c r="E239" s="108" t="s">
        <v>2714</v>
      </c>
      <c r="F239" s="180" t="s">
        <v>2450</v>
      </c>
      <c r="G239" s="108" t="s">
        <v>2366</v>
      </c>
      <c r="H239" s="180">
        <v>3</v>
      </c>
      <c r="I239" s="276">
        <v>45271</v>
      </c>
      <c r="J239" s="338" t="s">
        <v>1368</v>
      </c>
      <c r="K239" s="339">
        <v>45680</v>
      </c>
      <c r="L239" s="180"/>
      <c r="M239" s="180"/>
    </row>
    <row r="240" spans="1:13" s="243" customFormat="1" ht="30" x14ac:dyDescent="0.25">
      <c r="A240" s="108" t="s">
        <v>27</v>
      </c>
      <c r="B240" s="58">
        <f>VLOOKUP(Table27[[#This Row],[Location 
(drop-down)]],'List source'!D$2:E$59,2,FALSE)</f>
        <v>132</v>
      </c>
      <c r="C240" s="237" t="s">
        <v>548</v>
      </c>
      <c r="D240" s="244" t="str">
        <f t="shared" si="3"/>
        <v>PTO239-132-23</v>
      </c>
      <c r="E240" s="108" t="s">
        <v>2715</v>
      </c>
      <c r="F240" s="180" t="s">
        <v>2450</v>
      </c>
      <c r="G240" s="108" t="s">
        <v>2474</v>
      </c>
      <c r="H240" s="255" t="s">
        <v>2716</v>
      </c>
      <c r="I240" s="276">
        <v>45271</v>
      </c>
      <c r="J240" s="229" t="s">
        <v>1368</v>
      </c>
      <c r="K240" s="246">
        <v>45819</v>
      </c>
      <c r="L240" s="180"/>
      <c r="M240" s="180"/>
    </row>
    <row r="241" spans="1:13" s="243" customFormat="1" ht="30" x14ac:dyDescent="0.25">
      <c r="A241" s="108" t="s">
        <v>27</v>
      </c>
      <c r="B241" s="58">
        <f>VLOOKUP(Table27[[#This Row],[Location 
(drop-down)]],'List source'!D$2:E$59,2,FALSE)</f>
        <v>132</v>
      </c>
      <c r="C241" s="237" t="s">
        <v>549</v>
      </c>
      <c r="D241" s="244" t="str">
        <f t="shared" si="3"/>
        <v>PTO240-132-23</v>
      </c>
      <c r="E241" s="108" t="s">
        <v>2717</v>
      </c>
      <c r="F241" s="180" t="s">
        <v>2450</v>
      </c>
      <c r="G241" s="108" t="s">
        <v>2372</v>
      </c>
      <c r="H241" s="180">
        <v>-2.4</v>
      </c>
      <c r="I241" s="276">
        <v>45271</v>
      </c>
      <c r="J241" s="229" t="s">
        <v>17</v>
      </c>
      <c r="K241" s="246">
        <v>45271</v>
      </c>
      <c r="L241" s="180" t="s">
        <v>828</v>
      </c>
      <c r="M241" s="226" t="s">
        <v>2463</v>
      </c>
    </row>
    <row r="242" spans="1:13" s="243" customFormat="1" ht="30" x14ac:dyDescent="0.25">
      <c r="A242" s="108" t="s">
        <v>168</v>
      </c>
      <c r="B242" s="58">
        <f>VLOOKUP(Table27[[#This Row],[Location 
(drop-down)]],'List source'!D$2:E$59,2,FALSE)</f>
        <v>136</v>
      </c>
      <c r="C242" s="237" t="s">
        <v>550</v>
      </c>
      <c r="D242" s="244" t="str">
        <f t="shared" si="3"/>
        <v>PTO241-136-23</v>
      </c>
      <c r="E242" s="108" t="s">
        <v>2718</v>
      </c>
      <c r="F242" s="180" t="s">
        <v>2450</v>
      </c>
      <c r="G242" s="108" t="s">
        <v>2348</v>
      </c>
      <c r="H242" s="180" t="s">
        <v>2719</v>
      </c>
      <c r="I242" s="276">
        <v>45271</v>
      </c>
      <c r="J242" s="229" t="s">
        <v>875</v>
      </c>
      <c r="K242" s="280">
        <v>45286</v>
      </c>
      <c r="L242" s="230"/>
      <c r="M242" s="108"/>
    </row>
    <row r="243" spans="1:13" s="243" customFormat="1" ht="30" x14ac:dyDescent="0.25">
      <c r="A243" s="108" t="s">
        <v>924</v>
      </c>
      <c r="B243" s="58">
        <f>VLOOKUP(Table27[[#This Row],[Location 
(drop-down)]],'List source'!D$2:E$59,2,FALSE)</f>
        <v>144</v>
      </c>
      <c r="C243" s="237" t="s">
        <v>551</v>
      </c>
      <c r="D243" s="244" t="str">
        <f t="shared" si="3"/>
        <v>PTO242-144-23</v>
      </c>
      <c r="E243" s="108" t="s">
        <v>2720</v>
      </c>
      <c r="F243" s="180" t="s">
        <v>2450</v>
      </c>
      <c r="G243" s="108" t="s">
        <v>2401</v>
      </c>
      <c r="H243" s="180">
        <v>11.09</v>
      </c>
      <c r="I243" s="276">
        <v>45271</v>
      </c>
      <c r="J243" s="229" t="s">
        <v>17</v>
      </c>
      <c r="K243" s="260">
        <v>45279</v>
      </c>
      <c r="L243" s="230" t="s">
        <v>837</v>
      </c>
      <c r="M243" s="108" t="s">
        <v>2633</v>
      </c>
    </row>
    <row r="244" spans="1:13" s="243" customFormat="1" ht="30" x14ac:dyDescent="0.25">
      <c r="A244" s="108" t="s">
        <v>924</v>
      </c>
      <c r="B244" s="58">
        <f>VLOOKUP(Table27[[#This Row],[Location 
(drop-down)]],'List source'!D$2:E$59,2,FALSE)</f>
        <v>144</v>
      </c>
      <c r="C244" s="237" t="s">
        <v>552</v>
      </c>
      <c r="D244" s="244" t="str">
        <f t="shared" si="3"/>
        <v>PTO243-144-23</v>
      </c>
      <c r="E244" s="108" t="s">
        <v>2721</v>
      </c>
      <c r="F244" s="180" t="s">
        <v>2450</v>
      </c>
      <c r="G244" s="108" t="s">
        <v>2366</v>
      </c>
      <c r="H244" s="180">
        <v>-2.1</v>
      </c>
      <c r="I244" s="276">
        <v>45271</v>
      </c>
      <c r="J244" s="229" t="s">
        <v>17</v>
      </c>
      <c r="K244" s="260">
        <v>45279</v>
      </c>
      <c r="L244" s="230" t="s">
        <v>837</v>
      </c>
      <c r="M244" s="108" t="s">
        <v>2577</v>
      </c>
    </row>
    <row r="245" spans="1:13" s="243" customFormat="1" ht="30" x14ac:dyDescent="0.25">
      <c r="A245" s="108" t="s">
        <v>826</v>
      </c>
      <c r="B245" s="58">
        <f>VLOOKUP(Table27[[#This Row],[Location 
(drop-down)]],'List source'!D$2:E$59,2,FALSE)</f>
        <v>145</v>
      </c>
      <c r="C245" s="237" t="s">
        <v>553</v>
      </c>
      <c r="D245" s="244" t="str">
        <f t="shared" si="3"/>
        <v>PTO244-145-23</v>
      </c>
      <c r="E245" s="108" t="s">
        <v>2722</v>
      </c>
      <c r="F245" s="180" t="s">
        <v>2450</v>
      </c>
      <c r="G245" s="108" t="s">
        <v>2712</v>
      </c>
      <c r="H245" s="180">
        <v>2.81</v>
      </c>
      <c r="I245" s="276">
        <v>45271</v>
      </c>
      <c r="J245" s="230" t="s">
        <v>17</v>
      </c>
      <c r="K245" s="322">
        <v>45271</v>
      </c>
      <c r="L245" s="230" t="s">
        <v>828</v>
      </c>
      <c r="M245" s="226" t="s">
        <v>2463</v>
      </c>
    </row>
    <row r="246" spans="1:13" s="243" customFormat="1" ht="30" x14ac:dyDescent="0.25">
      <c r="A246" s="108" t="s">
        <v>331</v>
      </c>
      <c r="B246" s="58">
        <f>VLOOKUP(Table27[[#This Row],[Location 
(drop-down)]],'List source'!D$2:E$59,2,FALSE)</f>
        <v>146</v>
      </c>
      <c r="C246" s="237" t="s">
        <v>554</v>
      </c>
      <c r="D246" s="238" t="str">
        <f t="shared" ref="D246:D309" si="4">"PTO" &amp; C246 &amp; "-" &amp; B246 &amp; "-" &amp; "23"</f>
        <v>PTO245-146-23</v>
      </c>
      <c r="E246" s="108" t="s">
        <v>2723</v>
      </c>
      <c r="F246" s="180" t="s">
        <v>2450</v>
      </c>
      <c r="G246" s="108" t="s">
        <v>2724</v>
      </c>
      <c r="H246" s="180">
        <v>3.7</v>
      </c>
      <c r="I246" s="276">
        <v>45271</v>
      </c>
      <c r="J246" s="308" t="s">
        <v>875</v>
      </c>
      <c r="K246" s="309">
        <v>45306</v>
      </c>
      <c r="L246" s="180"/>
      <c r="M246" s="180"/>
    </row>
    <row r="247" spans="1:13" s="243" customFormat="1" ht="30" x14ac:dyDescent="0.25">
      <c r="A247" s="108" t="s">
        <v>178</v>
      </c>
      <c r="B247" s="58">
        <f>VLOOKUP(Table27[[#This Row],[Location 
(drop-down)]],'List source'!D$2:E$59,2,FALSE)</f>
        <v>150</v>
      </c>
      <c r="C247" s="237" t="s">
        <v>555</v>
      </c>
      <c r="D247" s="244" t="str">
        <f t="shared" si="4"/>
        <v>PTO246-150-23</v>
      </c>
      <c r="E247" s="323" t="s">
        <v>2725</v>
      </c>
      <c r="F247" s="180" t="s">
        <v>2450</v>
      </c>
      <c r="G247" s="108" t="s">
        <v>2401</v>
      </c>
      <c r="H247" s="180">
        <v>2.5099999999999998</v>
      </c>
      <c r="I247" s="276">
        <v>45271</v>
      </c>
      <c r="J247" s="229" t="s">
        <v>17</v>
      </c>
      <c r="K247" s="246">
        <v>45271</v>
      </c>
      <c r="L247" s="180" t="s">
        <v>828</v>
      </c>
      <c r="M247" s="226" t="s">
        <v>2463</v>
      </c>
    </row>
    <row r="248" spans="1:13" s="243" customFormat="1" ht="30" x14ac:dyDescent="0.25">
      <c r="A248" s="108" t="s">
        <v>57</v>
      </c>
      <c r="B248" s="58">
        <f>VLOOKUP(Table27[[#This Row],[Location 
(drop-down)]],'List source'!D$2:E$59,2,FALSE)</f>
        <v>155</v>
      </c>
      <c r="C248" s="237" t="s">
        <v>556</v>
      </c>
      <c r="D248" s="244" t="str">
        <f t="shared" si="4"/>
        <v>PTO247-155-23</v>
      </c>
      <c r="E248" s="108" t="s">
        <v>2726</v>
      </c>
      <c r="F248" s="180" t="s">
        <v>2450</v>
      </c>
      <c r="G248" s="108" t="s">
        <v>2348</v>
      </c>
      <c r="H248" s="180" t="s">
        <v>2727</v>
      </c>
      <c r="I248" s="229">
        <v>45271</v>
      </c>
      <c r="J248" s="229" t="s">
        <v>17</v>
      </c>
      <c r="K248" s="246">
        <v>45271</v>
      </c>
      <c r="L248" s="180" t="s">
        <v>828</v>
      </c>
      <c r="M248" s="226" t="s">
        <v>2463</v>
      </c>
    </row>
    <row r="249" spans="1:13" s="243" customFormat="1" ht="30" x14ac:dyDescent="0.25">
      <c r="A249" s="108" t="s">
        <v>37</v>
      </c>
      <c r="B249" s="58">
        <f>VLOOKUP(Table27[[#This Row],[Location 
(drop-down)]],'List source'!D$2:E$59,2,FALSE)</f>
        <v>158</v>
      </c>
      <c r="C249" s="237" t="s">
        <v>557</v>
      </c>
      <c r="D249" s="244" t="str">
        <f t="shared" si="4"/>
        <v>PTO248-158-23</v>
      </c>
      <c r="E249" s="108" t="s">
        <v>2728</v>
      </c>
      <c r="F249" s="180" t="s">
        <v>2450</v>
      </c>
      <c r="G249" s="108" t="s">
        <v>2455</v>
      </c>
      <c r="H249" s="180">
        <v>-2.06</v>
      </c>
      <c r="I249" s="229">
        <v>45271</v>
      </c>
      <c r="J249" s="229" t="s">
        <v>17</v>
      </c>
      <c r="K249" s="246">
        <v>45280</v>
      </c>
      <c r="L249" s="180" t="s">
        <v>837</v>
      </c>
      <c r="M249" s="180" t="s">
        <v>2633</v>
      </c>
    </row>
    <row r="250" spans="1:13" s="243" customFormat="1" ht="30" x14ac:dyDescent="0.25">
      <c r="A250" s="108" t="s">
        <v>171</v>
      </c>
      <c r="B250" s="58">
        <f>VLOOKUP(Table27[[#This Row],[Location 
(drop-down)]],'List source'!D$2:E$59,2,FALSE)</f>
        <v>160</v>
      </c>
      <c r="C250" s="237" t="s">
        <v>558</v>
      </c>
      <c r="D250" s="244" t="str">
        <f t="shared" si="4"/>
        <v>PTO249-160-23</v>
      </c>
      <c r="E250" s="108" t="s">
        <v>2728</v>
      </c>
      <c r="F250" s="180" t="s">
        <v>2450</v>
      </c>
      <c r="G250" s="108" t="s">
        <v>2455</v>
      </c>
      <c r="H250" s="180">
        <v>-2.06</v>
      </c>
      <c r="I250" s="229">
        <v>45271</v>
      </c>
      <c r="J250" s="229" t="s">
        <v>17</v>
      </c>
      <c r="K250" s="246">
        <v>45345</v>
      </c>
      <c r="L250" s="180"/>
      <c r="M250" s="180"/>
    </row>
    <row r="251" spans="1:13" s="243" customFormat="1" ht="30" x14ac:dyDescent="0.25">
      <c r="A251" s="108" t="s">
        <v>171</v>
      </c>
      <c r="B251" s="58">
        <f>VLOOKUP(Table27[[#This Row],[Location 
(drop-down)]],'List source'!D$2:E$59,2,FALSE)</f>
        <v>160</v>
      </c>
      <c r="C251" s="237" t="s">
        <v>559</v>
      </c>
      <c r="D251" s="340" t="str">
        <f t="shared" si="4"/>
        <v>PTO250-160-23</v>
      </c>
      <c r="E251" s="336" t="s">
        <v>2729</v>
      </c>
      <c r="F251" s="337" t="s">
        <v>2450</v>
      </c>
      <c r="G251" s="336" t="s">
        <v>2348</v>
      </c>
      <c r="H251" s="337">
        <v>-2.58</v>
      </c>
      <c r="I251" s="338">
        <v>45271</v>
      </c>
      <c r="J251" s="338" t="s">
        <v>2453</v>
      </c>
      <c r="K251" s="339">
        <v>45560</v>
      </c>
      <c r="L251" s="180"/>
      <c r="M251" s="180"/>
    </row>
    <row r="252" spans="1:13" s="243" customFormat="1" ht="30" x14ac:dyDescent="0.25">
      <c r="A252" s="108" t="s">
        <v>171</v>
      </c>
      <c r="B252" s="58">
        <f>VLOOKUP(Table27[[#This Row],[Location 
(drop-down)]],'List source'!D$2:E$59,2,FALSE)</f>
        <v>160</v>
      </c>
      <c r="C252" s="237" t="s">
        <v>560</v>
      </c>
      <c r="D252" s="244" t="str">
        <f t="shared" si="4"/>
        <v>PTO251-160-23</v>
      </c>
      <c r="E252" s="108" t="s">
        <v>2730</v>
      </c>
      <c r="F252" s="180" t="s">
        <v>2450</v>
      </c>
      <c r="G252" s="108" t="s">
        <v>2386</v>
      </c>
      <c r="H252" s="180">
        <v>2.12</v>
      </c>
      <c r="I252" s="229">
        <v>45271</v>
      </c>
      <c r="J252" s="229" t="s">
        <v>443</v>
      </c>
      <c r="K252" s="246">
        <v>45344</v>
      </c>
      <c r="L252" s="180"/>
      <c r="M252" s="180"/>
    </row>
    <row r="253" spans="1:13" s="243" customFormat="1" ht="30" x14ac:dyDescent="0.25">
      <c r="A253" s="108" t="s">
        <v>66</v>
      </c>
      <c r="B253" s="58">
        <f>VLOOKUP(Table27[[#This Row],[Location 
(drop-down)]],'List source'!D$2:E$59,2,FALSE)</f>
        <v>165</v>
      </c>
      <c r="C253" s="237" t="s">
        <v>561</v>
      </c>
      <c r="D253" s="244" t="str">
        <f t="shared" si="4"/>
        <v>PTO252-165-23</v>
      </c>
      <c r="E253" s="108" t="s">
        <v>2731</v>
      </c>
      <c r="F253" s="180" t="s">
        <v>2450</v>
      </c>
      <c r="G253" s="108" t="s">
        <v>2732</v>
      </c>
      <c r="H253" s="180">
        <v>2.38</v>
      </c>
      <c r="I253" s="229">
        <v>45271</v>
      </c>
      <c r="J253" s="229" t="s">
        <v>17</v>
      </c>
      <c r="K253" s="246">
        <v>45271</v>
      </c>
      <c r="L253" s="180" t="s">
        <v>828</v>
      </c>
      <c r="M253" s="226" t="s">
        <v>2463</v>
      </c>
    </row>
    <row r="254" spans="1:13" s="243" customFormat="1" ht="30" x14ac:dyDescent="0.25">
      <c r="A254" s="108" t="s">
        <v>66</v>
      </c>
      <c r="B254" s="58">
        <f>VLOOKUP(Table27[[#This Row],[Location 
(drop-down)]],'List source'!D$2:E$59,2,FALSE)</f>
        <v>165</v>
      </c>
      <c r="C254" s="237" t="s">
        <v>562</v>
      </c>
      <c r="D254" s="244" t="str">
        <f t="shared" si="4"/>
        <v>PTO253-165-23</v>
      </c>
      <c r="E254" s="108" t="s">
        <v>2733</v>
      </c>
      <c r="F254" s="180" t="s">
        <v>2450</v>
      </c>
      <c r="G254" s="108" t="s">
        <v>2366</v>
      </c>
      <c r="H254" s="180">
        <v>2.5</v>
      </c>
      <c r="I254" s="229">
        <v>45271</v>
      </c>
      <c r="J254" s="229" t="s">
        <v>161</v>
      </c>
      <c r="K254" s="246">
        <v>45433</v>
      </c>
      <c r="L254" s="180"/>
      <c r="M254" s="180"/>
    </row>
    <row r="255" spans="1:13" s="243" customFormat="1" ht="30" x14ac:dyDescent="0.25">
      <c r="A255" s="108" t="s">
        <v>66</v>
      </c>
      <c r="B255" s="58">
        <f>VLOOKUP(Table27[[#This Row],[Location 
(drop-down)]],'List source'!D$2:E$59,2,FALSE)</f>
        <v>165</v>
      </c>
      <c r="C255" s="237" t="s">
        <v>563</v>
      </c>
      <c r="D255" s="244" t="str">
        <f t="shared" si="4"/>
        <v>PTO254-165-23</v>
      </c>
      <c r="E255" s="108" t="s">
        <v>2734</v>
      </c>
      <c r="F255" s="180" t="s">
        <v>2450</v>
      </c>
      <c r="G255" s="123" t="s">
        <v>2348</v>
      </c>
      <c r="H255" s="213" t="s">
        <v>2735</v>
      </c>
      <c r="I255" s="229">
        <v>45271</v>
      </c>
      <c r="J255" s="229" t="s">
        <v>443</v>
      </c>
      <c r="K255" s="322">
        <v>45359</v>
      </c>
      <c r="L255" s="180"/>
      <c r="M255" s="180"/>
    </row>
    <row r="256" spans="1:13" s="243" customFormat="1" ht="30" x14ac:dyDescent="0.25">
      <c r="A256" s="108" t="s">
        <v>66</v>
      </c>
      <c r="B256" s="58">
        <f>VLOOKUP(Table27[[#This Row],[Location 
(drop-down)]],'List source'!D$2:E$59,2,FALSE)</f>
        <v>165</v>
      </c>
      <c r="C256" s="237" t="s">
        <v>564</v>
      </c>
      <c r="D256" s="244" t="str">
        <f t="shared" si="4"/>
        <v>PTO255-165-23</v>
      </c>
      <c r="E256" s="123" t="s">
        <v>2736</v>
      </c>
      <c r="F256" s="181" t="s">
        <v>2450</v>
      </c>
      <c r="G256" s="123" t="s">
        <v>2370</v>
      </c>
      <c r="H256" s="213">
        <v>2.15</v>
      </c>
      <c r="I256" s="229">
        <v>45271</v>
      </c>
      <c r="J256" s="229" t="s">
        <v>161</v>
      </c>
      <c r="K256" s="246">
        <v>45333</v>
      </c>
      <c r="L256" s="180"/>
      <c r="M256" s="180"/>
    </row>
    <row r="257" spans="1:13" s="243" customFormat="1" ht="30" x14ac:dyDescent="0.25">
      <c r="A257" s="108" t="s">
        <v>324</v>
      </c>
      <c r="B257" s="58">
        <f>VLOOKUP(Table27[[#This Row],[Location 
(drop-down)]],'List source'!D$2:E$59,2,FALSE)</f>
        <v>170</v>
      </c>
      <c r="C257" s="237" t="s">
        <v>565</v>
      </c>
      <c r="D257" s="244" t="str">
        <f t="shared" si="4"/>
        <v>PTO256-170-23</v>
      </c>
      <c r="E257" s="108" t="s">
        <v>2728</v>
      </c>
      <c r="F257" s="180" t="s">
        <v>2450</v>
      </c>
      <c r="G257" s="108" t="s">
        <v>2455</v>
      </c>
      <c r="H257" s="180">
        <v>-2.06</v>
      </c>
      <c r="I257" s="229">
        <v>45271</v>
      </c>
      <c r="J257" s="229" t="s">
        <v>17</v>
      </c>
      <c r="K257" s="246">
        <v>45295</v>
      </c>
      <c r="L257" s="180"/>
      <c r="M257" s="180"/>
    </row>
    <row r="258" spans="1:13" s="243" customFormat="1" ht="30" x14ac:dyDescent="0.25">
      <c r="A258" s="108" t="s">
        <v>324</v>
      </c>
      <c r="B258" s="58">
        <f>VLOOKUP(Table27[[#This Row],[Location 
(drop-down)]],'List source'!D$2:E$59,2,FALSE)</f>
        <v>170</v>
      </c>
      <c r="C258" s="237" t="s">
        <v>566</v>
      </c>
      <c r="D258" s="244" t="str">
        <f t="shared" si="4"/>
        <v>PTO257-170-23</v>
      </c>
      <c r="E258" s="108" t="s">
        <v>2737</v>
      </c>
      <c r="F258" s="180" t="s">
        <v>2450</v>
      </c>
      <c r="G258" s="108" t="s">
        <v>2348</v>
      </c>
      <c r="H258" s="180">
        <v>114.28</v>
      </c>
      <c r="I258" s="229">
        <v>45271</v>
      </c>
      <c r="J258" s="229" t="s">
        <v>17</v>
      </c>
      <c r="K258" s="246">
        <v>45279</v>
      </c>
      <c r="L258" s="180" t="s">
        <v>837</v>
      </c>
      <c r="M258" s="180" t="s">
        <v>2577</v>
      </c>
    </row>
    <row r="259" spans="1:13" s="243" customFormat="1" ht="30" x14ac:dyDescent="0.25">
      <c r="A259" s="108" t="s">
        <v>237</v>
      </c>
      <c r="B259" s="58">
        <f>VLOOKUP(Table27[[#This Row],[Location 
(drop-down)]],'List source'!D$2:E$59,2,FALSE)</f>
        <v>192</v>
      </c>
      <c r="C259" s="237" t="s">
        <v>567</v>
      </c>
      <c r="D259" s="244" t="str">
        <f t="shared" si="4"/>
        <v>PTO258-192-23</v>
      </c>
      <c r="E259" s="323" t="s">
        <v>2725</v>
      </c>
      <c r="F259" s="297" t="s">
        <v>2450</v>
      </c>
      <c r="G259" s="108" t="s">
        <v>2401</v>
      </c>
      <c r="H259" s="297">
        <v>2.0499999999999998</v>
      </c>
      <c r="I259" s="273">
        <v>45271</v>
      </c>
      <c r="J259" s="229" t="s">
        <v>17</v>
      </c>
      <c r="K259" s="246">
        <v>45271</v>
      </c>
      <c r="L259" s="180" t="s">
        <v>828</v>
      </c>
      <c r="M259" s="226" t="s">
        <v>2463</v>
      </c>
    </row>
    <row r="260" spans="1:13" s="243" customFormat="1" ht="30" x14ac:dyDescent="0.25">
      <c r="A260" s="108" t="s">
        <v>1289</v>
      </c>
      <c r="B260" s="58">
        <f>VLOOKUP(Table27[[#This Row],[Location 
(drop-down)]],'List source'!D$2:E$59,2,FALSE)</f>
        <v>194</v>
      </c>
      <c r="C260" s="237" t="s">
        <v>568</v>
      </c>
      <c r="D260" s="244" t="str">
        <f t="shared" si="4"/>
        <v>PTO259-194-23</v>
      </c>
      <c r="E260" s="108" t="s">
        <v>2738</v>
      </c>
      <c r="F260" s="180" t="s">
        <v>2450</v>
      </c>
      <c r="G260" s="108" t="s">
        <v>2348</v>
      </c>
      <c r="H260" s="180">
        <v>-3.23</v>
      </c>
      <c r="I260" s="229">
        <v>45271</v>
      </c>
      <c r="J260" s="229" t="s">
        <v>17</v>
      </c>
      <c r="K260" s="322">
        <v>45279</v>
      </c>
      <c r="L260" s="180" t="s">
        <v>837</v>
      </c>
      <c r="M260" s="180" t="s">
        <v>2577</v>
      </c>
    </row>
    <row r="261" spans="1:13" s="243" customFormat="1" ht="30" x14ac:dyDescent="0.25">
      <c r="A261" s="108" t="s">
        <v>72</v>
      </c>
      <c r="B261" s="58">
        <f>VLOOKUP(Table27[[#This Row],[Location 
(drop-down)]],'List source'!D$2:E$59,2,FALSE)</f>
        <v>197</v>
      </c>
      <c r="C261" s="237" t="s">
        <v>569</v>
      </c>
      <c r="D261" s="244" t="str">
        <f t="shared" si="4"/>
        <v>PTO260-197-23</v>
      </c>
      <c r="E261" s="207" t="s">
        <v>2739</v>
      </c>
      <c r="F261" s="264" t="s">
        <v>2450</v>
      </c>
      <c r="G261" s="298" t="s">
        <v>2348</v>
      </c>
      <c r="H261" s="299">
        <v>-3.22</v>
      </c>
      <c r="I261" s="229">
        <v>45271</v>
      </c>
      <c r="J261" s="229" t="s">
        <v>435</v>
      </c>
      <c r="K261" s="246">
        <v>45617</v>
      </c>
      <c r="L261" s="180"/>
      <c r="M261" s="180"/>
    </row>
    <row r="262" spans="1:13" s="243" customFormat="1" ht="30" x14ac:dyDescent="0.25">
      <c r="A262" s="108" t="s">
        <v>72</v>
      </c>
      <c r="B262" s="58">
        <f>VLOOKUP(Table27[[#This Row],[Location 
(drop-down)]],'List source'!D$2:E$59,2,FALSE)</f>
        <v>197</v>
      </c>
      <c r="C262" s="237" t="s">
        <v>570</v>
      </c>
      <c r="D262" s="244" t="str">
        <f t="shared" si="4"/>
        <v>PTO261-197-23</v>
      </c>
      <c r="E262" s="168" t="s">
        <v>2740</v>
      </c>
      <c r="F262" s="58" t="s">
        <v>2450</v>
      </c>
      <c r="G262" s="168" t="s">
        <v>2513</v>
      </c>
      <c r="H262" s="58">
        <v>2.9</v>
      </c>
      <c r="I262" s="229">
        <v>45271</v>
      </c>
      <c r="J262" s="229" t="s">
        <v>435</v>
      </c>
      <c r="K262" s="246">
        <v>45602</v>
      </c>
      <c r="L262" s="180"/>
      <c r="M262" s="180"/>
    </row>
    <row r="263" spans="1:13" s="243" customFormat="1" ht="30" x14ac:dyDescent="0.25">
      <c r="A263" s="108" t="s">
        <v>42</v>
      </c>
      <c r="B263" s="58">
        <f>VLOOKUP(Table27[[#This Row],[Location 
(drop-down)]],'List source'!D$2:E$59,2,FALSE)</f>
        <v>198</v>
      </c>
      <c r="C263" s="237" t="s">
        <v>571</v>
      </c>
      <c r="D263" s="244" t="str">
        <f t="shared" si="4"/>
        <v>PTO262-198-23</v>
      </c>
      <c r="E263" s="168" t="s">
        <v>2741</v>
      </c>
      <c r="F263" s="58" t="s">
        <v>2450</v>
      </c>
      <c r="G263" s="168" t="s">
        <v>2348</v>
      </c>
      <c r="H263" s="58">
        <v>2.15</v>
      </c>
      <c r="I263" s="229">
        <v>45271</v>
      </c>
      <c r="J263" s="229" t="s">
        <v>17</v>
      </c>
      <c r="K263" s="246">
        <v>45271</v>
      </c>
      <c r="L263" s="180" t="s">
        <v>828</v>
      </c>
      <c r="M263" s="226" t="s">
        <v>2463</v>
      </c>
    </row>
    <row r="264" spans="1:13" s="243" customFormat="1" ht="30" x14ac:dyDescent="0.25">
      <c r="A264" s="108" t="s">
        <v>42</v>
      </c>
      <c r="B264" s="58">
        <f>VLOOKUP(Table27[[#This Row],[Location 
(drop-down)]],'List source'!D$2:E$59,2,FALSE)</f>
        <v>198</v>
      </c>
      <c r="C264" s="237" t="s">
        <v>572</v>
      </c>
      <c r="D264" s="244" t="str">
        <f t="shared" si="4"/>
        <v>PTO263-198-23</v>
      </c>
      <c r="E264" s="168" t="s">
        <v>2742</v>
      </c>
      <c r="F264" s="58" t="s">
        <v>2450</v>
      </c>
      <c r="G264" s="168" t="s">
        <v>2553</v>
      </c>
      <c r="H264" s="58">
        <v>-5.75</v>
      </c>
      <c r="I264" s="229">
        <v>45271</v>
      </c>
      <c r="J264" s="229" t="s">
        <v>435</v>
      </c>
      <c r="K264" s="246">
        <v>45636</v>
      </c>
      <c r="L264" s="180"/>
      <c r="M264" s="180"/>
    </row>
    <row r="265" spans="1:13" s="243" customFormat="1" ht="18.75" x14ac:dyDescent="0.25">
      <c r="A265" s="108" t="s">
        <v>87</v>
      </c>
      <c r="B265" s="58">
        <f>VLOOKUP(Table27[[#This Row],[Location 
(drop-down)]],'List source'!D$2:E$59,2,FALSE)</f>
        <v>210</v>
      </c>
      <c r="C265" s="237" t="s">
        <v>573</v>
      </c>
      <c r="D265" s="244" t="str">
        <f t="shared" si="4"/>
        <v>PTO264-210-23</v>
      </c>
      <c r="E265" s="168" t="s">
        <v>2743</v>
      </c>
      <c r="F265" s="58" t="s">
        <v>2450</v>
      </c>
      <c r="G265" s="168" t="s">
        <v>2712</v>
      </c>
      <c r="H265" s="58">
        <v>4.53</v>
      </c>
      <c r="I265" s="229">
        <v>45271</v>
      </c>
      <c r="J265" s="229" t="s">
        <v>1765</v>
      </c>
      <c r="K265" s="246">
        <v>45328</v>
      </c>
      <c r="L265" s="180" t="s">
        <v>822</v>
      </c>
      <c r="M265" s="180"/>
    </row>
    <row r="266" spans="1:13" s="243" customFormat="1" ht="30" x14ac:dyDescent="0.25">
      <c r="A266" s="108" t="s">
        <v>47</v>
      </c>
      <c r="B266" s="58">
        <f>VLOOKUP(Table27[[#This Row],[Location 
(drop-down)]],'List source'!D$2:E$59,2,FALSE)</f>
        <v>215</v>
      </c>
      <c r="C266" s="237" t="s">
        <v>574</v>
      </c>
      <c r="D266" s="244" t="str">
        <f t="shared" si="4"/>
        <v>PTO265-215-23</v>
      </c>
      <c r="E266" s="108" t="s">
        <v>2744</v>
      </c>
      <c r="F266" s="180" t="s">
        <v>2450</v>
      </c>
      <c r="G266" s="108" t="s">
        <v>2366</v>
      </c>
      <c r="H266" s="180">
        <v>3.5</v>
      </c>
      <c r="I266" s="229">
        <v>45271</v>
      </c>
      <c r="J266" s="229" t="s">
        <v>1762</v>
      </c>
      <c r="K266" s="246">
        <v>45506</v>
      </c>
      <c r="L266" s="180"/>
      <c r="M266" s="180"/>
    </row>
    <row r="267" spans="1:13" s="243" customFormat="1" ht="30" x14ac:dyDescent="0.25">
      <c r="A267" s="108" t="s">
        <v>47</v>
      </c>
      <c r="B267" s="58">
        <f>VLOOKUP(Table27[[#This Row],[Location 
(drop-down)]],'List source'!D$2:E$59,2,FALSE)</f>
        <v>215</v>
      </c>
      <c r="C267" s="237" t="s">
        <v>575</v>
      </c>
      <c r="D267" s="244" t="str">
        <f t="shared" si="4"/>
        <v>PTO266-215-23</v>
      </c>
      <c r="E267" s="168" t="s">
        <v>2745</v>
      </c>
      <c r="F267" s="58" t="s">
        <v>2450</v>
      </c>
      <c r="G267" s="168" t="s">
        <v>2348</v>
      </c>
      <c r="H267" s="58">
        <v>2.4500000000000002</v>
      </c>
      <c r="I267" s="229">
        <v>45271</v>
      </c>
      <c r="J267" s="229" t="s">
        <v>17</v>
      </c>
      <c r="K267" s="246">
        <v>45271</v>
      </c>
      <c r="L267" s="180" t="s">
        <v>828</v>
      </c>
      <c r="M267" s="226" t="s">
        <v>2463</v>
      </c>
    </row>
    <row r="268" spans="1:13" s="243" customFormat="1" ht="30" x14ac:dyDescent="0.25">
      <c r="A268" s="108" t="s">
        <v>47</v>
      </c>
      <c r="B268" s="58">
        <f>VLOOKUP(Table27[[#This Row],[Location 
(drop-down)]],'List source'!D$2:E$59,2,FALSE)</f>
        <v>215</v>
      </c>
      <c r="C268" s="237" t="s">
        <v>576</v>
      </c>
      <c r="D268" s="244" t="str">
        <f t="shared" si="4"/>
        <v>PTO267-215-23</v>
      </c>
      <c r="E268" s="108" t="s">
        <v>2746</v>
      </c>
      <c r="F268" s="180" t="s">
        <v>2450</v>
      </c>
      <c r="G268" s="108" t="s">
        <v>2747</v>
      </c>
      <c r="H268" s="180">
        <v>4.58</v>
      </c>
      <c r="I268" s="229">
        <v>45271</v>
      </c>
      <c r="J268" s="229" t="s">
        <v>1762</v>
      </c>
      <c r="K268" s="246">
        <v>45506</v>
      </c>
      <c r="L268" s="180"/>
      <c r="M268" s="180"/>
    </row>
    <row r="269" spans="1:13" s="243" customFormat="1" ht="30" x14ac:dyDescent="0.25">
      <c r="A269" s="108" t="s">
        <v>47</v>
      </c>
      <c r="B269" s="58">
        <f>VLOOKUP(Table27[[#This Row],[Location 
(drop-down)]],'List source'!D$2:E$59,2,FALSE)</f>
        <v>215</v>
      </c>
      <c r="C269" s="237" t="s">
        <v>577</v>
      </c>
      <c r="D269" s="244" t="str">
        <f t="shared" si="4"/>
        <v>PTO268-215-23</v>
      </c>
      <c r="E269" s="323" t="s">
        <v>2748</v>
      </c>
      <c r="F269" s="297" t="s">
        <v>2450</v>
      </c>
      <c r="G269" s="108" t="s">
        <v>2555</v>
      </c>
      <c r="H269" s="297">
        <v>4.66</v>
      </c>
      <c r="I269" s="273">
        <v>45271</v>
      </c>
      <c r="J269" s="229" t="s">
        <v>1762</v>
      </c>
      <c r="K269" s="246">
        <v>45436</v>
      </c>
      <c r="L269" s="180"/>
      <c r="M269" s="180"/>
    </row>
    <row r="270" spans="1:13" s="243" customFormat="1" ht="30" x14ac:dyDescent="0.25">
      <c r="A270" s="108" t="s">
        <v>13</v>
      </c>
      <c r="B270" s="58">
        <f>VLOOKUP(Table27[[#This Row],[Location 
(drop-down)]],'List source'!D$2:E$59,2,FALSE)</f>
        <v>126</v>
      </c>
      <c r="C270" s="237" t="s">
        <v>578</v>
      </c>
      <c r="D270" s="244" t="str">
        <f t="shared" si="4"/>
        <v>PTO269-126-23</v>
      </c>
      <c r="E270" s="168" t="s">
        <v>2749</v>
      </c>
      <c r="F270" s="58" t="s">
        <v>2416</v>
      </c>
      <c r="G270" s="168" t="s">
        <v>2420</v>
      </c>
      <c r="H270" s="58">
        <v>2.0089999999999999</v>
      </c>
      <c r="I270" s="229">
        <v>45280</v>
      </c>
      <c r="J270" s="229" t="s">
        <v>17</v>
      </c>
      <c r="K270" s="246">
        <v>45280</v>
      </c>
      <c r="L270" s="180" t="s">
        <v>828</v>
      </c>
      <c r="M270" s="226" t="s">
        <v>2463</v>
      </c>
    </row>
    <row r="271" spans="1:13" s="243" customFormat="1" ht="30" x14ac:dyDescent="0.25">
      <c r="A271" s="108" t="s">
        <v>13</v>
      </c>
      <c r="B271" s="58">
        <f>VLOOKUP(Table27[[#This Row],[Location 
(drop-down)]],'List source'!D$2:E$59,2,FALSE)</f>
        <v>126</v>
      </c>
      <c r="C271" s="237" t="s">
        <v>579</v>
      </c>
      <c r="D271" s="244" t="str">
        <f t="shared" si="4"/>
        <v>PTO270-126-23</v>
      </c>
      <c r="E271" s="168" t="s">
        <v>2750</v>
      </c>
      <c r="F271" s="58" t="s">
        <v>2416</v>
      </c>
      <c r="G271" s="168" t="s">
        <v>2435</v>
      </c>
      <c r="H271" s="58">
        <v>-2.04</v>
      </c>
      <c r="I271" s="229">
        <v>45280</v>
      </c>
      <c r="J271" s="229" t="s">
        <v>17</v>
      </c>
      <c r="K271" s="246">
        <v>45280</v>
      </c>
      <c r="L271" s="180" t="s">
        <v>828</v>
      </c>
      <c r="M271" s="226" t="s">
        <v>2463</v>
      </c>
    </row>
    <row r="272" spans="1:13" s="243" customFormat="1" ht="30" x14ac:dyDescent="0.25">
      <c r="A272" s="108" t="s">
        <v>52</v>
      </c>
      <c r="B272" s="58">
        <f>VLOOKUP(Table27[[#This Row],[Location 
(drop-down)]],'List source'!D$2:E$59,2,FALSE)</f>
        <v>127</v>
      </c>
      <c r="C272" s="237" t="s">
        <v>580</v>
      </c>
      <c r="D272" s="244" t="str">
        <f t="shared" si="4"/>
        <v>PTO271-127-23</v>
      </c>
      <c r="E272" s="168" t="s">
        <v>2751</v>
      </c>
      <c r="F272" s="58" t="s">
        <v>2416</v>
      </c>
      <c r="G272" s="168" t="s">
        <v>2632</v>
      </c>
      <c r="H272" s="58">
        <v>6.51</v>
      </c>
      <c r="I272" s="229">
        <v>45280</v>
      </c>
      <c r="J272" s="229" t="s">
        <v>1765</v>
      </c>
      <c r="K272" s="246">
        <v>45296</v>
      </c>
      <c r="L272" s="180" t="s">
        <v>822</v>
      </c>
      <c r="M272" s="180"/>
    </row>
    <row r="273" spans="1:13" s="243" customFormat="1" ht="30" x14ac:dyDescent="0.25">
      <c r="A273" s="108" t="s">
        <v>52</v>
      </c>
      <c r="B273" s="58">
        <f>VLOOKUP(Table27[[#This Row],[Location 
(drop-down)]],'List source'!D$2:E$59,2,FALSE)</f>
        <v>127</v>
      </c>
      <c r="C273" s="237" t="s">
        <v>581</v>
      </c>
      <c r="D273" s="244" t="str">
        <f t="shared" si="4"/>
        <v>PTO272-127-23</v>
      </c>
      <c r="E273" s="168" t="s">
        <v>2752</v>
      </c>
      <c r="F273" s="58" t="s">
        <v>2416</v>
      </c>
      <c r="G273" s="168" t="s">
        <v>2753</v>
      </c>
      <c r="H273" s="58">
        <v>3.17</v>
      </c>
      <c r="I273" s="229">
        <v>45280</v>
      </c>
      <c r="J273" s="229" t="s">
        <v>1765</v>
      </c>
      <c r="K273" s="246">
        <v>45308</v>
      </c>
      <c r="L273" s="180" t="s">
        <v>822</v>
      </c>
      <c r="M273" s="180"/>
    </row>
    <row r="274" spans="1:13" s="243" customFormat="1" ht="30" x14ac:dyDescent="0.25">
      <c r="A274" s="108" t="s">
        <v>27</v>
      </c>
      <c r="B274" s="58">
        <f>VLOOKUP(Table27[[#This Row],[Location 
(drop-down)]],'List source'!D$2:E$59,2,FALSE)</f>
        <v>132</v>
      </c>
      <c r="C274" s="237" t="s">
        <v>582</v>
      </c>
      <c r="D274" s="244" t="str">
        <f t="shared" si="4"/>
        <v>PTO273-132-23</v>
      </c>
      <c r="E274" s="250" t="s">
        <v>2749</v>
      </c>
      <c r="F274" s="251" t="s">
        <v>2416</v>
      </c>
      <c r="G274" s="250" t="s">
        <v>2420</v>
      </c>
      <c r="H274" s="58">
        <v>2.79</v>
      </c>
      <c r="I274" s="229">
        <v>45280</v>
      </c>
      <c r="J274" s="229" t="s">
        <v>17</v>
      </c>
      <c r="K274" s="246">
        <v>45280</v>
      </c>
      <c r="L274" s="180" t="s">
        <v>828</v>
      </c>
      <c r="M274" s="226" t="s">
        <v>2463</v>
      </c>
    </row>
    <row r="275" spans="1:13" s="243" customFormat="1" ht="30" x14ac:dyDescent="0.25">
      <c r="A275" s="108" t="s">
        <v>27</v>
      </c>
      <c r="B275" s="58">
        <f>VLOOKUP(Table27[[#This Row],[Location 
(drop-down)]],'List source'!D$2:E$59,2,FALSE)</f>
        <v>132</v>
      </c>
      <c r="C275" s="237" t="s">
        <v>583</v>
      </c>
      <c r="D275" s="244" t="str">
        <f t="shared" si="4"/>
        <v>PTO274-132-23</v>
      </c>
      <c r="E275" s="250" t="s">
        <v>2754</v>
      </c>
      <c r="F275" s="251" t="s">
        <v>2416</v>
      </c>
      <c r="G275" s="250" t="s">
        <v>2348</v>
      </c>
      <c r="H275" s="58">
        <v>-10.91</v>
      </c>
      <c r="I275" s="229">
        <v>45280</v>
      </c>
      <c r="J275" s="229" t="s">
        <v>17</v>
      </c>
      <c r="K275" s="246">
        <v>45280</v>
      </c>
      <c r="L275" s="180" t="s">
        <v>837</v>
      </c>
      <c r="M275" s="180" t="s">
        <v>2577</v>
      </c>
    </row>
    <row r="276" spans="1:13" s="243" customFormat="1" ht="30" x14ac:dyDescent="0.25">
      <c r="A276" s="108" t="s">
        <v>27</v>
      </c>
      <c r="B276" s="58">
        <f>VLOOKUP(Table27[[#This Row],[Location 
(drop-down)]],'List source'!D$2:E$59,2,FALSE)</f>
        <v>132</v>
      </c>
      <c r="C276" s="237" t="s">
        <v>584</v>
      </c>
      <c r="D276" s="244" t="str">
        <f t="shared" si="4"/>
        <v>PTO275-132-23</v>
      </c>
      <c r="E276" s="108" t="s">
        <v>2755</v>
      </c>
      <c r="F276" s="180" t="s">
        <v>2416</v>
      </c>
      <c r="G276" s="108" t="s">
        <v>2553</v>
      </c>
      <c r="H276" s="180">
        <v>-6.5</v>
      </c>
      <c r="I276" s="229">
        <v>45280</v>
      </c>
      <c r="J276" s="229" t="s">
        <v>443</v>
      </c>
      <c r="K276" s="246">
        <v>45548</v>
      </c>
      <c r="L276" s="180"/>
      <c r="M276" s="180"/>
    </row>
    <row r="277" spans="1:13" s="243" customFormat="1" ht="30" x14ac:dyDescent="0.25">
      <c r="A277" s="108" t="s">
        <v>27</v>
      </c>
      <c r="B277" s="58">
        <f>VLOOKUP(Table27[[#This Row],[Location 
(drop-down)]],'List source'!D$2:E$59,2,FALSE)</f>
        <v>132</v>
      </c>
      <c r="C277" s="237" t="s">
        <v>585</v>
      </c>
      <c r="D277" s="244" t="str">
        <f t="shared" si="4"/>
        <v>PTO276-132-23</v>
      </c>
      <c r="E277" s="348" t="s">
        <v>2756</v>
      </c>
      <c r="F277" s="180" t="s">
        <v>2416</v>
      </c>
      <c r="G277" s="168" t="s">
        <v>2435</v>
      </c>
      <c r="H277" s="180">
        <v>3.06</v>
      </c>
      <c r="I277" s="229">
        <v>45280</v>
      </c>
      <c r="J277" s="229" t="s">
        <v>1368</v>
      </c>
      <c r="K277" s="246">
        <v>45372</v>
      </c>
      <c r="L277" s="180" t="s">
        <v>822</v>
      </c>
      <c r="M277" s="180"/>
    </row>
    <row r="278" spans="1:13" s="243" customFormat="1" ht="30" x14ac:dyDescent="0.25">
      <c r="A278" s="108" t="s">
        <v>168</v>
      </c>
      <c r="B278" s="58">
        <f>VLOOKUP(Table27[[#This Row],[Location 
(drop-down)]],'List source'!D$2:E$59,2,FALSE)</f>
        <v>136</v>
      </c>
      <c r="C278" s="237" t="s">
        <v>586</v>
      </c>
      <c r="D278" s="244" t="str">
        <f t="shared" si="4"/>
        <v>PTO277-136-23</v>
      </c>
      <c r="E278" s="108" t="s">
        <v>2757</v>
      </c>
      <c r="F278" s="180" t="s">
        <v>2416</v>
      </c>
      <c r="G278" s="108" t="s">
        <v>2348</v>
      </c>
      <c r="H278" s="180">
        <v>2.2400000000000002</v>
      </c>
      <c r="I278" s="229">
        <v>45280</v>
      </c>
      <c r="J278" s="229" t="s">
        <v>17</v>
      </c>
      <c r="K278" s="246">
        <v>45280</v>
      </c>
      <c r="L278" s="180" t="s">
        <v>828</v>
      </c>
      <c r="M278" s="226" t="s">
        <v>2463</v>
      </c>
    </row>
    <row r="279" spans="1:13" s="243" customFormat="1" ht="30" x14ac:dyDescent="0.25">
      <c r="A279" s="108" t="s">
        <v>79</v>
      </c>
      <c r="B279" s="58">
        <f>VLOOKUP(Table27[[#This Row],[Location 
(drop-down)]],'List source'!D$2:E$59,2,FALSE)</f>
        <v>141</v>
      </c>
      <c r="C279" s="237" t="s">
        <v>587</v>
      </c>
      <c r="D279" s="244" t="str">
        <f t="shared" si="4"/>
        <v>PTO278-141-23</v>
      </c>
      <c r="E279" s="108" t="s">
        <v>2757</v>
      </c>
      <c r="F279" s="180" t="s">
        <v>2416</v>
      </c>
      <c r="G279" s="108" t="s">
        <v>2348</v>
      </c>
      <c r="H279" s="180">
        <v>-2.5099999999999998</v>
      </c>
      <c r="I279" s="229">
        <v>45280</v>
      </c>
      <c r="J279" s="229" t="s">
        <v>17</v>
      </c>
      <c r="K279" s="246">
        <v>45280</v>
      </c>
      <c r="L279" s="180" t="s">
        <v>828</v>
      </c>
      <c r="M279" s="226" t="s">
        <v>2463</v>
      </c>
    </row>
    <row r="280" spans="1:13" s="243" customFormat="1" ht="30" x14ac:dyDescent="0.25">
      <c r="A280" s="108" t="s">
        <v>331</v>
      </c>
      <c r="B280" s="58">
        <f>VLOOKUP(Table27[[#This Row],[Location 
(drop-down)]],'List source'!D$2:E$59,2,FALSE)</f>
        <v>146</v>
      </c>
      <c r="C280" s="237" t="s">
        <v>588</v>
      </c>
      <c r="D280" s="244" t="str">
        <f t="shared" si="4"/>
        <v>PTO279-146-23</v>
      </c>
      <c r="E280" s="108" t="s">
        <v>2758</v>
      </c>
      <c r="F280" s="180" t="s">
        <v>2416</v>
      </c>
      <c r="G280" s="108" t="s">
        <v>2601</v>
      </c>
      <c r="H280" s="180">
        <v>-2.38</v>
      </c>
      <c r="I280" s="229">
        <v>45280</v>
      </c>
      <c r="J280" s="229" t="s">
        <v>875</v>
      </c>
      <c r="K280" s="246">
        <v>45295</v>
      </c>
      <c r="L280" s="180"/>
      <c r="M280" s="180"/>
    </row>
    <row r="281" spans="1:13" s="243" customFormat="1" ht="45" x14ac:dyDescent="0.25">
      <c r="A281" s="108" t="s">
        <v>178</v>
      </c>
      <c r="B281" s="58">
        <f>VLOOKUP(Table27[[#This Row],[Location 
(drop-down)]],'List source'!D$2:E$59,2,FALSE)</f>
        <v>150</v>
      </c>
      <c r="C281" s="237" t="s">
        <v>589</v>
      </c>
      <c r="D281" s="244" t="str">
        <f t="shared" si="4"/>
        <v>PTO280-150-23</v>
      </c>
      <c r="E281" s="108" t="s">
        <v>2759</v>
      </c>
      <c r="F281" s="180" t="s">
        <v>2416</v>
      </c>
      <c r="G281" s="108" t="s">
        <v>2348</v>
      </c>
      <c r="H281" s="295" t="s">
        <v>2760</v>
      </c>
      <c r="I281" s="229">
        <v>45280</v>
      </c>
      <c r="J281" s="229" t="s">
        <v>17</v>
      </c>
      <c r="K281" s="246">
        <v>45280</v>
      </c>
      <c r="L281" s="180" t="s">
        <v>828</v>
      </c>
      <c r="M281" s="226" t="s">
        <v>2463</v>
      </c>
    </row>
    <row r="282" spans="1:13" s="243" customFormat="1" ht="60" x14ac:dyDescent="0.25">
      <c r="A282" s="108" t="s">
        <v>178</v>
      </c>
      <c r="B282" s="58">
        <f>VLOOKUP(Table27[[#This Row],[Location 
(drop-down)]],'List source'!D$2:E$59,2,FALSE)</f>
        <v>150</v>
      </c>
      <c r="C282" s="237" t="s">
        <v>590</v>
      </c>
      <c r="D282" s="340" t="str">
        <f t="shared" si="4"/>
        <v>PTO281-150-23</v>
      </c>
      <c r="E282" s="336" t="s">
        <v>2761</v>
      </c>
      <c r="F282" s="337" t="s">
        <v>2416</v>
      </c>
      <c r="G282" s="336" t="s">
        <v>2520</v>
      </c>
      <c r="H282" s="367" t="s">
        <v>2762</v>
      </c>
      <c r="I282" s="338">
        <v>45280</v>
      </c>
      <c r="J282" s="338" t="s">
        <v>2453</v>
      </c>
      <c r="K282" s="339">
        <v>45721</v>
      </c>
      <c r="L282" s="180"/>
      <c r="M282" s="180"/>
    </row>
    <row r="283" spans="1:13" s="243" customFormat="1" ht="30" x14ac:dyDescent="0.25">
      <c r="A283" s="336" t="s">
        <v>178</v>
      </c>
      <c r="B283" s="366">
        <f>VLOOKUP(Table27[[#This Row],[Location 
(drop-down)]],'List source'!D$2:E$59,2,FALSE)</f>
        <v>150</v>
      </c>
      <c r="C283" s="334" t="s">
        <v>591</v>
      </c>
      <c r="D283" s="340" t="str">
        <f t="shared" si="4"/>
        <v>PTO282-150-23</v>
      </c>
      <c r="E283" s="336" t="s">
        <v>2763</v>
      </c>
      <c r="F283" s="337" t="s">
        <v>2416</v>
      </c>
      <c r="G283" s="336" t="s">
        <v>2575</v>
      </c>
      <c r="H283" s="337" t="s">
        <v>2764</v>
      </c>
      <c r="I283" s="338">
        <v>45280</v>
      </c>
      <c r="J283" s="338" t="s">
        <v>2453</v>
      </c>
      <c r="K283" s="339">
        <v>45642</v>
      </c>
      <c r="L283" s="180"/>
      <c r="M283" s="180"/>
    </row>
    <row r="284" spans="1:13" s="243" customFormat="1" ht="30" x14ac:dyDescent="0.25">
      <c r="A284" s="108" t="s">
        <v>57</v>
      </c>
      <c r="B284" s="58">
        <f>VLOOKUP(Table27[[#This Row],[Location 
(drop-down)]],'List source'!D$2:E$59,2,FALSE)</f>
        <v>155</v>
      </c>
      <c r="C284" s="237" t="s">
        <v>592</v>
      </c>
      <c r="D284" s="244" t="str">
        <f t="shared" si="4"/>
        <v>PTO283-155-23</v>
      </c>
      <c r="E284" s="108" t="s">
        <v>2749</v>
      </c>
      <c r="F284" s="180" t="s">
        <v>2416</v>
      </c>
      <c r="G284" s="108" t="s">
        <v>2420</v>
      </c>
      <c r="H284" s="180">
        <v>2.44</v>
      </c>
      <c r="I284" s="229">
        <v>45280</v>
      </c>
      <c r="J284" s="229" t="s">
        <v>17</v>
      </c>
      <c r="K284" s="246">
        <v>45280</v>
      </c>
      <c r="L284" s="180" t="s">
        <v>828</v>
      </c>
      <c r="M284" s="226" t="s">
        <v>2463</v>
      </c>
    </row>
    <row r="285" spans="1:13" s="243" customFormat="1" ht="45" x14ac:dyDescent="0.25">
      <c r="A285" s="108" t="s">
        <v>57</v>
      </c>
      <c r="B285" s="58">
        <f>VLOOKUP(Table27[[#This Row],[Location 
(drop-down)]],'List source'!D$2:E$59,2,FALSE)</f>
        <v>155</v>
      </c>
      <c r="C285" s="237" t="s">
        <v>593</v>
      </c>
      <c r="D285" s="244" t="str">
        <f t="shared" si="4"/>
        <v>PTO284-155-23</v>
      </c>
      <c r="E285" s="108" t="s">
        <v>2765</v>
      </c>
      <c r="F285" s="180" t="s">
        <v>2416</v>
      </c>
      <c r="G285" s="108" t="s">
        <v>2766</v>
      </c>
      <c r="H285" s="295" t="s">
        <v>2767</v>
      </c>
      <c r="I285" s="229">
        <v>45280</v>
      </c>
      <c r="J285" s="229" t="s">
        <v>161</v>
      </c>
      <c r="K285" s="246">
        <v>45315</v>
      </c>
      <c r="L285" s="180"/>
      <c r="M285" s="180"/>
    </row>
    <row r="286" spans="1:13" s="243" customFormat="1" ht="30" x14ac:dyDescent="0.25">
      <c r="A286" s="108" t="s">
        <v>57</v>
      </c>
      <c r="B286" s="58">
        <f>VLOOKUP(Table27[[#This Row],[Location 
(drop-down)]],'List source'!D$2:E$59,2,FALSE)</f>
        <v>155</v>
      </c>
      <c r="C286" s="237" t="s">
        <v>594</v>
      </c>
      <c r="D286" s="244" t="str">
        <f t="shared" si="4"/>
        <v>PTO285-155-23</v>
      </c>
      <c r="E286" s="108" t="s">
        <v>2768</v>
      </c>
      <c r="F286" s="180" t="s">
        <v>2416</v>
      </c>
      <c r="G286" s="108" t="s">
        <v>2582</v>
      </c>
      <c r="H286" s="180">
        <v>-2.1</v>
      </c>
      <c r="I286" s="229">
        <v>45280</v>
      </c>
      <c r="J286" s="229" t="s">
        <v>443</v>
      </c>
      <c r="K286" s="246">
        <v>45315</v>
      </c>
      <c r="L286" s="180"/>
      <c r="M286" s="180"/>
    </row>
    <row r="287" spans="1:13" s="243" customFormat="1" ht="30" x14ac:dyDescent="0.25">
      <c r="A287" s="108" t="s">
        <v>171</v>
      </c>
      <c r="B287" s="58">
        <f>VLOOKUP(Table27[[#This Row],[Location 
(drop-down)]],'List source'!D$2:E$59,2,FALSE)</f>
        <v>160</v>
      </c>
      <c r="C287" s="237" t="s">
        <v>595</v>
      </c>
      <c r="D287" s="244" t="str">
        <f t="shared" si="4"/>
        <v>PTO286-160-23</v>
      </c>
      <c r="E287" s="108" t="s">
        <v>2769</v>
      </c>
      <c r="F287" s="180" t="s">
        <v>2416</v>
      </c>
      <c r="G287" s="108" t="s">
        <v>2770</v>
      </c>
      <c r="H287" s="180">
        <v>-2.06</v>
      </c>
      <c r="I287" s="229">
        <v>45280</v>
      </c>
      <c r="J287" s="229" t="s">
        <v>17</v>
      </c>
      <c r="K287" s="246">
        <v>45280</v>
      </c>
      <c r="L287" s="180" t="s">
        <v>828</v>
      </c>
      <c r="M287" s="226" t="s">
        <v>2463</v>
      </c>
    </row>
    <row r="288" spans="1:13" s="243" customFormat="1" ht="30" x14ac:dyDescent="0.25">
      <c r="A288" s="108" t="s">
        <v>171</v>
      </c>
      <c r="B288" s="58">
        <f>VLOOKUP(Table27[[#This Row],[Location 
(drop-down)]],'List source'!D$2:E$59,2,FALSE)</f>
        <v>160</v>
      </c>
      <c r="C288" s="237" t="s">
        <v>596</v>
      </c>
      <c r="D288" s="244" t="str">
        <f t="shared" si="4"/>
        <v>PTO287-160-23</v>
      </c>
      <c r="E288" s="108" t="s">
        <v>2771</v>
      </c>
      <c r="F288" s="180" t="s">
        <v>2416</v>
      </c>
      <c r="G288" s="108" t="s">
        <v>2575</v>
      </c>
      <c r="H288" s="180">
        <v>-4.74</v>
      </c>
      <c r="I288" s="229">
        <v>45280</v>
      </c>
      <c r="J288" s="229" t="s">
        <v>443</v>
      </c>
      <c r="K288" s="246">
        <v>45554</v>
      </c>
      <c r="L288" s="180"/>
      <c r="M288" s="180"/>
    </row>
    <row r="289" spans="1:13" s="243" customFormat="1" ht="30" x14ac:dyDescent="0.25">
      <c r="A289" s="108" t="s">
        <v>66</v>
      </c>
      <c r="B289" s="58">
        <f>VLOOKUP(Table27[[#This Row],[Location 
(drop-down)]],'List source'!D$2:E$59,2,FALSE)</f>
        <v>165</v>
      </c>
      <c r="C289" s="237" t="s">
        <v>597</v>
      </c>
      <c r="D289" s="244" t="str">
        <f t="shared" si="4"/>
        <v>PTO288-165-23</v>
      </c>
      <c r="E289" s="108" t="s">
        <v>2772</v>
      </c>
      <c r="F289" s="180" t="s">
        <v>2416</v>
      </c>
      <c r="G289" s="108" t="s">
        <v>2348</v>
      </c>
      <c r="H289" s="180" t="str">
        <f>-2.27 &amp; -2.55</f>
        <v>-2.27-2.55</v>
      </c>
      <c r="I289" s="229">
        <v>45280</v>
      </c>
      <c r="J289" s="229" t="s">
        <v>17</v>
      </c>
      <c r="K289" s="246">
        <v>45280</v>
      </c>
      <c r="L289" s="180" t="s">
        <v>828</v>
      </c>
      <c r="M289" s="226" t="s">
        <v>2463</v>
      </c>
    </row>
    <row r="290" spans="1:13" s="243" customFormat="1" ht="30" x14ac:dyDescent="0.25">
      <c r="A290" s="108" t="s">
        <v>66</v>
      </c>
      <c r="B290" s="58">
        <f>VLOOKUP(Table27[[#This Row],[Location 
(drop-down)]],'List source'!D$2:E$59,2,FALSE)</f>
        <v>165</v>
      </c>
      <c r="C290" s="237" t="s">
        <v>598</v>
      </c>
      <c r="D290" s="244" t="str">
        <f t="shared" si="4"/>
        <v>PTO289-165-23</v>
      </c>
      <c r="E290" s="108" t="s">
        <v>2773</v>
      </c>
      <c r="F290" s="180" t="s">
        <v>2416</v>
      </c>
      <c r="G290" s="108" t="s">
        <v>2774</v>
      </c>
      <c r="H290" s="180">
        <v>2.0699999999999998</v>
      </c>
      <c r="I290" s="229">
        <v>45280</v>
      </c>
      <c r="J290" s="229" t="s">
        <v>17</v>
      </c>
      <c r="K290" s="322">
        <v>45425</v>
      </c>
      <c r="L290" s="180"/>
      <c r="M290" s="180"/>
    </row>
    <row r="291" spans="1:13" s="300" customFormat="1" ht="30" x14ac:dyDescent="0.25">
      <c r="A291" s="108" t="s">
        <v>66</v>
      </c>
      <c r="B291" s="58">
        <f>VLOOKUP(Table27[[#This Row],[Location 
(drop-down)]],'List source'!D$2:E$59,2,FALSE)</f>
        <v>165</v>
      </c>
      <c r="C291" s="237" t="s">
        <v>599</v>
      </c>
      <c r="D291" s="244" t="str">
        <f t="shared" si="4"/>
        <v>PTO290-165-23</v>
      </c>
      <c r="E291" s="108" t="s">
        <v>2775</v>
      </c>
      <c r="F291" s="180" t="s">
        <v>2416</v>
      </c>
      <c r="G291" s="108" t="s">
        <v>2601</v>
      </c>
      <c r="H291" s="295" t="s">
        <v>2776</v>
      </c>
      <c r="I291" s="229">
        <v>45280</v>
      </c>
      <c r="J291" s="229" t="s">
        <v>17</v>
      </c>
      <c r="K291" s="246">
        <v>45422</v>
      </c>
      <c r="L291" s="180" t="s">
        <v>832</v>
      </c>
      <c r="M291" s="180" t="s">
        <v>2777</v>
      </c>
    </row>
    <row r="292" spans="1:13" s="300" customFormat="1" ht="45" x14ac:dyDescent="0.25">
      <c r="A292" s="108" t="s">
        <v>324</v>
      </c>
      <c r="B292" s="58">
        <f>VLOOKUP(Table27[[#This Row],[Location 
(drop-down)]],'List source'!D$2:E$59,2,FALSE)</f>
        <v>170</v>
      </c>
      <c r="C292" s="237" t="s">
        <v>600</v>
      </c>
      <c r="D292" s="244" t="str">
        <f t="shared" si="4"/>
        <v>PTO291-170-23</v>
      </c>
      <c r="E292" s="108" t="s">
        <v>2778</v>
      </c>
      <c r="F292" s="180" t="s">
        <v>2416</v>
      </c>
      <c r="G292" s="108" t="s">
        <v>2613</v>
      </c>
      <c r="H292" s="295" t="s">
        <v>2779</v>
      </c>
      <c r="I292" s="229">
        <v>45280</v>
      </c>
      <c r="J292" s="229" t="s">
        <v>2324</v>
      </c>
      <c r="K292" s="246">
        <v>45337</v>
      </c>
      <c r="L292" s="180"/>
      <c r="M292" s="180"/>
    </row>
    <row r="293" spans="1:13" s="300" customFormat="1" ht="30" x14ac:dyDescent="0.25">
      <c r="A293" s="108" t="s">
        <v>324</v>
      </c>
      <c r="B293" s="58">
        <f>VLOOKUP(Table27[[#This Row],[Location 
(drop-down)]],'List source'!D$2:E$59,2,FALSE)</f>
        <v>170</v>
      </c>
      <c r="C293" s="237" t="s">
        <v>601</v>
      </c>
      <c r="D293" s="244" t="str">
        <f t="shared" si="4"/>
        <v>PTO292-170-23</v>
      </c>
      <c r="E293" s="108" t="s">
        <v>2780</v>
      </c>
      <c r="F293" s="180" t="s">
        <v>2416</v>
      </c>
      <c r="G293" s="108" t="s">
        <v>2781</v>
      </c>
      <c r="H293" s="180">
        <v>2.1800000000000002</v>
      </c>
      <c r="I293" s="229">
        <v>45280</v>
      </c>
      <c r="J293" s="229" t="s">
        <v>17</v>
      </c>
      <c r="K293" s="246">
        <v>45280</v>
      </c>
      <c r="L293" s="180" t="s">
        <v>828</v>
      </c>
      <c r="M293" s="226" t="s">
        <v>2463</v>
      </c>
    </row>
    <row r="294" spans="1:13" s="300" customFormat="1" ht="45" x14ac:dyDescent="0.25">
      <c r="A294" s="108" t="s">
        <v>324</v>
      </c>
      <c r="B294" s="58">
        <f>VLOOKUP(Table27[[#This Row],[Location 
(drop-down)]],'List source'!D$2:E$59,2,FALSE)</f>
        <v>170</v>
      </c>
      <c r="C294" s="237" t="s">
        <v>602</v>
      </c>
      <c r="D294" s="244" t="str">
        <f t="shared" si="4"/>
        <v>PTO293-170-23</v>
      </c>
      <c r="E294" s="108" t="s">
        <v>2782</v>
      </c>
      <c r="F294" s="180" t="s">
        <v>2416</v>
      </c>
      <c r="G294" s="108" t="s">
        <v>2520</v>
      </c>
      <c r="H294" s="180" t="s">
        <v>2783</v>
      </c>
      <c r="I294" s="229">
        <v>45280</v>
      </c>
      <c r="J294" s="229" t="s">
        <v>17</v>
      </c>
      <c r="K294" s="322">
        <v>45280</v>
      </c>
      <c r="L294" s="180" t="s">
        <v>828</v>
      </c>
      <c r="M294" s="226" t="s">
        <v>2463</v>
      </c>
    </row>
    <row r="295" spans="1:13" s="300" customFormat="1" ht="45" x14ac:dyDescent="0.25">
      <c r="A295" s="108" t="s">
        <v>324</v>
      </c>
      <c r="B295" s="58">
        <f>VLOOKUP(Table27[[#This Row],[Location 
(drop-down)]],'List source'!D$2:E$59,2,FALSE)</f>
        <v>170</v>
      </c>
      <c r="C295" s="237" t="s">
        <v>603</v>
      </c>
      <c r="D295" s="244" t="str">
        <f t="shared" si="4"/>
        <v>PTO294-170-23</v>
      </c>
      <c r="E295" s="108" t="s">
        <v>2784</v>
      </c>
      <c r="F295" s="180" t="s">
        <v>2416</v>
      </c>
      <c r="G295" s="108" t="s">
        <v>2444</v>
      </c>
      <c r="H295" s="180" t="s">
        <v>2785</v>
      </c>
      <c r="I295" s="229">
        <v>45280</v>
      </c>
      <c r="J295" s="229" t="s">
        <v>2324</v>
      </c>
      <c r="K295" s="246">
        <v>45337</v>
      </c>
      <c r="L295" s="180"/>
      <c r="M295" s="180"/>
    </row>
    <row r="296" spans="1:13" s="300" customFormat="1" ht="45" x14ac:dyDescent="0.25">
      <c r="A296" s="108" t="s">
        <v>75</v>
      </c>
      <c r="B296" s="58">
        <f>VLOOKUP(Table27[[#This Row],[Location 
(drop-down)]],'List source'!D$2:E$59,2,FALSE)</f>
        <v>180</v>
      </c>
      <c r="C296" s="237" t="s">
        <v>604</v>
      </c>
      <c r="D296" s="244" t="str">
        <f t="shared" si="4"/>
        <v>PTO295-180-23</v>
      </c>
      <c r="E296" s="108" t="s">
        <v>2786</v>
      </c>
      <c r="F296" s="180" t="s">
        <v>2416</v>
      </c>
      <c r="G296" s="108" t="s">
        <v>2781</v>
      </c>
      <c r="H296" s="180" t="s">
        <v>2787</v>
      </c>
      <c r="I296" s="229">
        <v>45280</v>
      </c>
      <c r="J296" s="229" t="s">
        <v>435</v>
      </c>
      <c r="K296" s="246">
        <v>45306</v>
      </c>
      <c r="L296" s="180" t="s">
        <v>832</v>
      </c>
      <c r="M296" s="180"/>
    </row>
    <row r="297" spans="1:13" s="300" customFormat="1" ht="30" x14ac:dyDescent="0.25">
      <c r="A297" s="108" t="s">
        <v>87</v>
      </c>
      <c r="B297" s="58">
        <f>VLOOKUP(Table27[[#This Row],[Location 
(drop-down)]],'List source'!D$2:E$59,2,FALSE)</f>
        <v>210</v>
      </c>
      <c r="C297" s="237" t="s">
        <v>605</v>
      </c>
      <c r="D297" s="244" t="str">
        <f t="shared" si="4"/>
        <v>PTO296-210-23</v>
      </c>
      <c r="E297" s="108" t="s">
        <v>2788</v>
      </c>
      <c r="F297" s="180" t="s">
        <v>2416</v>
      </c>
      <c r="G297" s="108" t="s">
        <v>2596</v>
      </c>
      <c r="H297" s="180">
        <v>-2.14</v>
      </c>
      <c r="I297" s="229">
        <v>45280</v>
      </c>
      <c r="J297" s="229" t="s">
        <v>17</v>
      </c>
      <c r="K297" s="246">
        <v>45280</v>
      </c>
      <c r="L297" s="180" t="s">
        <v>828</v>
      </c>
      <c r="M297" s="226" t="s">
        <v>2463</v>
      </c>
    </row>
    <row r="298" spans="1:13" s="300" customFormat="1" ht="30" x14ac:dyDescent="0.25">
      <c r="A298" s="108" t="s">
        <v>87</v>
      </c>
      <c r="B298" s="58">
        <f>VLOOKUP(Table27[[#This Row],[Location 
(drop-down)]],'List source'!D$2:E$59,2,FALSE)</f>
        <v>210</v>
      </c>
      <c r="C298" s="237" t="s">
        <v>606</v>
      </c>
      <c r="D298" s="244" t="str">
        <f t="shared" si="4"/>
        <v>PTO297-210-23</v>
      </c>
      <c r="E298" s="108" t="s">
        <v>2789</v>
      </c>
      <c r="F298" s="180" t="s">
        <v>2416</v>
      </c>
      <c r="G298" s="108" t="s">
        <v>2348</v>
      </c>
      <c r="H298" s="180">
        <v>15.19</v>
      </c>
      <c r="I298" s="229">
        <v>45280</v>
      </c>
      <c r="J298" s="229" t="s">
        <v>2790</v>
      </c>
      <c r="K298" s="322">
        <v>45281</v>
      </c>
      <c r="L298" s="180" t="s">
        <v>837</v>
      </c>
      <c r="M298" s="180" t="s">
        <v>2577</v>
      </c>
    </row>
    <row r="299" spans="1:13" s="300" customFormat="1" ht="30" x14ac:dyDescent="0.25">
      <c r="A299" s="108" t="s">
        <v>87</v>
      </c>
      <c r="B299" s="58">
        <f>VLOOKUP(Table27[[#This Row],[Location 
(drop-down)]],'List source'!D$2:E$59,2,FALSE)</f>
        <v>210</v>
      </c>
      <c r="C299" s="237" t="s">
        <v>607</v>
      </c>
      <c r="D299" s="244" t="str">
        <f t="shared" si="4"/>
        <v>PTO298-210-23</v>
      </c>
      <c r="E299" s="108" t="s">
        <v>2791</v>
      </c>
      <c r="F299" s="180" t="s">
        <v>2416</v>
      </c>
      <c r="G299" s="108" t="s">
        <v>2424</v>
      </c>
      <c r="H299" s="180">
        <v>-2.1</v>
      </c>
      <c r="I299" s="229">
        <v>45280</v>
      </c>
      <c r="J299" s="229" t="s">
        <v>1765</v>
      </c>
      <c r="K299" s="246">
        <v>45467</v>
      </c>
      <c r="L299" s="180"/>
      <c r="M299" s="180"/>
    </row>
    <row r="300" spans="1:13" s="300" customFormat="1" ht="30" x14ac:dyDescent="0.25">
      <c r="A300" s="108" t="s">
        <v>87</v>
      </c>
      <c r="B300" s="58">
        <f>VLOOKUP(Table27[[#This Row],[Location 
(drop-down)]],'List source'!D$2:E$59,2,FALSE)</f>
        <v>210</v>
      </c>
      <c r="C300" s="237" t="s">
        <v>608</v>
      </c>
      <c r="D300" s="244" t="str">
        <f t="shared" si="4"/>
        <v>PTO299-210-23</v>
      </c>
      <c r="E300" s="108" t="s">
        <v>2792</v>
      </c>
      <c r="F300" s="180" t="s">
        <v>2416</v>
      </c>
      <c r="G300" s="108" t="s">
        <v>2793</v>
      </c>
      <c r="H300" s="180">
        <v>8.32</v>
      </c>
      <c r="I300" s="229">
        <v>45280</v>
      </c>
      <c r="J300" s="229" t="s">
        <v>17</v>
      </c>
      <c r="K300" s="246">
        <v>45281</v>
      </c>
      <c r="L300" s="180" t="s">
        <v>837</v>
      </c>
      <c r="M300" s="180" t="s">
        <v>2577</v>
      </c>
    </row>
    <row r="301" spans="1:13" s="300" customFormat="1" ht="45" x14ac:dyDescent="0.25">
      <c r="A301" s="108" t="s">
        <v>47</v>
      </c>
      <c r="B301" s="58">
        <f>VLOOKUP(Table27[[#This Row],[Location 
(drop-down)]],'List source'!D$2:E$59,2,FALSE)</f>
        <v>215</v>
      </c>
      <c r="C301" s="237" t="s">
        <v>609</v>
      </c>
      <c r="D301" s="244" t="str">
        <f t="shared" si="4"/>
        <v>PTO300-215-23</v>
      </c>
      <c r="E301" s="108" t="s">
        <v>2794</v>
      </c>
      <c r="F301" s="180" t="s">
        <v>2416</v>
      </c>
      <c r="G301" s="108" t="s">
        <v>2770</v>
      </c>
      <c r="H301" s="295" t="s">
        <v>2795</v>
      </c>
      <c r="I301" s="229">
        <v>45280</v>
      </c>
      <c r="J301" s="229" t="s">
        <v>1765</v>
      </c>
      <c r="K301" s="246">
        <v>45558</v>
      </c>
      <c r="L301" s="180" t="s">
        <v>822</v>
      </c>
      <c r="M301" s="180"/>
    </row>
    <row r="302" spans="1:13" s="300" customFormat="1" ht="30" x14ac:dyDescent="0.25">
      <c r="A302" s="108" t="s">
        <v>47</v>
      </c>
      <c r="B302" s="58">
        <f>VLOOKUP(Table27[[#This Row],[Location 
(drop-down)]],'List source'!D$2:E$59,2,FALSE)</f>
        <v>215</v>
      </c>
      <c r="C302" s="237" t="s">
        <v>610</v>
      </c>
      <c r="D302" s="244" t="str">
        <f t="shared" si="4"/>
        <v>PTO301-215-23</v>
      </c>
      <c r="E302" s="108" t="s">
        <v>2749</v>
      </c>
      <c r="F302" s="180" t="s">
        <v>2416</v>
      </c>
      <c r="G302" s="108" t="s">
        <v>2420</v>
      </c>
      <c r="H302" s="180">
        <v>2.09</v>
      </c>
      <c r="I302" s="229">
        <v>45280</v>
      </c>
      <c r="J302" s="229" t="s">
        <v>17</v>
      </c>
      <c r="K302" s="246">
        <v>45280</v>
      </c>
      <c r="L302" s="180" t="s">
        <v>828</v>
      </c>
      <c r="M302" s="226" t="s">
        <v>2463</v>
      </c>
    </row>
    <row r="303" spans="1:13" s="300" customFormat="1" ht="30" x14ac:dyDescent="0.25">
      <c r="A303" s="108" t="s">
        <v>47</v>
      </c>
      <c r="B303" s="58">
        <f>VLOOKUP(Table27[[#This Row],[Location 
(drop-down)]],'List source'!D$2:E$59,2,FALSE)</f>
        <v>215</v>
      </c>
      <c r="C303" s="237" t="s">
        <v>611</v>
      </c>
      <c r="D303" s="238" t="str">
        <f t="shared" si="4"/>
        <v>PTO302-215-23</v>
      </c>
      <c r="E303" s="108" t="s">
        <v>2796</v>
      </c>
      <c r="F303" s="180" t="s">
        <v>2416</v>
      </c>
      <c r="G303" s="108" t="s">
        <v>2348</v>
      </c>
      <c r="H303" s="180">
        <v>-3.01</v>
      </c>
      <c r="I303" s="229">
        <v>45280</v>
      </c>
      <c r="J303" s="308" t="s">
        <v>50</v>
      </c>
      <c r="K303" s="309" t="s">
        <v>50</v>
      </c>
      <c r="L303" s="180"/>
      <c r="M303" s="2" t="s">
        <v>51</v>
      </c>
    </row>
    <row r="304" spans="1:13" s="300" customFormat="1" ht="30" x14ac:dyDescent="0.25">
      <c r="A304" s="108" t="s">
        <v>22</v>
      </c>
      <c r="B304" s="58">
        <f>VLOOKUP(Table27[[#This Row],[Location 
(drop-down)]],'List source'!D$2:E$59,2,FALSE)</f>
        <v>130</v>
      </c>
      <c r="C304" s="237" t="s">
        <v>612</v>
      </c>
      <c r="D304" s="340" t="str">
        <f t="shared" si="4"/>
        <v>PTO303-130-23</v>
      </c>
      <c r="E304" s="108" t="s">
        <v>2797</v>
      </c>
      <c r="F304" s="180" t="s">
        <v>2648</v>
      </c>
      <c r="G304" s="108" t="s">
        <v>2348</v>
      </c>
      <c r="H304" s="180" t="s">
        <v>2798</v>
      </c>
      <c r="I304" s="229">
        <v>45287</v>
      </c>
      <c r="J304" s="338" t="s">
        <v>2453</v>
      </c>
      <c r="K304" s="339">
        <v>45559</v>
      </c>
      <c r="L304" s="180" t="s">
        <v>822</v>
      </c>
      <c r="M304" s="180"/>
    </row>
    <row r="305" spans="1:13" s="300" customFormat="1" ht="30" x14ac:dyDescent="0.25">
      <c r="A305" s="108" t="s">
        <v>22</v>
      </c>
      <c r="B305" s="58">
        <f>VLOOKUP(Table27[[#This Row],[Location 
(drop-down)]],'List source'!D$2:E$59,2,FALSE)</f>
        <v>130</v>
      </c>
      <c r="C305" s="237" t="s">
        <v>613</v>
      </c>
      <c r="D305" s="244" t="str">
        <f t="shared" si="4"/>
        <v>PTO304-130-23</v>
      </c>
      <c r="E305" s="108" t="s">
        <v>2799</v>
      </c>
      <c r="F305" s="180" t="s">
        <v>2648</v>
      </c>
      <c r="G305" s="108" t="s">
        <v>2331</v>
      </c>
      <c r="H305" s="180">
        <v>-2.14</v>
      </c>
      <c r="I305" s="229">
        <v>45287</v>
      </c>
      <c r="J305" s="229" t="s">
        <v>17</v>
      </c>
      <c r="K305" s="246">
        <v>45287</v>
      </c>
      <c r="L305" s="180" t="s">
        <v>828</v>
      </c>
      <c r="M305" s="226" t="s">
        <v>2463</v>
      </c>
    </row>
    <row r="306" spans="1:13" s="300" customFormat="1" ht="30" x14ac:dyDescent="0.25">
      <c r="A306" s="108" t="s">
        <v>27</v>
      </c>
      <c r="B306" s="58">
        <f>VLOOKUP(Table27[[#This Row],[Location 
(drop-down)]],'List source'!D$2:E$59,2,FALSE)</f>
        <v>132</v>
      </c>
      <c r="C306" s="237" t="s">
        <v>614</v>
      </c>
      <c r="D306" s="244" t="str">
        <f t="shared" si="4"/>
        <v>PTO305-132-23</v>
      </c>
      <c r="E306" s="108" t="s">
        <v>2800</v>
      </c>
      <c r="F306" s="180" t="s">
        <v>2648</v>
      </c>
      <c r="G306" s="108" t="s">
        <v>2331</v>
      </c>
      <c r="H306" s="180">
        <v>4.29</v>
      </c>
      <c r="I306" s="229">
        <v>45287</v>
      </c>
      <c r="J306" s="229" t="s">
        <v>1368</v>
      </c>
      <c r="K306" s="246">
        <v>45715</v>
      </c>
      <c r="L306" s="180"/>
      <c r="M306" s="180"/>
    </row>
    <row r="307" spans="1:13" s="300" customFormat="1" ht="30" x14ac:dyDescent="0.25">
      <c r="A307" s="108" t="s">
        <v>27</v>
      </c>
      <c r="B307" s="58">
        <f>VLOOKUP(Table27[[#This Row],[Location 
(drop-down)]],'List source'!D$2:E$59,2,FALSE)</f>
        <v>132</v>
      </c>
      <c r="C307" s="237" t="s">
        <v>615</v>
      </c>
      <c r="D307" s="244" t="str">
        <f t="shared" si="4"/>
        <v>PTO306-132-23</v>
      </c>
      <c r="E307" s="108" t="s">
        <v>2801</v>
      </c>
      <c r="F307" s="180" t="s">
        <v>2648</v>
      </c>
      <c r="G307" s="108" t="s">
        <v>2802</v>
      </c>
      <c r="H307" s="180">
        <v>2.27</v>
      </c>
      <c r="I307" s="229">
        <v>45287</v>
      </c>
      <c r="J307" s="229" t="s">
        <v>17</v>
      </c>
      <c r="K307" s="246">
        <v>45287</v>
      </c>
      <c r="L307" s="180" t="s">
        <v>837</v>
      </c>
      <c r="M307" s="226" t="s">
        <v>2463</v>
      </c>
    </row>
    <row r="308" spans="1:13" s="300" customFormat="1" ht="30" x14ac:dyDescent="0.25">
      <c r="A308" s="108" t="s">
        <v>22</v>
      </c>
      <c r="B308" s="58">
        <f>VLOOKUP(Table27[[#This Row],[Location 
(drop-down)]],'List source'!D$2:E$59,2,FALSE)</f>
        <v>130</v>
      </c>
      <c r="C308" s="237" t="s">
        <v>616</v>
      </c>
      <c r="D308" s="340" t="str">
        <f t="shared" si="4"/>
        <v>PTO307-130-23</v>
      </c>
      <c r="E308" s="108" t="s">
        <v>2803</v>
      </c>
      <c r="F308" s="180" t="s">
        <v>2343</v>
      </c>
      <c r="G308" s="108" t="s">
        <v>2348</v>
      </c>
      <c r="H308" s="295" t="s">
        <v>2804</v>
      </c>
      <c r="I308" s="229">
        <v>45287</v>
      </c>
      <c r="J308" s="338" t="s">
        <v>2453</v>
      </c>
      <c r="K308" s="339">
        <v>45559</v>
      </c>
      <c r="L308" s="180" t="s">
        <v>822</v>
      </c>
      <c r="M308" s="180"/>
    </row>
    <row r="309" spans="1:13" s="300" customFormat="1" ht="30" x14ac:dyDescent="0.25">
      <c r="A309" s="108" t="s">
        <v>27</v>
      </c>
      <c r="B309" s="58">
        <f>VLOOKUP(Table27[[#This Row],[Location 
(drop-down)]],'List source'!D$2:E$59,2,FALSE)</f>
        <v>132</v>
      </c>
      <c r="C309" s="237" t="s">
        <v>617</v>
      </c>
      <c r="D309" s="244" t="str">
        <f t="shared" si="4"/>
        <v>PTO308-132-23</v>
      </c>
      <c r="E309" s="108" t="s">
        <v>2805</v>
      </c>
      <c r="F309" s="180" t="s">
        <v>2343</v>
      </c>
      <c r="G309" s="108" t="s">
        <v>2348</v>
      </c>
      <c r="H309" s="180">
        <v>2.0699999999999998</v>
      </c>
      <c r="I309" s="229">
        <v>45287</v>
      </c>
      <c r="J309" s="229" t="s">
        <v>17</v>
      </c>
      <c r="K309" s="246">
        <v>45287</v>
      </c>
      <c r="L309" s="180" t="s">
        <v>828</v>
      </c>
      <c r="M309" s="226" t="s">
        <v>2463</v>
      </c>
    </row>
    <row r="310" spans="1:13" s="300" customFormat="1" ht="30" x14ac:dyDescent="0.25">
      <c r="A310" s="108" t="s">
        <v>22</v>
      </c>
      <c r="B310" s="58">
        <f>VLOOKUP(Table27[[#This Row],[Location 
(drop-down)]],'List source'!D$2:E$59,2,FALSE)</f>
        <v>130</v>
      </c>
      <c r="C310" s="237" t="s">
        <v>618</v>
      </c>
      <c r="D310" s="340" t="str">
        <f t="shared" ref="D310:D331" si="5">"PTO" &amp; C310 &amp; "-" &amp; B310 &amp; "-" &amp; "23"</f>
        <v>PTO309-130-23</v>
      </c>
      <c r="E310" s="108" t="s">
        <v>2806</v>
      </c>
      <c r="F310" s="180" t="s">
        <v>2343</v>
      </c>
      <c r="G310" s="108" t="s">
        <v>2386</v>
      </c>
      <c r="H310" s="180">
        <v>10.58</v>
      </c>
      <c r="I310" s="229">
        <v>45287</v>
      </c>
      <c r="J310" s="338" t="s">
        <v>1368</v>
      </c>
      <c r="K310" s="339">
        <v>45387</v>
      </c>
      <c r="L310" s="180" t="s">
        <v>837</v>
      </c>
      <c r="M310" s="180"/>
    </row>
    <row r="311" spans="1:13" s="300" customFormat="1" ht="30" x14ac:dyDescent="0.25">
      <c r="A311" s="108" t="s">
        <v>27</v>
      </c>
      <c r="B311" s="58">
        <f>VLOOKUP(Table27[[#This Row],[Location 
(drop-down)]],'List source'!D$2:E$59,2,FALSE)</f>
        <v>132</v>
      </c>
      <c r="C311" s="237" t="s">
        <v>619</v>
      </c>
      <c r="D311" s="244" t="str">
        <f t="shared" si="5"/>
        <v>PTO310-132-23</v>
      </c>
      <c r="E311" s="108" t="s">
        <v>2807</v>
      </c>
      <c r="F311" s="180" t="s">
        <v>2343</v>
      </c>
      <c r="G311" s="108" t="s">
        <v>2344</v>
      </c>
      <c r="H311" s="180">
        <v>2.12</v>
      </c>
      <c r="I311" s="229">
        <v>45287</v>
      </c>
      <c r="J311" s="229" t="s">
        <v>17</v>
      </c>
      <c r="K311" s="246">
        <v>45287</v>
      </c>
      <c r="L311" s="180" t="s">
        <v>828</v>
      </c>
      <c r="M311" s="226" t="s">
        <v>2463</v>
      </c>
    </row>
    <row r="312" spans="1:13" s="300" customFormat="1" ht="30" x14ac:dyDescent="0.25">
      <c r="A312" s="108" t="s">
        <v>61</v>
      </c>
      <c r="B312" s="58">
        <f>VLOOKUP(Table27[[#This Row],[Location 
(drop-down)]],'List source'!D$2:E$59,2,FALSE)</f>
        <v>120</v>
      </c>
      <c r="C312" s="237" t="s">
        <v>620</v>
      </c>
      <c r="D312" s="244" t="str">
        <f t="shared" si="5"/>
        <v>PTO311-120-23</v>
      </c>
      <c r="E312" s="108" t="s">
        <v>2808</v>
      </c>
      <c r="F312" s="180" t="s">
        <v>2330</v>
      </c>
      <c r="G312" s="108" t="s">
        <v>2339</v>
      </c>
      <c r="H312" s="180">
        <v>4.33</v>
      </c>
      <c r="I312" s="229">
        <v>45288</v>
      </c>
      <c r="J312" s="229" t="s">
        <v>17</v>
      </c>
      <c r="K312" s="246">
        <v>45293</v>
      </c>
      <c r="L312" s="180" t="s">
        <v>837</v>
      </c>
      <c r="M312" s="180" t="s">
        <v>2577</v>
      </c>
    </row>
    <row r="313" spans="1:13" s="300" customFormat="1" ht="30" x14ac:dyDescent="0.25">
      <c r="A313" s="108" t="s">
        <v>178</v>
      </c>
      <c r="B313" s="58">
        <f>VLOOKUP(Table27[[#This Row],[Location 
(drop-down)]],'List source'!D$2:E$59,2,FALSE)</f>
        <v>150</v>
      </c>
      <c r="C313" s="237" t="s">
        <v>621</v>
      </c>
      <c r="D313" s="244" t="str">
        <f t="shared" si="5"/>
        <v>PTO312-150-23</v>
      </c>
      <c r="E313" s="108" t="s">
        <v>2809</v>
      </c>
      <c r="F313" s="180" t="s">
        <v>2330</v>
      </c>
      <c r="G313" s="108" t="s">
        <v>2331</v>
      </c>
      <c r="H313" s="180">
        <v>-2.62</v>
      </c>
      <c r="I313" s="229">
        <v>45288</v>
      </c>
      <c r="J313" s="229" t="s">
        <v>17</v>
      </c>
      <c r="K313" s="246">
        <v>45288</v>
      </c>
      <c r="L313" s="180" t="s">
        <v>828</v>
      </c>
      <c r="M313" s="226" t="s">
        <v>2463</v>
      </c>
    </row>
    <row r="314" spans="1:13" s="300" customFormat="1" ht="30" x14ac:dyDescent="0.25">
      <c r="A314" s="108" t="s">
        <v>171</v>
      </c>
      <c r="B314" s="58">
        <f>VLOOKUP(Table27[[#This Row],[Location 
(drop-down)]],'List source'!D$2:E$59,2,FALSE)</f>
        <v>160</v>
      </c>
      <c r="C314" s="237" t="s">
        <v>622</v>
      </c>
      <c r="D314" s="244" t="str">
        <f t="shared" si="5"/>
        <v>PTO313-160-23</v>
      </c>
      <c r="E314" s="108" t="s">
        <v>2810</v>
      </c>
      <c r="F314" s="180" t="s">
        <v>2330</v>
      </c>
      <c r="G314" s="108" t="s">
        <v>2360</v>
      </c>
      <c r="H314" s="180">
        <v>2.09</v>
      </c>
      <c r="I314" s="229">
        <v>45288</v>
      </c>
      <c r="J314" s="229" t="s">
        <v>17</v>
      </c>
      <c r="K314" s="246">
        <v>45288</v>
      </c>
      <c r="L314" s="180" t="s">
        <v>828</v>
      </c>
      <c r="M314" s="226" t="s">
        <v>2463</v>
      </c>
    </row>
    <row r="315" spans="1:13" s="300" customFormat="1" ht="18.75" x14ac:dyDescent="0.25">
      <c r="A315" s="108" t="s">
        <v>171</v>
      </c>
      <c r="B315" s="58">
        <f>VLOOKUP(Table27[[#This Row],[Location 
(drop-down)]],'List source'!D$2:E$59,2,FALSE)</f>
        <v>160</v>
      </c>
      <c r="C315" s="237" t="s">
        <v>623</v>
      </c>
      <c r="D315" s="244" t="str">
        <f t="shared" si="5"/>
        <v>PTO314-160-23</v>
      </c>
      <c r="E315" s="108" t="s">
        <v>2811</v>
      </c>
      <c r="F315" s="180" t="s">
        <v>2330</v>
      </c>
      <c r="G315" s="108" t="s">
        <v>2339</v>
      </c>
      <c r="H315" s="180">
        <v>11</v>
      </c>
      <c r="I315" s="229">
        <v>45288</v>
      </c>
      <c r="J315" s="229" t="s">
        <v>443</v>
      </c>
      <c r="K315" s="246">
        <v>45554</v>
      </c>
      <c r="L315" s="180"/>
      <c r="M315" s="180"/>
    </row>
    <row r="316" spans="1:13" s="300" customFormat="1" ht="30" x14ac:dyDescent="0.25">
      <c r="A316" s="108" t="s">
        <v>324</v>
      </c>
      <c r="B316" s="58">
        <f>VLOOKUP(Table27[[#This Row],[Location 
(drop-down)]],'List source'!D$2:E$59,2,FALSE)</f>
        <v>170</v>
      </c>
      <c r="C316" s="237" t="s">
        <v>624</v>
      </c>
      <c r="D316" s="244" t="str">
        <f t="shared" si="5"/>
        <v>PTO315-170-23</v>
      </c>
      <c r="E316" s="108" t="s">
        <v>2812</v>
      </c>
      <c r="F316" s="180" t="s">
        <v>2330</v>
      </c>
      <c r="G316" s="108" t="s">
        <v>2683</v>
      </c>
      <c r="H316" s="180">
        <v>20.74</v>
      </c>
      <c r="I316" s="229">
        <v>45288</v>
      </c>
      <c r="J316" s="229" t="s">
        <v>17</v>
      </c>
      <c r="K316" s="246">
        <v>45288</v>
      </c>
      <c r="L316" s="180" t="s">
        <v>837</v>
      </c>
      <c r="M316" s="180" t="s">
        <v>2577</v>
      </c>
    </row>
    <row r="317" spans="1:13" s="300" customFormat="1" ht="30" x14ac:dyDescent="0.25">
      <c r="A317" s="108" t="s">
        <v>324</v>
      </c>
      <c r="B317" s="58">
        <f>VLOOKUP(Table27[[#This Row],[Location 
(drop-down)]],'List source'!D$2:E$59,2,FALSE)</f>
        <v>170</v>
      </c>
      <c r="C317" s="237" t="s">
        <v>625</v>
      </c>
      <c r="D317" s="244" t="str">
        <f t="shared" si="5"/>
        <v>PTO316-170-23</v>
      </c>
      <c r="E317" s="108" t="s">
        <v>2813</v>
      </c>
      <c r="F317" s="180" t="s">
        <v>2330</v>
      </c>
      <c r="G317" s="108" t="s">
        <v>2814</v>
      </c>
      <c r="H317" s="180">
        <v>2.95</v>
      </c>
      <c r="I317" s="229">
        <v>45288</v>
      </c>
      <c r="J317" s="229" t="s">
        <v>2324</v>
      </c>
      <c r="K317" s="246">
        <v>45338</v>
      </c>
      <c r="L317" s="180"/>
      <c r="M317" s="180"/>
    </row>
    <row r="318" spans="1:13" s="300" customFormat="1" ht="30" x14ac:dyDescent="0.25">
      <c r="A318" s="108" t="s">
        <v>57</v>
      </c>
      <c r="B318" s="58">
        <f>VLOOKUP(Table27[[#This Row],[Location 
(drop-down)]],'List source'!D$2:E$59,2,FALSE)</f>
        <v>155</v>
      </c>
      <c r="C318" s="237" t="s">
        <v>626</v>
      </c>
      <c r="D318" s="244" t="str">
        <f t="shared" si="5"/>
        <v>PTO317-155-23</v>
      </c>
      <c r="E318" s="108" t="s">
        <v>2815</v>
      </c>
      <c r="F318" s="180" t="s">
        <v>2330</v>
      </c>
      <c r="G318" s="108" t="s">
        <v>2360</v>
      </c>
      <c r="H318" s="180">
        <v>2.39</v>
      </c>
      <c r="I318" s="229">
        <v>45288</v>
      </c>
      <c r="J318" s="229" t="s">
        <v>17</v>
      </c>
      <c r="K318" s="246">
        <v>45288</v>
      </c>
      <c r="L318" s="180" t="s">
        <v>828</v>
      </c>
      <c r="M318" s="226" t="s">
        <v>2463</v>
      </c>
    </row>
    <row r="319" spans="1:13" s="300" customFormat="1" ht="30" x14ac:dyDescent="0.25">
      <c r="A319" s="108" t="s">
        <v>37</v>
      </c>
      <c r="B319" s="58">
        <f>VLOOKUP(Table27[[#This Row],[Location 
(drop-down)]],'List source'!D$2:E$59,2,FALSE)</f>
        <v>158</v>
      </c>
      <c r="C319" s="237" t="s">
        <v>627</v>
      </c>
      <c r="D319" s="244" t="str">
        <f t="shared" si="5"/>
        <v>PTO318-158-23</v>
      </c>
      <c r="E319" s="108" t="s">
        <v>2816</v>
      </c>
      <c r="F319" s="180" t="s">
        <v>2330</v>
      </c>
      <c r="G319" s="108" t="s">
        <v>2360</v>
      </c>
      <c r="H319" s="180">
        <v>-3.72</v>
      </c>
      <c r="I319" s="229">
        <v>45288</v>
      </c>
      <c r="J319" s="229" t="s">
        <v>2453</v>
      </c>
      <c r="K319" s="246">
        <v>45818</v>
      </c>
      <c r="L319" s="180"/>
      <c r="M319" s="180"/>
    </row>
    <row r="320" spans="1:13" s="300" customFormat="1" ht="30" x14ac:dyDescent="0.25">
      <c r="A320" s="108" t="s">
        <v>324</v>
      </c>
      <c r="B320" s="58">
        <f>VLOOKUP(Table27[[#This Row],[Location 
(drop-down)]],'List source'!D$2:E$59,2,FALSE)</f>
        <v>170</v>
      </c>
      <c r="C320" s="237" t="s">
        <v>628</v>
      </c>
      <c r="D320" s="244" t="str">
        <f t="shared" si="5"/>
        <v>PTO319-170-23</v>
      </c>
      <c r="E320" s="266" t="s">
        <v>2817</v>
      </c>
      <c r="F320" s="267" t="s">
        <v>2330</v>
      </c>
      <c r="G320" s="266" t="s">
        <v>2348</v>
      </c>
      <c r="H320" s="180">
        <v>15.26</v>
      </c>
      <c r="I320" s="229">
        <v>45288</v>
      </c>
      <c r="J320" s="229" t="s">
        <v>2324</v>
      </c>
      <c r="K320" s="322">
        <v>45337</v>
      </c>
      <c r="L320" s="180"/>
      <c r="M320" s="180"/>
    </row>
    <row r="321" spans="1:13" s="300" customFormat="1" ht="30" x14ac:dyDescent="0.25">
      <c r="A321" s="108" t="s">
        <v>112</v>
      </c>
      <c r="B321" s="58">
        <f>VLOOKUP(Table27[[#This Row],[Location 
(drop-down)]],'List source'!D$2:E$59,2,FALSE)</f>
        <v>115</v>
      </c>
      <c r="C321" s="237" t="s">
        <v>629</v>
      </c>
      <c r="D321" s="244" t="str">
        <f t="shared" si="5"/>
        <v>PTO320-115-23</v>
      </c>
      <c r="E321" s="301" t="s">
        <v>2818</v>
      </c>
      <c r="F321" s="302" t="s">
        <v>2321</v>
      </c>
      <c r="G321" s="301" t="s">
        <v>2322</v>
      </c>
      <c r="H321" s="302">
        <v>-3.07</v>
      </c>
      <c r="I321" s="229">
        <v>45288</v>
      </c>
      <c r="J321" s="229" t="s">
        <v>17</v>
      </c>
      <c r="K321" s="246">
        <v>45288</v>
      </c>
      <c r="L321" s="180" t="s">
        <v>837</v>
      </c>
      <c r="M321" s="180" t="s">
        <v>2577</v>
      </c>
    </row>
    <row r="322" spans="1:13" s="300" customFormat="1" ht="30" x14ac:dyDescent="0.25">
      <c r="A322" s="108" t="s">
        <v>112</v>
      </c>
      <c r="B322" s="58">
        <f>VLOOKUP(Table27[[#This Row],[Location 
(drop-down)]],'List source'!D$2:E$59,2,FALSE)</f>
        <v>115</v>
      </c>
      <c r="C322" s="237" t="s">
        <v>630</v>
      </c>
      <c r="D322" s="244" t="str">
        <f t="shared" si="5"/>
        <v>PTO321-115-23</v>
      </c>
      <c r="E322" s="108" t="s">
        <v>2819</v>
      </c>
      <c r="F322" s="180" t="s">
        <v>2321</v>
      </c>
      <c r="G322" s="108" t="s">
        <v>2348</v>
      </c>
      <c r="H322" s="180" t="s">
        <v>2820</v>
      </c>
      <c r="I322" s="229">
        <v>45288</v>
      </c>
      <c r="J322" s="229" t="s">
        <v>17</v>
      </c>
      <c r="K322" s="322">
        <v>45288</v>
      </c>
      <c r="L322" s="180" t="s">
        <v>828</v>
      </c>
      <c r="M322" s="226" t="s">
        <v>2463</v>
      </c>
    </row>
    <row r="323" spans="1:13" s="300" customFormat="1" ht="30" x14ac:dyDescent="0.25">
      <c r="A323" s="108" t="s">
        <v>112</v>
      </c>
      <c r="B323" s="58">
        <f>VLOOKUP(Table27[[#This Row],[Location 
(drop-down)]],'List source'!D$2:E$59,2,FALSE)</f>
        <v>115</v>
      </c>
      <c r="C323" s="237" t="s">
        <v>631</v>
      </c>
      <c r="D323" s="244" t="str">
        <f t="shared" si="5"/>
        <v>PTO322-115-23</v>
      </c>
      <c r="E323" s="108" t="s">
        <v>2821</v>
      </c>
      <c r="F323" s="180" t="s">
        <v>2321</v>
      </c>
      <c r="G323" s="108" t="s">
        <v>2601</v>
      </c>
      <c r="H323" s="180">
        <v>2.74</v>
      </c>
      <c r="I323" s="229">
        <v>45288</v>
      </c>
      <c r="J323" s="229" t="s">
        <v>17</v>
      </c>
      <c r="K323" s="246">
        <v>45288</v>
      </c>
      <c r="L323" s="180" t="s">
        <v>828</v>
      </c>
      <c r="M323" s="226" t="s">
        <v>2463</v>
      </c>
    </row>
    <row r="324" spans="1:13" s="300" customFormat="1" ht="30" x14ac:dyDescent="0.25">
      <c r="A324" s="108" t="s">
        <v>112</v>
      </c>
      <c r="B324" s="58">
        <f>VLOOKUP(Table27[[#This Row],[Location 
(drop-down)]],'List source'!D$2:E$59,2,FALSE)</f>
        <v>115</v>
      </c>
      <c r="C324" s="237" t="s">
        <v>632</v>
      </c>
      <c r="D324" s="244" t="str">
        <f t="shared" si="5"/>
        <v>PTO323-115-23</v>
      </c>
      <c r="E324" s="108" t="s">
        <v>2822</v>
      </c>
      <c r="F324" s="180" t="s">
        <v>2321</v>
      </c>
      <c r="G324" s="108" t="s">
        <v>2770</v>
      </c>
      <c r="H324" s="180">
        <v>5.16</v>
      </c>
      <c r="I324" s="229">
        <v>45288</v>
      </c>
      <c r="J324" s="229" t="s">
        <v>17</v>
      </c>
      <c r="K324" s="246">
        <v>45288</v>
      </c>
      <c r="L324" s="180" t="s">
        <v>837</v>
      </c>
      <c r="M324" s="180" t="s">
        <v>2577</v>
      </c>
    </row>
    <row r="325" spans="1:13" s="300" customFormat="1" ht="30" x14ac:dyDescent="0.25">
      <c r="A325" s="108" t="s">
        <v>168</v>
      </c>
      <c r="B325" s="58">
        <f>VLOOKUP(Table27[[#This Row],[Location 
(drop-down)]],'List source'!D$2:E$59,2,FALSE)</f>
        <v>136</v>
      </c>
      <c r="C325" s="237" t="s">
        <v>633</v>
      </c>
      <c r="D325" s="244" t="str">
        <f t="shared" si="5"/>
        <v>PTO324-136-23</v>
      </c>
      <c r="E325" s="108" t="s">
        <v>2823</v>
      </c>
      <c r="F325" s="180" t="s">
        <v>2321</v>
      </c>
      <c r="G325" s="108" t="s">
        <v>2520</v>
      </c>
      <c r="H325" s="180">
        <v>2.1800000000000002</v>
      </c>
      <c r="I325" s="229">
        <v>45288</v>
      </c>
      <c r="J325" s="229" t="s">
        <v>17</v>
      </c>
      <c r="K325" s="246">
        <v>45288</v>
      </c>
      <c r="L325" s="180" t="s">
        <v>828</v>
      </c>
      <c r="M325" s="226" t="s">
        <v>2463</v>
      </c>
    </row>
    <row r="326" spans="1:13" s="300" customFormat="1" ht="30" x14ac:dyDescent="0.25">
      <c r="A326" s="108" t="s">
        <v>331</v>
      </c>
      <c r="B326" s="58">
        <f>VLOOKUP(Table27[[#This Row],[Location 
(drop-down)]],'List source'!D$2:E$59,2,FALSE)</f>
        <v>146</v>
      </c>
      <c r="C326" s="237" t="s">
        <v>634</v>
      </c>
      <c r="D326" s="244" t="str">
        <f t="shared" si="5"/>
        <v>PTO325-146-23</v>
      </c>
      <c r="E326" s="108" t="s">
        <v>2824</v>
      </c>
      <c r="F326" s="180" t="s">
        <v>2321</v>
      </c>
      <c r="G326" s="108" t="s">
        <v>2555</v>
      </c>
      <c r="H326" s="180">
        <v>-2.36</v>
      </c>
      <c r="I326" s="229">
        <v>45288</v>
      </c>
      <c r="J326" s="229" t="s">
        <v>17</v>
      </c>
      <c r="K326" s="246">
        <v>45288</v>
      </c>
      <c r="L326" s="180" t="s">
        <v>837</v>
      </c>
      <c r="M326" s="226" t="s">
        <v>2463</v>
      </c>
    </row>
    <row r="327" spans="1:13" s="300" customFormat="1" ht="18.75" x14ac:dyDescent="0.25">
      <c r="A327" s="108" t="s">
        <v>331</v>
      </c>
      <c r="B327" s="58">
        <f>VLOOKUP(Table27[[#This Row],[Location 
(drop-down)]],'List source'!D$2:E$59,2,FALSE)</f>
        <v>146</v>
      </c>
      <c r="C327" s="237" t="s">
        <v>635</v>
      </c>
      <c r="D327" s="244" t="str">
        <f t="shared" si="5"/>
        <v>PTO326-146-23</v>
      </c>
      <c r="E327" s="108" t="s">
        <v>2825</v>
      </c>
      <c r="F327" s="180" t="s">
        <v>2321</v>
      </c>
      <c r="G327" s="108" t="s">
        <v>2575</v>
      </c>
      <c r="H327" s="180">
        <v>-6.15</v>
      </c>
      <c r="I327" s="229">
        <v>45288</v>
      </c>
      <c r="J327" s="229" t="s">
        <v>2324</v>
      </c>
      <c r="K327" s="246">
        <v>45328</v>
      </c>
      <c r="L327" s="180"/>
      <c r="M327" s="180"/>
    </row>
    <row r="328" spans="1:13" s="300" customFormat="1" ht="30" x14ac:dyDescent="0.25">
      <c r="A328" s="108" t="s">
        <v>324</v>
      </c>
      <c r="B328" s="58">
        <f>VLOOKUP(Table27[[#This Row],[Location 
(drop-down)]],'List source'!D$2:E$59,2,FALSE)</f>
        <v>170</v>
      </c>
      <c r="C328" s="237" t="s">
        <v>636</v>
      </c>
      <c r="D328" s="244" t="str">
        <f t="shared" si="5"/>
        <v>PTO327-170-23</v>
      </c>
      <c r="E328" s="108" t="s">
        <v>2826</v>
      </c>
      <c r="F328" s="180" t="s">
        <v>2321</v>
      </c>
      <c r="G328" s="323" t="s">
        <v>2520</v>
      </c>
      <c r="H328" s="180">
        <v>2.02</v>
      </c>
      <c r="I328" s="229">
        <v>45288</v>
      </c>
      <c r="J328" s="229" t="s">
        <v>2324</v>
      </c>
      <c r="K328" s="246">
        <v>45322</v>
      </c>
      <c r="L328" s="180"/>
      <c r="M328" s="180"/>
    </row>
    <row r="329" spans="1:13" s="300" customFormat="1" ht="30" x14ac:dyDescent="0.25">
      <c r="A329" s="108" t="s">
        <v>324</v>
      </c>
      <c r="B329" s="58">
        <f>VLOOKUP(Table27[[#This Row],[Location 
(drop-down)]],'List source'!D$2:E$59,2,FALSE)</f>
        <v>170</v>
      </c>
      <c r="C329" s="237" t="s">
        <v>637</v>
      </c>
      <c r="D329" s="244" t="str">
        <f t="shared" si="5"/>
        <v>PTO328-170-23</v>
      </c>
      <c r="E329" s="108" t="s">
        <v>2827</v>
      </c>
      <c r="F329" s="180" t="s">
        <v>2321</v>
      </c>
      <c r="G329" s="108" t="s">
        <v>2828</v>
      </c>
      <c r="H329" s="180">
        <v>-2.02</v>
      </c>
      <c r="I329" s="229">
        <v>45288</v>
      </c>
      <c r="J329" s="229" t="s">
        <v>17</v>
      </c>
      <c r="K329" s="246">
        <v>45288</v>
      </c>
      <c r="L329" s="180" t="s">
        <v>828</v>
      </c>
      <c r="M329" s="226" t="s">
        <v>2463</v>
      </c>
    </row>
    <row r="330" spans="1:13" s="300" customFormat="1" ht="30" x14ac:dyDescent="0.25">
      <c r="A330" s="108" t="s">
        <v>108</v>
      </c>
      <c r="B330" s="58">
        <f>VLOOKUP(Table27[[#This Row],[Location 
(drop-down)]],'List source'!D$2:E$59,2,FALSE)</f>
        <v>191</v>
      </c>
      <c r="C330" s="237" t="s">
        <v>638</v>
      </c>
      <c r="D330" s="244" t="str">
        <f t="shared" si="5"/>
        <v>PTO329-191-23</v>
      </c>
      <c r="E330" s="108" t="s">
        <v>2824</v>
      </c>
      <c r="F330" s="180" t="s">
        <v>2321</v>
      </c>
      <c r="G330" s="108" t="s">
        <v>2555</v>
      </c>
      <c r="H330" s="180">
        <v>-2.13</v>
      </c>
      <c r="I330" s="229">
        <v>45288</v>
      </c>
      <c r="J330" s="229" t="s">
        <v>17</v>
      </c>
      <c r="K330" s="246">
        <v>45288</v>
      </c>
      <c r="L330" s="180" t="s">
        <v>828</v>
      </c>
      <c r="M330" s="226" t="s">
        <v>2463</v>
      </c>
    </row>
    <row r="331" spans="1:13" s="300" customFormat="1" ht="30" x14ac:dyDescent="0.25">
      <c r="A331" s="108" t="s">
        <v>72</v>
      </c>
      <c r="B331" s="58">
        <f>VLOOKUP(Table27[[#This Row],[Location 
(drop-down)]],'List source'!D$2:E$59,2,FALSE)</f>
        <v>197</v>
      </c>
      <c r="C331" s="237" t="s">
        <v>639</v>
      </c>
      <c r="D331" s="244" t="str">
        <f t="shared" si="5"/>
        <v>PTO330-197-23</v>
      </c>
      <c r="E331" s="108" t="s">
        <v>2829</v>
      </c>
      <c r="F331" s="180" t="s">
        <v>2830</v>
      </c>
      <c r="G331" s="108" t="s">
        <v>2348</v>
      </c>
      <c r="H331" s="180">
        <v>-9.59</v>
      </c>
      <c r="I331" s="229">
        <v>45288</v>
      </c>
      <c r="J331" s="229" t="s">
        <v>443</v>
      </c>
      <c r="K331" s="246">
        <v>45586</v>
      </c>
      <c r="L331" s="180"/>
      <c r="M331" s="180"/>
    </row>
    <row r="332" spans="1:13" s="300" customFormat="1" ht="30" x14ac:dyDescent="0.25">
      <c r="A332" s="108" t="s">
        <v>42</v>
      </c>
      <c r="B332" s="58">
        <f>VLOOKUP(Table27[[#This Row],[Location 
(drop-down)]],'List source'!D$2:E$59,2,FALSE)</f>
        <v>198</v>
      </c>
      <c r="C332" s="237" t="s">
        <v>640</v>
      </c>
      <c r="D332" s="244" t="str">
        <f t="shared" ref="D332:D385" si="6">"PTO" &amp; C332 &amp; "-" &amp; B332 &amp; "-" &amp; "23"</f>
        <v>PTO331-198-23</v>
      </c>
      <c r="E332" s="108" t="s">
        <v>2831</v>
      </c>
      <c r="F332" s="180" t="s">
        <v>2830</v>
      </c>
      <c r="G332" s="108" t="s">
        <v>2348</v>
      </c>
      <c r="H332" s="180">
        <v>4.4800000000000004</v>
      </c>
      <c r="I332" s="229">
        <v>45288</v>
      </c>
      <c r="J332" s="229" t="s">
        <v>17</v>
      </c>
      <c r="K332" s="322">
        <v>45288</v>
      </c>
      <c r="L332" s="180" t="s">
        <v>837</v>
      </c>
      <c r="M332" s="180" t="s">
        <v>2577</v>
      </c>
    </row>
    <row r="333" spans="1:13" s="300" customFormat="1" ht="30" x14ac:dyDescent="0.25">
      <c r="A333" s="108" t="s">
        <v>42</v>
      </c>
      <c r="B333" s="58">
        <f>VLOOKUP(Table27[[#This Row],[Location 
(drop-down)]],'List source'!D$2:E$59,2,FALSE)</f>
        <v>198</v>
      </c>
      <c r="C333" s="237" t="s">
        <v>641</v>
      </c>
      <c r="D333" s="244" t="str">
        <f t="shared" si="6"/>
        <v>PTO332-198-23</v>
      </c>
      <c r="E333" s="108" t="s">
        <v>2832</v>
      </c>
      <c r="F333" s="180" t="s">
        <v>2830</v>
      </c>
      <c r="G333" s="323" t="s">
        <v>2833</v>
      </c>
      <c r="H333" s="180">
        <v>18.62</v>
      </c>
      <c r="I333" s="229">
        <v>45288</v>
      </c>
      <c r="J333" s="229" t="s">
        <v>17</v>
      </c>
      <c r="K333" s="246">
        <v>45288</v>
      </c>
      <c r="L333" s="180" t="s">
        <v>837</v>
      </c>
      <c r="M333" s="180" t="s">
        <v>2577</v>
      </c>
    </row>
    <row r="334" spans="1:13" s="300" customFormat="1" ht="30" x14ac:dyDescent="0.25">
      <c r="A334" s="108" t="s">
        <v>324</v>
      </c>
      <c r="B334" s="58">
        <f>VLOOKUP(Table27[[#This Row],[Location 
(drop-down)]],'List source'!D$2:E$59,2,FALSE)</f>
        <v>170</v>
      </c>
      <c r="C334" s="237" t="s">
        <v>642</v>
      </c>
      <c r="D334" s="244" t="str">
        <f t="shared" si="6"/>
        <v>PTO333-170-23</v>
      </c>
      <c r="E334" s="108" t="s">
        <v>2834</v>
      </c>
      <c r="F334" s="180" t="s">
        <v>2835</v>
      </c>
      <c r="G334" s="108" t="s">
        <v>2386</v>
      </c>
      <c r="H334" s="180">
        <v>-2.79</v>
      </c>
      <c r="I334" s="229">
        <v>45289</v>
      </c>
      <c r="J334" s="229" t="s">
        <v>17</v>
      </c>
      <c r="K334" s="246">
        <v>45289</v>
      </c>
      <c r="L334" s="180" t="s">
        <v>828</v>
      </c>
      <c r="M334" s="226" t="s">
        <v>2463</v>
      </c>
    </row>
    <row r="335" spans="1:13" ht="18.75" x14ac:dyDescent="0.25">
      <c r="A335" s="9" t="s">
        <v>174</v>
      </c>
      <c r="B335" s="13">
        <f>VLOOKUP(Table27[[#This Row],[Location 
(drop-down)]],'List source'!D$2:E$59,2,FALSE)</f>
        <v>131</v>
      </c>
      <c r="C335" s="25" t="s">
        <v>643</v>
      </c>
      <c r="D335" s="33" t="str">
        <f t="shared" si="6"/>
        <v>PTO334-131-23</v>
      </c>
      <c r="E335" s="9" t="s">
        <v>2836</v>
      </c>
      <c r="F335" s="10" t="s">
        <v>2837</v>
      </c>
      <c r="G335" s="9" t="s">
        <v>2838</v>
      </c>
      <c r="H335" s="10">
        <v>-19.45</v>
      </c>
      <c r="I335" s="12">
        <v>45271</v>
      </c>
      <c r="J335" s="12" t="s">
        <v>1368</v>
      </c>
      <c r="K335" s="91">
        <v>45343</v>
      </c>
      <c r="L335" s="10"/>
      <c r="M335" s="10"/>
    </row>
    <row r="336" spans="1:13" ht="18.75" x14ac:dyDescent="0.25">
      <c r="A336" s="9"/>
      <c r="B336" s="13" t="e">
        <f>VLOOKUP(Table27[[#This Row],[Location 
(drop-down)]],'List source'!D$2:E$59,2,FALSE)</f>
        <v>#N/A</v>
      </c>
      <c r="C336" s="25" t="s">
        <v>644</v>
      </c>
      <c r="D336" s="33" t="e">
        <f t="shared" si="6"/>
        <v>#N/A</v>
      </c>
      <c r="E336" s="9"/>
      <c r="F336" s="10"/>
      <c r="G336" s="9"/>
      <c r="H336" s="10"/>
      <c r="I336" s="12"/>
      <c r="J336" s="12"/>
      <c r="K336" s="91"/>
      <c r="L336" s="10"/>
      <c r="M336" s="10"/>
    </row>
    <row r="337" spans="1:13" ht="18.75" x14ac:dyDescent="0.25">
      <c r="A337" s="9"/>
      <c r="B337" s="13" t="e">
        <f>VLOOKUP(Table27[[#This Row],[Location 
(drop-down)]],'List source'!D$2:E$59,2,FALSE)</f>
        <v>#N/A</v>
      </c>
      <c r="C337" s="25" t="s">
        <v>645</v>
      </c>
      <c r="D337" s="33" t="e">
        <f t="shared" si="6"/>
        <v>#N/A</v>
      </c>
      <c r="E337" s="9"/>
      <c r="F337" s="10"/>
      <c r="G337" s="9"/>
      <c r="H337" s="10"/>
      <c r="I337" s="12"/>
      <c r="J337" s="12"/>
      <c r="K337" s="91"/>
      <c r="L337" s="10"/>
      <c r="M337" s="10"/>
    </row>
    <row r="338" spans="1:13" ht="18.75" x14ac:dyDescent="0.25">
      <c r="A338" s="9"/>
      <c r="B338" s="13" t="e">
        <f>VLOOKUP(Table27[[#This Row],[Location 
(drop-down)]],'List source'!D$2:E$59,2,FALSE)</f>
        <v>#N/A</v>
      </c>
      <c r="C338" s="25" t="s">
        <v>646</v>
      </c>
      <c r="D338" s="33" t="e">
        <f t="shared" si="6"/>
        <v>#N/A</v>
      </c>
      <c r="E338" s="9"/>
      <c r="F338" s="10"/>
      <c r="G338" s="9"/>
      <c r="H338" s="10"/>
      <c r="I338" s="12"/>
      <c r="J338" s="12"/>
      <c r="K338" s="91"/>
      <c r="L338" s="10"/>
      <c r="M338" s="10"/>
    </row>
    <row r="339" spans="1:13" ht="18.75" x14ac:dyDescent="0.25">
      <c r="A339" s="9"/>
      <c r="B339" s="13" t="e">
        <f>VLOOKUP(Table27[[#This Row],[Location 
(drop-down)]],'List source'!D$2:E$59,2,FALSE)</f>
        <v>#N/A</v>
      </c>
      <c r="C339" s="25" t="s">
        <v>647</v>
      </c>
      <c r="D339" s="33" t="e">
        <f t="shared" si="6"/>
        <v>#N/A</v>
      </c>
      <c r="E339" s="9"/>
      <c r="F339" s="10"/>
      <c r="G339" s="9"/>
      <c r="H339" s="10"/>
      <c r="I339" s="12"/>
      <c r="J339" s="12"/>
      <c r="K339" s="161"/>
      <c r="L339" s="10"/>
      <c r="M339" s="10"/>
    </row>
    <row r="340" spans="1:13" ht="18.75" x14ac:dyDescent="0.25">
      <c r="A340" s="9"/>
      <c r="B340" s="13" t="e">
        <f>VLOOKUP(Table27[[#This Row],[Location 
(drop-down)]],'List source'!D$2:E$59,2,FALSE)</f>
        <v>#N/A</v>
      </c>
      <c r="C340" s="25" t="s">
        <v>648</v>
      </c>
      <c r="D340" s="33" t="e">
        <f t="shared" si="6"/>
        <v>#N/A</v>
      </c>
      <c r="E340" s="9"/>
      <c r="F340" s="10"/>
      <c r="G340" s="9"/>
      <c r="H340" s="10"/>
      <c r="I340" s="12"/>
      <c r="J340" s="12"/>
      <c r="K340" s="91"/>
      <c r="L340" s="10"/>
      <c r="M340" s="10"/>
    </row>
    <row r="341" spans="1:13" ht="18.75" x14ac:dyDescent="0.25">
      <c r="A341" s="9"/>
      <c r="B341" s="13" t="e">
        <f>VLOOKUP(Table27[[#This Row],[Location 
(drop-down)]],'List source'!D$2:E$59,2,FALSE)</f>
        <v>#N/A</v>
      </c>
      <c r="C341" s="25" t="s">
        <v>649</v>
      </c>
      <c r="D341" s="33" t="e">
        <f t="shared" si="6"/>
        <v>#N/A</v>
      </c>
      <c r="E341" s="9"/>
      <c r="F341" s="10"/>
      <c r="G341" s="9"/>
      <c r="H341" s="10"/>
      <c r="I341" s="12"/>
      <c r="J341" s="12"/>
      <c r="K341" s="91"/>
      <c r="L341" s="10"/>
      <c r="M341" s="10"/>
    </row>
    <row r="342" spans="1:13" ht="18.75" x14ac:dyDescent="0.25">
      <c r="A342" s="9"/>
      <c r="B342" s="13" t="e">
        <f>VLOOKUP(Table27[[#This Row],[Location 
(drop-down)]],'List source'!D$2:E$59,2,FALSE)</f>
        <v>#N/A</v>
      </c>
      <c r="C342" s="25" t="s">
        <v>650</v>
      </c>
      <c r="D342" s="33" t="e">
        <f t="shared" si="6"/>
        <v>#N/A</v>
      </c>
      <c r="E342" s="9"/>
      <c r="F342" s="10"/>
      <c r="G342" s="9"/>
      <c r="H342" s="10"/>
      <c r="I342" s="12"/>
      <c r="J342" s="12"/>
      <c r="K342" s="91"/>
      <c r="L342" s="10"/>
      <c r="M342" s="10"/>
    </row>
    <row r="343" spans="1:13" ht="18.75" x14ac:dyDescent="0.25">
      <c r="A343" s="9"/>
      <c r="B343" s="13" t="e">
        <f>VLOOKUP(Table27[[#This Row],[Location 
(drop-down)]],'List source'!D$2:E$59,2,FALSE)</f>
        <v>#N/A</v>
      </c>
      <c r="C343" s="25" t="s">
        <v>651</v>
      </c>
      <c r="D343" s="33" t="e">
        <f t="shared" si="6"/>
        <v>#N/A</v>
      </c>
      <c r="E343" s="9"/>
      <c r="F343" s="10"/>
      <c r="G343" s="9"/>
      <c r="H343" s="10"/>
      <c r="I343" s="12"/>
      <c r="J343" s="12"/>
      <c r="K343" s="91"/>
      <c r="L343" s="10"/>
      <c r="M343" s="10"/>
    </row>
    <row r="344" spans="1:13" ht="18.75" x14ac:dyDescent="0.25">
      <c r="A344" s="9"/>
      <c r="B344" s="13" t="e">
        <f>VLOOKUP(Table27[[#This Row],[Location 
(drop-down)]],'List source'!D$2:E$59,2,FALSE)</f>
        <v>#N/A</v>
      </c>
      <c r="C344" s="25" t="s">
        <v>652</v>
      </c>
      <c r="D344" s="33" t="e">
        <f t="shared" si="6"/>
        <v>#N/A</v>
      </c>
      <c r="E344" s="9"/>
      <c r="F344" s="10"/>
      <c r="G344" s="9"/>
      <c r="H344" s="10"/>
      <c r="I344" s="12"/>
      <c r="J344" s="12"/>
      <c r="K344" s="91"/>
      <c r="L344" s="10"/>
      <c r="M344" s="10"/>
    </row>
    <row r="345" spans="1:13" ht="18.75" x14ac:dyDescent="0.25">
      <c r="A345" s="9"/>
      <c r="B345" s="13" t="e">
        <f>VLOOKUP(Table27[[#This Row],[Location 
(drop-down)]],'List source'!D$2:E$59,2,FALSE)</f>
        <v>#N/A</v>
      </c>
      <c r="C345" s="25" t="s">
        <v>653</v>
      </c>
      <c r="D345" s="33" t="e">
        <f t="shared" si="6"/>
        <v>#N/A</v>
      </c>
      <c r="E345" s="9"/>
      <c r="F345" s="10"/>
      <c r="G345" s="9"/>
      <c r="H345" s="10"/>
      <c r="I345" s="12"/>
      <c r="J345" s="12"/>
      <c r="K345" s="91"/>
      <c r="L345" s="10"/>
      <c r="M345" s="10"/>
    </row>
    <row r="346" spans="1:13" ht="18.75" x14ac:dyDescent="0.25">
      <c r="A346" s="9"/>
      <c r="B346" s="13" t="e">
        <f>VLOOKUP(Table27[[#This Row],[Location 
(drop-down)]],'List source'!D$2:E$59,2,FALSE)</f>
        <v>#N/A</v>
      </c>
      <c r="C346" s="25" t="s">
        <v>654</v>
      </c>
      <c r="D346" s="33" t="e">
        <f t="shared" si="6"/>
        <v>#N/A</v>
      </c>
      <c r="E346" s="9"/>
      <c r="F346" s="10"/>
      <c r="G346" s="9"/>
      <c r="H346" s="10"/>
      <c r="I346" s="12"/>
      <c r="J346" s="12"/>
      <c r="K346" s="91"/>
      <c r="L346" s="10"/>
      <c r="M346" s="10"/>
    </row>
    <row r="347" spans="1:13" ht="18.75" x14ac:dyDescent="0.25">
      <c r="A347" s="9"/>
      <c r="B347" s="13" t="e">
        <f>VLOOKUP(Table27[[#This Row],[Location 
(drop-down)]],'List source'!D$2:E$59,2,FALSE)</f>
        <v>#N/A</v>
      </c>
      <c r="C347" s="25" t="s">
        <v>655</v>
      </c>
      <c r="D347" s="33" t="e">
        <f t="shared" si="6"/>
        <v>#N/A</v>
      </c>
      <c r="E347" s="9"/>
      <c r="F347" s="10"/>
      <c r="G347" s="9"/>
      <c r="H347" s="10"/>
      <c r="I347" s="12"/>
      <c r="J347" s="12"/>
      <c r="K347" s="91"/>
      <c r="L347" s="10"/>
      <c r="M347" s="10"/>
    </row>
    <row r="348" spans="1:13" ht="18.75" x14ac:dyDescent="0.25">
      <c r="A348" s="9"/>
      <c r="B348" s="13" t="e">
        <f>VLOOKUP(Table27[[#This Row],[Location 
(drop-down)]],'List source'!D$2:E$59,2,FALSE)</f>
        <v>#N/A</v>
      </c>
      <c r="C348" s="25" t="s">
        <v>656</v>
      </c>
      <c r="D348" s="33" t="e">
        <f t="shared" si="6"/>
        <v>#N/A</v>
      </c>
      <c r="E348" s="9"/>
      <c r="F348" s="10"/>
      <c r="G348" s="9"/>
      <c r="H348" s="10"/>
      <c r="I348" s="12"/>
      <c r="J348" s="12"/>
      <c r="K348" s="91"/>
      <c r="L348" s="10"/>
      <c r="M348" s="10"/>
    </row>
    <row r="349" spans="1:13" ht="18.75" x14ac:dyDescent="0.25">
      <c r="A349" s="9"/>
      <c r="B349" s="13" t="e">
        <f>VLOOKUP(Table27[[#This Row],[Location 
(drop-down)]],'List source'!D$2:E$59,2,FALSE)</f>
        <v>#N/A</v>
      </c>
      <c r="C349" s="25" t="s">
        <v>657</v>
      </c>
      <c r="D349" s="33" t="e">
        <f t="shared" si="6"/>
        <v>#N/A</v>
      </c>
      <c r="E349" s="9"/>
      <c r="F349" s="10"/>
      <c r="G349" s="9"/>
      <c r="H349" s="10"/>
      <c r="I349" s="12"/>
      <c r="J349" s="12"/>
      <c r="K349" s="91"/>
      <c r="L349" s="10"/>
      <c r="M349" s="10"/>
    </row>
    <row r="350" spans="1:13" ht="18.75" x14ac:dyDescent="0.25">
      <c r="A350" s="9"/>
      <c r="B350" s="13" t="e">
        <f>VLOOKUP(Table27[[#This Row],[Location 
(drop-down)]],'List source'!D$2:E$59,2,FALSE)</f>
        <v>#N/A</v>
      </c>
      <c r="C350" s="25" t="s">
        <v>658</v>
      </c>
      <c r="D350" s="33" t="e">
        <f t="shared" si="6"/>
        <v>#N/A</v>
      </c>
      <c r="E350" s="9"/>
      <c r="F350" s="10"/>
      <c r="G350" s="9"/>
      <c r="H350" s="10"/>
      <c r="I350" s="12"/>
      <c r="J350" s="12"/>
      <c r="K350" s="91"/>
      <c r="L350" s="10"/>
      <c r="M350" s="10"/>
    </row>
    <row r="351" spans="1:13" ht="18.75" x14ac:dyDescent="0.25">
      <c r="A351" s="9"/>
      <c r="B351" s="13" t="e">
        <f>VLOOKUP(Table27[[#This Row],[Location 
(drop-down)]],'List source'!D$2:E$59,2,FALSE)</f>
        <v>#N/A</v>
      </c>
      <c r="C351" s="25" t="s">
        <v>659</v>
      </c>
      <c r="D351" s="33" t="e">
        <f t="shared" si="6"/>
        <v>#N/A</v>
      </c>
      <c r="E351" s="99"/>
      <c r="F351" s="182"/>
      <c r="G351" s="99"/>
      <c r="H351" s="182"/>
      <c r="I351" s="12"/>
      <c r="J351" s="12"/>
      <c r="K351" s="91"/>
      <c r="L351" s="10"/>
      <c r="M351" s="10"/>
    </row>
    <row r="352" spans="1:13" ht="18.75" x14ac:dyDescent="0.25">
      <c r="A352" s="9"/>
      <c r="B352" s="13" t="e">
        <f>VLOOKUP(Table27[[#This Row],[Location 
(drop-down)]],'List source'!D$2:E$59,2,FALSE)</f>
        <v>#N/A</v>
      </c>
      <c r="C352" s="25" t="s">
        <v>660</v>
      </c>
      <c r="D352" s="33" t="e">
        <f t="shared" si="6"/>
        <v>#N/A</v>
      </c>
      <c r="E352" s="99"/>
      <c r="F352" s="182"/>
      <c r="G352" s="99"/>
      <c r="H352" s="182"/>
      <c r="I352" s="12"/>
      <c r="J352" s="12"/>
      <c r="K352" s="91"/>
      <c r="L352" s="10"/>
      <c r="M352" s="10"/>
    </row>
    <row r="353" spans="1:13" ht="18.75" x14ac:dyDescent="0.25">
      <c r="A353" s="9"/>
      <c r="B353" s="13" t="e">
        <f>VLOOKUP(Table27[[#This Row],[Location 
(drop-down)]],'List source'!D$2:E$59,2,FALSE)</f>
        <v>#N/A</v>
      </c>
      <c r="C353" s="25" t="s">
        <v>661</v>
      </c>
      <c r="D353" s="33" t="e">
        <f t="shared" si="6"/>
        <v>#N/A</v>
      </c>
      <c r="E353" s="99"/>
      <c r="F353" s="182"/>
      <c r="G353" s="99"/>
      <c r="H353" s="182"/>
      <c r="I353" s="12"/>
      <c r="J353" s="12"/>
      <c r="K353" s="91"/>
      <c r="L353" s="10"/>
      <c r="M353" s="10"/>
    </row>
    <row r="354" spans="1:13" ht="18.75" x14ac:dyDescent="0.25">
      <c r="A354" s="9"/>
      <c r="B354" s="13" t="e">
        <f>VLOOKUP(Table27[[#This Row],[Location 
(drop-down)]],'List source'!D$2:E$59,2,FALSE)</f>
        <v>#N/A</v>
      </c>
      <c r="C354" s="25" t="s">
        <v>662</v>
      </c>
      <c r="D354" s="33" t="e">
        <f t="shared" si="6"/>
        <v>#N/A</v>
      </c>
      <c r="E354" s="99"/>
      <c r="F354" s="182"/>
      <c r="G354" s="99"/>
      <c r="H354" s="182"/>
      <c r="I354" s="12"/>
      <c r="J354" s="12"/>
      <c r="K354" s="91"/>
      <c r="L354" s="10"/>
      <c r="M354" s="10"/>
    </row>
    <row r="355" spans="1:13" ht="18.75" x14ac:dyDescent="0.25">
      <c r="A355" s="9"/>
      <c r="B355" s="13" t="e">
        <f>VLOOKUP(Table27[[#This Row],[Location 
(drop-down)]],'List source'!D$2:E$59,2,FALSE)</f>
        <v>#N/A</v>
      </c>
      <c r="C355" s="25" t="s">
        <v>663</v>
      </c>
      <c r="D355" s="33" t="e">
        <f t="shared" si="6"/>
        <v>#N/A</v>
      </c>
      <c r="E355" s="99"/>
      <c r="F355" s="182"/>
      <c r="G355" s="99"/>
      <c r="H355" s="182"/>
      <c r="I355" s="12"/>
      <c r="J355" s="12"/>
      <c r="K355" s="91"/>
      <c r="L355" s="10"/>
      <c r="M355" s="10"/>
    </row>
    <row r="356" spans="1:13" ht="18.75" x14ac:dyDescent="0.25">
      <c r="A356" s="9"/>
      <c r="B356" s="13" t="e">
        <f>VLOOKUP(Table27[[#This Row],[Location 
(drop-down)]],'List source'!D$2:E$59,2,FALSE)</f>
        <v>#N/A</v>
      </c>
      <c r="C356" s="25" t="s">
        <v>664</v>
      </c>
      <c r="D356" s="33" t="e">
        <f t="shared" si="6"/>
        <v>#N/A</v>
      </c>
      <c r="E356" s="9"/>
      <c r="F356" s="10"/>
      <c r="G356" s="9"/>
      <c r="H356" s="10"/>
      <c r="I356" s="12"/>
      <c r="J356" s="12"/>
      <c r="K356" s="91"/>
      <c r="L356" s="10"/>
      <c r="M356" s="10"/>
    </row>
    <row r="357" spans="1:13" ht="18.75" x14ac:dyDescent="0.25">
      <c r="A357" s="9"/>
      <c r="B357" s="13" t="e">
        <f>VLOOKUP(Table27[[#This Row],[Location 
(drop-down)]],'List source'!D$2:E$59,2,FALSE)</f>
        <v>#N/A</v>
      </c>
      <c r="C357" s="25" t="s">
        <v>665</v>
      </c>
      <c r="D357" s="33" t="e">
        <f t="shared" si="6"/>
        <v>#N/A</v>
      </c>
      <c r="E357" s="9"/>
      <c r="F357" s="10"/>
      <c r="G357" s="9"/>
      <c r="H357" s="10"/>
      <c r="I357" s="12"/>
      <c r="J357" s="12"/>
      <c r="K357" s="91"/>
      <c r="L357" s="10"/>
      <c r="M357" s="10"/>
    </row>
    <row r="358" spans="1:13" ht="18.75" x14ac:dyDescent="0.25">
      <c r="A358" s="9"/>
      <c r="B358" s="13" t="e">
        <f>VLOOKUP(Table27[[#This Row],[Location 
(drop-down)]],'List source'!D$2:E$59,2,FALSE)</f>
        <v>#N/A</v>
      </c>
      <c r="C358" s="25" t="s">
        <v>666</v>
      </c>
      <c r="D358" s="33" t="e">
        <f t="shared" si="6"/>
        <v>#N/A</v>
      </c>
      <c r="E358" s="9"/>
      <c r="F358" s="10"/>
      <c r="G358" s="9"/>
      <c r="H358" s="10"/>
      <c r="I358" s="12"/>
      <c r="J358" s="12"/>
      <c r="K358" s="91"/>
      <c r="L358" s="10"/>
      <c r="M358" s="10"/>
    </row>
    <row r="359" spans="1:13" ht="18.75" x14ac:dyDescent="0.25">
      <c r="A359" s="9"/>
      <c r="B359" s="13" t="e">
        <f>VLOOKUP(Table27[[#This Row],[Location 
(drop-down)]],'List source'!D$2:E$59,2,FALSE)</f>
        <v>#N/A</v>
      </c>
      <c r="C359" s="25" t="s">
        <v>667</v>
      </c>
      <c r="D359" s="33" t="e">
        <f t="shared" si="6"/>
        <v>#N/A</v>
      </c>
      <c r="E359" s="9"/>
      <c r="F359" s="10"/>
      <c r="G359" s="9"/>
      <c r="H359" s="10"/>
      <c r="I359" s="12"/>
      <c r="J359" s="12"/>
      <c r="K359" s="91"/>
      <c r="L359" s="10"/>
      <c r="M359" s="10"/>
    </row>
    <row r="360" spans="1:13" ht="18.75" x14ac:dyDescent="0.25">
      <c r="A360" s="9"/>
      <c r="B360" s="13" t="e">
        <f>VLOOKUP(Table27[[#This Row],[Location 
(drop-down)]],'List source'!D$2:E$59,2,FALSE)</f>
        <v>#N/A</v>
      </c>
      <c r="C360" s="25" t="s">
        <v>668</v>
      </c>
      <c r="D360" s="33" t="e">
        <f t="shared" si="6"/>
        <v>#N/A</v>
      </c>
      <c r="E360" s="99"/>
      <c r="F360" s="182"/>
      <c r="G360" s="99"/>
      <c r="H360" s="182"/>
      <c r="I360" s="12"/>
      <c r="J360" s="12"/>
      <c r="K360" s="91"/>
      <c r="L360" s="10"/>
      <c r="M360" s="10"/>
    </row>
    <row r="361" spans="1:13" ht="18.75" x14ac:dyDescent="0.25">
      <c r="A361" s="9"/>
      <c r="B361" s="13" t="e">
        <f>VLOOKUP(Table27[[#This Row],[Location 
(drop-down)]],'List source'!D$2:E$59,2,FALSE)</f>
        <v>#N/A</v>
      </c>
      <c r="C361" s="25" t="s">
        <v>669</v>
      </c>
      <c r="D361" s="33" t="e">
        <f t="shared" si="6"/>
        <v>#N/A</v>
      </c>
      <c r="E361" s="99"/>
      <c r="F361" s="182"/>
      <c r="G361" s="99"/>
      <c r="H361" s="182"/>
      <c r="I361" s="12"/>
      <c r="J361" s="12"/>
      <c r="K361" s="91"/>
      <c r="L361" s="10"/>
      <c r="M361" s="10"/>
    </row>
    <row r="362" spans="1:13" ht="18.75" x14ac:dyDescent="0.25">
      <c r="A362" s="9"/>
      <c r="B362" s="13" t="e">
        <f>VLOOKUP(Table27[[#This Row],[Location 
(drop-down)]],'List source'!D$2:E$59,2,FALSE)</f>
        <v>#N/A</v>
      </c>
      <c r="C362" s="25" t="s">
        <v>670</v>
      </c>
      <c r="D362" s="33" t="e">
        <f t="shared" si="6"/>
        <v>#N/A</v>
      </c>
      <c r="E362" s="9"/>
      <c r="F362" s="10"/>
      <c r="G362" s="9"/>
      <c r="H362" s="10"/>
      <c r="I362" s="12"/>
      <c r="J362" s="12"/>
      <c r="K362" s="91"/>
      <c r="L362" s="10"/>
      <c r="M362" s="10"/>
    </row>
    <row r="363" spans="1:13" ht="18.75" x14ac:dyDescent="0.25">
      <c r="A363" s="9"/>
      <c r="B363" s="13" t="e">
        <f>VLOOKUP(Table27[[#This Row],[Location 
(drop-down)]],'List source'!D$2:E$59,2,FALSE)</f>
        <v>#N/A</v>
      </c>
      <c r="C363" s="25" t="s">
        <v>671</v>
      </c>
      <c r="D363" s="33" t="e">
        <f t="shared" si="6"/>
        <v>#N/A</v>
      </c>
      <c r="E363" s="9"/>
      <c r="F363" s="10"/>
      <c r="G363" s="9"/>
      <c r="H363" s="10"/>
      <c r="I363" s="12"/>
      <c r="J363" s="12"/>
      <c r="K363" s="91"/>
      <c r="L363" s="10"/>
      <c r="M363" s="10"/>
    </row>
    <row r="364" spans="1:13" ht="18.75" x14ac:dyDescent="0.25">
      <c r="A364" s="9"/>
      <c r="B364" s="13" t="e">
        <f>VLOOKUP(Table27[[#This Row],[Location 
(drop-down)]],'List source'!D$2:E$59,2,FALSE)</f>
        <v>#N/A</v>
      </c>
      <c r="C364" s="25" t="s">
        <v>672</v>
      </c>
      <c r="D364" s="33" t="e">
        <f t="shared" si="6"/>
        <v>#N/A</v>
      </c>
      <c r="E364" s="9"/>
      <c r="F364" s="10"/>
      <c r="G364" s="9"/>
      <c r="H364" s="10"/>
      <c r="I364" s="12"/>
      <c r="J364" s="12"/>
      <c r="K364" s="91"/>
      <c r="L364" s="10"/>
      <c r="M364" s="10"/>
    </row>
    <row r="365" spans="1:13" ht="18.75" x14ac:dyDescent="0.25">
      <c r="A365" s="9"/>
      <c r="B365" s="13" t="e">
        <f>VLOOKUP(Table27[[#This Row],[Location 
(drop-down)]],'List source'!D$2:E$59,2,FALSE)</f>
        <v>#N/A</v>
      </c>
      <c r="C365" s="25" t="s">
        <v>673</v>
      </c>
      <c r="D365" s="33" t="e">
        <f t="shared" si="6"/>
        <v>#N/A</v>
      </c>
      <c r="E365" s="9"/>
      <c r="F365" s="10"/>
      <c r="G365" s="9"/>
      <c r="H365" s="10"/>
      <c r="I365" s="12"/>
      <c r="J365" s="12"/>
      <c r="K365" s="91"/>
      <c r="L365" s="10"/>
      <c r="M365" s="10"/>
    </row>
    <row r="366" spans="1:13" ht="18.75" x14ac:dyDescent="0.25">
      <c r="A366" s="9"/>
      <c r="B366" s="13" t="e">
        <f>VLOOKUP(Table27[[#This Row],[Location 
(drop-down)]],'List source'!D$2:E$59,2,FALSE)</f>
        <v>#N/A</v>
      </c>
      <c r="C366" s="25" t="s">
        <v>674</v>
      </c>
      <c r="D366" s="33" t="e">
        <f t="shared" si="6"/>
        <v>#N/A</v>
      </c>
      <c r="E366" s="9"/>
      <c r="F366" s="10"/>
      <c r="G366" s="9"/>
      <c r="H366" s="10"/>
      <c r="I366" s="12"/>
      <c r="J366" s="12"/>
      <c r="K366" s="91"/>
      <c r="L366" s="10"/>
      <c r="M366" s="10"/>
    </row>
    <row r="367" spans="1:13" ht="18.75" x14ac:dyDescent="0.25">
      <c r="A367" s="9"/>
      <c r="B367" s="13" t="e">
        <f>VLOOKUP(Table27[[#This Row],[Location 
(drop-down)]],'List source'!D$2:E$59,2,FALSE)</f>
        <v>#N/A</v>
      </c>
      <c r="C367" s="25" t="s">
        <v>675</v>
      </c>
      <c r="D367" s="33" t="e">
        <f t="shared" si="6"/>
        <v>#N/A</v>
      </c>
      <c r="E367" s="9"/>
      <c r="F367" s="10"/>
      <c r="G367" s="9"/>
      <c r="H367" s="10"/>
      <c r="I367" s="12"/>
      <c r="J367" s="12"/>
      <c r="K367" s="91"/>
      <c r="L367" s="10"/>
      <c r="M367" s="10"/>
    </row>
    <row r="368" spans="1:13" ht="18.75" x14ac:dyDescent="0.25">
      <c r="A368" s="9"/>
      <c r="B368" s="13" t="e">
        <f>VLOOKUP(Table27[[#This Row],[Location 
(drop-down)]],'List source'!D$2:E$59,2,FALSE)</f>
        <v>#N/A</v>
      </c>
      <c r="C368" s="25" t="s">
        <v>676</v>
      </c>
      <c r="D368" s="33" t="e">
        <f t="shared" si="6"/>
        <v>#N/A</v>
      </c>
      <c r="E368" s="9"/>
      <c r="F368" s="10"/>
      <c r="G368" s="9"/>
      <c r="H368" s="10"/>
      <c r="I368" s="12"/>
      <c r="J368" s="12"/>
      <c r="K368" s="91"/>
      <c r="L368" s="10"/>
      <c r="M368" s="10"/>
    </row>
    <row r="369" spans="1:13" ht="18.75" x14ac:dyDescent="0.25">
      <c r="A369" s="9"/>
      <c r="B369" s="13" t="e">
        <f>VLOOKUP(Table27[[#This Row],[Location 
(drop-down)]],'List source'!D$2:E$59,2,FALSE)</f>
        <v>#N/A</v>
      </c>
      <c r="C369" s="25" t="s">
        <v>677</v>
      </c>
      <c r="D369" s="33" t="e">
        <f t="shared" si="6"/>
        <v>#N/A</v>
      </c>
      <c r="E369" s="9"/>
      <c r="F369" s="10"/>
      <c r="G369" s="9"/>
      <c r="H369" s="10"/>
      <c r="I369" s="12"/>
      <c r="J369" s="12"/>
      <c r="K369" s="91"/>
      <c r="L369" s="10"/>
      <c r="M369" s="10"/>
    </row>
    <row r="370" spans="1:13" ht="18.75" x14ac:dyDescent="0.25">
      <c r="A370" s="9"/>
      <c r="B370" s="13" t="e">
        <f>VLOOKUP(Table27[[#This Row],[Location 
(drop-down)]],'List source'!D$2:E$59,2,FALSE)</f>
        <v>#N/A</v>
      </c>
      <c r="C370" s="25" t="s">
        <v>678</v>
      </c>
      <c r="D370" s="33" t="e">
        <f t="shared" si="6"/>
        <v>#N/A</v>
      </c>
      <c r="E370" s="9"/>
      <c r="F370" s="10"/>
      <c r="G370" s="9"/>
      <c r="H370" s="10"/>
      <c r="I370" s="12"/>
      <c r="J370" s="12"/>
      <c r="K370" s="91"/>
      <c r="L370" s="10"/>
      <c r="M370" s="10"/>
    </row>
    <row r="371" spans="1:13" ht="18.75" x14ac:dyDescent="0.25">
      <c r="A371" s="9"/>
      <c r="B371" s="13" t="e">
        <f>VLOOKUP(Table27[[#This Row],[Location 
(drop-down)]],'List source'!D$2:E$59,2,FALSE)</f>
        <v>#N/A</v>
      </c>
      <c r="C371" s="25" t="s">
        <v>679</v>
      </c>
      <c r="D371" s="33" t="e">
        <f t="shared" si="6"/>
        <v>#N/A</v>
      </c>
      <c r="E371" s="9"/>
      <c r="F371" s="10"/>
      <c r="G371" s="9"/>
      <c r="H371" s="10"/>
      <c r="I371" s="12"/>
      <c r="J371" s="12"/>
      <c r="K371" s="91"/>
      <c r="L371" s="10"/>
      <c r="M371" s="10"/>
    </row>
    <row r="372" spans="1:13" ht="18.75" x14ac:dyDescent="0.25">
      <c r="A372" s="9"/>
      <c r="B372" s="13" t="e">
        <f>VLOOKUP(Table27[[#This Row],[Location 
(drop-down)]],'List source'!D$2:E$59,2,FALSE)</f>
        <v>#N/A</v>
      </c>
      <c r="C372" s="25" t="s">
        <v>680</v>
      </c>
      <c r="D372" s="33" t="e">
        <f t="shared" si="6"/>
        <v>#N/A</v>
      </c>
      <c r="E372" s="108"/>
      <c r="F372" s="180"/>
      <c r="G372" s="108"/>
      <c r="H372" s="180"/>
      <c r="I372" s="12"/>
      <c r="J372" s="12"/>
      <c r="K372" s="91"/>
      <c r="L372" s="10"/>
      <c r="M372" s="10"/>
    </row>
    <row r="373" spans="1:13" ht="18.75" x14ac:dyDescent="0.25">
      <c r="A373" s="9"/>
      <c r="B373" s="13" t="e">
        <f>VLOOKUP(Table27[[#This Row],[Location 
(drop-down)]],'List source'!D$2:E$59,2,FALSE)</f>
        <v>#N/A</v>
      </c>
      <c r="C373" s="25" t="s">
        <v>681</v>
      </c>
      <c r="D373" s="33" t="e">
        <f t="shared" si="6"/>
        <v>#N/A</v>
      </c>
      <c r="E373" s="9"/>
      <c r="F373" s="10"/>
      <c r="G373" s="9"/>
      <c r="H373" s="10"/>
      <c r="I373" s="12"/>
      <c r="J373" s="12"/>
      <c r="K373" s="91"/>
      <c r="L373" s="10"/>
      <c r="M373" s="10"/>
    </row>
    <row r="374" spans="1:13" ht="18.75" x14ac:dyDescent="0.25">
      <c r="A374" s="9"/>
      <c r="B374" s="13" t="e">
        <f>VLOOKUP(Table27[[#This Row],[Location 
(drop-down)]],'List source'!D$2:E$59,2,FALSE)</f>
        <v>#N/A</v>
      </c>
      <c r="C374" s="25" t="s">
        <v>682</v>
      </c>
      <c r="D374" s="33" t="e">
        <f t="shared" si="6"/>
        <v>#N/A</v>
      </c>
      <c r="E374" s="9"/>
      <c r="F374" s="10"/>
      <c r="G374" s="9"/>
      <c r="H374" s="10"/>
      <c r="I374" s="12"/>
      <c r="J374" s="12"/>
      <c r="K374" s="91"/>
      <c r="L374" s="10"/>
      <c r="M374" s="10"/>
    </row>
    <row r="375" spans="1:13" ht="18.75" x14ac:dyDescent="0.25">
      <c r="A375" s="9"/>
      <c r="B375" s="13" t="e">
        <f>VLOOKUP(Table27[[#This Row],[Location 
(drop-down)]],'List source'!D$2:E$59,2,FALSE)</f>
        <v>#N/A</v>
      </c>
      <c r="C375" s="25" t="s">
        <v>683</v>
      </c>
      <c r="D375" s="33" t="e">
        <f t="shared" si="6"/>
        <v>#N/A</v>
      </c>
      <c r="E375" s="9"/>
      <c r="F375" s="10"/>
      <c r="G375" s="9"/>
      <c r="H375" s="10"/>
      <c r="I375" s="12"/>
      <c r="J375" s="12"/>
      <c r="K375" s="91"/>
      <c r="L375" s="10"/>
      <c r="M375" s="10"/>
    </row>
    <row r="376" spans="1:13" ht="18.75" x14ac:dyDescent="0.25">
      <c r="A376" s="9"/>
      <c r="B376" s="13" t="e">
        <f>VLOOKUP(Table27[[#This Row],[Location 
(drop-down)]],'List source'!D$2:E$59,2,FALSE)</f>
        <v>#N/A</v>
      </c>
      <c r="C376" s="25" t="s">
        <v>684</v>
      </c>
      <c r="D376" s="33" t="e">
        <f t="shared" si="6"/>
        <v>#N/A</v>
      </c>
      <c r="E376" s="9"/>
      <c r="F376" s="10"/>
      <c r="G376" s="9"/>
      <c r="H376" s="10"/>
      <c r="I376" s="12"/>
      <c r="J376" s="12"/>
      <c r="K376" s="91"/>
      <c r="L376" s="10"/>
      <c r="M376" s="10"/>
    </row>
    <row r="377" spans="1:13" ht="18.75" x14ac:dyDescent="0.25">
      <c r="A377" s="9"/>
      <c r="B377" s="13" t="e">
        <f>VLOOKUP(Table27[[#This Row],[Location 
(drop-down)]],'List source'!D$2:E$59,2,FALSE)</f>
        <v>#N/A</v>
      </c>
      <c r="C377" s="25" t="s">
        <v>685</v>
      </c>
      <c r="D377" s="33" t="e">
        <f t="shared" si="6"/>
        <v>#N/A</v>
      </c>
      <c r="E377" s="9"/>
      <c r="F377" s="10"/>
      <c r="G377" s="9"/>
      <c r="H377" s="10"/>
      <c r="I377" s="12"/>
      <c r="J377" s="12"/>
      <c r="K377" s="91"/>
      <c r="L377" s="10"/>
      <c r="M377" s="10"/>
    </row>
    <row r="378" spans="1:13" ht="18.75" x14ac:dyDescent="0.25">
      <c r="A378" s="9"/>
      <c r="B378" s="13" t="e">
        <f>VLOOKUP(Table27[[#This Row],[Location 
(drop-down)]],'List source'!D$2:E$59,2,FALSE)</f>
        <v>#N/A</v>
      </c>
      <c r="C378" s="25" t="s">
        <v>686</v>
      </c>
      <c r="D378" s="33" t="e">
        <f t="shared" si="6"/>
        <v>#N/A</v>
      </c>
      <c r="E378" s="9"/>
      <c r="F378" s="10"/>
      <c r="G378" s="9"/>
      <c r="H378" s="10"/>
      <c r="I378" s="12"/>
      <c r="J378" s="12"/>
      <c r="K378" s="91"/>
      <c r="L378" s="10"/>
      <c r="M378" s="10"/>
    </row>
    <row r="379" spans="1:13" ht="18.75" x14ac:dyDescent="0.25">
      <c r="A379" s="9"/>
      <c r="B379" s="13" t="e">
        <f>VLOOKUP(Table27[[#This Row],[Location 
(drop-down)]],'List source'!D$2:E$59,2,FALSE)</f>
        <v>#N/A</v>
      </c>
      <c r="C379" s="25" t="s">
        <v>687</v>
      </c>
      <c r="D379" s="33" t="e">
        <f t="shared" si="6"/>
        <v>#N/A</v>
      </c>
      <c r="E379" s="9"/>
      <c r="F379" s="10"/>
      <c r="G379" s="9"/>
      <c r="H379" s="10"/>
      <c r="I379" s="12"/>
      <c r="J379" s="12"/>
      <c r="K379" s="91"/>
      <c r="L379" s="10"/>
      <c r="M379" s="10"/>
    </row>
    <row r="380" spans="1:13" ht="18.75" x14ac:dyDescent="0.25">
      <c r="A380" s="9"/>
      <c r="B380" s="13" t="e">
        <f>VLOOKUP(Table27[[#This Row],[Location 
(drop-down)]],'List source'!D$2:E$59,2,FALSE)</f>
        <v>#N/A</v>
      </c>
      <c r="C380" s="25" t="s">
        <v>688</v>
      </c>
      <c r="D380" s="33" t="e">
        <f t="shared" si="6"/>
        <v>#N/A</v>
      </c>
      <c r="E380" s="9"/>
      <c r="F380" s="10"/>
      <c r="G380" s="9"/>
      <c r="H380" s="10"/>
      <c r="I380" s="12"/>
      <c r="J380" s="12"/>
      <c r="K380" s="91"/>
      <c r="L380" s="10"/>
      <c r="M380" s="10"/>
    </row>
    <row r="381" spans="1:13" ht="18.75" x14ac:dyDescent="0.25">
      <c r="A381" s="9"/>
      <c r="B381" s="13" t="e">
        <f>VLOOKUP(Table27[[#This Row],[Location 
(drop-down)]],'List source'!D$2:E$59,2,FALSE)</f>
        <v>#N/A</v>
      </c>
      <c r="C381" s="25" t="s">
        <v>689</v>
      </c>
      <c r="D381" s="33" t="e">
        <f t="shared" si="6"/>
        <v>#N/A</v>
      </c>
      <c r="E381" s="9"/>
      <c r="F381" s="10"/>
      <c r="G381" s="9"/>
      <c r="H381" s="10"/>
      <c r="I381" s="12"/>
      <c r="J381" s="12"/>
      <c r="K381" s="91"/>
      <c r="L381" s="10"/>
      <c r="M381" s="10"/>
    </row>
    <row r="382" spans="1:13" ht="18.75" x14ac:dyDescent="0.25">
      <c r="A382" s="9"/>
      <c r="B382" s="13" t="e">
        <f>VLOOKUP(Table27[[#This Row],[Location 
(drop-down)]],'List source'!D$2:E$59,2,FALSE)</f>
        <v>#N/A</v>
      </c>
      <c r="C382" s="25" t="s">
        <v>690</v>
      </c>
      <c r="D382" s="33" t="e">
        <f t="shared" si="6"/>
        <v>#N/A</v>
      </c>
      <c r="E382" s="9"/>
      <c r="F382" s="10"/>
      <c r="G382" s="9"/>
      <c r="H382" s="10"/>
      <c r="I382" s="12"/>
      <c r="J382" s="12"/>
      <c r="K382" s="91"/>
      <c r="L382" s="10"/>
      <c r="M382" s="10"/>
    </row>
    <row r="383" spans="1:13" ht="18.75" x14ac:dyDescent="0.25">
      <c r="A383" s="9"/>
      <c r="B383" s="13" t="e">
        <f>VLOOKUP(Table27[[#This Row],[Location 
(drop-down)]],'List source'!D$2:E$59,2,FALSE)</f>
        <v>#N/A</v>
      </c>
      <c r="C383" s="25" t="s">
        <v>691</v>
      </c>
      <c r="D383" s="33" t="e">
        <f t="shared" si="6"/>
        <v>#N/A</v>
      </c>
      <c r="E383" s="9"/>
      <c r="F383" s="10"/>
      <c r="G383" s="9"/>
      <c r="H383" s="10"/>
      <c r="I383" s="12"/>
      <c r="J383" s="12"/>
      <c r="K383" s="91"/>
      <c r="L383" s="10"/>
      <c r="M383" s="10"/>
    </row>
    <row r="384" spans="1:13" ht="18.75" x14ac:dyDescent="0.25">
      <c r="A384" s="9"/>
      <c r="B384" s="13" t="e">
        <f>VLOOKUP(Table27[[#This Row],[Location 
(drop-down)]],'List source'!D$2:E$59,2,FALSE)</f>
        <v>#N/A</v>
      </c>
      <c r="C384" s="25" t="s">
        <v>692</v>
      </c>
      <c r="D384" s="33" t="e">
        <f t="shared" si="6"/>
        <v>#N/A</v>
      </c>
      <c r="E384" s="9"/>
      <c r="F384" s="10"/>
      <c r="G384" s="9"/>
      <c r="H384" s="10"/>
      <c r="I384" s="12"/>
      <c r="J384" s="12"/>
      <c r="K384" s="91"/>
      <c r="L384" s="10"/>
      <c r="M384" s="10"/>
    </row>
    <row r="385" spans="1:13" ht="18.75" x14ac:dyDescent="0.25">
      <c r="A385" s="9"/>
      <c r="B385" s="13" t="e">
        <f>VLOOKUP(Table27[[#This Row],[Location 
(drop-down)]],'List source'!D$2:E$59,2,FALSE)</f>
        <v>#N/A</v>
      </c>
      <c r="C385" s="25" t="s">
        <v>693</v>
      </c>
      <c r="D385" s="33" t="e">
        <f t="shared" si="6"/>
        <v>#N/A</v>
      </c>
      <c r="E385" s="9"/>
      <c r="F385" s="10"/>
      <c r="G385" s="9"/>
      <c r="H385" s="10"/>
      <c r="I385" s="12"/>
      <c r="J385" s="12"/>
      <c r="K385" s="91"/>
      <c r="L385" s="10"/>
      <c r="M385" s="10"/>
    </row>
    <row r="386" spans="1:13" ht="18.75" x14ac:dyDescent="0.25">
      <c r="A386" s="9"/>
      <c r="B386" s="13" t="e">
        <f>VLOOKUP(Table27[[#This Row],[Location 
(drop-down)]],'List source'!D$2:E$59,2,FALSE)</f>
        <v>#N/A</v>
      </c>
      <c r="C386" s="25" t="s">
        <v>694</v>
      </c>
      <c r="D386" s="33" t="e">
        <f t="shared" ref="D386:D449" si="7">"PTO" &amp; C386 &amp; "-" &amp; B386 &amp; "-" &amp; "23"</f>
        <v>#N/A</v>
      </c>
      <c r="E386" s="9"/>
      <c r="F386" s="10"/>
      <c r="G386" s="9"/>
      <c r="H386" s="10"/>
      <c r="I386" s="12"/>
      <c r="J386" s="12"/>
      <c r="K386" s="91"/>
      <c r="L386" s="10"/>
      <c r="M386" s="10"/>
    </row>
    <row r="387" spans="1:13" ht="18.75" x14ac:dyDescent="0.25">
      <c r="A387" s="9"/>
      <c r="B387" s="13" t="e">
        <f>VLOOKUP(Table27[[#This Row],[Location 
(drop-down)]],'List source'!D$2:E$59,2,FALSE)</f>
        <v>#N/A</v>
      </c>
      <c r="C387" s="25" t="s">
        <v>695</v>
      </c>
      <c r="D387" s="33" t="e">
        <f t="shared" si="7"/>
        <v>#N/A</v>
      </c>
      <c r="E387" s="9"/>
      <c r="F387" s="10"/>
      <c r="G387" s="9"/>
      <c r="H387" s="10"/>
      <c r="I387" s="12"/>
      <c r="J387" s="12"/>
      <c r="K387" s="91"/>
      <c r="L387" s="10"/>
      <c r="M387" s="10"/>
    </row>
    <row r="388" spans="1:13" ht="18.75" x14ac:dyDescent="0.25">
      <c r="A388" s="9"/>
      <c r="B388" s="13" t="e">
        <f>VLOOKUP(Table27[[#This Row],[Location 
(drop-down)]],'List source'!D$2:E$59,2,FALSE)</f>
        <v>#N/A</v>
      </c>
      <c r="C388" s="25" t="s">
        <v>696</v>
      </c>
      <c r="D388" s="33" t="e">
        <f t="shared" si="7"/>
        <v>#N/A</v>
      </c>
      <c r="E388" s="9"/>
      <c r="F388" s="10"/>
      <c r="G388" s="9"/>
      <c r="H388" s="10"/>
      <c r="I388" s="12"/>
      <c r="J388" s="12"/>
      <c r="K388" s="91"/>
      <c r="L388" s="10"/>
      <c r="M388" s="10"/>
    </row>
    <row r="389" spans="1:13" ht="18.75" x14ac:dyDescent="0.25">
      <c r="A389" s="9"/>
      <c r="B389" s="13" t="e">
        <f>VLOOKUP(Table27[[#This Row],[Location 
(drop-down)]],'List source'!D$2:E$59,2,FALSE)</f>
        <v>#N/A</v>
      </c>
      <c r="C389" s="25" t="s">
        <v>697</v>
      </c>
      <c r="D389" s="33" t="e">
        <f t="shared" si="7"/>
        <v>#N/A</v>
      </c>
      <c r="E389" s="9"/>
      <c r="F389" s="10"/>
      <c r="G389" s="9"/>
      <c r="H389" s="10"/>
      <c r="I389" s="12"/>
      <c r="J389" s="12"/>
      <c r="K389" s="91"/>
      <c r="L389" s="10"/>
      <c r="M389" s="10"/>
    </row>
    <row r="390" spans="1:13" ht="18.75" x14ac:dyDescent="0.25">
      <c r="A390" s="9"/>
      <c r="B390" s="13" t="e">
        <f>VLOOKUP(Table27[[#This Row],[Location 
(drop-down)]],'List source'!D$2:E$59,2,FALSE)</f>
        <v>#N/A</v>
      </c>
      <c r="C390" s="25" t="s">
        <v>698</v>
      </c>
      <c r="D390" s="33" t="e">
        <f t="shared" si="7"/>
        <v>#N/A</v>
      </c>
      <c r="E390" s="9"/>
      <c r="F390" s="10"/>
      <c r="G390" s="9"/>
      <c r="H390" s="10"/>
      <c r="I390" s="12"/>
      <c r="J390" s="12"/>
      <c r="K390" s="91"/>
      <c r="L390" s="10"/>
      <c r="M390" s="10"/>
    </row>
    <row r="391" spans="1:13" ht="18.75" x14ac:dyDescent="0.25">
      <c r="A391" s="9"/>
      <c r="B391" s="13" t="e">
        <f>VLOOKUP(Table27[[#This Row],[Location 
(drop-down)]],'List source'!D$2:E$59,2,FALSE)</f>
        <v>#N/A</v>
      </c>
      <c r="C391" s="25" t="s">
        <v>699</v>
      </c>
      <c r="D391" s="33" t="e">
        <f t="shared" si="7"/>
        <v>#N/A</v>
      </c>
      <c r="E391" s="9"/>
      <c r="F391" s="10"/>
      <c r="G391" s="9"/>
      <c r="H391" s="10"/>
      <c r="I391" s="12"/>
      <c r="J391" s="12"/>
      <c r="K391" s="91"/>
      <c r="L391" s="10"/>
      <c r="M391" s="10"/>
    </row>
    <row r="392" spans="1:13" ht="18.75" x14ac:dyDescent="0.25">
      <c r="A392" s="9"/>
      <c r="B392" s="13" t="e">
        <f>VLOOKUP(Table27[[#This Row],[Location 
(drop-down)]],'List source'!D$2:E$59,2,FALSE)</f>
        <v>#N/A</v>
      </c>
      <c r="C392" s="25" t="s">
        <v>700</v>
      </c>
      <c r="D392" s="33" t="e">
        <f t="shared" si="7"/>
        <v>#N/A</v>
      </c>
      <c r="E392" s="9"/>
      <c r="F392" s="10"/>
      <c r="G392" s="9"/>
      <c r="H392" s="10"/>
      <c r="I392" s="12"/>
      <c r="J392" s="12"/>
      <c r="K392" s="91"/>
      <c r="L392" s="10"/>
      <c r="M392" s="10"/>
    </row>
    <row r="393" spans="1:13" ht="18.75" x14ac:dyDescent="0.25">
      <c r="A393" s="9"/>
      <c r="B393" s="13" t="e">
        <f>VLOOKUP(Table27[[#This Row],[Location 
(drop-down)]],'List source'!D$2:E$59,2,FALSE)</f>
        <v>#N/A</v>
      </c>
      <c r="C393" s="25" t="s">
        <v>701</v>
      </c>
      <c r="D393" s="33" t="e">
        <f t="shared" si="7"/>
        <v>#N/A</v>
      </c>
      <c r="E393" s="9"/>
      <c r="F393" s="10"/>
      <c r="G393" s="9"/>
      <c r="H393" s="10"/>
      <c r="I393" s="12"/>
      <c r="J393" s="12"/>
      <c r="K393" s="91"/>
      <c r="L393" s="10"/>
      <c r="M393" s="10"/>
    </row>
    <row r="394" spans="1:13" ht="18.75" x14ac:dyDescent="0.25">
      <c r="A394" s="9"/>
      <c r="B394" s="13" t="e">
        <f>VLOOKUP(Table27[[#This Row],[Location 
(drop-down)]],'List source'!D$2:E$59,2,FALSE)</f>
        <v>#N/A</v>
      </c>
      <c r="C394" s="25" t="s">
        <v>702</v>
      </c>
      <c r="D394" s="33" t="e">
        <f t="shared" si="7"/>
        <v>#N/A</v>
      </c>
      <c r="E394" s="9"/>
      <c r="F394" s="10"/>
      <c r="G394" s="9"/>
      <c r="H394" s="10"/>
      <c r="I394" s="12"/>
      <c r="J394" s="12"/>
      <c r="K394" s="91"/>
      <c r="L394" s="10"/>
      <c r="M394" s="10"/>
    </row>
    <row r="395" spans="1:13" ht="18.75" x14ac:dyDescent="0.25">
      <c r="A395" s="9"/>
      <c r="B395" s="13" t="e">
        <f>VLOOKUP(Table27[[#This Row],[Location 
(drop-down)]],'List source'!D$2:E$59,2,FALSE)</f>
        <v>#N/A</v>
      </c>
      <c r="C395" s="25" t="s">
        <v>703</v>
      </c>
      <c r="D395" s="33" t="e">
        <f t="shared" si="7"/>
        <v>#N/A</v>
      </c>
      <c r="E395" s="9"/>
      <c r="F395" s="10"/>
      <c r="G395" s="9"/>
      <c r="H395" s="10"/>
      <c r="I395" s="12"/>
      <c r="J395" s="12"/>
      <c r="K395" s="91"/>
      <c r="L395" s="10"/>
      <c r="M395" s="10"/>
    </row>
    <row r="396" spans="1:13" ht="18.75" x14ac:dyDescent="0.25">
      <c r="A396" s="9"/>
      <c r="B396" s="13" t="e">
        <f>VLOOKUP(Table27[[#This Row],[Location 
(drop-down)]],'List source'!D$2:E$59,2,FALSE)</f>
        <v>#N/A</v>
      </c>
      <c r="C396" s="25" t="s">
        <v>704</v>
      </c>
      <c r="D396" s="33" t="e">
        <f t="shared" si="7"/>
        <v>#N/A</v>
      </c>
      <c r="E396" s="9"/>
      <c r="F396" s="10"/>
      <c r="G396" s="9"/>
      <c r="H396" s="10"/>
      <c r="I396" s="12"/>
      <c r="J396" s="12"/>
      <c r="K396" s="91"/>
      <c r="L396" s="10"/>
      <c r="M396" s="10"/>
    </row>
    <row r="397" spans="1:13" ht="18.75" x14ac:dyDescent="0.25">
      <c r="A397" s="9"/>
      <c r="B397" s="13" t="e">
        <f>VLOOKUP(Table27[[#This Row],[Location 
(drop-down)]],'List source'!D$2:E$59,2,FALSE)</f>
        <v>#N/A</v>
      </c>
      <c r="C397" s="25" t="s">
        <v>705</v>
      </c>
      <c r="D397" s="33" t="e">
        <f t="shared" si="7"/>
        <v>#N/A</v>
      </c>
      <c r="E397" s="9"/>
      <c r="F397" s="10"/>
      <c r="G397" s="9"/>
      <c r="H397" s="10"/>
      <c r="I397" s="12"/>
      <c r="J397" s="12"/>
      <c r="K397" s="91"/>
      <c r="L397" s="10"/>
      <c r="M397" s="10"/>
    </row>
    <row r="398" spans="1:13" ht="18.75" x14ac:dyDescent="0.25">
      <c r="A398" s="9"/>
      <c r="B398" s="13" t="e">
        <f>VLOOKUP(Table27[[#This Row],[Location 
(drop-down)]],'List source'!D$2:E$59,2,FALSE)</f>
        <v>#N/A</v>
      </c>
      <c r="C398" s="25" t="s">
        <v>706</v>
      </c>
      <c r="D398" s="33" t="e">
        <f t="shared" si="7"/>
        <v>#N/A</v>
      </c>
      <c r="E398" s="9"/>
      <c r="F398" s="10"/>
      <c r="G398" s="9"/>
      <c r="H398" s="10"/>
      <c r="I398" s="12"/>
      <c r="J398" s="12"/>
      <c r="K398" s="91"/>
      <c r="L398" s="10"/>
      <c r="M398" s="10"/>
    </row>
    <row r="399" spans="1:13" ht="18.75" x14ac:dyDescent="0.25">
      <c r="A399" s="9"/>
      <c r="B399" s="13" t="e">
        <f>VLOOKUP(Table27[[#This Row],[Location 
(drop-down)]],'List source'!D$2:E$59,2,FALSE)</f>
        <v>#N/A</v>
      </c>
      <c r="C399" s="25" t="s">
        <v>707</v>
      </c>
      <c r="D399" s="33" t="e">
        <f t="shared" si="7"/>
        <v>#N/A</v>
      </c>
      <c r="E399" s="9"/>
      <c r="F399" s="10"/>
      <c r="G399" s="9"/>
      <c r="H399" s="10"/>
      <c r="I399" s="12"/>
      <c r="J399" s="12"/>
      <c r="K399" s="91"/>
      <c r="L399" s="10"/>
      <c r="M399" s="10"/>
    </row>
    <row r="400" spans="1:13" ht="18.75" x14ac:dyDescent="0.25">
      <c r="A400" s="9"/>
      <c r="B400" s="13" t="e">
        <f>VLOOKUP(Table27[[#This Row],[Location 
(drop-down)]],'List source'!D$2:E$59,2,FALSE)</f>
        <v>#N/A</v>
      </c>
      <c r="C400" s="25" t="s">
        <v>708</v>
      </c>
      <c r="D400" s="33" t="e">
        <f t="shared" si="7"/>
        <v>#N/A</v>
      </c>
      <c r="E400" s="9"/>
      <c r="F400" s="10"/>
      <c r="G400" s="9"/>
      <c r="H400" s="10"/>
      <c r="I400" s="12"/>
      <c r="J400" s="12"/>
      <c r="K400" s="91"/>
      <c r="L400" s="10"/>
      <c r="M400" s="10"/>
    </row>
    <row r="401" spans="1:13" ht="18.75" x14ac:dyDescent="0.25">
      <c r="A401" s="9"/>
      <c r="B401" s="13" t="e">
        <f>VLOOKUP(Table27[[#This Row],[Location 
(drop-down)]],'List source'!D$2:E$59,2,FALSE)</f>
        <v>#N/A</v>
      </c>
      <c r="C401" s="25" t="s">
        <v>709</v>
      </c>
      <c r="D401" s="33" t="e">
        <f t="shared" si="7"/>
        <v>#N/A</v>
      </c>
      <c r="E401" s="9"/>
      <c r="F401" s="10"/>
      <c r="G401" s="9"/>
      <c r="H401" s="10"/>
      <c r="I401" s="12"/>
      <c r="J401" s="12"/>
      <c r="K401" s="91"/>
      <c r="L401" s="10"/>
      <c r="M401" s="10"/>
    </row>
    <row r="402" spans="1:13" ht="18.75" x14ac:dyDescent="0.25">
      <c r="A402" s="9"/>
      <c r="B402" s="13" t="e">
        <f>VLOOKUP(Table27[[#This Row],[Location 
(drop-down)]],'List source'!D$2:E$59,2,FALSE)</f>
        <v>#N/A</v>
      </c>
      <c r="C402" s="25" t="s">
        <v>710</v>
      </c>
      <c r="D402" s="33" t="e">
        <f t="shared" si="7"/>
        <v>#N/A</v>
      </c>
      <c r="E402" s="9"/>
      <c r="F402" s="10"/>
      <c r="G402" s="9"/>
      <c r="H402" s="10"/>
      <c r="I402" s="12"/>
      <c r="J402" s="12"/>
      <c r="K402" s="91"/>
      <c r="L402" s="10"/>
      <c r="M402" s="10"/>
    </row>
    <row r="403" spans="1:13" ht="18.75" x14ac:dyDescent="0.25">
      <c r="A403" s="9"/>
      <c r="B403" s="13" t="e">
        <f>VLOOKUP(Table27[[#This Row],[Location 
(drop-down)]],'List source'!D$2:E$59,2,FALSE)</f>
        <v>#N/A</v>
      </c>
      <c r="C403" s="25" t="s">
        <v>711</v>
      </c>
      <c r="D403" s="33" t="e">
        <f t="shared" si="7"/>
        <v>#N/A</v>
      </c>
      <c r="E403" s="9"/>
      <c r="F403" s="10"/>
      <c r="G403" s="9"/>
      <c r="H403" s="10"/>
      <c r="I403" s="12"/>
      <c r="J403" s="12"/>
      <c r="K403" s="91"/>
      <c r="L403" s="10"/>
      <c r="M403" s="10"/>
    </row>
    <row r="404" spans="1:13" ht="18.75" x14ac:dyDescent="0.25">
      <c r="A404" s="9"/>
      <c r="B404" s="13" t="e">
        <f>VLOOKUP(Table27[[#This Row],[Location 
(drop-down)]],'List source'!D$2:E$59,2,FALSE)</f>
        <v>#N/A</v>
      </c>
      <c r="C404" s="25" t="s">
        <v>712</v>
      </c>
      <c r="D404" s="33" t="e">
        <f t="shared" si="7"/>
        <v>#N/A</v>
      </c>
      <c r="E404" s="9"/>
      <c r="F404" s="10"/>
      <c r="G404" s="9"/>
      <c r="H404" s="10"/>
      <c r="I404" s="12"/>
      <c r="J404" s="12"/>
      <c r="K404" s="91"/>
      <c r="L404" s="10"/>
      <c r="M404" s="10"/>
    </row>
    <row r="405" spans="1:13" ht="18.75" x14ac:dyDescent="0.25">
      <c r="A405" s="9"/>
      <c r="B405" s="13" t="e">
        <f>VLOOKUP(Table27[[#This Row],[Location 
(drop-down)]],'List source'!D$2:E$59,2,FALSE)</f>
        <v>#N/A</v>
      </c>
      <c r="C405" s="25" t="s">
        <v>713</v>
      </c>
      <c r="D405" s="33" t="e">
        <f t="shared" si="7"/>
        <v>#N/A</v>
      </c>
      <c r="E405" s="9"/>
      <c r="F405" s="10"/>
      <c r="G405" s="9"/>
      <c r="H405" s="10"/>
      <c r="I405" s="12"/>
      <c r="J405" s="12"/>
      <c r="K405" s="91"/>
      <c r="L405" s="10"/>
      <c r="M405" s="10"/>
    </row>
    <row r="406" spans="1:13" ht="18.75" x14ac:dyDescent="0.25">
      <c r="A406" s="9"/>
      <c r="B406" s="13" t="e">
        <f>VLOOKUP(Table27[[#This Row],[Location 
(drop-down)]],'List source'!D$2:E$59,2,FALSE)</f>
        <v>#N/A</v>
      </c>
      <c r="C406" s="25" t="s">
        <v>714</v>
      </c>
      <c r="D406" s="33" t="e">
        <f t="shared" si="7"/>
        <v>#N/A</v>
      </c>
      <c r="E406" s="9"/>
      <c r="F406" s="10"/>
      <c r="G406" s="9"/>
      <c r="H406" s="10"/>
      <c r="I406" s="12"/>
      <c r="J406" s="12"/>
      <c r="K406" s="91"/>
      <c r="L406" s="12"/>
      <c r="M406" s="10"/>
    </row>
    <row r="407" spans="1:13" ht="18.75" x14ac:dyDescent="0.25">
      <c r="A407" s="9"/>
      <c r="B407" s="13" t="e">
        <f>VLOOKUP(Table27[[#This Row],[Location 
(drop-down)]],'List source'!D$2:E$59,2,FALSE)</f>
        <v>#N/A</v>
      </c>
      <c r="C407" s="25" t="s">
        <v>715</v>
      </c>
      <c r="D407" s="33" t="e">
        <f t="shared" si="7"/>
        <v>#N/A</v>
      </c>
      <c r="E407" s="9"/>
      <c r="F407" s="10"/>
      <c r="G407" s="9"/>
      <c r="H407" s="10"/>
      <c r="I407" s="12"/>
      <c r="J407" s="12"/>
      <c r="K407" s="91"/>
      <c r="L407" s="10"/>
      <c r="M407" s="10"/>
    </row>
    <row r="408" spans="1:13" ht="18.75" x14ac:dyDescent="0.25">
      <c r="A408" s="9"/>
      <c r="B408" s="13" t="e">
        <f>VLOOKUP(Table27[[#This Row],[Location 
(drop-down)]],'List source'!D$2:E$59,2,FALSE)</f>
        <v>#N/A</v>
      </c>
      <c r="C408" s="25" t="s">
        <v>716</v>
      </c>
      <c r="D408" s="33" t="e">
        <f t="shared" si="7"/>
        <v>#N/A</v>
      </c>
      <c r="E408" s="9"/>
      <c r="F408" s="10"/>
      <c r="G408" s="9"/>
      <c r="H408" s="10"/>
      <c r="I408" s="12"/>
      <c r="J408" s="12"/>
      <c r="K408" s="91"/>
      <c r="L408" s="10"/>
      <c r="M408" s="10"/>
    </row>
    <row r="409" spans="1:13" ht="18.75" x14ac:dyDescent="0.25">
      <c r="A409" s="9"/>
      <c r="B409" s="13" t="e">
        <f>VLOOKUP(Table27[[#This Row],[Location 
(drop-down)]],'List source'!D$2:E$59,2,FALSE)</f>
        <v>#N/A</v>
      </c>
      <c r="C409" s="25" t="s">
        <v>717</v>
      </c>
      <c r="D409" s="33" t="e">
        <f t="shared" si="7"/>
        <v>#N/A</v>
      </c>
      <c r="E409" s="9"/>
      <c r="F409" s="10"/>
      <c r="G409" s="9"/>
      <c r="H409" s="10"/>
      <c r="I409" s="12"/>
      <c r="J409" s="12"/>
      <c r="K409" s="91"/>
      <c r="L409" s="10"/>
      <c r="M409" s="10"/>
    </row>
    <row r="410" spans="1:13" ht="18.75" x14ac:dyDescent="0.25">
      <c r="A410" s="9"/>
      <c r="B410" s="13" t="e">
        <f>VLOOKUP(Table27[[#This Row],[Location 
(drop-down)]],'List source'!D$2:E$59,2,FALSE)</f>
        <v>#N/A</v>
      </c>
      <c r="C410" s="25" t="s">
        <v>718</v>
      </c>
      <c r="D410" s="33" t="e">
        <f t="shared" si="7"/>
        <v>#N/A</v>
      </c>
      <c r="E410" s="9"/>
      <c r="F410" s="10"/>
      <c r="G410" s="9"/>
      <c r="H410" s="10"/>
      <c r="I410" s="12"/>
      <c r="J410" s="12"/>
      <c r="K410" s="91"/>
      <c r="L410" s="10"/>
      <c r="M410" s="10"/>
    </row>
    <row r="411" spans="1:13" ht="18.75" x14ac:dyDescent="0.25">
      <c r="A411" s="9"/>
      <c r="B411" s="13" t="e">
        <f>VLOOKUP(Table27[[#This Row],[Location 
(drop-down)]],'List source'!D$2:E$59,2,FALSE)</f>
        <v>#N/A</v>
      </c>
      <c r="C411" s="25" t="s">
        <v>719</v>
      </c>
      <c r="D411" s="33" t="e">
        <f t="shared" si="7"/>
        <v>#N/A</v>
      </c>
      <c r="E411" s="9"/>
      <c r="F411" s="10"/>
      <c r="G411" s="9"/>
      <c r="H411" s="10"/>
      <c r="I411" s="12"/>
      <c r="J411" s="12"/>
      <c r="K411" s="91"/>
      <c r="L411" s="10"/>
      <c r="M411" s="10"/>
    </row>
    <row r="412" spans="1:13" ht="18.75" x14ac:dyDescent="0.25">
      <c r="A412" s="9"/>
      <c r="B412" s="13" t="e">
        <f>VLOOKUP(Table27[[#This Row],[Location 
(drop-down)]],'List source'!D$2:E$59,2,FALSE)</f>
        <v>#N/A</v>
      </c>
      <c r="C412" s="25" t="s">
        <v>720</v>
      </c>
      <c r="D412" s="33" t="e">
        <f t="shared" si="7"/>
        <v>#N/A</v>
      </c>
      <c r="E412" s="9"/>
      <c r="F412" s="10"/>
      <c r="G412" s="9"/>
      <c r="H412" s="10"/>
      <c r="I412" s="12"/>
      <c r="J412" s="12"/>
      <c r="K412" s="91"/>
      <c r="L412" s="10"/>
      <c r="M412" s="10"/>
    </row>
    <row r="413" spans="1:13" ht="18.75" x14ac:dyDescent="0.25">
      <c r="A413" s="9"/>
      <c r="B413" s="13" t="e">
        <f>VLOOKUP(Table27[[#This Row],[Location 
(drop-down)]],'List source'!D$2:E$59,2,FALSE)</f>
        <v>#N/A</v>
      </c>
      <c r="C413" s="25" t="s">
        <v>721</v>
      </c>
      <c r="D413" s="33" t="e">
        <f t="shared" si="7"/>
        <v>#N/A</v>
      </c>
      <c r="E413" s="9"/>
      <c r="F413" s="10"/>
      <c r="G413" s="9"/>
      <c r="H413" s="10"/>
      <c r="I413" s="12"/>
      <c r="J413" s="12"/>
      <c r="K413" s="91"/>
      <c r="L413" s="10"/>
      <c r="M413" s="10"/>
    </row>
    <row r="414" spans="1:13" ht="18.75" x14ac:dyDescent="0.25">
      <c r="A414" s="9"/>
      <c r="B414" s="13" t="e">
        <f>VLOOKUP(Table27[[#This Row],[Location 
(drop-down)]],'List source'!D$2:E$59,2,FALSE)</f>
        <v>#N/A</v>
      </c>
      <c r="C414" s="25" t="s">
        <v>722</v>
      </c>
      <c r="D414" s="33" t="e">
        <f t="shared" si="7"/>
        <v>#N/A</v>
      </c>
      <c r="E414" s="9"/>
      <c r="F414" s="10"/>
      <c r="G414" s="9"/>
      <c r="H414" s="10"/>
      <c r="I414" s="12"/>
      <c r="J414" s="12"/>
      <c r="K414" s="91"/>
      <c r="L414" s="10"/>
      <c r="M414" s="10"/>
    </row>
    <row r="415" spans="1:13" ht="18.75" x14ac:dyDescent="0.25">
      <c r="A415" s="9"/>
      <c r="B415" s="13" t="e">
        <f>VLOOKUP(Table27[[#This Row],[Location 
(drop-down)]],'List source'!D$2:E$59,2,FALSE)</f>
        <v>#N/A</v>
      </c>
      <c r="C415" s="25" t="s">
        <v>723</v>
      </c>
      <c r="D415" s="33" t="e">
        <f t="shared" si="7"/>
        <v>#N/A</v>
      </c>
      <c r="E415" s="9"/>
      <c r="F415" s="10"/>
      <c r="G415" s="9"/>
      <c r="H415" s="10"/>
      <c r="I415" s="12"/>
      <c r="J415" s="12"/>
      <c r="K415" s="91"/>
      <c r="L415" s="10"/>
      <c r="M415" s="10"/>
    </row>
    <row r="416" spans="1:13" ht="18.75" x14ac:dyDescent="0.25">
      <c r="A416" s="9"/>
      <c r="B416" s="13" t="e">
        <f>VLOOKUP(Table27[[#This Row],[Location 
(drop-down)]],'List source'!D$2:E$59,2,FALSE)</f>
        <v>#N/A</v>
      </c>
      <c r="C416" s="25" t="s">
        <v>724</v>
      </c>
      <c r="D416" s="33" t="e">
        <f t="shared" si="7"/>
        <v>#N/A</v>
      </c>
      <c r="E416" s="9"/>
      <c r="F416" s="10"/>
      <c r="G416" s="9"/>
      <c r="H416" s="10"/>
      <c r="I416" s="12"/>
      <c r="J416" s="12"/>
      <c r="K416" s="91"/>
      <c r="L416" s="10"/>
      <c r="M416" s="10"/>
    </row>
    <row r="417" spans="1:13" ht="18.75" x14ac:dyDescent="0.25">
      <c r="A417" s="9"/>
      <c r="B417" s="13" t="e">
        <f>VLOOKUP(Table27[[#This Row],[Location 
(drop-down)]],'List source'!D$2:E$59,2,FALSE)</f>
        <v>#N/A</v>
      </c>
      <c r="C417" s="25" t="s">
        <v>725</v>
      </c>
      <c r="D417" s="33" t="e">
        <f t="shared" si="7"/>
        <v>#N/A</v>
      </c>
      <c r="E417" s="9"/>
      <c r="F417" s="10"/>
      <c r="G417" s="9"/>
      <c r="H417" s="10"/>
      <c r="I417" s="12"/>
      <c r="J417" s="12"/>
      <c r="K417" s="91"/>
      <c r="L417" s="10"/>
      <c r="M417" s="10"/>
    </row>
    <row r="418" spans="1:13" ht="18.75" x14ac:dyDescent="0.25">
      <c r="A418" s="9"/>
      <c r="B418" s="13" t="e">
        <f>VLOOKUP(Table27[[#This Row],[Location 
(drop-down)]],'List source'!D$2:E$59,2,FALSE)</f>
        <v>#N/A</v>
      </c>
      <c r="C418" s="25" t="s">
        <v>726</v>
      </c>
      <c r="D418" s="33" t="e">
        <f t="shared" si="7"/>
        <v>#N/A</v>
      </c>
      <c r="E418" s="9"/>
      <c r="F418" s="10"/>
      <c r="G418" s="9"/>
      <c r="H418" s="10"/>
      <c r="I418" s="12"/>
      <c r="J418" s="12"/>
      <c r="K418" s="91"/>
      <c r="L418" s="10"/>
      <c r="M418" s="10"/>
    </row>
    <row r="419" spans="1:13" ht="18.75" x14ac:dyDescent="0.25">
      <c r="A419" s="9"/>
      <c r="B419" s="13" t="e">
        <f>VLOOKUP(Table27[[#This Row],[Location 
(drop-down)]],'List source'!D$2:E$59,2,FALSE)</f>
        <v>#N/A</v>
      </c>
      <c r="C419" s="25" t="s">
        <v>727</v>
      </c>
      <c r="D419" s="33" t="e">
        <f t="shared" si="7"/>
        <v>#N/A</v>
      </c>
      <c r="E419" s="9"/>
      <c r="F419" s="10"/>
      <c r="G419" s="9"/>
      <c r="H419" s="10"/>
      <c r="I419" s="12"/>
      <c r="J419" s="12"/>
      <c r="K419" s="91"/>
      <c r="L419" s="10"/>
      <c r="M419" s="10"/>
    </row>
    <row r="420" spans="1:13" ht="18.75" x14ac:dyDescent="0.25">
      <c r="A420" s="9"/>
      <c r="B420" s="13" t="e">
        <f>VLOOKUP(Table27[[#This Row],[Location 
(drop-down)]],'List source'!D$2:E$59,2,FALSE)</f>
        <v>#N/A</v>
      </c>
      <c r="C420" s="25" t="s">
        <v>728</v>
      </c>
      <c r="D420" s="33" t="e">
        <f t="shared" si="7"/>
        <v>#N/A</v>
      </c>
      <c r="E420" s="9"/>
      <c r="F420" s="10"/>
      <c r="G420" s="9"/>
      <c r="H420" s="10"/>
      <c r="I420" s="12"/>
      <c r="J420" s="12"/>
      <c r="K420" s="91"/>
      <c r="L420" s="10"/>
      <c r="M420" s="10"/>
    </row>
    <row r="421" spans="1:13" ht="18.75" x14ac:dyDescent="0.25">
      <c r="A421" s="9"/>
      <c r="B421" s="13" t="e">
        <f>VLOOKUP(Table27[[#This Row],[Location 
(drop-down)]],'List source'!D$2:E$59,2,FALSE)</f>
        <v>#N/A</v>
      </c>
      <c r="C421" s="25" t="s">
        <v>729</v>
      </c>
      <c r="D421" s="33" t="e">
        <f t="shared" si="7"/>
        <v>#N/A</v>
      </c>
      <c r="E421" s="9"/>
      <c r="F421" s="10"/>
      <c r="G421" s="9"/>
      <c r="H421" s="10"/>
      <c r="I421" s="12"/>
      <c r="J421" s="12"/>
      <c r="K421" s="91"/>
      <c r="L421" s="10"/>
      <c r="M421" s="10"/>
    </row>
    <row r="422" spans="1:13" ht="18.75" x14ac:dyDescent="0.25">
      <c r="A422" s="9"/>
      <c r="B422" s="13" t="e">
        <f>VLOOKUP(Table27[[#This Row],[Location 
(drop-down)]],'List source'!D$2:E$59,2,FALSE)</f>
        <v>#N/A</v>
      </c>
      <c r="C422" s="25" t="s">
        <v>730</v>
      </c>
      <c r="D422" s="33" t="e">
        <f t="shared" si="7"/>
        <v>#N/A</v>
      </c>
      <c r="E422" s="9"/>
      <c r="F422" s="10"/>
      <c r="G422" s="9"/>
      <c r="H422" s="10"/>
      <c r="I422" s="12"/>
      <c r="J422" s="12"/>
      <c r="K422" s="91"/>
      <c r="L422" s="10"/>
      <c r="M422" s="10"/>
    </row>
    <row r="423" spans="1:13" ht="18.75" x14ac:dyDescent="0.25">
      <c r="A423" s="9"/>
      <c r="B423" s="13" t="e">
        <f>VLOOKUP(Table27[[#This Row],[Location 
(drop-down)]],'List source'!D$2:E$59,2,FALSE)</f>
        <v>#N/A</v>
      </c>
      <c r="C423" s="25" t="s">
        <v>731</v>
      </c>
      <c r="D423" s="33" t="e">
        <f t="shared" si="7"/>
        <v>#N/A</v>
      </c>
      <c r="E423" s="9"/>
      <c r="F423" s="10"/>
      <c r="G423" s="9"/>
      <c r="H423" s="10"/>
      <c r="I423" s="12"/>
      <c r="J423" s="12"/>
      <c r="K423" s="91"/>
      <c r="L423" s="10"/>
      <c r="M423" s="10"/>
    </row>
    <row r="424" spans="1:13" ht="18.75" x14ac:dyDescent="0.25">
      <c r="A424" s="9"/>
      <c r="B424" s="13" t="e">
        <f>VLOOKUP(Table27[[#This Row],[Location 
(drop-down)]],'List source'!D$2:E$59,2,FALSE)</f>
        <v>#N/A</v>
      </c>
      <c r="C424" s="25" t="s">
        <v>732</v>
      </c>
      <c r="D424" s="33" t="e">
        <f t="shared" si="7"/>
        <v>#N/A</v>
      </c>
      <c r="E424" s="9"/>
      <c r="F424" s="10"/>
      <c r="G424" s="9"/>
      <c r="H424" s="10"/>
      <c r="I424" s="12"/>
      <c r="J424" s="12"/>
      <c r="K424" s="91"/>
      <c r="L424" s="10"/>
      <c r="M424" s="10"/>
    </row>
    <row r="425" spans="1:13" ht="18.75" x14ac:dyDescent="0.25">
      <c r="A425" s="9"/>
      <c r="B425" s="13" t="e">
        <f>VLOOKUP(Table27[[#This Row],[Location 
(drop-down)]],'List source'!D$2:E$59,2,FALSE)</f>
        <v>#N/A</v>
      </c>
      <c r="C425" s="25" t="s">
        <v>733</v>
      </c>
      <c r="D425" s="33" t="e">
        <f t="shared" si="7"/>
        <v>#N/A</v>
      </c>
      <c r="E425" s="9"/>
      <c r="F425" s="10"/>
      <c r="G425" s="9"/>
      <c r="H425" s="10"/>
      <c r="I425" s="12"/>
      <c r="J425" s="12"/>
      <c r="K425" s="91"/>
      <c r="L425" s="10"/>
      <c r="M425" s="10"/>
    </row>
    <row r="426" spans="1:13" ht="18.75" x14ac:dyDescent="0.25">
      <c r="A426" s="9"/>
      <c r="B426" s="13" t="e">
        <f>VLOOKUP(Table27[[#This Row],[Location 
(drop-down)]],'List source'!D$2:E$59,2,FALSE)</f>
        <v>#N/A</v>
      </c>
      <c r="C426" s="25" t="s">
        <v>734</v>
      </c>
      <c r="D426" s="33" t="e">
        <f t="shared" si="7"/>
        <v>#N/A</v>
      </c>
      <c r="E426" s="9"/>
      <c r="F426" s="10"/>
      <c r="G426" s="9"/>
      <c r="H426" s="10"/>
      <c r="I426" s="12"/>
      <c r="J426" s="12"/>
      <c r="K426" s="91"/>
      <c r="L426" s="10"/>
      <c r="M426" s="10"/>
    </row>
    <row r="427" spans="1:13" ht="18.75" x14ac:dyDescent="0.25">
      <c r="A427" s="9"/>
      <c r="B427" s="13" t="e">
        <f>VLOOKUP(Table27[[#This Row],[Location 
(drop-down)]],'List source'!D$2:E$59,2,FALSE)</f>
        <v>#N/A</v>
      </c>
      <c r="C427" s="25" t="s">
        <v>735</v>
      </c>
      <c r="D427" s="33" t="e">
        <f t="shared" si="7"/>
        <v>#N/A</v>
      </c>
      <c r="E427" s="9"/>
      <c r="F427" s="10"/>
      <c r="G427" s="9"/>
      <c r="H427" s="10"/>
      <c r="I427" s="12"/>
      <c r="J427" s="12"/>
      <c r="K427" s="91"/>
      <c r="L427" s="10"/>
      <c r="M427" s="10"/>
    </row>
    <row r="428" spans="1:13" ht="18.75" x14ac:dyDescent="0.25">
      <c r="A428" s="9"/>
      <c r="B428" s="13" t="e">
        <f>VLOOKUP(Table27[[#This Row],[Location 
(drop-down)]],'List source'!D$2:E$59,2,FALSE)</f>
        <v>#N/A</v>
      </c>
      <c r="C428" s="25" t="s">
        <v>736</v>
      </c>
      <c r="D428" s="33" t="e">
        <f t="shared" si="7"/>
        <v>#N/A</v>
      </c>
      <c r="E428" s="9"/>
      <c r="F428" s="10"/>
      <c r="G428" s="9"/>
      <c r="H428" s="10"/>
      <c r="I428" s="12"/>
      <c r="J428" s="12"/>
      <c r="K428" s="91"/>
      <c r="L428" s="10"/>
      <c r="M428" s="10"/>
    </row>
    <row r="429" spans="1:13" ht="18.75" x14ac:dyDescent="0.25">
      <c r="A429" s="9"/>
      <c r="B429" s="13" t="e">
        <f>VLOOKUP(Table27[[#This Row],[Location 
(drop-down)]],'List source'!D$2:E$59,2,FALSE)</f>
        <v>#N/A</v>
      </c>
      <c r="C429" s="25" t="s">
        <v>737</v>
      </c>
      <c r="D429" s="33" t="e">
        <f t="shared" si="7"/>
        <v>#N/A</v>
      </c>
      <c r="E429" s="9"/>
      <c r="F429" s="10"/>
      <c r="G429" s="9"/>
      <c r="H429" s="10"/>
      <c r="I429" s="12"/>
      <c r="J429" s="12"/>
      <c r="K429" s="91"/>
      <c r="L429" s="10"/>
      <c r="M429" s="10"/>
    </row>
    <row r="430" spans="1:13" ht="18.75" x14ac:dyDescent="0.25">
      <c r="A430" s="9"/>
      <c r="B430" s="13" t="e">
        <f>VLOOKUP(Table27[[#This Row],[Location 
(drop-down)]],'List source'!D$2:E$59,2,FALSE)</f>
        <v>#N/A</v>
      </c>
      <c r="C430" s="25" t="s">
        <v>738</v>
      </c>
      <c r="D430" s="33" t="e">
        <f t="shared" si="7"/>
        <v>#N/A</v>
      </c>
      <c r="E430" s="9"/>
      <c r="F430" s="10"/>
      <c r="G430" s="9"/>
      <c r="H430" s="10"/>
      <c r="I430" s="12"/>
      <c r="J430" s="12"/>
      <c r="K430" s="91"/>
      <c r="L430" s="10"/>
      <c r="M430" s="10"/>
    </row>
    <row r="431" spans="1:13" ht="18.75" x14ac:dyDescent="0.25">
      <c r="A431" s="9"/>
      <c r="B431" s="13" t="e">
        <f>VLOOKUP(Table27[[#This Row],[Location 
(drop-down)]],'List source'!D$2:E$59,2,FALSE)</f>
        <v>#N/A</v>
      </c>
      <c r="C431" s="25" t="s">
        <v>739</v>
      </c>
      <c r="D431" s="33" t="e">
        <f t="shared" si="7"/>
        <v>#N/A</v>
      </c>
      <c r="E431" s="124"/>
      <c r="F431" s="191"/>
      <c r="G431" s="124"/>
      <c r="H431" s="191"/>
      <c r="I431" s="12"/>
      <c r="J431" s="12"/>
      <c r="K431" s="91"/>
      <c r="L431" s="10"/>
      <c r="M431" s="10"/>
    </row>
    <row r="432" spans="1:13" ht="18.75" x14ac:dyDescent="0.25">
      <c r="A432" s="9"/>
      <c r="B432" s="13" t="e">
        <f>VLOOKUP(Table27[[#This Row],[Location 
(drop-down)]],'List source'!D$2:E$59,2,FALSE)</f>
        <v>#N/A</v>
      </c>
      <c r="C432" s="25" t="s">
        <v>740</v>
      </c>
      <c r="D432" s="33" t="e">
        <f t="shared" si="7"/>
        <v>#N/A</v>
      </c>
      <c r="E432" s="9"/>
      <c r="F432" s="10"/>
      <c r="G432" s="9"/>
      <c r="H432" s="10"/>
      <c r="I432" s="12"/>
      <c r="J432" s="12"/>
      <c r="K432" s="91"/>
      <c r="L432" s="10"/>
      <c r="M432" s="10"/>
    </row>
    <row r="433" spans="1:13" ht="18.75" x14ac:dyDescent="0.25">
      <c r="A433" s="9"/>
      <c r="B433" s="13" t="e">
        <f>VLOOKUP(Table27[[#This Row],[Location 
(drop-down)]],'List source'!D$2:E$59,2,FALSE)</f>
        <v>#N/A</v>
      </c>
      <c r="C433" s="25" t="s">
        <v>741</v>
      </c>
      <c r="D433" s="33" t="e">
        <f t="shared" si="7"/>
        <v>#N/A</v>
      </c>
      <c r="E433" s="9"/>
      <c r="F433" s="10"/>
      <c r="G433" s="9"/>
      <c r="H433" s="10"/>
      <c r="I433" s="12"/>
      <c r="J433" s="12"/>
      <c r="K433" s="91"/>
      <c r="L433" s="10"/>
      <c r="M433" s="10"/>
    </row>
    <row r="434" spans="1:13" ht="18.75" x14ac:dyDescent="0.25">
      <c r="A434" s="9"/>
      <c r="B434" s="13" t="e">
        <f>VLOOKUP(Table27[[#This Row],[Location 
(drop-down)]],'List source'!D$2:E$59,2,FALSE)</f>
        <v>#N/A</v>
      </c>
      <c r="C434" s="25" t="s">
        <v>742</v>
      </c>
      <c r="D434" s="33" t="e">
        <f t="shared" si="7"/>
        <v>#N/A</v>
      </c>
      <c r="E434" s="9"/>
      <c r="F434" s="10"/>
      <c r="G434" s="9"/>
      <c r="H434" s="10"/>
      <c r="I434" s="12"/>
      <c r="J434" s="12"/>
      <c r="K434" s="91"/>
      <c r="L434" s="10"/>
      <c r="M434" s="10"/>
    </row>
    <row r="435" spans="1:13" ht="18.75" x14ac:dyDescent="0.25">
      <c r="A435" s="9"/>
      <c r="B435" s="13" t="e">
        <f>VLOOKUP(Table27[[#This Row],[Location 
(drop-down)]],'List source'!D$2:E$59,2,FALSE)</f>
        <v>#N/A</v>
      </c>
      <c r="C435" s="25" t="s">
        <v>743</v>
      </c>
      <c r="D435" s="33" t="e">
        <f t="shared" si="7"/>
        <v>#N/A</v>
      </c>
      <c r="E435" s="9"/>
      <c r="F435" s="10"/>
      <c r="G435" s="9"/>
      <c r="H435" s="10"/>
      <c r="I435" s="12"/>
      <c r="J435" s="12"/>
      <c r="K435" s="91"/>
      <c r="L435" s="10"/>
      <c r="M435" s="10"/>
    </row>
    <row r="436" spans="1:13" ht="18.75" x14ac:dyDescent="0.25">
      <c r="A436" s="9"/>
      <c r="B436" s="13" t="e">
        <f>VLOOKUP(Table27[[#This Row],[Location 
(drop-down)]],'List source'!D$2:E$59,2,FALSE)</f>
        <v>#N/A</v>
      </c>
      <c r="C436" s="25" t="s">
        <v>744</v>
      </c>
      <c r="D436" s="33" t="e">
        <f t="shared" si="7"/>
        <v>#N/A</v>
      </c>
      <c r="E436" s="9"/>
      <c r="F436" s="10"/>
      <c r="G436" s="9"/>
      <c r="H436" s="10"/>
      <c r="I436" s="12"/>
      <c r="J436" s="12"/>
      <c r="K436" s="91"/>
      <c r="L436" s="10"/>
      <c r="M436" s="10"/>
    </row>
    <row r="437" spans="1:13" ht="18.75" x14ac:dyDescent="0.25">
      <c r="A437" s="9"/>
      <c r="B437" s="13" t="e">
        <f>VLOOKUP(Table27[[#This Row],[Location 
(drop-down)]],'List source'!D$2:E$59,2,FALSE)</f>
        <v>#N/A</v>
      </c>
      <c r="C437" s="25" t="s">
        <v>745</v>
      </c>
      <c r="D437" s="33" t="e">
        <f t="shared" si="7"/>
        <v>#N/A</v>
      </c>
      <c r="E437" s="9"/>
      <c r="F437" s="10"/>
      <c r="G437" s="9"/>
      <c r="H437" s="10"/>
      <c r="I437" s="12"/>
      <c r="J437" s="12"/>
      <c r="K437" s="91"/>
      <c r="L437" s="10"/>
      <c r="M437" s="10"/>
    </row>
    <row r="438" spans="1:13" ht="18.75" x14ac:dyDescent="0.25">
      <c r="A438" s="9"/>
      <c r="B438" s="13" t="e">
        <f>VLOOKUP(Table27[[#This Row],[Location 
(drop-down)]],'List source'!D$2:E$59,2,FALSE)</f>
        <v>#N/A</v>
      </c>
      <c r="C438" s="25" t="s">
        <v>746</v>
      </c>
      <c r="D438" s="33" t="e">
        <f t="shared" si="7"/>
        <v>#N/A</v>
      </c>
      <c r="E438" s="9"/>
      <c r="F438" s="10"/>
      <c r="G438" s="9"/>
      <c r="H438" s="10"/>
      <c r="I438" s="12"/>
      <c r="J438" s="12"/>
      <c r="K438" s="91"/>
      <c r="L438" s="10"/>
      <c r="M438" s="32"/>
    </row>
    <row r="439" spans="1:13" ht="18.75" x14ac:dyDescent="0.25">
      <c r="A439" s="9"/>
      <c r="B439" s="13" t="e">
        <f>VLOOKUP(Table27[[#This Row],[Location 
(drop-down)]],'List source'!D$2:E$59,2,FALSE)</f>
        <v>#N/A</v>
      </c>
      <c r="C439" s="25" t="s">
        <v>747</v>
      </c>
      <c r="D439" s="33" t="e">
        <f t="shared" si="7"/>
        <v>#N/A</v>
      </c>
      <c r="E439" s="9"/>
      <c r="F439" s="10"/>
      <c r="G439" s="9"/>
      <c r="H439" s="10"/>
      <c r="I439" s="12"/>
      <c r="J439" s="12"/>
      <c r="K439" s="91"/>
      <c r="L439" s="10"/>
      <c r="M439" s="32"/>
    </row>
    <row r="440" spans="1:13" ht="18.75" x14ac:dyDescent="0.25">
      <c r="A440" s="9"/>
      <c r="B440" s="13" t="e">
        <f>VLOOKUP(Table27[[#This Row],[Location 
(drop-down)]],'List source'!D$2:E$59,2,FALSE)</f>
        <v>#N/A</v>
      </c>
      <c r="C440" s="25" t="s">
        <v>748</v>
      </c>
      <c r="D440" s="33" t="e">
        <f t="shared" si="7"/>
        <v>#N/A</v>
      </c>
      <c r="E440" s="9"/>
      <c r="F440" s="10"/>
      <c r="G440" s="9"/>
      <c r="H440" s="10"/>
      <c r="I440" s="12"/>
      <c r="J440" s="12"/>
      <c r="K440" s="91"/>
      <c r="L440" s="10"/>
      <c r="M440" s="10"/>
    </row>
    <row r="441" spans="1:13" ht="18.75" x14ac:dyDescent="0.25">
      <c r="A441" s="9"/>
      <c r="B441" s="13" t="e">
        <f>VLOOKUP(Table27[[#This Row],[Location 
(drop-down)]],'List source'!D$2:E$59,2,FALSE)</f>
        <v>#N/A</v>
      </c>
      <c r="C441" s="25" t="s">
        <v>749</v>
      </c>
      <c r="D441" s="33" t="e">
        <f t="shared" si="7"/>
        <v>#N/A</v>
      </c>
      <c r="E441" s="9"/>
      <c r="F441" s="10"/>
      <c r="G441" s="9"/>
      <c r="H441" s="10"/>
      <c r="I441" s="12"/>
      <c r="J441" s="12"/>
      <c r="K441" s="91"/>
      <c r="L441" s="10"/>
      <c r="M441" s="10"/>
    </row>
    <row r="442" spans="1:13" ht="18.75" x14ac:dyDescent="0.25">
      <c r="A442" s="9"/>
      <c r="B442" s="13" t="e">
        <f>VLOOKUP(Table27[[#This Row],[Location 
(drop-down)]],'List source'!D$2:E$59,2,FALSE)</f>
        <v>#N/A</v>
      </c>
      <c r="C442" s="25" t="s">
        <v>750</v>
      </c>
      <c r="D442" s="33" t="e">
        <f t="shared" si="7"/>
        <v>#N/A</v>
      </c>
      <c r="E442" s="9"/>
      <c r="F442" s="10"/>
      <c r="G442" s="9"/>
      <c r="H442" s="10"/>
      <c r="I442" s="12"/>
      <c r="J442" s="12"/>
      <c r="K442" s="91"/>
      <c r="L442" s="10"/>
      <c r="M442" s="10"/>
    </row>
    <row r="443" spans="1:13" ht="18.75" x14ac:dyDescent="0.25">
      <c r="A443" s="9"/>
      <c r="B443" s="13" t="e">
        <f>VLOOKUP(Table27[[#This Row],[Location 
(drop-down)]],'List source'!D$2:E$59,2,FALSE)</f>
        <v>#N/A</v>
      </c>
      <c r="C443" s="25" t="s">
        <v>751</v>
      </c>
      <c r="D443" s="33" t="e">
        <f t="shared" si="7"/>
        <v>#N/A</v>
      </c>
      <c r="E443" s="9"/>
      <c r="F443" s="10"/>
      <c r="G443" s="9"/>
      <c r="H443" s="10"/>
      <c r="I443" s="12"/>
      <c r="J443" s="12"/>
      <c r="K443" s="91"/>
      <c r="L443" s="10"/>
      <c r="M443" s="10"/>
    </row>
    <row r="444" spans="1:13" ht="18.75" x14ac:dyDescent="0.25">
      <c r="A444" s="9"/>
      <c r="B444" s="13" t="e">
        <f>VLOOKUP(Table27[[#This Row],[Location 
(drop-down)]],'List source'!D$2:E$59,2,FALSE)</f>
        <v>#N/A</v>
      </c>
      <c r="C444" s="25" t="s">
        <v>752</v>
      </c>
      <c r="D444" s="33" t="e">
        <f t="shared" si="7"/>
        <v>#N/A</v>
      </c>
      <c r="E444" s="9"/>
      <c r="F444" s="10"/>
      <c r="G444" s="9"/>
      <c r="H444" s="10"/>
      <c r="I444" s="12"/>
      <c r="J444" s="12"/>
      <c r="K444" s="91"/>
      <c r="L444" s="10"/>
      <c r="M444" s="10"/>
    </row>
    <row r="445" spans="1:13" ht="18.75" x14ac:dyDescent="0.25">
      <c r="A445" s="9"/>
      <c r="B445" s="13" t="e">
        <f>VLOOKUP(Table27[[#This Row],[Location 
(drop-down)]],'List source'!D$2:E$59,2,FALSE)</f>
        <v>#N/A</v>
      </c>
      <c r="C445" s="25" t="s">
        <v>753</v>
      </c>
      <c r="D445" s="33" t="e">
        <f t="shared" si="7"/>
        <v>#N/A</v>
      </c>
      <c r="E445" s="9"/>
      <c r="F445" s="10"/>
      <c r="G445" s="9"/>
      <c r="H445" s="10"/>
      <c r="I445" s="12"/>
      <c r="J445" s="12"/>
      <c r="K445" s="91"/>
      <c r="L445" s="10"/>
      <c r="M445" s="10"/>
    </row>
    <row r="446" spans="1:13" ht="18.75" x14ac:dyDescent="0.25">
      <c r="A446" s="9"/>
      <c r="B446" s="13" t="e">
        <f>VLOOKUP(Table27[[#This Row],[Location 
(drop-down)]],'List source'!D$2:E$59,2,FALSE)</f>
        <v>#N/A</v>
      </c>
      <c r="C446" s="25" t="s">
        <v>754</v>
      </c>
      <c r="D446" s="33" t="e">
        <f t="shared" si="7"/>
        <v>#N/A</v>
      </c>
      <c r="E446" s="9"/>
      <c r="F446" s="10"/>
      <c r="G446" s="9"/>
      <c r="H446" s="10"/>
      <c r="I446" s="12"/>
      <c r="J446" s="12"/>
      <c r="K446" s="91"/>
      <c r="L446" s="10"/>
      <c r="M446" s="10"/>
    </row>
    <row r="447" spans="1:13" ht="18.75" x14ac:dyDescent="0.25">
      <c r="A447" s="9"/>
      <c r="B447" s="13" t="e">
        <f>VLOOKUP(Table27[[#This Row],[Location 
(drop-down)]],'List source'!D$2:E$59,2,FALSE)</f>
        <v>#N/A</v>
      </c>
      <c r="C447" s="25" t="s">
        <v>755</v>
      </c>
      <c r="D447" s="33" t="e">
        <f t="shared" si="7"/>
        <v>#N/A</v>
      </c>
      <c r="E447" s="9"/>
      <c r="F447" s="10"/>
      <c r="G447" s="9"/>
      <c r="H447" s="10"/>
      <c r="I447" s="12"/>
      <c r="J447" s="12"/>
      <c r="K447" s="91"/>
      <c r="L447" s="10"/>
      <c r="M447" s="10"/>
    </row>
    <row r="448" spans="1:13" ht="18.75" x14ac:dyDescent="0.25">
      <c r="A448" s="9"/>
      <c r="B448" s="13" t="e">
        <f>VLOOKUP(Table27[[#This Row],[Location 
(drop-down)]],'List source'!D$2:E$59,2,FALSE)</f>
        <v>#N/A</v>
      </c>
      <c r="C448" s="25" t="s">
        <v>756</v>
      </c>
      <c r="D448" s="33" t="e">
        <f t="shared" si="7"/>
        <v>#N/A</v>
      </c>
      <c r="E448" s="9"/>
      <c r="F448" s="10"/>
      <c r="G448" s="9"/>
      <c r="H448" s="10"/>
      <c r="I448" s="12"/>
      <c r="J448" s="12"/>
      <c r="K448" s="91"/>
      <c r="L448" s="10"/>
      <c r="M448" s="10"/>
    </row>
    <row r="449" spans="1:13" ht="18.75" x14ac:dyDescent="0.25">
      <c r="A449" s="9"/>
      <c r="B449" s="13" t="e">
        <f>VLOOKUP(Table27[[#This Row],[Location 
(drop-down)]],'List source'!D$2:E$59,2,FALSE)</f>
        <v>#N/A</v>
      </c>
      <c r="C449" s="25" t="s">
        <v>757</v>
      </c>
      <c r="D449" s="33" t="e">
        <f t="shared" si="7"/>
        <v>#N/A</v>
      </c>
      <c r="E449" s="9"/>
      <c r="F449" s="10"/>
      <c r="G449" s="9"/>
      <c r="H449" s="10"/>
      <c r="I449" s="12"/>
      <c r="J449" s="12"/>
      <c r="K449" s="12"/>
      <c r="L449" s="10"/>
      <c r="M449" s="12"/>
    </row>
    <row r="450" spans="1:13" ht="18.75" x14ac:dyDescent="0.25">
      <c r="A450" s="9"/>
      <c r="B450" s="13" t="e">
        <f>VLOOKUP(Table27[[#This Row],[Location 
(drop-down)]],'List source'!D$2:E$59,2,FALSE)</f>
        <v>#N/A</v>
      </c>
      <c r="C450" s="25" t="s">
        <v>758</v>
      </c>
      <c r="D450" s="33" t="e">
        <f t="shared" ref="D450:D513" si="8">"PTO" &amp; C450 &amp; "-" &amp; B450 &amp; "-" &amp; "23"</f>
        <v>#N/A</v>
      </c>
      <c r="E450" s="9"/>
      <c r="F450" s="10"/>
      <c r="G450" s="9"/>
      <c r="H450" s="10"/>
      <c r="I450" s="12"/>
      <c r="J450" s="12"/>
      <c r="K450" s="91"/>
      <c r="L450" s="10"/>
      <c r="M450" s="10"/>
    </row>
    <row r="451" spans="1:13" ht="18.75" x14ac:dyDescent="0.25">
      <c r="A451" s="9"/>
      <c r="B451" s="13" t="e">
        <f>VLOOKUP(Table27[[#This Row],[Location 
(drop-down)]],'List source'!D$2:E$59,2,FALSE)</f>
        <v>#N/A</v>
      </c>
      <c r="C451" s="25" t="s">
        <v>759</v>
      </c>
      <c r="D451" s="33" t="e">
        <f t="shared" si="8"/>
        <v>#N/A</v>
      </c>
      <c r="E451" s="9"/>
      <c r="F451" s="10"/>
      <c r="G451" s="9"/>
      <c r="H451" s="10"/>
      <c r="I451" s="12"/>
      <c r="J451" s="12"/>
      <c r="K451" s="91"/>
      <c r="L451" s="10"/>
      <c r="M451" s="10"/>
    </row>
    <row r="452" spans="1:13" ht="18.75" x14ac:dyDescent="0.25">
      <c r="A452" s="9"/>
      <c r="B452" s="13" t="e">
        <f>VLOOKUP(Table27[[#This Row],[Location 
(drop-down)]],'List source'!D$2:E$59,2,FALSE)</f>
        <v>#N/A</v>
      </c>
      <c r="C452" s="25" t="s">
        <v>760</v>
      </c>
      <c r="D452" s="33" t="e">
        <f t="shared" si="8"/>
        <v>#N/A</v>
      </c>
      <c r="E452" s="9"/>
      <c r="F452" s="10"/>
      <c r="G452" s="9"/>
      <c r="H452" s="10"/>
      <c r="I452" s="12"/>
      <c r="J452" s="12"/>
      <c r="K452" s="91"/>
      <c r="L452" s="10"/>
      <c r="M452" s="10"/>
    </row>
    <row r="453" spans="1:13" ht="18.75" x14ac:dyDescent="0.25">
      <c r="A453" s="9"/>
      <c r="B453" s="13" t="e">
        <f>VLOOKUP(Table27[[#This Row],[Location 
(drop-down)]],'List source'!D$2:E$59,2,FALSE)</f>
        <v>#N/A</v>
      </c>
      <c r="C453" s="25" t="s">
        <v>761</v>
      </c>
      <c r="D453" s="33" t="e">
        <f t="shared" si="8"/>
        <v>#N/A</v>
      </c>
      <c r="E453" s="31"/>
      <c r="F453" s="11"/>
      <c r="G453" s="31"/>
      <c r="H453" s="11"/>
      <c r="I453" s="12"/>
      <c r="J453" s="12"/>
      <c r="K453" s="91"/>
      <c r="L453" s="10"/>
      <c r="M453" s="10"/>
    </row>
    <row r="454" spans="1:13" ht="18.75" x14ac:dyDescent="0.25">
      <c r="A454" s="9"/>
      <c r="B454" s="13" t="e">
        <f>VLOOKUP(Table27[[#This Row],[Location 
(drop-down)]],'List source'!D$2:E$59,2,FALSE)</f>
        <v>#N/A</v>
      </c>
      <c r="C454" s="25" t="s">
        <v>762</v>
      </c>
      <c r="D454" s="33" t="e">
        <f t="shared" si="8"/>
        <v>#N/A</v>
      </c>
      <c r="E454" s="9"/>
      <c r="F454" s="10"/>
      <c r="G454" s="9"/>
      <c r="H454" s="10"/>
      <c r="I454" s="12"/>
      <c r="J454" s="12"/>
      <c r="K454" s="91"/>
      <c r="L454" s="10"/>
      <c r="M454" s="10"/>
    </row>
    <row r="455" spans="1:13" ht="18.75" x14ac:dyDescent="0.25">
      <c r="A455" s="9"/>
      <c r="B455" s="13" t="e">
        <f>VLOOKUP(Table27[[#This Row],[Location 
(drop-down)]],'List source'!D$2:E$59,2,FALSE)</f>
        <v>#N/A</v>
      </c>
      <c r="C455" s="25" t="s">
        <v>763</v>
      </c>
      <c r="D455" s="33" t="e">
        <f t="shared" si="8"/>
        <v>#N/A</v>
      </c>
      <c r="E455" s="9"/>
      <c r="F455" s="10"/>
      <c r="G455" s="9"/>
      <c r="H455" s="10"/>
      <c r="I455" s="12"/>
      <c r="J455" s="12"/>
      <c r="K455" s="91"/>
      <c r="L455" s="10"/>
      <c r="M455" s="10"/>
    </row>
    <row r="456" spans="1:13" ht="18.75" x14ac:dyDescent="0.25">
      <c r="A456" s="9"/>
      <c r="B456" s="13" t="e">
        <f>VLOOKUP(Table27[[#This Row],[Location 
(drop-down)]],'List source'!D$2:E$59,2,FALSE)</f>
        <v>#N/A</v>
      </c>
      <c r="C456" s="25" t="s">
        <v>764</v>
      </c>
      <c r="D456" s="33" t="e">
        <f t="shared" si="8"/>
        <v>#N/A</v>
      </c>
      <c r="E456" s="9"/>
      <c r="F456" s="10"/>
      <c r="G456" s="9"/>
      <c r="H456" s="10"/>
      <c r="I456" s="12"/>
      <c r="J456" s="12"/>
      <c r="K456" s="91"/>
      <c r="L456" s="10"/>
      <c r="M456" s="10"/>
    </row>
    <row r="457" spans="1:13" ht="18.75" x14ac:dyDescent="0.25">
      <c r="A457" s="9"/>
      <c r="B457" s="13" t="e">
        <f>VLOOKUP(Table27[[#This Row],[Location 
(drop-down)]],'List source'!D$2:E$59,2,FALSE)</f>
        <v>#N/A</v>
      </c>
      <c r="C457" s="25" t="s">
        <v>765</v>
      </c>
      <c r="D457" s="33" t="e">
        <f t="shared" si="8"/>
        <v>#N/A</v>
      </c>
      <c r="E457" s="9"/>
      <c r="F457" s="10"/>
      <c r="G457" s="9"/>
      <c r="H457" s="10"/>
      <c r="I457" s="12"/>
      <c r="J457" s="12"/>
      <c r="K457" s="91"/>
      <c r="L457" s="10"/>
      <c r="M457" s="10"/>
    </row>
    <row r="458" spans="1:13" ht="18.75" x14ac:dyDescent="0.25">
      <c r="A458" s="9"/>
      <c r="B458" s="13" t="e">
        <f>VLOOKUP(Table27[[#This Row],[Location 
(drop-down)]],'List source'!D$2:E$59,2,FALSE)</f>
        <v>#N/A</v>
      </c>
      <c r="C458" s="25" t="s">
        <v>766</v>
      </c>
      <c r="D458" s="33" t="e">
        <f t="shared" si="8"/>
        <v>#N/A</v>
      </c>
      <c r="E458" s="9"/>
      <c r="F458" s="10"/>
      <c r="G458" s="9"/>
      <c r="H458" s="10"/>
      <c r="I458" s="12"/>
      <c r="J458" s="12"/>
      <c r="K458" s="91"/>
      <c r="L458" s="10"/>
      <c r="M458" s="10"/>
    </row>
    <row r="459" spans="1:13" ht="18.75" x14ac:dyDescent="0.25">
      <c r="A459" s="9"/>
      <c r="B459" s="13" t="e">
        <f>VLOOKUP(Table27[[#This Row],[Location 
(drop-down)]],'List source'!D$2:E$59,2,FALSE)</f>
        <v>#N/A</v>
      </c>
      <c r="C459" s="25" t="s">
        <v>767</v>
      </c>
      <c r="D459" s="33" t="e">
        <f t="shared" si="8"/>
        <v>#N/A</v>
      </c>
      <c r="E459" s="9"/>
      <c r="F459" s="10"/>
      <c r="G459" s="9"/>
      <c r="H459" s="10"/>
      <c r="I459" s="12"/>
      <c r="J459" s="12"/>
      <c r="K459" s="91"/>
      <c r="L459" s="10"/>
      <c r="M459" s="10"/>
    </row>
    <row r="460" spans="1:13" ht="18.75" x14ac:dyDescent="0.25">
      <c r="A460" s="9"/>
      <c r="B460" s="13" t="e">
        <f>VLOOKUP(Table27[[#This Row],[Location 
(drop-down)]],'List source'!D$2:E$59,2,FALSE)</f>
        <v>#N/A</v>
      </c>
      <c r="C460" s="25" t="s">
        <v>768</v>
      </c>
      <c r="D460" s="33" t="e">
        <f t="shared" si="8"/>
        <v>#N/A</v>
      </c>
      <c r="E460" s="9"/>
      <c r="F460" s="10"/>
      <c r="G460" s="9"/>
      <c r="H460" s="10"/>
      <c r="I460" s="12"/>
      <c r="J460" s="12"/>
      <c r="K460" s="91"/>
      <c r="L460" s="10"/>
      <c r="M460" s="10"/>
    </row>
    <row r="461" spans="1:13" ht="18.75" x14ac:dyDescent="0.25">
      <c r="A461" s="9"/>
      <c r="B461" s="13" t="e">
        <f>VLOOKUP(Table27[[#This Row],[Location 
(drop-down)]],'List source'!D$2:E$59,2,FALSE)</f>
        <v>#N/A</v>
      </c>
      <c r="C461" s="25" t="s">
        <v>769</v>
      </c>
      <c r="D461" s="33" t="e">
        <f t="shared" si="8"/>
        <v>#N/A</v>
      </c>
      <c r="E461" s="9"/>
      <c r="F461" s="10"/>
      <c r="G461" s="9"/>
      <c r="H461" s="10"/>
      <c r="I461" s="12"/>
      <c r="J461" s="12"/>
      <c r="K461" s="91"/>
      <c r="L461" s="10"/>
      <c r="M461" s="10"/>
    </row>
    <row r="462" spans="1:13" ht="18.75" x14ac:dyDescent="0.25">
      <c r="A462" s="9"/>
      <c r="B462" s="13" t="e">
        <f>VLOOKUP(Table27[[#This Row],[Location 
(drop-down)]],'List source'!D$2:E$59,2,FALSE)</f>
        <v>#N/A</v>
      </c>
      <c r="C462" s="25" t="s">
        <v>770</v>
      </c>
      <c r="D462" s="33" t="e">
        <f t="shared" si="8"/>
        <v>#N/A</v>
      </c>
      <c r="E462" s="9"/>
      <c r="F462" s="10"/>
      <c r="G462" s="9"/>
      <c r="H462" s="10"/>
      <c r="I462" s="12"/>
      <c r="J462" s="12"/>
      <c r="K462" s="91"/>
      <c r="L462" s="10"/>
      <c r="M462" s="10"/>
    </row>
    <row r="463" spans="1:13" ht="18.75" x14ac:dyDescent="0.25">
      <c r="A463" s="9"/>
      <c r="B463" s="13" t="e">
        <f>VLOOKUP(Table27[[#This Row],[Location 
(drop-down)]],'List source'!D$2:E$59,2,FALSE)</f>
        <v>#N/A</v>
      </c>
      <c r="C463" s="25" t="s">
        <v>771</v>
      </c>
      <c r="D463" s="33" t="e">
        <f t="shared" si="8"/>
        <v>#N/A</v>
      </c>
      <c r="E463" s="9"/>
      <c r="F463" s="10"/>
      <c r="G463" s="9"/>
      <c r="H463" s="10"/>
      <c r="I463" s="12"/>
      <c r="J463" s="12"/>
      <c r="K463" s="91"/>
      <c r="L463" s="10"/>
      <c r="M463" s="10"/>
    </row>
    <row r="464" spans="1:13" ht="18.75" x14ac:dyDescent="0.25">
      <c r="A464" s="9"/>
      <c r="B464" s="13" t="e">
        <f>VLOOKUP(Table27[[#This Row],[Location 
(drop-down)]],'List source'!D$2:E$59,2,FALSE)</f>
        <v>#N/A</v>
      </c>
      <c r="C464" s="25" t="s">
        <v>772</v>
      </c>
      <c r="D464" s="33" t="e">
        <f t="shared" si="8"/>
        <v>#N/A</v>
      </c>
      <c r="E464" s="9"/>
      <c r="F464" s="10"/>
      <c r="G464" s="9"/>
      <c r="H464" s="10"/>
      <c r="I464" s="12"/>
      <c r="J464" s="12"/>
      <c r="K464" s="91"/>
      <c r="L464" s="10"/>
      <c r="M464" s="10"/>
    </row>
    <row r="465" spans="1:13" ht="18.75" x14ac:dyDescent="0.25">
      <c r="A465" s="9"/>
      <c r="B465" s="13" t="e">
        <f>VLOOKUP(Table27[[#This Row],[Location 
(drop-down)]],'List source'!D$2:E$59,2,FALSE)</f>
        <v>#N/A</v>
      </c>
      <c r="C465" s="25" t="s">
        <v>773</v>
      </c>
      <c r="D465" s="33" t="e">
        <f t="shared" si="8"/>
        <v>#N/A</v>
      </c>
      <c r="E465" s="9"/>
      <c r="F465" s="10"/>
      <c r="G465" s="9"/>
      <c r="H465" s="10"/>
      <c r="I465" s="12"/>
      <c r="J465" s="12"/>
      <c r="K465" s="91"/>
      <c r="L465" s="10"/>
      <c r="M465" s="10"/>
    </row>
    <row r="466" spans="1:13" ht="18.75" x14ac:dyDescent="0.25">
      <c r="A466" s="9"/>
      <c r="B466" s="13" t="e">
        <f>VLOOKUP(Table27[[#This Row],[Location 
(drop-down)]],'List source'!D$2:E$59,2,FALSE)</f>
        <v>#N/A</v>
      </c>
      <c r="C466" s="25" t="s">
        <v>774</v>
      </c>
      <c r="D466" s="33" t="e">
        <f t="shared" si="8"/>
        <v>#N/A</v>
      </c>
      <c r="E466" s="9"/>
      <c r="F466" s="10"/>
      <c r="G466" s="9"/>
      <c r="H466" s="10"/>
      <c r="I466" s="12"/>
      <c r="J466" s="12"/>
      <c r="K466" s="91"/>
      <c r="L466" s="10"/>
      <c r="M466" s="10"/>
    </row>
    <row r="467" spans="1:13" ht="18.75" x14ac:dyDescent="0.25">
      <c r="A467" s="9"/>
      <c r="B467" s="13" t="e">
        <f>VLOOKUP(Table27[[#This Row],[Location 
(drop-down)]],'List source'!D$2:E$59,2,FALSE)</f>
        <v>#N/A</v>
      </c>
      <c r="C467" s="25" t="s">
        <v>775</v>
      </c>
      <c r="D467" s="33" t="e">
        <f t="shared" si="8"/>
        <v>#N/A</v>
      </c>
      <c r="E467" s="9"/>
      <c r="F467" s="10"/>
      <c r="G467" s="9"/>
      <c r="H467" s="10"/>
      <c r="I467" s="12"/>
      <c r="J467" s="12"/>
      <c r="K467" s="91"/>
      <c r="L467" s="10"/>
      <c r="M467" s="10"/>
    </row>
    <row r="468" spans="1:13" ht="18.75" x14ac:dyDescent="0.25">
      <c r="A468" s="9"/>
      <c r="B468" s="13" t="e">
        <f>VLOOKUP(Table27[[#This Row],[Location 
(drop-down)]],'List source'!D$2:E$59,2,FALSE)</f>
        <v>#N/A</v>
      </c>
      <c r="C468" s="25" t="s">
        <v>776</v>
      </c>
      <c r="D468" s="33" t="e">
        <f t="shared" si="8"/>
        <v>#N/A</v>
      </c>
      <c r="E468" s="9"/>
      <c r="F468" s="10"/>
      <c r="G468" s="9"/>
      <c r="H468" s="10"/>
      <c r="I468" s="12"/>
      <c r="J468" s="12"/>
      <c r="K468" s="91"/>
      <c r="L468" s="10"/>
      <c r="M468" s="10"/>
    </row>
    <row r="469" spans="1:13" ht="18.75" x14ac:dyDescent="0.25">
      <c r="A469" s="9"/>
      <c r="B469" s="13" t="e">
        <f>VLOOKUP(Table27[[#This Row],[Location 
(drop-down)]],'List source'!D$2:E$59,2,FALSE)</f>
        <v>#N/A</v>
      </c>
      <c r="C469" s="25" t="s">
        <v>777</v>
      </c>
      <c r="D469" s="33" t="e">
        <f t="shared" si="8"/>
        <v>#N/A</v>
      </c>
      <c r="E469" s="9"/>
      <c r="F469" s="10"/>
      <c r="G469" s="9"/>
      <c r="H469" s="10"/>
      <c r="I469" s="12"/>
      <c r="J469" s="12"/>
      <c r="K469" s="91"/>
      <c r="L469" s="10"/>
      <c r="M469" s="10"/>
    </row>
    <row r="470" spans="1:13" ht="18.75" x14ac:dyDescent="0.25">
      <c r="A470" s="9"/>
      <c r="B470" s="13" t="e">
        <f>VLOOKUP(Table27[[#This Row],[Location 
(drop-down)]],'List source'!D$2:E$59,2,FALSE)</f>
        <v>#N/A</v>
      </c>
      <c r="C470" s="25" t="s">
        <v>778</v>
      </c>
      <c r="D470" s="33" t="e">
        <f t="shared" si="8"/>
        <v>#N/A</v>
      </c>
      <c r="E470" s="9"/>
      <c r="F470" s="10"/>
      <c r="G470" s="9"/>
      <c r="H470" s="10"/>
      <c r="I470" s="12"/>
      <c r="J470" s="12"/>
      <c r="K470" s="91"/>
      <c r="L470" s="10"/>
      <c r="M470" s="10"/>
    </row>
    <row r="471" spans="1:13" ht="18.75" x14ac:dyDescent="0.25">
      <c r="A471" s="9"/>
      <c r="B471" s="13" t="e">
        <f>VLOOKUP(Table27[[#This Row],[Location 
(drop-down)]],'List source'!D$2:E$59,2,FALSE)</f>
        <v>#N/A</v>
      </c>
      <c r="C471" s="25" t="s">
        <v>779</v>
      </c>
      <c r="D471" s="33" t="e">
        <f t="shared" si="8"/>
        <v>#N/A</v>
      </c>
      <c r="E471" s="9"/>
      <c r="F471" s="10"/>
      <c r="G471" s="9"/>
      <c r="H471" s="10"/>
      <c r="I471" s="12"/>
      <c r="J471" s="12"/>
      <c r="K471" s="91"/>
      <c r="L471" s="10"/>
      <c r="M471" s="10"/>
    </row>
    <row r="472" spans="1:13" ht="18.75" x14ac:dyDescent="0.25">
      <c r="A472" s="9"/>
      <c r="B472" s="13" t="e">
        <f>VLOOKUP(Table27[[#This Row],[Location 
(drop-down)]],'List source'!D$2:E$59,2,FALSE)</f>
        <v>#N/A</v>
      </c>
      <c r="C472" s="25" t="s">
        <v>780</v>
      </c>
      <c r="D472" s="33" t="e">
        <f t="shared" si="8"/>
        <v>#N/A</v>
      </c>
      <c r="E472" s="9"/>
      <c r="F472" s="10"/>
      <c r="G472" s="9"/>
      <c r="H472" s="10"/>
      <c r="I472" s="12"/>
      <c r="J472" s="12"/>
      <c r="K472" s="91"/>
      <c r="L472" s="10"/>
      <c r="M472" s="10"/>
    </row>
    <row r="473" spans="1:13" ht="18.75" x14ac:dyDescent="0.25">
      <c r="A473" s="9"/>
      <c r="B473" s="13" t="e">
        <f>VLOOKUP(Table27[[#This Row],[Location 
(drop-down)]],'List source'!D$2:E$59,2,FALSE)</f>
        <v>#N/A</v>
      </c>
      <c r="C473" s="25" t="s">
        <v>781</v>
      </c>
      <c r="D473" s="33" t="e">
        <f t="shared" si="8"/>
        <v>#N/A</v>
      </c>
      <c r="E473" s="9"/>
      <c r="F473" s="10"/>
      <c r="G473" s="9"/>
      <c r="H473" s="10"/>
      <c r="I473" s="12"/>
      <c r="J473" s="12"/>
      <c r="K473" s="91"/>
      <c r="L473" s="10"/>
      <c r="M473" s="10"/>
    </row>
    <row r="474" spans="1:13" ht="18.75" x14ac:dyDescent="0.25">
      <c r="A474" s="9"/>
      <c r="B474" s="13" t="e">
        <f>VLOOKUP(Table27[[#This Row],[Location 
(drop-down)]],'List source'!D$2:E$59,2,FALSE)</f>
        <v>#N/A</v>
      </c>
      <c r="C474" s="25" t="s">
        <v>782</v>
      </c>
      <c r="D474" s="33" t="e">
        <f t="shared" si="8"/>
        <v>#N/A</v>
      </c>
      <c r="E474" s="9"/>
      <c r="F474" s="10"/>
      <c r="G474" s="9"/>
      <c r="H474" s="10"/>
      <c r="I474" s="12"/>
      <c r="J474" s="12"/>
      <c r="K474" s="91"/>
      <c r="L474" s="10"/>
      <c r="M474" s="10"/>
    </row>
    <row r="475" spans="1:13" ht="18.75" x14ac:dyDescent="0.25">
      <c r="A475" s="9"/>
      <c r="B475" s="13" t="e">
        <f>VLOOKUP(Table27[[#This Row],[Location 
(drop-down)]],'List source'!D$2:E$59,2,FALSE)</f>
        <v>#N/A</v>
      </c>
      <c r="C475" s="25" t="s">
        <v>783</v>
      </c>
      <c r="D475" s="33" t="e">
        <f t="shared" si="8"/>
        <v>#N/A</v>
      </c>
      <c r="E475" s="9"/>
      <c r="F475" s="10"/>
      <c r="G475" s="9"/>
      <c r="H475" s="10"/>
      <c r="I475" s="12"/>
      <c r="J475" s="12"/>
      <c r="K475" s="91"/>
      <c r="L475" s="10"/>
      <c r="M475" s="10"/>
    </row>
    <row r="476" spans="1:13" ht="18.75" x14ac:dyDescent="0.25">
      <c r="A476" s="9"/>
      <c r="B476" s="13" t="e">
        <f>VLOOKUP(Table27[[#This Row],[Location 
(drop-down)]],'List source'!D$2:E$59,2,FALSE)</f>
        <v>#N/A</v>
      </c>
      <c r="C476" s="25" t="s">
        <v>784</v>
      </c>
      <c r="D476" s="33" t="e">
        <f t="shared" si="8"/>
        <v>#N/A</v>
      </c>
      <c r="E476" s="9"/>
      <c r="F476" s="10"/>
      <c r="G476" s="9"/>
      <c r="H476" s="10"/>
      <c r="I476" s="12"/>
      <c r="J476" s="12"/>
      <c r="K476" s="91"/>
      <c r="L476" s="10"/>
      <c r="M476" s="10"/>
    </row>
    <row r="477" spans="1:13" ht="18.75" x14ac:dyDescent="0.25">
      <c r="A477" s="9"/>
      <c r="B477" s="13" t="e">
        <f>VLOOKUP(Table27[[#This Row],[Location 
(drop-down)]],'List source'!D$2:E$59,2,FALSE)</f>
        <v>#N/A</v>
      </c>
      <c r="C477" s="25" t="s">
        <v>785</v>
      </c>
      <c r="D477" s="33" t="e">
        <f t="shared" si="8"/>
        <v>#N/A</v>
      </c>
      <c r="E477" s="9"/>
      <c r="F477" s="10"/>
      <c r="G477" s="9"/>
      <c r="H477" s="10"/>
      <c r="I477" s="12"/>
      <c r="J477" s="12"/>
      <c r="K477" s="91"/>
      <c r="L477" s="10"/>
      <c r="M477" s="10"/>
    </row>
    <row r="478" spans="1:13" ht="18.75" x14ac:dyDescent="0.25">
      <c r="A478" s="9"/>
      <c r="B478" s="13" t="e">
        <f>VLOOKUP(Table27[[#This Row],[Location 
(drop-down)]],'List source'!D$2:E$59,2,FALSE)</f>
        <v>#N/A</v>
      </c>
      <c r="C478" s="25" t="s">
        <v>786</v>
      </c>
      <c r="D478" s="33" t="e">
        <f t="shared" si="8"/>
        <v>#N/A</v>
      </c>
      <c r="E478" s="9"/>
      <c r="F478" s="10"/>
      <c r="G478" s="9"/>
      <c r="H478" s="10"/>
      <c r="I478" s="12"/>
      <c r="J478" s="12"/>
      <c r="K478" s="91"/>
      <c r="L478" s="10"/>
      <c r="M478" s="10"/>
    </row>
    <row r="479" spans="1:13" ht="18.75" x14ac:dyDescent="0.25">
      <c r="A479" s="9"/>
      <c r="B479" s="13" t="e">
        <f>VLOOKUP(Table27[[#This Row],[Location 
(drop-down)]],'List source'!D$2:E$59,2,FALSE)</f>
        <v>#N/A</v>
      </c>
      <c r="C479" s="25" t="s">
        <v>787</v>
      </c>
      <c r="D479" s="33" t="e">
        <f t="shared" si="8"/>
        <v>#N/A</v>
      </c>
      <c r="E479" s="9"/>
      <c r="F479" s="10"/>
      <c r="G479" s="9"/>
      <c r="H479" s="10"/>
      <c r="I479" s="12"/>
      <c r="J479" s="12"/>
      <c r="K479" s="91"/>
      <c r="L479" s="10"/>
      <c r="M479" s="10"/>
    </row>
    <row r="480" spans="1:13" ht="18.75" x14ac:dyDescent="0.25">
      <c r="A480" s="9"/>
      <c r="B480" s="13" t="e">
        <f>VLOOKUP(Table27[[#This Row],[Location 
(drop-down)]],'List source'!D$2:E$59,2,FALSE)</f>
        <v>#N/A</v>
      </c>
      <c r="C480" s="25" t="s">
        <v>788</v>
      </c>
      <c r="D480" s="33" t="e">
        <f t="shared" si="8"/>
        <v>#N/A</v>
      </c>
      <c r="E480" s="9"/>
      <c r="F480" s="10"/>
      <c r="G480" s="9"/>
      <c r="H480" s="10"/>
      <c r="I480" s="12"/>
      <c r="J480" s="12"/>
      <c r="K480" s="91"/>
      <c r="L480" s="10"/>
      <c r="M480" s="10"/>
    </row>
    <row r="481" spans="1:13" ht="18.75" x14ac:dyDescent="0.25">
      <c r="A481" s="9"/>
      <c r="B481" s="13" t="e">
        <f>VLOOKUP(Table27[[#This Row],[Location 
(drop-down)]],'List source'!D$2:E$59,2,FALSE)</f>
        <v>#N/A</v>
      </c>
      <c r="C481" s="25" t="s">
        <v>789</v>
      </c>
      <c r="D481" s="33" t="e">
        <f t="shared" si="8"/>
        <v>#N/A</v>
      </c>
      <c r="E481" s="9"/>
      <c r="F481" s="10"/>
      <c r="G481" s="9"/>
      <c r="H481" s="10"/>
      <c r="I481" s="12"/>
      <c r="J481" s="12"/>
      <c r="K481" s="91"/>
      <c r="L481" s="10"/>
      <c r="M481" s="10"/>
    </row>
    <row r="482" spans="1:13" ht="18.75" x14ac:dyDescent="0.25">
      <c r="A482" s="9"/>
      <c r="B482" s="13" t="e">
        <f>VLOOKUP(Table27[[#This Row],[Location 
(drop-down)]],'List source'!D$2:E$59,2,FALSE)</f>
        <v>#N/A</v>
      </c>
      <c r="C482" s="25" t="s">
        <v>790</v>
      </c>
      <c r="D482" s="33" t="e">
        <f t="shared" si="8"/>
        <v>#N/A</v>
      </c>
      <c r="E482" s="9"/>
      <c r="F482" s="10"/>
      <c r="G482" s="9"/>
      <c r="H482" s="10"/>
      <c r="I482" s="12"/>
      <c r="J482" s="12"/>
      <c r="K482" s="91"/>
      <c r="L482" s="10"/>
      <c r="M482" s="10"/>
    </row>
    <row r="483" spans="1:13" ht="18.75" x14ac:dyDescent="0.25">
      <c r="A483" s="9"/>
      <c r="B483" s="13" t="e">
        <f>VLOOKUP(Table27[[#This Row],[Location 
(drop-down)]],'List source'!D$2:E$59,2,FALSE)</f>
        <v>#N/A</v>
      </c>
      <c r="C483" s="25" t="s">
        <v>791</v>
      </c>
      <c r="D483" s="33" t="e">
        <f t="shared" si="8"/>
        <v>#N/A</v>
      </c>
      <c r="E483" s="9"/>
      <c r="F483" s="10"/>
      <c r="G483" s="9"/>
      <c r="H483" s="10"/>
      <c r="I483" s="12"/>
      <c r="J483" s="12"/>
      <c r="K483" s="91"/>
      <c r="L483" s="10"/>
      <c r="M483" s="10"/>
    </row>
    <row r="484" spans="1:13" ht="18.75" x14ac:dyDescent="0.25">
      <c r="A484" s="9"/>
      <c r="B484" s="13" t="e">
        <f>VLOOKUP(Table27[[#This Row],[Location 
(drop-down)]],'List source'!D$2:E$59,2,FALSE)</f>
        <v>#N/A</v>
      </c>
      <c r="C484" s="25" t="s">
        <v>792</v>
      </c>
      <c r="D484" s="33" t="e">
        <f t="shared" si="8"/>
        <v>#N/A</v>
      </c>
      <c r="E484" s="9"/>
      <c r="F484" s="10"/>
      <c r="G484" s="9"/>
      <c r="H484" s="10"/>
      <c r="I484" s="12"/>
      <c r="J484" s="12"/>
      <c r="K484" s="91"/>
      <c r="L484" s="10"/>
      <c r="M484" s="10"/>
    </row>
    <row r="485" spans="1:13" ht="18.75" x14ac:dyDescent="0.25">
      <c r="A485" s="9"/>
      <c r="B485" s="13" t="e">
        <f>VLOOKUP(Table27[[#This Row],[Location 
(drop-down)]],'List source'!D$2:E$59,2,FALSE)</f>
        <v>#N/A</v>
      </c>
      <c r="C485" s="25" t="s">
        <v>793</v>
      </c>
      <c r="D485" s="33" t="e">
        <f t="shared" si="8"/>
        <v>#N/A</v>
      </c>
      <c r="E485" s="9"/>
      <c r="F485" s="10"/>
      <c r="G485" s="9"/>
      <c r="H485" s="10"/>
      <c r="I485" s="12"/>
      <c r="J485" s="12"/>
      <c r="K485" s="91"/>
      <c r="L485" s="10"/>
      <c r="M485" s="10"/>
    </row>
    <row r="486" spans="1:13" ht="18.75" x14ac:dyDescent="0.25">
      <c r="A486" s="9"/>
      <c r="B486" s="13" t="e">
        <f>VLOOKUP(Table27[[#This Row],[Location 
(drop-down)]],'List source'!D$2:E$59,2,FALSE)</f>
        <v>#N/A</v>
      </c>
      <c r="C486" s="25" t="s">
        <v>794</v>
      </c>
      <c r="D486" s="33" t="e">
        <f t="shared" si="8"/>
        <v>#N/A</v>
      </c>
      <c r="E486" s="9"/>
      <c r="F486" s="10"/>
      <c r="G486" s="9"/>
      <c r="H486" s="10"/>
      <c r="I486" s="12"/>
      <c r="J486" s="12"/>
      <c r="K486" s="91"/>
      <c r="L486" s="10"/>
      <c r="M486" s="10"/>
    </row>
    <row r="487" spans="1:13" ht="18.75" x14ac:dyDescent="0.25">
      <c r="A487" s="9"/>
      <c r="B487" s="13" t="e">
        <f>VLOOKUP(Table27[[#This Row],[Location 
(drop-down)]],'List source'!D$2:E$59,2,FALSE)</f>
        <v>#N/A</v>
      </c>
      <c r="C487" s="25" t="s">
        <v>795</v>
      </c>
      <c r="D487" s="33" t="e">
        <f t="shared" si="8"/>
        <v>#N/A</v>
      </c>
      <c r="E487" s="9"/>
      <c r="F487" s="10"/>
      <c r="G487" s="9"/>
      <c r="H487" s="10"/>
      <c r="I487" s="12"/>
      <c r="J487" s="12"/>
      <c r="K487" s="91"/>
      <c r="L487" s="10"/>
      <c r="M487" s="10"/>
    </row>
    <row r="488" spans="1:13" ht="18.75" x14ac:dyDescent="0.25">
      <c r="A488" s="9"/>
      <c r="B488" s="13" t="e">
        <f>VLOOKUP(Table27[[#This Row],[Location 
(drop-down)]],'List source'!D$2:E$59,2,FALSE)</f>
        <v>#N/A</v>
      </c>
      <c r="C488" s="25" t="s">
        <v>796</v>
      </c>
      <c r="D488" s="33" t="e">
        <f t="shared" si="8"/>
        <v>#N/A</v>
      </c>
      <c r="E488" s="9"/>
      <c r="F488" s="10"/>
      <c r="G488" s="9"/>
      <c r="H488" s="10"/>
      <c r="I488" s="12"/>
      <c r="J488" s="12"/>
      <c r="K488" s="91"/>
      <c r="L488" s="10"/>
      <c r="M488" s="10"/>
    </row>
    <row r="489" spans="1:13" ht="18.75" x14ac:dyDescent="0.25">
      <c r="A489" s="9"/>
      <c r="B489" s="13" t="e">
        <f>VLOOKUP(Table27[[#This Row],[Location 
(drop-down)]],'List source'!D$2:E$59,2,FALSE)</f>
        <v>#N/A</v>
      </c>
      <c r="C489" s="25" t="s">
        <v>797</v>
      </c>
      <c r="D489" s="33" t="e">
        <f t="shared" si="8"/>
        <v>#N/A</v>
      </c>
      <c r="E489" s="9"/>
      <c r="F489" s="10"/>
      <c r="G489" s="9"/>
      <c r="H489" s="10"/>
      <c r="I489" s="12"/>
      <c r="J489" s="12"/>
      <c r="K489" s="91"/>
      <c r="L489" s="10"/>
      <c r="M489" s="10"/>
    </row>
    <row r="490" spans="1:13" ht="18.75" x14ac:dyDescent="0.25">
      <c r="A490" s="9"/>
      <c r="B490" s="13" t="e">
        <f>VLOOKUP(Table27[[#This Row],[Location 
(drop-down)]],'List source'!D$2:E$59,2,FALSE)</f>
        <v>#N/A</v>
      </c>
      <c r="C490" s="25" t="s">
        <v>798</v>
      </c>
      <c r="D490" s="33" t="e">
        <f t="shared" si="8"/>
        <v>#N/A</v>
      </c>
      <c r="E490" s="9"/>
      <c r="F490" s="10"/>
      <c r="G490" s="9"/>
      <c r="H490" s="10"/>
      <c r="I490" s="12"/>
      <c r="J490" s="12"/>
      <c r="K490" s="91"/>
      <c r="L490" s="10"/>
      <c r="M490" s="10"/>
    </row>
    <row r="491" spans="1:13" ht="18.75" x14ac:dyDescent="0.25">
      <c r="A491" s="9"/>
      <c r="B491" s="13" t="e">
        <f>VLOOKUP(Table27[[#This Row],[Location 
(drop-down)]],'List source'!D$2:E$59,2,FALSE)</f>
        <v>#N/A</v>
      </c>
      <c r="C491" s="25" t="s">
        <v>799</v>
      </c>
      <c r="D491" s="33" t="e">
        <f t="shared" si="8"/>
        <v>#N/A</v>
      </c>
      <c r="E491" s="9"/>
      <c r="F491" s="10"/>
      <c r="G491" s="9"/>
      <c r="H491" s="10"/>
      <c r="I491" s="12"/>
      <c r="J491" s="12"/>
      <c r="K491" s="91"/>
      <c r="L491" s="10"/>
      <c r="M491" s="10"/>
    </row>
    <row r="492" spans="1:13" ht="18.75" x14ac:dyDescent="0.25">
      <c r="A492" s="9"/>
      <c r="B492" s="13" t="e">
        <f>VLOOKUP(Table27[[#This Row],[Location 
(drop-down)]],'List source'!D$2:E$59,2,FALSE)</f>
        <v>#N/A</v>
      </c>
      <c r="C492" s="25" t="s">
        <v>800</v>
      </c>
      <c r="D492" s="33" t="e">
        <f t="shared" si="8"/>
        <v>#N/A</v>
      </c>
      <c r="E492" s="145"/>
      <c r="F492" s="192"/>
      <c r="G492" s="145"/>
      <c r="H492" s="192"/>
      <c r="I492" s="12"/>
      <c r="J492" s="12"/>
      <c r="K492" s="91"/>
      <c r="L492" s="10"/>
      <c r="M492" s="10"/>
    </row>
    <row r="493" spans="1:13" ht="18.75" x14ac:dyDescent="0.25">
      <c r="A493" s="9"/>
      <c r="B493" s="13" t="e">
        <f>VLOOKUP(Table27[[#This Row],[Location 
(drop-down)]],'List source'!D$2:E$59,2,FALSE)</f>
        <v>#N/A</v>
      </c>
      <c r="C493" s="25" t="s">
        <v>801</v>
      </c>
      <c r="D493" s="33" t="e">
        <f t="shared" si="8"/>
        <v>#N/A</v>
      </c>
      <c r="E493" s="9"/>
      <c r="F493" s="10"/>
      <c r="G493" s="9"/>
      <c r="H493" s="10"/>
      <c r="I493" s="12"/>
      <c r="J493" s="12"/>
      <c r="K493" s="91"/>
      <c r="L493" s="10"/>
      <c r="M493" s="10"/>
    </row>
    <row r="494" spans="1:13" ht="18.75" x14ac:dyDescent="0.25">
      <c r="A494" s="9"/>
      <c r="B494" s="13" t="e">
        <f>VLOOKUP(Table27[[#This Row],[Location 
(drop-down)]],'List source'!D$2:E$59,2,FALSE)</f>
        <v>#N/A</v>
      </c>
      <c r="C494" s="25" t="s">
        <v>802</v>
      </c>
      <c r="D494" s="33" t="e">
        <f t="shared" si="8"/>
        <v>#N/A</v>
      </c>
      <c r="E494" s="9"/>
      <c r="F494" s="10"/>
      <c r="G494" s="9"/>
      <c r="H494" s="10"/>
      <c r="I494" s="12"/>
      <c r="J494" s="12"/>
      <c r="K494" s="91"/>
      <c r="L494" s="10"/>
      <c r="M494" s="10"/>
    </row>
    <row r="495" spans="1:13" ht="18.75" x14ac:dyDescent="0.25">
      <c r="A495" s="9"/>
      <c r="B495" s="13" t="e">
        <f>VLOOKUP(Table27[[#This Row],[Location 
(drop-down)]],'List source'!D$2:E$59,2,FALSE)</f>
        <v>#N/A</v>
      </c>
      <c r="C495" s="25" t="s">
        <v>803</v>
      </c>
      <c r="D495" s="33" t="e">
        <f t="shared" si="8"/>
        <v>#N/A</v>
      </c>
      <c r="E495" s="9"/>
      <c r="F495" s="10"/>
      <c r="G495" s="9"/>
      <c r="H495" s="10"/>
      <c r="I495" s="12"/>
      <c r="J495" s="12"/>
      <c r="K495" s="91"/>
      <c r="L495" s="10"/>
      <c r="M495" s="10"/>
    </row>
    <row r="496" spans="1:13" ht="18.75" x14ac:dyDescent="0.25">
      <c r="A496" s="9"/>
      <c r="B496" s="13" t="e">
        <f>VLOOKUP(Table27[[#This Row],[Location 
(drop-down)]],'List source'!D$2:E$59,2,FALSE)</f>
        <v>#N/A</v>
      </c>
      <c r="C496" s="25" t="s">
        <v>804</v>
      </c>
      <c r="D496" s="33" t="e">
        <f t="shared" si="8"/>
        <v>#N/A</v>
      </c>
      <c r="E496" s="9"/>
      <c r="F496" s="10"/>
      <c r="G496" s="9"/>
      <c r="H496" s="10"/>
      <c r="I496" s="12"/>
      <c r="J496" s="12"/>
      <c r="K496" s="91"/>
      <c r="L496" s="10"/>
      <c r="M496" s="10"/>
    </row>
    <row r="497" spans="1:13" ht="18.75" x14ac:dyDescent="0.25">
      <c r="A497" s="9"/>
      <c r="B497" s="13" t="e">
        <f>VLOOKUP(Table27[[#This Row],[Location 
(drop-down)]],'List source'!D$2:E$59,2,FALSE)</f>
        <v>#N/A</v>
      </c>
      <c r="C497" s="25" t="s">
        <v>805</v>
      </c>
      <c r="D497" s="33" t="e">
        <f t="shared" si="8"/>
        <v>#N/A</v>
      </c>
      <c r="E497" s="9"/>
      <c r="F497" s="10"/>
      <c r="G497" s="9"/>
      <c r="H497" s="10"/>
      <c r="I497" s="12"/>
      <c r="J497" s="12"/>
      <c r="K497" s="91"/>
      <c r="L497" s="10"/>
      <c r="M497" s="10"/>
    </row>
    <row r="498" spans="1:13" ht="18.75" x14ac:dyDescent="0.25">
      <c r="A498" s="9"/>
      <c r="B498" s="13" t="e">
        <f>VLOOKUP(Table27[[#This Row],[Location 
(drop-down)]],'List source'!D$2:E$59,2,FALSE)</f>
        <v>#N/A</v>
      </c>
      <c r="C498" s="25" t="s">
        <v>806</v>
      </c>
      <c r="D498" s="33" t="e">
        <f t="shared" si="8"/>
        <v>#N/A</v>
      </c>
      <c r="E498" s="9"/>
      <c r="F498" s="10"/>
      <c r="G498" s="9"/>
      <c r="H498" s="10"/>
      <c r="I498" s="12"/>
      <c r="J498" s="12"/>
      <c r="K498" s="91"/>
      <c r="L498" s="10"/>
      <c r="M498" s="10"/>
    </row>
    <row r="499" spans="1:13" ht="18.75" x14ac:dyDescent="0.25">
      <c r="A499" s="9"/>
      <c r="B499" s="13" t="e">
        <f>VLOOKUP(Table27[[#This Row],[Location 
(drop-down)]],'List source'!D$2:E$59,2,FALSE)</f>
        <v>#N/A</v>
      </c>
      <c r="C499" s="25" t="s">
        <v>807</v>
      </c>
      <c r="D499" s="33" t="e">
        <f t="shared" si="8"/>
        <v>#N/A</v>
      </c>
      <c r="E499" s="9"/>
      <c r="F499" s="10"/>
      <c r="G499" s="9"/>
      <c r="H499" s="10"/>
      <c r="I499" s="12"/>
      <c r="J499" s="12"/>
      <c r="K499" s="91"/>
      <c r="L499" s="10"/>
      <c r="M499" s="10"/>
    </row>
    <row r="500" spans="1:13" ht="18.75" x14ac:dyDescent="0.25">
      <c r="A500" s="9"/>
      <c r="B500" s="13" t="e">
        <f>VLOOKUP(Table27[[#This Row],[Location 
(drop-down)]],'List source'!D$2:E$59,2,FALSE)</f>
        <v>#N/A</v>
      </c>
      <c r="C500" s="25" t="s">
        <v>808</v>
      </c>
      <c r="D500" s="33" t="e">
        <f t="shared" si="8"/>
        <v>#N/A</v>
      </c>
      <c r="E500" s="9"/>
      <c r="F500" s="10"/>
      <c r="G500" s="9"/>
      <c r="H500" s="10"/>
      <c r="I500" s="12"/>
      <c r="J500" s="12"/>
      <c r="K500" s="91"/>
      <c r="L500" s="10"/>
      <c r="M500" s="10"/>
    </row>
    <row r="501" spans="1:13" ht="18.75" x14ac:dyDescent="0.25">
      <c r="A501" s="9"/>
      <c r="B501" s="13" t="e">
        <f>VLOOKUP(Table27[[#This Row],[Location 
(drop-down)]],'List source'!D$2:E$59,2,FALSE)</f>
        <v>#N/A</v>
      </c>
      <c r="C501" s="25" t="s">
        <v>809</v>
      </c>
      <c r="D501" s="33" t="e">
        <f t="shared" si="8"/>
        <v>#N/A</v>
      </c>
      <c r="E501" s="24"/>
      <c r="F501" s="27"/>
      <c r="G501" s="24"/>
      <c r="H501" s="27"/>
      <c r="I501" s="26"/>
      <c r="J501" s="26"/>
      <c r="K501" s="90"/>
      <c r="L501" s="10"/>
      <c r="M501" s="10"/>
    </row>
    <row r="502" spans="1:13" ht="18.75" x14ac:dyDescent="0.25">
      <c r="A502" s="9"/>
      <c r="B502" s="13" t="e">
        <f>VLOOKUP(Table27[[#This Row],[Location 
(drop-down)]],'List source'!D$2:E$59,2,FALSE)</f>
        <v>#N/A</v>
      </c>
      <c r="C502" s="25" t="s">
        <v>1358</v>
      </c>
      <c r="D502" s="33" t="e">
        <f t="shared" si="8"/>
        <v>#N/A</v>
      </c>
      <c r="E502" s="9"/>
      <c r="F502" s="10"/>
      <c r="G502" s="9"/>
      <c r="H502" s="10"/>
      <c r="I502" s="12"/>
      <c r="J502" s="12"/>
      <c r="K502" s="91"/>
      <c r="L502" s="10"/>
      <c r="M502" s="10"/>
    </row>
    <row r="503" spans="1:13" ht="18.75" x14ac:dyDescent="0.25">
      <c r="A503" s="9"/>
      <c r="B503" s="13" t="e">
        <f>VLOOKUP(Table27[[#This Row],[Location 
(drop-down)]],'List source'!D$2:E$59,2,FALSE)</f>
        <v>#N/A</v>
      </c>
      <c r="C503" s="25" t="s">
        <v>1360</v>
      </c>
      <c r="D503" s="33" t="e">
        <f t="shared" si="8"/>
        <v>#N/A</v>
      </c>
      <c r="E503" s="9"/>
      <c r="F503" s="10"/>
      <c r="G503" s="9"/>
      <c r="H503" s="10"/>
      <c r="I503" s="12"/>
      <c r="J503" s="12"/>
      <c r="K503" s="91"/>
      <c r="L503" s="10"/>
      <c r="M503" s="10"/>
    </row>
    <row r="504" spans="1:13" ht="18.75" x14ac:dyDescent="0.25">
      <c r="A504" s="9"/>
      <c r="B504" s="13" t="e">
        <f>VLOOKUP(Table27[[#This Row],[Location 
(drop-down)]],'List source'!D$2:E$59,2,FALSE)</f>
        <v>#N/A</v>
      </c>
      <c r="C504" s="25" t="s">
        <v>1362</v>
      </c>
      <c r="D504" s="33" t="e">
        <f t="shared" si="8"/>
        <v>#N/A</v>
      </c>
      <c r="E504" s="9"/>
      <c r="F504" s="10"/>
      <c r="G504" s="9"/>
      <c r="H504" s="10"/>
      <c r="I504" s="12"/>
      <c r="J504" s="12"/>
      <c r="K504" s="91"/>
      <c r="L504" s="10"/>
      <c r="M504" s="10"/>
    </row>
    <row r="505" spans="1:13" ht="18.75" x14ac:dyDescent="0.25">
      <c r="A505" s="9"/>
      <c r="B505" s="13" t="e">
        <f>VLOOKUP(Table27[[#This Row],[Location 
(drop-down)]],'List source'!D$2:E$59,2,FALSE)</f>
        <v>#N/A</v>
      </c>
      <c r="C505" s="25" t="s">
        <v>1364</v>
      </c>
      <c r="D505" s="33" t="e">
        <f t="shared" si="8"/>
        <v>#N/A</v>
      </c>
      <c r="E505" s="9"/>
      <c r="F505" s="10"/>
      <c r="G505" s="9"/>
      <c r="H505" s="10"/>
      <c r="I505" s="12"/>
      <c r="J505" s="12"/>
      <c r="K505" s="91"/>
      <c r="L505" s="10"/>
      <c r="M505" s="10"/>
    </row>
    <row r="506" spans="1:13" ht="18.75" x14ac:dyDescent="0.25">
      <c r="A506" s="9"/>
      <c r="B506" s="13" t="e">
        <f>VLOOKUP(Table27[[#This Row],[Location 
(drop-down)]],'List source'!D$2:E$59,2,FALSE)</f>
        <v>#N/A</v>
      </c>
      <c r="C506" s="25" t="s">
        <v>1366</v>
      </c>
      <c r="D506" s="33" t="e">
        <f t="shared" si="8"/>
        <v>#N/A</v>
      </c>
      <c r="E506" s="9"/>
      <c r="F506" s="10"/>
      <c r="G506" s="9"/>
      <c r="H506" s="10"/>
      <c r="I506" s="12"/>
      <c r="J506" s="12"/>
      <c r="K506" s="91"/>
      <c r="L506" s="10"/>
      <c r="M506" s="10"/>
    </row>
    <row r="507" spans="1:13" ht="18.75" x14ac:dyDescent="0.25">
      <c r="A507" s="9"/>
      <c r="B507" s="13" t="e">
        <f>VLOOKUP(Table27[[#This Row],[Location 
(drop-down)]],'List source'!D$2:E$59,2,FALSE)</f>
        <v>#N/A</v>
      </c>
      <c r="C507" s="25" t="s">
        <v>1369</v>
      </c>
      <c r="D507" s="33" t="e">
        <f t="shared" si="8"/>
        <v>#N/A</v>
      </c>
      <c r="E507" s="9"/>
      <c r="F507" s="10"/>
      <c r="G507" s="9"/>
      <c r="H507" s="10"/>
      <c r="I507" s="12"/>
      <c r="J507" s="12"/>
      <c r="K507" s="91"/>
      <c r="L507" s="10"/>
      <c r="M507" s="10"/>
    </row>
    <row r="508" spans="1:13" ht="18.75" x14ac:dyDescent="0.25">
      <c r="A508" s="9"/>
      <c r="B508" s="13" t="e">
        <f>VLOOKUP(Table27[[#This Row],[Location 
(drop-down)]],'List source'!D$2:E$59,2,FALSE)</f>
        <v>#N/A</v>
      </c>
      <c r="C508" s="25" t="s">
        <v>1371</v>
      </c>
      <c r="D508" s="33" t="e">
        <f t="shared" si="8"/>
        <v>#N/A</v>
      </c>
      <c r="E508" s="9"/>
      <c r="F508" s="10"/>
      <c r="G508" s="9"/>
      <c r="H508" s="10"/>
      <c r="I508" s="12"/>
      <c r="J508" s="12"/>
      <c r="K508" s="91"/>
      <c r="L508" s="10"/>
      <c r="M508" s="10"/>
    </row>
    <row r="509" spans="1:13" ht="18.75" x14ac:dyDescent="0.25">
      <c r="A509" s="9"/>
      <c r="B509" s="13" t="e">
        <f>VLOOKUP(Table27[[#This Row],[Location 
(drop-down)]],'List source'!D$2:E$59,2,FALSE)</f>
        <v>#N/A</v>
      </c>
      <c r="C509" s="25" t="s">
        <v>1373</v>
      </c>
      <c r="D509" s="33" t="e">
        <f t="shared" si="8"/>
        <v>#N/A</v>
      </c>
      <c r="E509" s="9"/>
      <c r="F509" s="10"/>
      <c r="G509" s="9"/>
      <c r="H509" s="10"/>
      <c r="I509" s="12"/>
      <c r="J509" s="12"/>
      <c r="K509" s="91"/>
      <c r="L509" s="10"/>
      <c r="M509" s="10"/>
    </row>
    <row r="510" spans="1:13" ht="18.75" x14ac:dyDescent="0.25">
      <c r="A510" s="9"/>
      <c r="B510" s="13" t="e">
        <f>VLOOKUP(Table27[[#This Row],[Location 
(drop-down)]],'List source'!D$2:E$59,2,FALSE)</f>
        <v>#N/A</v>
      </c>
      <c r="C510" s="25" t="s">
        <v>1375</v>
      </c>
      <c r="D510" s="33" t="e">
        <f t="shared" si="8"/>
        <v>#N/A</v>
      </c>
      <c r="E510" s="9"/>
      <c r="F510" s="10"/>
      <c r="G510" s="9"/>
      <c r="H510" s="10"/>
      <c r="I510" s="12"/>
      <c r="J510" s="12"/>
      <c r="K510" s="91"/>
      <c r="L510" s="10"/>
      <c r="M510" s="10"/>
    </row>
    <row r="511" spans="1:13" ht="18.75" x14ac:dyDescent="0.25">
      <c r="A511" s="9"/>
      <c r="B511" s="13" t="e">
        <f>VLOOKUP(Table27[[#This Row],[Location 
(drop-down)]],'List source'!D$2:E$59,2,FALSE)</f>
        <v>#N/A</v>
      </c>
      <c r="C511" s="25" t="s">
        <v>1377</v>
      </c>
      <c r="D511" s="33" t="e">
        <f t="shared" si="8"/>
        <v>#N/A</v>
      </c>
      <c r="E511" s="9"/>
      <c r="F511" s="10"/>
      <c r="G511" s="9"/>
      <c r="H511" s="10"/>
      <c r="I511" s="12"/>
      <c r="J511" s="12"/>
      <c r="K511" s="91"/>
      <c r="L511" s="10"/>
      <c r="M511" s="10"/>
    </row>
    <row r="512" spans="1:13" ht="18.75" x14ac:dyDescent="0.25">
      <c r="A512" s="9"/>
      <c r="B512" s="13" t="e">
        <f>VLOOKUP(Table27[[#This Row],[Location 
(drop-down)]],'List source'!D$2:E$59,2,FALSE)</f>
        <v>#N/A</v>
      </c>
      <c r="C512" s="25" t="s">
        <v>1379</v>
      </c>
      <c r="D512" s="33" t="e">
        <f t="shared" si="8"/>
        <v>#N/A</v>
      </c>
      <c r="E512" s="9"/>
      <c r="F512" s="10"/>
      <c r="G512" s="9"/>
      <c r="H512" s="10"/>
      <c r="I512" s="12"/>
      <c r="J512" s="12"/>
      <c r="K512" s="91"/>
      <c r="L512" s="10"/>
      <c r="M512" s="10"/>
    </row>
    <row r="513" spans="1:13" ht="18.75" x14ac:dyDescent="0.25">
      <c r="A513" s="9"/>
      <c r="B513" s="13" t="e">
        <f>VLOOKUP(Table27[[#This Row],[Location 
(drop-down)]],'List source'!D$2:E$59,2,FALSE)</f>
        <v>#N/A</v>
      </c>
      <c r="C513" s="25" t="s">
        <v>1381</v>
      </c>
      <c r="D513" s="33" t="e">
        <f t="shared" si="8"/>
        <v>#N/A</v>
      </c>
      <c r="E513" s="9"/>
      <c r="F513" s="10"/>
      <c r="G513" s="9"/>
      <c r="H513" s="10"/>
      <c r="I513" s="12"/>
      <c r="J513" s="12"/>
      <c r="K513" s="91"/>
      <c r="L513" s="10"/>
      <c r="M513" s="10"/>
    </row>
    <row r="514" spans="1:13" ht="18.75" x14ac:dyDescent="0.25">
      <c r="A514" s="9"/>
      <c r="B514" s="13" t="e">
        <f>VLOOKUP(Table27[[#This Row],[Location 
(drop-down)]],'List source'!D$2:E$59,2,FALSE)</f>
        <v>#N/A</v>
      </c>
      <c r="C514" s="25" t="s">
        <v>1383</v>
      </c>
      <c r="D514" s="33" t="e">
        <f t="shared" ref="D514:D577" si="9">"PTO" &amp; C514 &amp; "-" &amp; B514 &amp; "-" &amp; "23"</f>
        <v>#N/A</v>
      </c>
      <c r="E514" s="9"/>
      <c r="F514" s="10"/>
      <c r="G514" s="9"/>
      <c r="H514" s="10"/>
      <c r="I514" s="12"/>
      <c r="J514" s="12"/>
      <c r="K514" s="91"/>
      <c r="L514" s="10"/>
      <c r="M514" s="10"/>
    </row>
    <row r="515" spans="1:13" ht="18.75" x14ac:dyDescent="0.25">
      <c r="A515" s="9"/>
      <c r="B515" s="13" t="e">
        <f>VLOOKUP(Table27[[#This Row],[Location 
(drop-down)]],'List source'!D$2:E$59,2,FALSE)</f>
        <v>#N/A</v>
      </c>
      <c r="C515" s="25" t="s">
        <v>1386</v>
      </c>
      <c r="D515" s="33" t="e">
        <f t="shared" si="9"/>
        <v>#N/A</v>
      </c>
      <c r="E515" s="9"/>
      <c r="F515" s="10"/>
      <c r="G515" s="9"/>
      <c r="H515" s="10"/>
      <c r="I515" s="12"/>
      <c r="J515" s="12"/>
      <c r="K515" s="91"/>
      <c r="L515" s="10"/>
      <c r="M515" s="10"/>
    </row>
    <row r="516" spans="1:13" ht="18.75" x14ac:dyDescent="0.25">
      <c r="A516" s="9"/>
      <c r="B516" s="13" t="e">
        <f>VLOOKUP(Table27[[#This Row],[Location 
(drop-down)]],'List source'!D$2:E$59,2,FALSE)</f>
        <v>#N/A</v>
      </c>
      <c r="C516" s="25" t="s">
        <v>1388</v>
      </c>
      <c r="D516" s="33" t="e">
        <f t="shared" si="9"/>
        <v>#N/A</v>
      </c>
      <c r="E516" s="9"/>
      <c r="F516" s="10"/>
      <c r="G516" s="9"/>
      <c r="H516" s="10"/>
      <c r="I516" s="12"/>
      <c r="J516" s="12"/>
      <c r="K516" s="91"/>
      <c r="L516" s="10"/>
      <c r="M516" s="10"/>
    </row>
    <row r="517" spans="1:13" ht="18.75" x14ac:dyDescent="0.25">
      <c r="A517" s="9"/>
      <c r="B517" s="13" t="e">
        <f>VLOOKUP(Table27[[#This Row],[Location 
(drop-down)]],'List source'!D$2:E$59,2,FALSE)</f>
        <v>#N/A</v>
      </c>
      <c r="C517" s="25" t="s">
        <v>1391</v>
      </c>
      <c r="D517" s="33" t="e">
        <f t="shared" si="9"/>
        <v>#N/A</v>
      </c>
      <c r="E517" s="9"/>
      <c r="F517" s="10"/>
      <c r="G517" s="9"/>
      <c r="H517" s="10"/>
      <c r="I517" s="12"/>
      <c r="J517" s="12"/>
      <c r="K517" s="91"/>
      <c r="L517" s="10"/>
      <c r="M517" s="10"/>
    </row>
    <row r="518" spans="1:13" ht="18.75" x14ac:dyDescent="0.25">
      <c r="A518" s="9"/>
      <c r="B518" s="13" t="e">
        <f>VLOOKUP(Table27[[#This Row],[Location 
(drop-down)]],'List source'!D$2:E$59,2,FALSE)</f>
        <v>#N/A</v>
      </c>
      <c r="C518" s="25" t="s">
        <v>1393</v>
      </c>
      <c r="D518" s="33" t="e">
        <f t="shared" si="9"/>
        <v>#N/A</v>
      </c>
      <c r="E518" s="9"/>
      <c r="F518" s="10"/>
      <c r="G518" s="9"/>
      <c r="H518" s="10"/>
      <c r="I518" s="12"/>
      <c r="J518" s="12"/>
      <c r="K518" s="91"/>
      <c r="L518" s="10"/>
      <c r="M518" s="10"/>
    </row>
    <row r="519" spans="1:13" ht="18.75" x14ac:dyDescent="0.25">
      <c r="A519" s="9"/>
      <c r="B519" s="13" t="e">
        <f>VLOOKUP(Table27[[#This Row],[Location 
(drop-down)]],'List source'!D$2:E$59,2,FALSE)</f>
        <v>#N/A</v>
      </c>
      <c r="C519" s="25" t="s">
        <v>1394</v>
      </c>
      <c r="D519" s="33" t="e">
        <f t="shared" si="9"/>
        <v>#N/A</v>
      </c>
      <c r="E519" s="9"/>
      <c r="F519" s="10"/>
      <c r="G519" s="9"/>
      <c r="H519" s="10"/>
      <c r="I519" s="12"/>
      <c r="J519" s="12"/>
      <c r="K519" s="91"/>
      <c r="L519" s="10"/>
      <c r="M519" s="10"/>
    </row>
    <row r="520" spans="1:13" ht="18.75" x14ac:dyDescent="0.25">
      <c r="A520" s="9"/>
      <c r="B520" s="13" t="e">
        <f>VLOOKUP(Table27[[#This Row],[Location 
(drop-down)]],'List source'!D$2:E$59,2,FALSE)</f>
        <v>#N/A</v>
      </c>
      <c r="C520" s="25" t="s">
        <v>1396</v>
      </c>
      <c r="D520" s="33" t="e">
        <f t="shared" si="9"/>
        <v>#N/A</v>
      </c>
      <c r="E520" s="9"/>
      <c r="F520" s="10"/>
      <c r="G520" s="9"/>
      <c r="H520" s="10"/>
      <c r="I520" s="12"/>
      <c r="J520" s="12"/>
      <c r="K520" s="91"/>
      <c r="L520" s="10"/>
      <c r="M520" s="10"/>
    </row>
    <row r="521" spans="1:13" ht="18.75" x14ac:dyDescent="0.25">
      <c r="A521" s="9"/>
      <c r="B521" s="13" t="e">
        <f>VLOOKUP(Table27[[#This Row],[Location 
(drop-down)]],'List source'!D$2:E$59,2,FALSE)</f>
        <v>#N/A</v>
      </c>
      <c r="C521" s="25" t="s">
        <v>1398</v>
      </c>
      <c r="D521" s="33" t="e">
        <f t="shared" si="9"/>
        <v>#N/A</v>
      </c>
      <c r="E521" s="9"/>
      <c r="F521" s="10"/>
      <c r="G521" s="9"/>
      <c r="H521" s="10"/>
      <c r="I521" s="12"/>
      <c r="J521" s="12"/>
      <c r="K521" s="91"/>
      <c r="L521" s="10"/>
      <c r="M521" s="10"/>
    </row>
    <row r="522" spans="1:13" ht="18.75" x14ac:dyDescent="0.25">
      <c r="A522" s="9"/>
      <c r="B522" s="13" t="e">
        <f>VLOOKUP(Table27[[#This Row],[Location 
(drop-down)]],'List source'!D$2:E$59,2,FALSE)</f>
        <v>#N/A</v>
      </c>
      <c r="C522" s="25" t="s">
        <v>1400</v>
      </c>
      <c r="D522" s="33" t="e">
        <f t="shared" si="9"/>
        <v>#N/A</v>
      </c>
      <c r="E522" s="9"/>
      <c r="F522" s="10"/>
      <c r="G522" s="9"/>
      <c r="H522" s="10"/>
      <c r="I522" s="12"/>
      <c r="J522" s="12"/>
      <c r="K522" s="91"/>
      <c r="L522" s="10"/>
      <c r="M522" s="10"/>
    </row>
    <row r="523" spans="1:13" ht="18.75" x14ac:dyDescent="0.25">
      <c r="A523" s="9"/>
      <c r="B523" s="13" t="e">
        <f>VLOOKUP(Table27[[#This Row],[Location 
(drop-down)]],'List source'!D$2:E$59,2,FALSE)</f>
        <v>#N/A</v>
      </c>
      <c r="C523" s="25" t="s">
        <v>1402</v>
      </c>
      <c r="D523" s="33" t="e">
        <f t="shared" si="9"/>
        <v>#N/A</v>
      </c>
      <c r="E523" s="9"/>
      <c r="F523" s="10"/>
      <c r="G523" s="9"/>
      <c r="H523" s="10"/>
      <c r="I523" s="12"/>
      <c r="J523" s="12"/>
      <c r="K523" s="91"/>
      <c r="L523" s="10"/>
      <c r="M523" s="10"/>
    </row>
    <row r="524" spans="1:13" ht="18.75" x14ac:dyDescent="0.25">
      <c r="A524" s="9"/>
      <c r="B524" s="13" t="e">
        <f>VLOOKUP(Table27[[#This Row],[Location 
(drop-down)]],'List source'!D$2:E$59,2,FALSE)</f>
        <v>#N/A</v>
      </c>
      <c r="C524" s="25" t="s">
        <v>1404</v>
      </c>
      <c r="D524" s="33" t="e">
        <f t="shared" si="9"/>
        <v>#N/A</v>
      </c>
      <c r="E524" s="9"/>
      <c r="F524" s="10"/>
      <c r="G524" s="9"/>
      <c r="H524" s="10"/>
      <c r="I524" s="12"/>
      <c r="J524" s="12"/>
      <c r="K524" s="91"/>
      <c r="L524" s="10"/>
      <c r="M524" s="10"/>
    </row>
    <row r="525" spans="1:13" ht="18.75" x14ac:dyDescent="0.25">
      <c r="A525" s="9"/>
      <c r="B525" s="13" t="e">
        <f>VLOOKUP(Table27[[#This Row],[Location 
(drop-down)]],'List source'!D$2:E$59,2,FALSE)</f>
        <v>#N/A</v>
      </c>
      <c r="C525" s="25" t="s">
        <v>1406</v>
      </c>
      <c r="D525" s="33" t="e">
        <f t="shared" si="9"/>
        <v>#N/A</v>
      </c>
      <c r="E525" s="9"/>
      <c r="F525" s="10"/>
      <c r="G525" s="9"/>
      <c r="H525" s="10"/>
      <c r="I525" s="12"/>
      <c r="J525" s="12"/>
      <c r="K525" s="91"/>
      <c r="L525" s="10"/>
      <c r="M525" s="10"/>
    </row>
    <row r="526" spans="1:13" ht="18.75" x14ac:dyDescent="0.25">
      <c r="A526" s="9"/>
      <c r="B526" s="13" t="e">
        <f>VLOOKUP(Table27[[#This Row],[Location 
(drop-down)]],'List source'!D$2:E$59,2,FALSE)</f>
        <v>#N/A</v>
      </c>
      <c r="C526" s="25" t="s">
        <v>1408</v>
      </c>
      <c r="D526" s="33" t="e">
        <f t="shared" si="9"/>
        <v>#N/A</v>
      </c>
      <c r="E526" s="9"/>
      <c r="F526" s="10"/>
      <c r="G526" s="9"/>
      <c r="H526" s="10"/>
      <c r="I526" s="12"/>
      <c r="J526" s="12"/>
      <c r="K526" s="91"/>
      <c r="L526" s="10"/>
      <c r="M526" s="10"/>
    </row>
    <row r="527" spans="1:13" ht="18.75" x14ac:dyDescent="0.25">
      <c r="A527" s="9"/>
      <c r="B527" s="13" t="e">
        <f>VLOOKUP(Table27[[#This Row],[Location 
(drop-down)]],'List source'!D$2:E$59,2,FALSE)</f>
        <v>#N/A</v>
      </c>
      <c r="C527" s="25" t="s">
        <v>1409</v>
      </c>
      <c r="D527" s="33" t="e">
        <f t="shared" si="9"/>
        <v>#N/A</v>
      </c>
      <c r="E527" s="9"/>
      <c r="F527" s="10"/>
      <c r="G527" s="9"/>
      <c r="H527" s="10"/>
      <c r="I527" s="12"/>
      <c r="J527" s="12"/>
      <c r="K527" s="91"/>
      <c r="L527" s="10"/>
      <c r="M527" s="10"/>
    </row>
    <row r="528" spans="1:13" ht="18.75" x14ac:dyDescent="0.25">
      <c r="A528" s="9"/>
      <c r="B528" s="13" t="e">
        <f>VLOOKUP(Table27[[#This Row],[Location 
(drop-down)]],'List source'!D$2:E$59,2,FALSE)</f>
        <v>#N/A</v>
      </c>
      <c r="C528" s="25" t="s">
        <v>1411</v>
      </c>
      <c r="D528" s="33" t="e">
        <f t="shared" si="9"/>
        <v>#N/A</v>
      </c>
      <c r="E528" s="9"/>
      <c r="F528" s="10"/>
      <c r="G528" s="9"/>
      <c r="H528" s="10"/>
      <c r="I528" s="12"/>
      <c r="J528" s="12"/>
      <c r="K528" s="91"/>
      <c r="L528" s="10"/>
      <c r="M528" s="10"/>
    </row>
    <row r="529" spans="1:13" ht="18.75" x14ac:dyDescent="0.25">
      <c r="A529" s="9"/>
      <c r="B529" s="13" t="e">
        <f>VLOOKUP(Table27[[#This Row],[Location 
(drop-down)]],'List source'!D$2:E$59,2,FALSE)</f>
        <v>#N/A</v>
      </c>
      <c r="C529" s="25" t="s">
        <v>1413</v>
      </c>
      <c r="D529" s="33" t="e">
        <f t="shared" si="9"/>
        <v>#N/A</v>
      </c>
      <c r="E529" s="9"/>
      <c r="F529" s="10"/>
      <c r="G529" s="9"/>
      <c r="H529" s="10"/>
      <c r="I529" s="12"/>
      <c r="J529" s="12"/>
      <c r="K529" s="91"/>
      <c r="L529" s="10"/>
      <c r="M529" s="10"/>
    </row>
    <row r="530" spans="1:13" ht="18.75" x14ac:dyDescent="0.25">
      <c r="A530" s="9"/>
      <c r="B530" s="13" t="e">
        <f>VLOOKUP(Table27[[#This Row],[Location 
(drop-down)]],'List source'!D$2:E$59,2,FALSE)</f>
        <v>#N/A</v>
      </c>
      <c r="C530" s="25" t="s">
        <v>1415</v>
      </c>
      <c r="D530" s="33" t="e">
        <f t="shared" si="9"/>
        <v>#N/A</v>
      </c>
      <c r="E530" s="9"/>
      <c r="F530" s="10"/>
      <c r="G530" s="9"/>
      <c r="H530" s="10"/>
      <c r="I530" s="12"/>
      <c r="J530" s="12"/>
      <c r="K530" s="91"/>
      <c r="L530" s="10"/>
      <c r="M530" s="10"/>
    </row>
    <row r="531" spans="1:13" ht="18.75" x14ac:dyDescent="0.25">
      <c r="A531" s="9"/>
      <c r="B531" s="13" t="e">
        <f>VLOOKUP(Table27[[#This Row],[Location 
(drop-down)]],'List source'!D$2:E$59,2,FALSE)</f>
        <v>#N/A</v>
      </c>
      <c r="C531" s="25" t="s">
        <v>1417</v>
      </c>
      <c r="D531" s="33" t="e">
        <f t="shared" si="9"/>
        <v>#N/A</v>
      </c>
      <c r="E531" s="9"/>
      <c r="F531" s="10"/>
      <c r="G531" s="9"/>
      <c r="H531" s="10"/>
      <c r="I531" s="12"/>
      <c r="J531" s="12"/>
      <c r="K531" s="91"/>
      <c r="L531" s="10"/>
      <c r="M531" s="10"/>
    </row>
    <row r="532" spans="1:13" ht="18.75" x14ac:dyDescent="0.25">
      <c r="A532" s="9"/>
      <c r="B532" s="13" t="e">
        <f>VLOOKUP(Table27[[#This Row],[Location 
(drop-down)]],'List source'!D$2:E$59,2,FALSE)</f>
        <v>#N/A</v>
      </c>
      <c r="C532" s="25" t="s">
        <v>1419</v>
      </c>
      <c r="D532" s="33" t="e">
        <f t="shared" si="9"/>
        <v>#N/A</v>
      </c>
      <c r="E532" s="9"/>
      <c r="F532" s="10"/>
      <c r="G532" s="9"/>
      <c r="H532" s="10"/>
      <c r="I532" s="12"/>
      <c r="J532" s="12"/>
      <c r="K532" s="91"/>
      <c r="L532" s="10"/>
      <c r="M532" s="10"/>
    </row>
    <row r="533" spans="1:13" ht="18.75" x14ac:dyDescent="0.25">
      <c r="A533" s="9"/>
      <c r="B533" s="13" t="e">
        <f>VLOOKUP(Table27[[#This Row],[Location 
(drop-down)]],'List source'!D$2:E$59,2,FALSE)</f>
        <v>#N/A</v>
      </c>
      <c r="C533" s="25" t="s">
        <v>1421</v>
      </c>
      <c r="D533" s="33" t="e">
        <f t="shared" si="9"/>
        <v>#N/A</v>
      </c>
      <c r="E533" s="9"/>
      <c r="F533" s="10"/>
      <c r="G533" s="9"/>
      <c r="H533" s="10"/>
      <c r="I533" s="12"/>
      <c r="J533" s="12"/>
      <c r="K533" s="91"/>
      <c r="L533" s="10"/>
      <c r="M533" s="10"/>
    </row>
    <row r="534" spans="1:13" ht="18.75" x14ac:dyDescent="0.25">
      <c r="A534" s="9"/>
      <c r="B534" s="13" t="e">
        <f>VLOOKUP(Table27[[#This Row],[Location 
(drop-down)]],'List source'!D$2:E$59,2,FALSE)</f>
        <v>#N/A</v>
      </c>
      <c r="C534" s="25" t="s">
        <v>1423</v>
      </c>
      <c r="D534" s="33" t="e">
        <f t="shared" si="9"/>
        <v>#N/A</v>
      </c>
      <c r="E534" s="9"/>
      <c r="F534" s="10"/>
      <c r="G534" s="9"/>
      <c r="H534" s="10"/>
      <c r="I534" s="12"/>
      <c r="J534" s="12"/>
      <c r="K534" s="91"/>
      <c r="L534" s="10"/>
      <c r="M534" s="10"/>
    </row>
    <row r="535" spans="1:13" ht="18.75" x14ac:dyDescent="0.25">
      <c r="A535" s="9"/>
      <c r="B535" s="13" t="e">
        <f>VLOOKUP(Table27[[#This Row],[Location 
(drop-down)]],'List source'!D$2:E$59,2,FALSE)</f>
        <v>#N/A</v>
      </c>
      <c r="C535" s="25" t="s">
        <v>1425</v>
      </c>
      <c r="D535" s="33" t="e">
        <f t="shared" si="9"/>
        <v>#N/A</v>
      </c>
      <c r="E535" s="9"/>
      <c r="F535" s="10"/>
      <c r="G535" s="9"/>
      <c r="H535" s="10"/>
      <c r="I535" s="12"/>
      <c r="J535" s="12"/>
      <c r="K535" s="91"/>
      <c r="L535" s="10"/>
      <c r="M535" s="10"/>
    </row>
    <row r="536" spans="1:13" ht="18.75" x14ac:dyDescent="0.25">
      <c r="A536" s="9"/>
      <c r="B536" s="13" t="e">
        <f>VLOOKUP(Table27[[#This Row],[Location 
(drop-down)]],'List source'!D$2:E$59,2,FALSE)</f>
        <v>#N/A</v>
      </c>
      <c r="C536" s="25" t="s">
        <v>1427</v>
      </c>
      <c r="D536" s="33" t="e">
        <f t="shared" si="9"/>
        <v>#N/A</v>
      </c>
      <c r="E536" s="9"/>
      <c r="F536" s="10"/>
      <c r="G536" s="9"/>
      <c r="H536" s="10"/>
      <c r="I536" s="12"/>
      <c r="J536" s="12"/>
      <c r="K536" s="91"/>
      <c r="L536" s="10"/>
      <c r="M536" s="10"/>
    </row>
    <row r="537" spans="1:13" ht="18.75" x14ac:dyDescent="0.25">
      <c r="A537" s="9"/>
      <c r="B537" s="13" t="e">
        <f>VLOOKUP(Table27[[#This Row],[Location 
(drop-down)]],'List source'!D$2:E$59,2,FALSE)</f>
        <v>#N/A</v>
      </c>
      <c r="C537" s="25" t="s">
        <v>1429</v>
      </c>
      <c r="D537" s="33" t="e">
        <f t="shared" si="9"/>
        <v>#N/A</v>
      </c>
      <c r="E537" s="9"/>
      <c r="F537" s="10"/>
      <c r="G537" s="9"/>
      <c r="H537" s="10"/>
      <c r="I537" s="12"/>
      <c r="J537" s="12"/>
      <c r="K537" s="91"/>
      <c r="L537" s="10"/>
      <c r="M537" s="10"/>
    </row>
    <row r="538" spans="1:13" ht="18.75" x14ac:dyDescent="0.25">
      <c r="A538" s="9"/>
      <c r="B538" s="13" t="e">
        <f>VLOOKUP(Table27[[#This Row],[Location 
(drop-down)]],'List source'!D$2:E$59,2,FALSE)</f>
        <v>#N/A</v>
      </c>
      <c r="C538" s="25" t="s">
        <v>1431</v>
      </c>
      <c r="D538" s="33" t="e">
        <f t="shared" si="9"/>
        <v>#N/A</v>
      </c>
      <c r="E538" s="9"/>
      <c r="F538" s="10"/>
      <c r="G538" s="9"/>
      <c r="H538" s="10"/>
      <c r="I538" s="12"/>
      <c r="J538" s="12"/>
      <c r="K538" s="91"/>
      <c r="L538" s="10"/>
      <c r="M538" s="10"/>
    </row>
    <row r="539" spans="1:13" ht="18.75" x14ac:dyDescent="0.25">
      <c r="A539" s="9"/>
      <c r="B539" s="13" t="e">
        <f>VLOOKUP(Table27[[#This Row],[Location 
(drop-down)]],'List source'!D$2:E$59,2,FALSE)</f>
        <v>#N/A</v>
      </c>
      <c r="C539" s="25" t="s">
        <v>1434</v>
      </c>
      <c r="D539" s="33" t="e">
        <f t="shared" si="9"/>
        <v>#N/A</v>
      </c>
      <c r="E539" s="9"/>
      <c r="F539" s="10"/>
      <c r="G539" s="9"/>
      <c r="H539" s="10"/>
      <c r="I539" s="12"/>
      <c r="J539" s="12"/>
      <c r="K539" s="91"/>
      <c r="L539" s="10"/>
      <c r="M539" s="10"/>
    </row>
    <row r="540" spans="1:13" ht="18.75" x14ac:dyDescent="0.25">
      <c r="A540" s="9"/>
      <c r="B540" s="13" t="e">
        <f>VLOOKUP(Table27[[#This Row],[Location 
(drop-down)]],'List source'!D$2:E$59,2,FALSE)</f>
        <v>#N/A</v>
      </c>
      <c r="C540" s="25" t="s">
        <v>1436</v>
      </c>
      <c r="D540" s="33" t="e">
        <f t="shared" si="9"/>
        <v>#N/A</v>
      </c>
      <c r="E540" s="9"/>
      <c r="F540" s="10"/>
      <c r="G540" s="9"/>
      <c r="H540" s="10"/>
      <c r="I540" s="12"/>
      <c r="J540" s="12"/>
      <c r="K540" s="91"/>
      <c r="L540" s="10"/>
      <c r="M540" s="10"/>
    </row>
    <row r="541" spans="1:13" ht="18.75" x14ac:dyDescent="0.25">
      <c r="A541" s="9"/>
      <c r="B541" s="13" t="e">
        <f>VLOOKUP(Table27[[#This Row],[Location 
(drop-down)]],'List source'!D$2:E$59,2,FALSE)</f>
        <v>#N/A</v>
      </c>
      <c r="C541" s="25" t="s">
        <v>1439</v>
      </c>
      <c r="D541" s="33" t="e">
        <f t="shared" si="9"/>
        <v>#N/A</v>
      </c>
      <c r="E541" s="9"/>
      <c r="F541" s="10"/>
      <c r="G541" s="9"/>
      <c r="H541" s="10"/>
      <c r="I541" s="12"/>
      <c r="J541" s="12"/>
      <c r="K541" s="91"/>
      <c r="L541" s="10"/>
      <c r="M541" s="10"/>
    </row>
    <row r="542" spans="1:13" ht="18.75" x14ac:dyDescent="0.25">
      <c r="A542" s="9"/>
      <c r="B542" s="13" t="e">
        <f>VLOOKUP(Table27[[#This Row],[Location 
(drop-down)]],'List source'!D$2:E$59,2,FALSE)</f>
        <v>#N/A</v>
      </c>
      <c r="C542" s="25" t="s">
        <v>1441</v>
      </c>
      <c r="D542" s="33" t="e">
        <f t="shared" si="9"/>
        <v>#N/A</v>
      </c>
      <c r="E542" s="9"/>
      <c r="F542" s="10"/>
      <c r="G542" s="9"/>
      <c r="H542" s="10"/>
      <c r="I542" s="12"/>
      <c r="J542" s="12"/>
      <c r="K542" s="91"/>
      <c r="L542" s="10"/>
      <c r="M542" s="10"/>
    </row>
    <row r="543" spans="1:13" ht="18.75" x14ac:dyDescent="0.25">
      <c r="A543" s="9"/>
      <c r="B543" s="13" t="e">
        <f>VLOOKUP(Table27[[#This Row],[Location 
(drop-down)]],'List source'!D$2:E$59,2,FALSE)</f>
        <v>#N/A</v>
      </c>
      <c r="C543" s="25" t="s">
        <v>1443</v>
      </c>
      <c r="D543" s="33" t="e">
        <f t="shared" si="9"/>
        <v>#N/A</v>
      </c>
      <c r="E543" s="9"/>
      <c r="F543" s="10"/>
      <c r="G543" s="9"/>
      <c r="H543" s="10"/>
      <c r="I543" s="12"/>
      <c r="J543" s="12"/>
      <c r="K543" s="91"/>
      <c r="L543" s="10"/>
      <c r="M543" s="10"/>
    </row>
    <row r="544" spans="1:13" ht="18.75" x14ac:dyDescent="0.25">
      <c r="A544" s="9"/>
      <c r="B544" s="13" t="e">
        <f>VLOOKUP(Table27[[#This Row],[Location 
(drop-down)]],'List source'!D$2:E$59,2,FALSE)</f>
        <v>#N/A</v>
      </c>
      <c r="C544" s="25" t="s">
        <v>1445</v>
      </c>
      <c r="D544" s="33" t="e">
        <f t="shared" si="9"/>
        <v>#N/A</v>
      </c>
      <c r="E544" s="9"/>
      <c r="F544" s="10"/>
      <c r="G544" s="9"/>
      <c r="H544" s="10"/>
      <c r="I544" s="12"/>
      <c r="J544" s="12"/>
      <c r="K544" s="91"/>
      <c r="L544" s="10"/>
      <c r="M544" s="10"/>
    </row>
    <row r="545" spans="1:13" ht="18.75" x14ac:dyDescent="0.25">
      <c r="A545" s="9"/>
      <c r="B545" s="13" t="e">
        <f>VLOOKUP(Table27[[#This Row],[Location 
(drop-down)]],'List source'!D$2:E$59,2,FALSE)</f>
        <v>#N/A</v>
      </c>
      <c r="C545" s="25" t="s">
        <v>1447</v>
      </c>
      <c r="D545" s="33" t="e">
        <f t="shared" si="9"/>
        <v>#N/A</v>
      </c>
      <c r="E545" s="9"/>
      <c r="F545" s="10"/>
      <c r="G545" s="9"/>
      <c r="H545" s="10"/>
      <c r="I545" s="12"/>
      <c r="J545" s="12"/>
      <c r="K545" s="91"/>
      <c r="L545" s="10"/>
      <c r="M545" s="10"/>
    </row>
    <row r="546" spans="1:13" ht="18.75" x14ac:dyDescent="0.25">
      <c r="A546" s="9"/>
      <c r="B546" s="13" t="e">
        <f>VLOOKUP(Table27[[#This Row],[Location 
(drop-down)]],'List source'!D$2:E$59,2,FALSE)</f>
        <v>#N/A</v>
      </c>
      <c r="C546" s="25" t="s">
        <v>1449</v>
      </c>
      <c r="D546" s="33" t="e">
        <f t="shared" si="9"/>
        <v>#N/A</v>
      </c>
      <c r="E546" s="9"/>
      <c r="F546" s="10"/>
      <c r="G546" s="9"/>
      <c r="H546" s="10"/>
      <c r="I546" s="12"/>
      <c r="J546" s="12"/>
      <c r="K546" s="91"/>
      <c r="L546" s="10"/>
      <c r="M546" s="10"/>
    </row>
    <row r="547" spans="1:13" ht="18.75" x14ac:dyDescent="0.25">
      <c r="A547" s="9"/>
      <c r="B547" s="13" t="e">
        <f>VLOOKUP(Table27[[#This Row],[Location 
(drop-down)]],'List source'!D$2:E$59,2,FALSE)</f>
        <v>#N/A</v>
      </c>
      <c r="C547" s="25" t="s">
        <v>1451</v>
      </c>
      <c r="D547" s="33" t="e">
        <f t="shared" si="9"/>
        <v>#N/A</v>
      </c>
      <c r="E547" s="9"/>
      <c r="F547" s="10"/>
      <c r="G547" s="9"/>
      <c r="H547" s="10"/>
      <c r="I547" s="12"/>
      <c r="J547" s="12"/>
      <c r="K547" s="91"/>
      <c r="L547" s="10"/>
      <c r="M547" s="10"/>
    </row>
    <row r="548" spans="1:13" ht="18.75" x14ac:dyDescent="0.25">
      <c r="A548" s="9"/>
      <c r="B548" s="13" t="e">
        <f>VLOOKUP(Table27[[#This Row],[Location 
(drop-down)]],'List source'!D$2:E$59,2,FALSE)</f>
        <v>#N/A</v>
      </c>
      <c r="C548" s="25" t="s">
        <v>1453</v>
      </c>
      <c r="D548" s="33" t="e">
        <f t="shared" si="9"/>
        <v>#N/A</v>
      </c>
      <c r="E548" s="9"/>
      <c r="F548" s="10"/>
      <c r="G548" s="9"/>
      <c r="H548" s="10"/>
      <c r="I548" s="12"/>
      <c r="J548" s="12"/>
      <c r="K548" s="91"/>
      <c r="L548" s="10"/>
      <c r="M548" s="10"/>
    </row>
    <row r="549" spans="1:13" ht="18.75" x14ac:dyDescent="0.25">
      <c r="A549" s="9"/>
      <c r="B549" s="13" t="e">
        <f>VLOOKUP(Table27[[#This Row],[Location 
(drop-down)]],'List source'!D$2:E$59,2,FALSE)</f>
        <v>#N/A</v>
      </c>
      <c r="C549" s="25" t="s">
        <v>1455</v>
      </c>
      <c r="D549" s="33" t="e">
        <f t="shared" si="9"/>
        <v>#N/A</v>
      </c>
      <c r="E549" s="9"/>
      <c r="F549" s="10"/>
      <c r="G549" s="9"/>
      <c r="H549" s="10"/>
      <c r="I549" s="12"/>
      <c r="J549" s="12"/>
      <c r="K549" s="91"/>
      <c r="L549" s="10"/>
      <c r="M549" s="10"/>
    </row>
    <row r="550" spans="1:13" ht="18.75" x14ac:dyDescent="0.25">
      <c r="A550" s="9"/>
      <c r="B550" s="13" t="e">
        <f>VLOOKUP(Table27[[#This Row],[Location 
(drop-down)]],'List source'!D$2:E$59,2,FALSE)</f>
        <v>#N/A</v>
      </c>
      <c r="C550" s="25" t="s">
        <v>1457</v>
      </c>
      <c r="D550" s="33" t="e">
        <f t="shared" si="9"/>
        <v>#N/A</v>
      </c>
      <c r="E550" s="9"/>
      <c r="F550" s="10"/>
      <c r="G550" s="9"/>
      <c r="H550" s="10"/>
      <c r="I550" s="12"/>
      <c r="J550" s="12"/>
      <c r="K550" s="91"/>
      <c r="L550" s="10"/>
      <c r="M550" s="10"/>
    </row>
    <row r="551" spans="1:13" ht="18.75" x14ac:dyDescent="0.25">
      <c r="A551" s="9"/>
      <c r="B551" s="13" t="e">
        <f>VLOOKUP(Table27[[#This Row],[Location 
(drop-down)]],'List source'!D$2:E$59,2,FALSE)</f>
        <v>#N/A</v>
      </c>
      <c r="C551" s="25" t="s">
        <v>1459</v>
      </c>
      <c r="D551" s="33" t="e">
        <f t="shared" si="9"/>
        <v>#N/A</v>
      </c>
      <c r="E551" s="9"/>
      <c r="F551" s="10"/>
      <c r="G551" s="9"/>
      <c r="H551" s="10"/>
      <c r="I551" s="12"/>
      <c r="J551" s="12"/>
      <c r="K551" s="91"/>
      <c r="L551" s="10"/>
      <c r="M551" s="10"/>
    </row>
    <row r="552" spans="1:13" ht="18.75" x14ac:dyDescent="0.25">
      <c r="A552" s="9"/>
      <c r="B552" s="13" t="e">
        <f>VLOOKUP(Table27[[#This Row],[Location 
(drop-down)]],'List source'!D$2:E$59,2,FALSE)</f>
        <v>#N/A</v>
      </c>
      <c r="C552" s="25" t="s">
        <v>1461</v>
      </c>
      <c r="D552" s="33" t="e">
        <f t="shared" si="9"/>
        <v>#N/A</v>
      </c>
      <c r="E552" s="9"/>
      <c r="F552" s="10"/>
      <c r="G552" s="9"/>
      <c r="H552" s="10"/>
      <c r="I552" s="12"/>
      <c r="J552" s="12"/>
      <c r="K552" s="91"/>
      <c r="L552" s="10"/>
      <c r="M552" s="10"/>
    </row>
    <row r="553" spans="1:13" ht="18.75" x14ac:dyDescent="0.25">
      <c r="A553" s="9"/>
      <c r="B553" s="13" t="e">
        <f>VLOOKUP(Table27[[#This Row],[Location 
(drop-down)]],'List source'!D$2:E$59,2,FALSE)</f>
        <v>#N/A</v>
      </c>
      <c r="C553" s="25" t="s">
        <v>1463</v>
      </c>
      <c r="D553" s="33" t="e">
        <f t="shared" si="9"/>
        <v>#N/A</v>
      </c>
      <c r="E553" s="9"/>
      <c r="F553" s="10"/>
      <c r="G553" s="9"/>
      <c r="H553" s="10"/>
      <c r="I553" s="12"/>
      <c r="J553" s="12"/>
      <c r="K553" s="91"/>
      <c r="L553" s="10"/>
      <c r="M553" s="10"/>
    </row>
    <row r="554" spans="1:13" ht="18.75" x14ac:dyDescent="0.25">
      <c r="A554" s="9"/>
      <c r="B554" s="13" t="e">
        <f>VLOOKUP(Table27[[#This Row],[Location 
(drop-down)]],'List source'!D$2:E$59,2,FALSE)</f>
        <v>#N/A</v>
      </c>
      <c r="C554" s="25" t="s">
        <v>1465</v>
      </c>
      <c r="D554" s="33" t="e">
        <f t="shared" si="9"/>
        <v>#N/A</v>
      </c>
      <c r="E554" s="9"/>
      <c r="F554" s="10"/>
      <c r="G554" s="9"/>
      <c r="H554" s="10"/>
      <c r="I554" s="12"/>
      <c r="J554" s="12"/>
      <c r="K554" s="91"/>
      <c r="L554" s="10"/>
      <c r="M554" s="10"/>
    </row>
    <row r="555" spans="1:13" ht="18.75" x14ac:dyDescent="0.25">
      <c r="A555" s="9"/>
      <c r="B555" s="13" t="e">
        <f>VLOOKUP(Table27[[#This Row],[Location 
(drop-down)]],'List source'!D$2:E$59,2,FALSE)</f>
        <v>#N/A</v>
      </c>
      <c r="C555" s="25" t="s">
        <v>1467</v>
      </c>
      <c r="D555" s="33" t="e">
        <f t="shared" si="9"/>
        <v>#N/A</v>
      </c>
      <c r="E555" s="9"/>
      <c r="F555" s="10"/>
      <c r="G555" s="9"/>
      <c r="H555" s="10"/>
      <c r="I555" s="12"/>
      <c r="J555" s="12"/>
      <c r="K555" s="91"/>
      <c r="L555" s="10"/>
      <c r="M555" s="10"/>
    </row>
    <row r="556" spans="1:13" ht="18.75" x14ac:dyDescent="0.25">
      <c r="A556" s="9"/>
      <c r="B556" s="13" t="e">
        <f>VLOOKUP(Table27[[#This Row],[Location 
(drop-down)]],'List source'!D$2:E$59,2,FALSE)</f>
        <v>#N/A</v>
      </c>
      <c r="C556" s="25" t="s">
        <v>1469</v>
      </c>
      <c r="D556" s="33" t="e">
        <f t="shared" si="9"/>
        <v>#N/A</v>
      </c>
      <c r="E556" s="9"/>
      <c r="F556" s="10"/>
      <c r="G556" s="9"/>
      <c r="H556" s="10"/>
      <c r="I556" s="12"/>
      <c r="J556" s="12"/>
      <c r="K556" s="91"/>
      <c r="L556" s="10"/>
      <c r="M556" s="10"/>
    </row>
    <row r="557" spans="1:13" ht="18.75" x14ac:dyDescent="0.25">
      <c r="A557" s="9"/>
      <c r="B557" s="13" t="e">
        <f>VLOOKUP(Table27[[#This Row],[Location 
(drop-down)]],'List source'!D$2:E$59,2,FALSE)</f>
        <v>#N/A</v>
      </c>
      <c r="C557" s="25" t="s">
        <v>1471</v>
      </c>
      <c r="D557" s="33" t="e">
        <f t="shared" si="9"/>
        <v>#N/A</v>
      </c>
      <c r="E557" s="9"/>
      <c r="F557" s="10"/>
      <c r="G557" s="9"/>
      <c r="H557" s="10"/>
      <c r="I557" s="12"/>
      <c r="J557" s="12"/>
      <c r="K557" s="91"/>
      <c r="L557" s="10"/>
      <c r="M557" s="10"/>
    </row>
    <row r="558" spans="1:13" ht="18.75" x14ac:dyDescent="0.25">
      <c r="A558" s="9"/>
      <c r="B558" s="13" t="e">
        <f>VLOOKUP(Table27[[#This Row],[Location 
(drop-down)]],'List source'!D$2:E$59,2,FALSE)</f>
        <v>#N/A</v>
      </c>
      <c r="C558" s="25" t="s">
        <v>1473</v>
      </c>
      <c r="D558" s="33" t="e">
        <f t="shared" si="9"/>
        <v>#N/A</v>
      </c>
      <c r="E558" s="9"/>
      <c r="F558" s="10"/>
      <c r="G558" s="9"/>
      <c r="H558" s="10"/>
      <c r="I558" s="12"/>
      <c r="J558" s="12"/>
      <c r="K558" s="91"/>
      <c r="L558" s="10"/>
      <c r="M558" s="10"/>
    </row>
    <row r="559" spans="1:13" ht="18.75" x14ac:dyDescent="0.25">
      <c r="A559" s="9"/>
      <c r="B559" s="13" t="e">
        <f>VLOOKUP(Table27[[#This Row],[Location 
(drop-down)]],'List source'!D$2:E$59,2,FALSE)</f>
        <v>#N/A</v>
      </c>
      <c r="C559" s="25" t="s">
        <v>1475</v>
      </c>
      <c r="D559" s="33" t="e">
        <f t="shared" si="9"/>
        <v>#N/A</v>
      </c>
      <c r="E559" s="9"/>
      <c r="F559" s="10"/>
      <c r="G559" s="9"/>
      <c r="H559" s="10"/>
      <c r="I559" s="12"/>
      <c r="J559" s="12"/>
      <c r="K559" s="91"/>
      <c r="L559" s="10"/>
      <c r="M559" s="10"/>
    </row>
    <row r="560" spans="1:13" ht="18.75" x14ac:dyDescent="0.25">
      <c r="A560" s="9"/>
      <c r="B560" s="13" t="e">
        <f>VLOOKUP(Table27[[#This Row],[Location 
(drop-down)]],'List source'!D$2:E$59,2,FALSE)</f>
        <v>#N/A</v>
      </c>
      <c r="C560" s="25" t="s">
        <v>1477</v>
      </c>
      <c r="D560" s="33" t="e">
        <f t="shared" si="9"/>
        <v>#N/A</v>
      </c>
      <c r="E560" s="9"/>
      <c r="F560" s="10"/>
      <c r="G560" s="9"/>
      <c r="H560" s="10"/>
      <c r="I560" s="12"/>
      <c r="J560" s="12"/>
      <c r="K560" s="91"/>
      <c r="L560" s="10"/>
      <c r="M560" s="10"/>
    </row>
    <row r="561" spans="1:13" ht="18.75" x14ac:dyDescent="0.25">
      <c r="A561" s="9"/>
      <c r="B561" s="13" t="e">
        <f>VLOOKUP(Table27[[#This Row],[Location 
(drop-down)]],'List source'!D$2:E$59,2,FALSE)</f>
        <v>#N/A</v>
      </c>
      <c r="C561" s="25" t="s">
        <v>1479</v>
      </c>
      <c r="D561" s="33" t="e">
        <f t="shared" si="9"/>
        <v>#N/A</v>
      </c>
      <c r="E561" s="9"/>
      <c r="F561" s="10"/>
      <c r="G561" s="9"/>
      <c r="H561" s="10"/>
      <c r="I561" s="12"/>
      <c r="J561" s="12"/>
      <c r="K561" s="91"/>
      <c r="L561" s="10"/>
      <c r="M561" s="10"/>
    </row>
    <row r="562" spans="1:13" ht="18.75" x14ac:dyDescent="0.25">
      <c r="A562" s="9"/>
      <c r="B562" s="13" t="e">
        <f>VLOOKUP(Table27[[#This Row],[Location 
(drop-down)]],'List source'!D$2:E$59,2,FALSE)</f>
        <v>#N/A</v>
      </c>
      <c r="C562" s="25" t="s">
        <v>1481</v>
      </c>
      <c r="D562" s="33" t="e">
        <f t="shared" si="9"/>
        <v>#N/A</v>
      </c>
      <c r="E562" s="9"/>
      <c r="F562" s="10"/>
      <c r="G562" s="9"/>
      <c r="H562" s="10"/>
      <c r="I562" s="12"/>
      <c r="J562" s="12"/>
      <c r="K562" s="91"/>
      <c r="L562" s="10"/>
      <c r="M562" s="10"/>
    </row>
    <row r="563" spans="1:13" ht="18.75" x14ac:dyDescent="0.25">
      <c r="A563" s="9"/>
      <c r="B563" s="13" t="e">
        <f>VLOOKUP(Table27[[#This Row],[Location 
(drop-down)]],'List source'!D$2:E$59,2,FALSE)</f>
        <v>#N/A</v>
      </c>
      <c r="C563" s="25" t="s">
        <v>1483</v>
      </c>
      <c r="D563" s="33" t="e">
        <f t="shared" si="9"/>
        <v>#N/A</v>
      </c>
      <c r="E563" s="137"/>
      <c r="F563" s="190"/>
      <c r="G563" s="137"/>
      <c r="H563" s="190"/>
      <c r="I563" s="12"/>
      <c r="J563" s="12"/>
      <c r="K563" s="91"/>
      <c r="L563" s="10"/>
      <c r="M563" s="10"/>
    </row>
    <row r="564" spans="1:13" ht="18.75" x14ac:dyDescent="0.25">
      <c r="A564" s="9"/>
      <c r="B564" s="13" t="e">
        <f>VLOOKUP(Table27[[#This Row],[Location 
(drop-down)]],'List source'!D$2:E$59,2,FALSE)</f>
        <v>#N/A</v>
      </c>
      <c r="C564" s="25" t="s">
        <v>1486</v>
      </c>
      <c r="D564" s="33" t="e">
        <f t="shared" si="9"/>
        <v>#N/A</v>
      </c>
      <c r="E564" s="9"/>
      <c r="F564" s="10"/>
      <c r="G564" s="9"/>
      <c r="H564" s="10"/>
      <c r="I564" s="12"/>
      <c r="J564" s="12"/>
      <c r="K564" s="91"/>
      <c r="L564" s="10"/>
      <c r="M564" s="10"/>
    </row>
    <row r="565" spans="1:13" ht="18.75" x14ac:dyDescent="0.25">
      <c r="A565" s="9"/>
      <c r="B565" s="13" t="e">
        <f>VLOOKUP(Table27[[#This Row],[Location 
(drop-down)]],'List source'!D$2:E$59,2,FALSE)</f>
        <v>#N/A</v>
      </c>
      <c r="C565" s="25" t="s">
        <v>1488</v>
      </c>
      <c r="D565" s="33" t="e">
        <f t="shared" si="9"/>
        <v>#N/A</v>
      </c>
      <c r="E565" s="9"/>
      <c r="F565" s="10"/>
      <c r="G565" s="9"/>
      <c r="H565" s="10"/>
      <c r="I565" s="12"/>
      <c r="J565" s="12"/>
      <c r="K565" s="91"/>
      <c r="L565" s="10"/>
      <c r="M565" s="10"/>
    </row>
    <row r="566" spans="1:13" ht="18.75" x14ac:dyDescent="0.25">
      <c r="A566" s="9"/>
      <c r="B566" s="13" t="e">
        <f>VLOOKUP(Table27[[#This Row],[Location 
(drop-down)]],'List source'!D$2:E$59,2,FALSE)</f>
        <v>#N/A</v>
      </c>
      <c r="C566" s="25" t="s">
        <v>1490</v>
      </c>
      <c r="D566" s="33" t="e">
        <f t="shared" si="9"/>
        <v>#N/A</v>
      </c>
      <c r="E566" s="9"/>
      <c r="F566" s="10"/>
      <c r="G566" s="9"/>
      <c r="H566" s="10"/>
      <c r="I566" s="12"/>
      <c r="J566" s="12"/>
      <c r="K566" s="91"/>
      <c r="L566" s="10"/>
      <c r="M566" s="10"/>
    </row>
    <row r="567" spans="1:13" ht="18.75" x14ac:dyDescent="0.25">
      <c r="A567" s="9"/>
      <c r="B567" s="13" t="e">
        <f>VLOOKUP(Table27[[#This Row],[Location 
(drop-down)]],'List source'!D$2:E$59,2,FALSE)</f>
        <v>#N/A</v>
      </c>
      <c r="C567" s="25" t="s">
        <v>1492</v>
      </c>
      <c r="D567" s="33" t="e">
        <f t="shared" si="9"/>
        <v>#N/A</v>
      </c>
      <c r="E567" s="9"/>
      <c r="F567" s="10"/>
      <c r="G567" s="9"/>
      <c r="H567" s="10"/>
      <c r="I567" s="12"/>
      <c r="J567" s="12"/>
      <c r="K567" s="91"/>
      <c r="L567" s="10"/>
      <c r="M567" s="10"/>
    </row>
    <row r="568" spans="1:13" ht="18.75" x14ac:dyDescent="0.25">
      <c r="A568" s="9"/>
      <c r="B568" s="13" t="e">
        <f>VLOOKUP(Table27[[#This Row],[Location 
(drop-down)]],'List source'!D$2:E$59,2,FALSE)</f>
        <v>#N/A</v>
      </c>
      <c r="C568" s="25" t="s">
        <v>1494</v>
      </c>
      <c r="D568" s="33" t="e">
        <f t="shared" si="9"/>
        <v>#N/A</v>
      </c>
      <c r="E568" s="9"/>
      <c r="F568" s="10"/>
      <c r="G568" s="9"/>
      <c r="H568" s="10"/>
      <c r="I568" s="12"/>
      <c r="J568" s="12"/>
      <c r="K568" s="91"/>
      <c r="L568" s="10"/>
      <c r="M568" s="10"/>
    </row>
    <row r="569" spans="1:13" ht="18.75" x14ac:dyDescent="0.25">
      <c r="A569" s="9"/>
      <c r="B569" s="13" t="e">
        <f>VLOOKUP(Table27[[#This Row],[Location 
(drop-down)]],'List source'!D$2:E$59,2,FALSE)</f>
        <v>#N/A</v>
      </c>
      <c r="C569" s="25" t="s">
        <v>1496</v>
      </c>
      <c r="D569" s="33" t="e">
        <f t="shared" si="9"/>
        <v>#N/A</v>
      </c>
      <c r="E569" s="9"/>
      <c r="F569" s="10"/>
      <c r="G569" s="9"/>
      <c r="H569" s="10"/>
      <c r="I569" s="12"/>
      <c r="J569" s="12"/>
      <c r="K569" s="91"/>
      <c r="L569" s="10"/>
      <c r="M569" s="10"/>
    </row>
    <row r="570" spans="1:13" ht="18.75" x14ac:dyDescent="0.25">
      <c r="A570" s="9"/>
      <c r="B570" s="13" t="e">
        <f>VLOOKUP(Table27[[#This Row],[Location 
(drop-down)]],'List source'!D$2:E$59,2,FALSE)</f>
        <v>#N/A</v>
      </c>
      <c r="C570" s="25" t="s">
        <v>1498</v>
      </c>
      <c r="D570" s="33" t="e">
        <f t="shared" si="9"/>
        <v>#N/A</v>
      </c>
      <c r="E570" s="9"/>
      <c r="F570" s="10"/>
      <c r="G570" s="9"/>
      <c r="H570" s="10"/>
      <c r="I570" s="12"/>
      <c r="J570" s="12"/>
      <c r="K570" s="91"/>
      <c r="L570" s="10"/>
      <c r="M570" s="10"/>
    </row>
    <row r="571" spans="1:13" ht="18.75" x14ac:dyDescent="0.25">
      <c r="A571" s="9"/>
      <c r="B571" s="13" t="e">
        <f>VLOOKUP(Table27[[#This Row],[Location 
(drop-down)]],'List source'!D$2:E$59,2,FALSE)</f>
        <v>#N/A</v>
      </c>
      <c r="C571" s="25" t="s">
        <v>1500</v>
      </c>
      <c r="D571" s="33" t="e">
        <f t="shared" si="9"/>
        <v>#N/A</v>
      </c>
      <c r="E571" s="9"/>
      <c r="F571" s="10"/>
      <c r="G571" s="9"/>
      <c r="H571" s="10"/>
      <c r="I571" s="12"/>
      <c r="J571" s="12"/>
      <c r="K571" s="91"/>
      <c r="L571" s="10"/>
      <c r="M571" s="10"/>
    </row>
    <row r="572" spans="1:13" ht="18.75" x14ac:dyDescent="0.25">
      <c r="A572" s="9"/>
      <c r="B572" s="13" t="e">
        <f>VLOOKUP(Table27[[#This Row],[Location 
(drop-down)]],'List source'!D$2:E$59,2,FALSE)</f>
        <v>#N/A</v>
      </c>
      <c r="C572" s="25" t="s">
        <v>1502</v>
      </c>
      <c r="D572" s="33" t="e">
        <f t="shared" si="9"/>
        <v>#N/A</v>
      </c>
      <c r="E572" s="9"/>
      <c r="F572" s="10"/>
      <c r="G572" s="9"/>
      <c r="H572" s="10"/>
      <c r="I572" s="12"/>
      <c r="J572" s="12"/>
      <c r="K572" s="91"/>
      <c r="L572" s="10"/>
      <c r="M572" s="10"/>
    </row>
    <row r="573" spans="1:13" ht="18.75" x14ac:dyDescent="0.25">
      <c r="A573" s="9"/>
      <c r="B573" s="13" t="e">
        <f>VLOOKUP(Table27[[#This Row],[Location 
(drop-down)]],'List source'!D$2:E$59,2,FALSE)</f>
        <v>#N/A</v>
      </c>
      <c r="C573" s="25" t="s">
        <v>1504</v>
      </c>
      <c r="D573" s="33" t="e">
        <f t="shared" si="9"/>
        <v>#N/A</v>
      </c>
      <c r="E573" s="9"/>
      <c r="F573" s="10"/>
      <c r="G573" s="9"/>
      <c r="H573" s="10"/>
      <c r="I573" s="12"/>
      <c r="J573" s="12"/>
      <c r="K573" s="91"/>
      <c r="L573" s="10"/>
      <c r="M573" s="10"/>
    </row>
    <row r="574" spans="1:13" ht="18.75" x14ac:dyDescent="0.25">
      <c r="A574" s="9"/>
      <c r="B574" s="13" t="e">
        <f>VLOOKUP(Table27[[#This Row],[Location 
(drop-down)]],'List source'!D$2:E$59,2,FALSE)</f>
        <v>#N/A</v>
      </c>
      <c r="C574" s="25" t="s">
        <v>1506</v>
      </c>
      <c r="D574" s="33" t="e">
        <f t="shared" si="9"/>
        <v>#N/A</v>
      </c>
      <c r="E574" s="9"/>
      <c r="F574" s="10"/>
      <c r="G574" s="9"/>
      <c r="H574" s="10"/>
      <c r="I574" s="12"/>
      <c r="J574" s="12"/>
      <c r="K574" s="91"/>
      <c r="L574" s="10"/>
      <c r="M574" s="10"/>
    </row>
    <row r="575" spans="1:13" ht="18.75" x14ac:dyDescent="0.25">
      <c r="A575" s="9"/>
      <c r="B575" s="13" t="e">
        <f>VLOOKUP(Table27[[#This Row],[Location 
(drop-down)]],'List source'!D$2:E$59,2,FALSE)</f>
        <v>#N/A</v>
      </c>
      <c r="C575" s="25" t="s">
        <v>1509</v>
      </c>
      <c r="D575" s="33" t="e">
        <f t="shared" si="9"/>
        <v>#N/A</v>
      </c>
      <c r="E575" s="9"/>
      <c r="F575" s="10"/>
      <c r="G575" s="9"/>
      <c r="H575" s="10"/>
      <c r="I575" s="12"/>
      <c r="J575" s="12"/>
      <c r="K575" s="91"/>
      <c r="L575" s="10"/>
      <c r="M575" s="10"/>
    </row>
    <row r="576" spans="1:13" ht="18.75" x14ac:dyDescent="0.25">
      <c r="A576" s="9"/>
      <c r="B576" s="13" t="e">
        <f>VLOOKUP(Table27[[#This Row],[Location 
(drop-down)]],'List source'!D$2:E$59,2,FALSE)</f>
        <v>#N/A</v>
      </c>
      <c r="C576" s="25" t="s">
        <v>1511</v>
      </c>
      <c r="D576" s="33" t="e">
        <f t="shared" si="9"/>
        <v>#N/A</v>
      </c>
      <c r="E576" s="9"/>
      <c r="F576" s="10"/>
      <c r="G576" s="9"/>
      <c r="H576" s="10"/>
      <c r="I576" s="12"/>
      <c r="J576" s="12"/>
      <c r="K576" s="91"/>
      <c r="L576" s="10"/>
      <c r="M576" s="10"/>
    </row>
    <row r="577" spans="1:13" ht="18.75" x14ac:dyDescent="0.25">
      <c r="A577" s="9"/>
      <c r="B577" s="13" t="e">
        <f>VLOOKUP(Table27[[#This Row],[Location 
(drop-down)]],'List source'!D$2:E$59,2,FALSE)</f>
        <v>#N/A</v>
      </c>
      <c r="C577" s="25" t="s">
        <v>1513</v>
      </c>
      <c r="D577" s="33" t="e">
        <f t="shared" si="9"/>
        <v>#N/A</v>
      </c>
      <c r="E577" s="9"/>
      <c r="F577" s="10"/>
      <c r="G577" s="9"/>
      <c r="H577" s="10"/>
      <c r="I577" s="12"/>
      <c r="J577" s="12"/>
      <c r="K577" s="91"/>
      <c r="L577" s="10"/>
      <c r="M577" s="10"/>
    </row>
    <row r="578" spans="1:13" ht="18.75" x14ac:dyDescent="0.25">
      <c r="A578" s="9"/>
      <c r="B578" s="13" t="e">
        <f>VLOOKUP(Table27[[#This Row],[Location 
(drop-down)]],'List source'!D$2:E$59,2,FALSE)</f>
        <v>#N/A</v>
      </c>
      <c r="C578" s="25" t="s">
        <v>1515</v>
      </c>
      <c r="D578" s="33" t="e">
        <f t="shared" ref="D578:D641" si="10">"PTO" &amp; C578 &amp; "-" &amp; B578 &amp; "-" &amp; "23"</f>
        <v>#N/A</v>
      </c>
      <c r="E578" s="9"/>
      <c r="F578" s="10"/>
      <c r="G578" s="9"/>
      <c r="H578" s="10"/>
      <c r="I578" s="12"/>
      <c r="J578" s="12"/>
      <c r="K578" s="91"/>
      <c r="L578" s="10"/>
      <c r="M578" s="10"/>
    </row>
    <row r="579" spans="1:13" ht="18.75" x14ac:dyDescent="0.25">
      <c r="A579" s="9"/>
      <c r="B579" s="13" t="e">
        <f>VLOOKUP(Table27[[#This Row],[Location 
(drop-down)]],'List source'!D$2:E$59,2,FALSE)</f>
        <v>#N/A</v>
      </c>
      <c r="C579" s="25" t="s">
        <v>1516</v>
      </c>
      <c r="D579" s="33" t="e">
        <f t="shared" si="10"/>
        <v>#N/A</v>
      </c>
      <c r="E579" s="9"/>
      <c r="F579" s="10"/>
      <c r="G579" s="9"/>
      <c r="H579" s="10"/>
      <c r="I579" s="12"/>
      <c r="J579" s="12"/>
      <c r="K579" s="91"/>
      <c r="L579" s="10"/>
      <c r="M579" s="10"/>
    </row>
    <row r="580" spans="1:13" ht="18.75" x14ac:dyDescent="0.25">
      <c r="A580" s="9"/>
      <c r="B580" s="13" t="e">
        <f>VLOOKUP(Table27[[#This Row],[Location 
(drop-down)]],'List source'!D$2:E$59,2,FALSE)</f>
        <v>#N/A</v>
      </c>
      <c r="C580" s="25" t="s">
        <v>1518</v>
      </c>
      <c r="D580" s="33" t="e">
        <f t="shared" si="10"/>
        <v>#N/A</v>
      </c>
      <c r="E580" s="9"/>
      <c r="F580" s="10"/>
      <c r="G580" s="9"/>
      <c r="H580" s="10"/>
      <c r="I580" s="12"/>
      <c r="J580" s="12"/>
      <c r="K580" s="91"/>
      <c r="L580" s="10"/>
      <c r="M580" s="10"/>
    </row>
    <row r="581" spans="1:13" ht="18.75" x14ac:dyDescent="0.25">
      <c r="A581" s="9"/>
      <c r="B581" s="112" t="e">
        <f>VLOOKUP(Table27[[#This Row],[Location 
(drop-down)]],'List source'!D$2:E$59,2,FALSE)</f>
        <v>#N/A</v>
      </c>
      <c r="C581" s="25" t="s">
        <v>1520</v>
      </c>
      <c r="D581" s="33" t="e">
        <f t="shared" si="10"/>
        <v>#N/A</v>
      </c>
      <c r="E581" s="111"/>
      <c r="F581" s="115"/>
      <c r="G581" s="111"/>
      <c r="H581" s="115"/>
      <c r="I581" s="12"/>
      <c r="J581" s="12"/>
      <c r="K581" s="114"/>
      <c r="L581" s="10"/>
      <c r="M581" s="115"/>
    </row>
    <row r="582" spans="1:13" ht="18.75" x14ac:dyDescent="0.25">
      <c r="A582" s="9"/>
      <c r="B582" s="13" t="e">
        <f>VLOOKUP(Table27[[#This Row],[Location 
(drop-down)]],'List source'!D$2:E$59,2,FALSE)</f>
        <v>#N/A</v>
      </c>
      <c r="C582" s="25" t="s">
        <v>1522</v>
      </c>
      <c r="D582" s="33" t="e">
        <f t="shared" si="10"/>
        <v>#N/A</v>
      </c>
      <c r="E582" s="9"/>
      <c r="F582" s="10"/>
      <c r="G582" s="9"/>
      <c r="H582" s="10"/>
      <c r="I582" s="12"/>
      <c r="J582" s="12"/>
      <c r="K582" s="91"/>
      <c r="L582" s="10"/>
      <c r="M582" s="10"/>
    </row>
    <row r="583" spans="1:13" ht="18.75" x14ac:dyDescent="0.25">
      <c r="A583" s="9"/>
      <c r="B583" s="13" t="e">
        <f>VLOOKUP(Table27[[#This Row],[Location 
(drop-down)]],'List source'!D$2:E$59,2,FALSE)</f>
        <v>#N/A</v>
      </c>
      <c r="C583" s="25" t="s">
        <v>1524</v>
      </c>
      <c r="D583" s="33" t="e">
        <f t="shared" si="10"/>
        <v>#N/A</v>
      </c>
      <c r="E583" s="9"/>
      <c r="F583" s="10"/>
      <c r="G583" s="9"/>
      <c r="H583" s="10"/>
      <c r="I583" s="12"/>
      <c r="J583" s="12"/>
      <c r="K583" s="91"/>
      <c r="L583" s="10"/>
      <c r="M583" s="10"/>
    </row>
    <row r="584" spans="1:13" ht="18.75" x14ac:dyDescent="0.25">
      <c r="A584" s="9"/>
      <c r="B584" s="13" t="e">
        <f>VLOOKUP(Table27[[#This Row],[Location 
(drop-down)]],'List source'!D$2:E$59,2,FALSE)</f>
        <v>#N/A</v>
      </c>
      <c r="C584" s="25" t="s">
        <v>1526</v>
      </c>
      <c r="D584" s="33" t="e">
        <f t="shared" si="10"/>
        <v>#N/A</v>
      </c>
      <c r="E584" s="9"/>
      <c r="F584" s="10"/>
      <c r="G584" s="9"/>
      <c r="H584" s="10"/>
      <c r="I584" s="12"/>
      <c r="J584" s="12"/>
      <c r="K584" s="91"/>
      <c r="L584" s="10"/>
      <c r="M584" s="10"/>
    </row>
    <row r="585" spans="1:13" ht="18.75" x14ac:dyDescent="0.25">
      <c r="A585" s="9"/>
      <c r="B585" s="13" t="e">
        <f>VLOOKUP(Table27[[#This Row],[Location 
(drop-down)]],'List source'!D$2:E$59,2,FALSE)</f>
        <v>#N/A</v>
      </c>
      <c r="C585" s="25" t="s">
        <v>1528</v>
      </c>
      <c r="D585" s="33" t="e">
        <f t="shared" si="10"/>
        <v>#N/A</v>
      </c>
      <c r="E585" s="9"/>
      <c r="F585" s="10"/>
      <c r="G585" s="9"/>
      <c r="H585" s="10"/>
      <c r="I585" s="12"/>
      <c r="J585" s="12"/>
      <c r="K585" s="91"/>
      <c r="L585" s="10"/>
      <c r="M585" s="10"/>
    </row>
    <row r="586" spans="1:13" ht="18.75" x14ac:dyDescent="0.25">
      <c r="A586" s="9"/>
      <c r="B586" s="13" t="e">
        <f>VLOOKUP(Table27[[#This Row],[Location 
(drop-down)]],'List source'!D$2:E$59,2,FALSE)</f>
        <v>#N/A</v>
      </c>
      <c r="C586" s="25" t="s">
        <v>1530</v>
      </c>
      <c r="D586" s="33" t="e">
        <f t="shared" si="10"/>
        <v>#N/A</v>
      </c>
      <c r="E586" s="9"/>
      <c r="F586" s="10"/>
      <c r="G586" s="9"/>
      <c r="H586" s="10"/>
      <c r="I586" s="12"/>
      <c r="J586" s="12"/>
      <c r="K586" s="91"/>
      <c r="L586" s="10"/>
      <c r="M586" s="10"/>
    </row>
    <row r="587" spans="1:13" ht="18.75" x14ac:dyDescent="0.25">
      <c r="A587" s="9"/>
      <c r="B587" s="13" t="e">
        <f>VLOOKUP(Table27[[#This Row],[Location 
(drop-down)]],'List source'!D$2:E$59,2,FALSE)</f>
        <v>#N/A</v>
      </c>
      <c r="C587" s="25" t="s">
        <v>1532</v>
      </c>
      <c r="D587" s="33" t="e">
        <f t="shared" si="10"/>
        <v>#N/A</v>
      </c>
      <c r="E587" s="9"/>
      <c r="F587" s="10"/>
      <c r="G587" s="9"/>
      <c r="H587" s="10"/>
      <c r="I587" s="12"/>
      <c r="J587" s="12"/>
      <c r="K587" s="91"/>
      <c r="L587" s="10"/>
      <c r="M587" s="10"/>
    </row>
    <row r="588" spans="1:13" ht="18.75" x14ac:dyDescent="0.25">
      <c r="A588" s="9"/>
      <c r="B588" s="13" t="e">
        <f>VLOOKUP(Table27[[#This Row],[Location 
(drop-down)]],'List source'!D$2:E$59,2,FALSE)</f>
        <v>#N/A</v>
      </c>
      <c r="C588" s="25" t="s">
        <v>1534</v>
      </c>
      <c r="D588" s="33" t="e">
        <f t="shared" si="10"/>
        <v>#N/A</v>
      </c>
      <c r="E588" s="9"/>
      <c r="F588" s="10"/>
      <c r="G588" s="9"/>
      <c r="H588" s="10"/>
      <c r="I588" s="12"/>
      <c r="J588" s="12"/>
      <c r="K588" s="91"/>
      <c r="L588" s="10"/>
      <c r="M588" s="10"/>
    </row>
    <row r="589" spans="1:13" ht="18.75" x14ac:dyDescent="0.25">
      <c r="A589" s="9"/>
      <c r="B589" s="13" t="e">
        <f>VLOOKUP(Table27[[#This Row],[Location 
(drop-down)]],'List source'!D$2:E$59,2,FALSE)</f>
        <v>#N/A</v>
      </c>
      <c r="C589" s="25" t="s">
        <v>1536</v>
      </c>
      <c r="D589" s="33" t="e">
        <f t="shared" si="10"/>
        <v>#N/A</v>
      </c>
      <c r="E589" s="9"/>
      <c r="F589" s="10"/>
      <c r="G589" s="9"/>
      <c r="H589" s="10"/>
      <c r="I589" s="12"/>
      <c r="J589" s="12"/>
      <c r="K589" s="91"/>
      <c r="L589" s="10"/>
      <c r="M589" s="10"/>
    </row>
    <row r="590" spans="1:13" ht="18.75" x14ac:dyDescent="0.25">
      <c r="A590" s="9"/>
      <c r="B590" s="13" t="e">
        <f>VLOOKUP(Table27[[#This Row],[Location 
(drop-down)]],'List source'!D$2:E$59,2,FALSE)</f>
        <v>#N/A</v>
      </c>
      <c r="C590" s="25" t="s">
        <v>1538</v>
      </c>
      <c r="D590" s="33" t="e">
        <f t="shared" si="10"/>
        <v>#N/A</v>
      </c>
      <c r="E590" s="9"/>
      <c r="F590" s="10"/>
      <c r="G590" s="9"/>
      <c r="H590" s="10"/>
      <c r="I590" s="12"/>
      <c r="J590" s="12"/>
      <c r="K590" s="91"/>
      <c r="L590" s="10"/>
      <c r="M590" s="10"/>
    </row>
    <row r="591" spans="1:13" ht="18.75" x14ac:dyDescent="0.25">
      <c r="A591" s="9"/>
      <c r="B591" s="13" t="e">
        <f>VLOOKUP(Table27[[#This Row],[Location 
(drop-down)]],'List source'!D$2:E$59,2,FALSE)</f>
        <v>#N/A</v>
      </c>
      <c r="C591" s="25" t="s">
        <v>1540</v>
      </c>
      <c r="D591" s="33" t="e">
        <f t="shared" si="10"/>
        <v>#N/A</v>
      </c>
      <c r="E591" s="158"/>
      <c r="F591" s="193"/>
      <c r="G591" s="158"/>
      <c r="H591" s="193"/>
      <c r="I591" s="12"/>
      <c r="J591" s="12"/>
      <c r="K591" s="91"/>
      <c r="L591" s="10"/>
      <c r="M591" s="10"/>
    </row>
    <row r="592" spans="1:13" ht="18.75" x14ac:dyDescent="0.25">
      <c r="A592" s="9"/>
      <c r="B592" s="13" t="e">
        <f>VLOOKUP(Table27[[#This Row],[Location 
(drop-down)]],'List source'!D$2:E$59,2,FALSE)</f>
        <v>#N/A</v>
      </c>
      <c r="C592" s="25" t="s">
        <v>1542</v>
      </c>
      <c r="D592" s="33" t="e">
        <f t="shared" si="10"/>
        <v>#N/A</v>
      </c>
      <c r="E592" s="9"/>
      <c r="F592" s="10"/>
      <c r="G592" s="9"/>
      <c r="H592" s="10"/>
      <c r="I592" s="12"/>
      <c r="J592" s="12"/>
      <c r="K592" s="91"/>
      <c r="L592" s="10"/>
      <c r="M592" s="10"/>
    </row>
    <row r="593" spans="1:13" ht="18.75" x14ac:dyDescent="0.25">
      <c r="A593" s="9"/>
      <c r="B593" s="13" t="e">
        <f>VLOOKUP(Table27[[#This Row],[Location 
(drop-down)]],'List source'!D$2:E$59,2,FALSE)</f>
        <v>#N/A</v>
      </c>
      <c r="C593" s="25" t="s">
        <v>1544</v>
      </c>
      <c r="D593" s="33" t="e">
        <f t="shared" si="10"/>
        <v>#N/A</v>
      </c>
      <c r="E593" s="9"/>
      <c r="F593" s="10"/>
      <c r="G593" s="9"/>
      <c r="H593" s="10"/>
      <c r="I593" s="12"/>
      <c r="J593" s="12"/>
      <c r="K593" s="91"/>
      <c r="L593" s="10"/>
      <c r="M593" s="10"/>
    </row>
    <row r="594" spans="1:13" ht="18.75" x14ac:dyDescent="0.25">
      <c r="A594" s="9"/>
      <c r="B594" s="13" t="e">
        <f>VLOOKUP(Table27[[#This Row],[Location 
(drop-down)]],'List source'!D$2:E$59,2,FALSE)</f>
        <v>#N/A</v>
      </c>
      <c r="C594" s="25" t="s">
        <v>1546</v>
      </c>
      <c r="D594" s="33" t="e">
        <f t="shared" si="10"/>
        <v>#N/A</v>
      </c>
      <c r="E594" s="9"/>
      <c r="F594" s="10"/>
      <c r="G594" s="9"/>
      <c r="H594" s="10"/>
      <c r="I594" s="12"/>
      <c r="J594" s="12"/>
      <c r="K594" s="91"/>
      <c r="L594" s="10"/>
      <c r="M594" s="10"/>
    </row>
    <row r="595" spans="1:13" ht="18.75" x14ac:dyDescent="0.25">
      <c r="A595" s="9"/>
      <c r="B595" s="13" t="e">
        <f>VLOOKUP(Table27[[#This Row],[Location 
(drop-down)]],'List source'!D$2:E$59,2,FALSE)</f>
        <v>#N/A</v>
      </c>
      <c r="C595" s="25" t="s">
        <v>1548</v>
      </c>
      <c r="D595" s="33" t="e">
        <f t="shared" si="10"/>
        <v>#N/A</v>
      </c>
      <c r="E595" s="9"/>
      <c r="F595" s="10"/>
      <c r="G595" s="9"/>
      <c r="H595" s="10"/>
      <c r="I595" s="12"/>
      <c r="J595" s="12"/>
      <c r="K595" s="91"/>
      <c r="L595" s="10"/>
      <c r="M595" s="10"/>
    </row>
    <row r="596" spans="1:13" ht="18.75" x14ac:dyDescent="0.25">
      <c r="A596" s="9"/>
      <c r="B596" s="13" t="e">
        <f>VLOOKUP(Table27[[#This Row],[Location 
(drop-down)]],'List source'!D$2:E$59,2,FALSE)</f>
        <v>#N/A</v>
      </c>
      <c r="C596" s="25" t="s">
        <v>1550</v>
      </c>
      <c r="D596" s="33" t="e">
        <f t="shared" si="10"/>
        <v>#N/A</v>
      </c>
      <c r="E596" s="9"/>
      <c r="F596" s="10"/>
      <c r="G596" s="9"/>
      <c r="H596" s="10"/>
      <c r="I596" s="12"/>
      <c r="J596" s="12"/>
      <c r="K596" s="91"/>
      <c r="L596" s="10"/>
      <c r="M596" s="10"/>
    </row>
    <row r="597" spans="1:13" ht="18.75" x14ac:dyDescent="0.25">
      <c r="A597" s="9"/>
      <c r="B597" s="13" t="e">
        <f>VLOOKUP(Table27[[#This Row],[Location 
(drop-down)]],'List source'!D$2:E$59,2,FALSE)</f>
        <v>#N/A</v>
      </c>
      <c r="C597" s="25" t="s">
        <v>1551</v>
      </c>
      <c r="D597" s="33" t="e">
        <f t="shared" si="10"/>
        <v>#N/A</v>
      </c>
      <c r="E597" s="9"/>
      <c r="F597" s="10"/>
      <c r="G597" s="9"/>
      <c r="H597" s="10"/>
      <c r="I597" s="12"/>
      <c r="J597" s="12"/>
      <c r="K597" s="91"/>
      <c r="L597" s="10"/>
      <c r="M597" s="10"/>
    </row>
    <row r="598" spans="1:13" ht="18.75" x14ac:dyDescent="0.25">
      <c r="A598" s="9"/>
      <c r="B598" s="13" t="e">
        <f>VLOOKUP(Table27[[#This Row],[Location 
(drop-down)]],'List source'!D$2:E$59,2,FALSE)</f>
        <v>#N/A</v>
      </c>
      <c r="C598" s="25" t="s">
        <v>1553</v>
      </c>
      <c r="D598" s="33" t="e">
        <f t="shared" si="10"/>
        <v>#N/A</v>
      </c>
      <c r="E598" s="9"/>
      <c r="F598" s="10"/>
      <c r="G598" s="9"/>
      <c r="H598" s="10"/>
      <c r="I598" s="12"/>
      <c r="J598" s="12"/>
      <c r="K598" s="91"/>
      <c r="L598" s="10"/>
      <c r="M598" s="10"/>
    </row>
    <row r="599" spans="1:13" ht="18.75" x14ac:dyDescent="0.25">
      <c r="A599" s="9"/>
      <c r="B599" s="13" t="e">
        <f>VLOOKUP(Table27[[#This Row],[Location 
(drop-down)]],'List source'!D$2:E$59,2,FALSE)</f>
        <v>#N/A</v>
      </c>
      <c r="C599" s="25" t="s">
        <v>1555</v>
      </c>
      <c r="D599" s="33" t="e">
        <f t="shared" si="10"/>
        <v>#N/A</v>
      </c>
      <c r="E599" s="9"/>
      <c r="F599" s="10"/>
      <c r="G599" s="9"/>
      <c r="H599" s="10"/>
      <c r="I599" s="12"/>
      <c r="J599" s="12"/>
      <c r="K599" s="91"/>
      <c r="L599" s="10"/>
      <c r="M599" s="10"/>
    </row>
    <row r="600" spans="1:13" ht="18.75" x14ac:dyDescent="0.25">
      <c r="A600" s="9"/>
      <c r="B600" s="13" t="e">
        <f>VLOOKUP(Table27[[#This Row],[Location 
(drop-down)]],'List source'!D$2:E$59,2,FALSE)</f>
        <v>#N/A</v>
      </c>
      <c r="C600" s="25" t="s">
        <v>1557</v>
      </c>
      <c r="D600" s="33" t="e">
        <f t="shared" si="10"/>
        <v>#N/A</v>
      </c>
      <c r="E600" s="9"/>
      <c r="F600" s="10"/>
      <c r="G600" s="9"/>
      <c r="H600" s="10"/>
      <c r="I600" s="12"/>
      <c r="J600" s="12"/>
      <c r="K600" s="91"/>
      <c r="L600" s="10"/>
      <c r="M600" s="10"/>
    </row>
    <row r="601" spans="1:13" ht="18.75" x14ac:dyDescent="0.25">
      <c r="A601" s="9"/>
      <c r="B601" s="13" t="e">
        <f>VLOOKUP(Table27[[#This Row],[Location 
(drop-down)]],'List source'!D$2:E$59,2,FALSE)</f>
        <v>#N/A</v>
      </c>
      <c r="C601" s="25" t="s">
        <v>1559</v>
      </c>
      <c r="D601" s="33" t="e">
        <f t="shared" si="10"/>
        <v>#N/A</v>
      </c>
      <c r="E601" s="9"/>
      <c r="F601" s="10"/>
      <c r="G601" s="9"/>
      <c r="H601" s="10"/>
      <c r="I601" s="12"/>
      <c r="J601" s="12"/>
      <c r="K601" s="91"/>
      <c r="L601" s="10"/>
      <c r="M601" s="10"/>
    </row>
    <row r="602" spans="1:13" ht="18.75" x14ac:dyDescent="0.25">
      <c r="A602" s="9"/>
      <c r="B602" s="13" t="e">
        <f>VLOOKUP(Table27[[#This Row],[Location 
(drop-down)]],'List source'!D$2:E$59,2,FALSE)</f>
        <v>#N/A</v>
      </c>
      <c r="C602" s="25" t="s">
        <v>1561</v>
      </c>
      <c r="D602" s="33" t="e">
        <f t="shared" si="10"/>
        <v>#N/A</v>
      </c>
      <c r="E602" s="9"/>
      <c r="F602" s="10"/>
      <c r="G602" s="9"/>
      <c r="H602" s="10"/>
      <c r="I602" s="12"/>
      <c r="J602" s="12"/>
      <c r="K602" s="91"/>
      <c r="L602" s="10"/>
      <c r="M602" s="10"/>
    </row>
    <row r="603" spans="1:13" ht="18.75" x14ac:dyDescent="0.25">
      <c r="A603" s="9"/>
      <c r="B603" s="13" t="e">
        <f>VLOOKUP(Table27[[#This Row],[Location 
(drop-down)]],'List source'!D$2:E$59,2,FALSE)</f>
        <v>#N/A</v>
      </c>
      <c r="C603" s="25" t="s">
        <v>1563</v>
      </c>
      <c r="D603" s="33" t="e">
        <f t="shared" si="10"/>
        <v>#N/A</v>
      </c>
      <c r="E603" s="9"/>
      <c r="F603" s="10"/>
      <c r="G603" s="9"/>
      <c r="H603" s="10"/>
      <c r="I603" s="12"/>
      <c r="J603" s="12"/>
      <c r="K603" s="91"/>
      <c r="L603" s="10"/>
      <c r="M603" s="10"/>
    </row>
    <row r="604" spans="1:13" ht="18.75" x14ac:dyDescent="0.25">
      <c r="A604" s="9"/>
      <c r="B604" s="13" t="e">
        <f>VLOOKUP(Table27[[#This Row],[Location 
(drop-down)]],'List source'!D$2:E$59,2,FALSE)</f>
        <v>#N/A</v>
      </c>
      <c r="C604" s="25" t="s">
        <v>1565</v>
      </c>
      <c r="D604" s="33" t="e">
        <f t="shared" si="10"/>
        <v>#N/A</v>
      </c>
      <c r="E604" s="9"/>
      <c r="F604" s="10"/>
      <c r="G604" s="9"/>
      <c r="H604" s="10"/>
      <c r="I604" s="12"/>
      <c r="J604" s="12"/>
      <c r="K604" s="91"/>
      <c r="L604" s="10"/>
      <c r="M604" s="10"/>
    </row>
    <row r="605" spans="1:13" ht="18.75" x14ac:dyDescent="0.25">
      <c r="A605" s="9"/>
      <c r="B605" s="13" t="e">
        <f>VLOOKUP(Table27[[#This Row],[Location 
(drop-down)]],'List source'!D$2:E$59,2,FALSE)</f>
        <v>#N/A</v>
      </c>
      <c r="C605" s="25" t="s">
        <v>1567</v>
      </c>
      <c r="D605" s="33" t="e">
        <f t="shared" si="10"/>
        <v>#N/A</v>
      </c>
      <c r="E605" s="9"/>
      <c r="F605" s="10"/>
      <c r="G605" s="9"/>
      <c r="H605" s="10"/>
      <c r="I605" s="12"/>
      <c r="J605" s="12"/>
      <c r="K605" s="91"/>
      <c r="L605" s="10"/>
      <c r="M605" s="10"/>
    </row>
    <row r="606" spans="1:13" ht="18.75" x14ac:dyDescent="0.25">
      <c r="A606" s="9"/>
      <c r="B606" s="13" t="e">
        <f>VLOOKUP(Table27[[#This Row],[Location 
(drop-down)]],'List source'!D$2:E$59,2,FALSE)</f>
        <v>#N/A</v>
      </c>
      <c r="C606" s="25" t="s">
        <v>1570</v>
      </c>
      <c r="D606" s="33" t="e">
        <f t="shared" si="10"/>
        <v>#N/A</v>
      </c>
      <c r="E606" s="9"/>
      <c r="F606" s="10"/>
      <c r="G606" s="9"/>
      <c r="H606" s="10"/>
      <c r="I606" s="12"/>
      <c r="J606" s="12"/>
      <c r="K606" s="91"/>
      <c r="L606" s="10"/>
      <c r="M606" s="10"/>
    </row>
    <row r="607" spans="1:13" ht="18.75" x14ac:dyDescent="0.25">
      <c r="A607" s="9"/>
      <c r="B607" s="13" t="e">
        <f>VLOOKUP(Table27[[#This Row],[Location 
(drop-down)]],'List source'!D$2:E$59,2,FALSE)</f>
        <v>#N/A</v>
      </c>
      <c r="C607" s="25" t="s">
        <v>1572</v>
      </c>
      <c r="D607" s="33" t="e">
        <f t="shared" si="10"/>
        <v>#N/A</v>
      </c>
      <c r="E607" s="9"/>
      <c r="F607" s="10"/>
      <c r="G607" s="9"/>
      <c r="H607" s="10"/>
      <c r="I607" s="12"/>
      <c r="J607" s="12"/>
      <c r="K607" s="91"/>
      <c r="L607" s="10"/>
      <c r="M607" s="10"/>
    </row>
    <row r="608" spans="1:13" ht="18.75" x14ac:dyDescent="0.25">
      <c r="A608" s="9"/>
      <c r="B608" s="13" t="e">
        <f>VLOOKUP(Table27[[#This Row],[Location 
(drop-down)]],'List source'!D$2:E$59,2,FALSE)</f>
        <v>#N/A</v>
      </c>
      <c r="C608" s="25" t="s">
        <v>1573</v>
      </c>
      <c r="D608" s="33" t="e">
        <f t="shared" si="10"/>
        <v>#N/A</v>
      </c>
      <c r="E608" s="9"/>
      <c r="F608" s="10"/>
      <c r="G608" s="9"/>
      <c r="H608" s="10"/>
      <c r="I608" s="12"/>
      <c r="J608" s="12"/>
      <c r="K608" s="91"/>
      <c r="L608" s="10"/>
      <c r="M608" s="10"/>
    </row>
    <row r="609" spans="1:13" ht="18.75" x14ac:dyDescent="0.25">
      <c r="A609" s="9"/>
      <c r="B609" s="13" t="e">
        <f>VLOOKUP(Table27[[#This Row],[Location 
(drop-down)]],'List source'!D$2:E$59,2,FALSE)</f>
        <v>#N/A</v>
      </c>
      <c r="C609" s="25" t="s">
        <v>1575</v>
      </c>
      <c r="D609" s="33" t="e">
        <f t="shared" si="10"/>
        <v>#N/A</v>
      </c>
      <c r="E609" s="9"/>
      <c r="F609" s="10"/>
      <c r="G609" s="9"/>
      <c r="H609" s="10"/>
      <c r="I609" s="12"/>
      <c r="J609" s="12"/>
      <c r="K609" s="91"/>
      <c r="L609" s="10"/>
      <c r="M609" s="10"/>
    </row>
    <row r="610" spans="1:13" ht="18.75" x14ac:dyDescent="0.25">
      <c r="A610" s="9"/>
      <c r="B610" s="13" t="e">
        <f>VLOOKUP(Table27[[#This Row],[Location 
(drop-down)]],'List source'!D$2:E$59,2,FALSE)</f>
        <v>#N/A</v>
      </c>
      <c r="C610" s="25" t="s">
        <v>1577</v>
      </c>
      <c r="D610" s="33" t="e">
        <f t="shared" si="10"/>
        <v>#N/A</v>
      </c>
      <c r="E610" s="9"/>
      <c r="F610" s="10"/>
      <c r="G610" s="9"/>
      <c r="H610" s="10"/>
      <c r="I610" s="12"/>
      <c r="J610" s="12"/>
      <c r="K610" s="91"/>
      <c r="L610" s="10"/>
      <c r="M610" s="10"/>
    </row>
    <row r="611" spans="1:13" ht="18.75" x14ac:dyDescent="0.25">
      <c r="A611" s="9"/>
      <c r="B611" s="13" t="e">
        <f>VLOOKUP(Table27[[#This Row],[Location 
(drop-down)]],'List source'!D$2:E$59,2,FALSE)</f>
        <v>#N/A</v>
      </c>
      <c r="C611" s="25" t="s">
        <v>1579</v>
      </c>
      <c r="D611" s="33" t="e">
        <f t="shared" si="10"/>
        <v>#N/A</v>
      </c>
      <c r="E611" s="9"/>
      <c r="F611" s="10"/>
      <c r="G611" s="9"/>
      <c r="H611" s="10"/>
      <c r="I611" s="12"/>
      <c r="J611" s="12"/>
      <c r="K611" s="91"/>
      <c r="L611" s="10"/>
      <c r="M611" s="10"/>
    </row>
    <row r="612" spans="1:13" ht="18.75" x14ac:dyDescent="0.25">
      <c r="A612" s="9"/>
      <c r="B612" s="13" t="e">
        <f>VLOOKUP(Table27[[#This Row],[Location 
(drop-down)]],'List source'!D$2:E$59,2,FALSE)</f>
        <v>#N/A</v>
      </c>
      <c r="C612" s="25" t="s">
        <v>1581</v>
      </c>
      <c r="D612" s="33" t="e">
        <f t="shared" si="10"/>
        <v>#N/A</v>
      </c>
      <c r="E612" s="9"/>
      <c r="F612" s="10"/>
      <c r="G612" s="9"/>
      <c r="H612" s="10"/>
      <c r="I612" s="12"/>
      <c r="J612" s="12"/>
      <c r="K612" s="91"/>
      <c r="L612" s="10"/>
      <c r="M612" s="10"/>
    </row>
    <row r="613" spans="1:13" ht="18.75" x14ac:dyDescent="0.25">
      <c r="A613" s="9"/>
      <c r="B613" s="13" t="e">
        <f>VLOOKUP(Table27[[#This Row],[Location 
(drop-down)]],'List source'!D$2:E$59,2,FALSE)</f>
        <v>#N/A</v>
      </c>
      <c r="C613" s="25" t="s">
        <v>1583</v>
      </c>
      <c r="D613" s="33" t="e">
        <f t="shared" si="10"/>
        <v>#N/A</v>
      </c>
      <c r="E613" s="9"/>
      <c r="F613" s="10"/>
      <c r="G613" s="9"/>
      <c r="H613" s="10"/>
      <c r="I613" s="12"/>
      <c r="J613" s="12"/>
      <c r="K613" s="91"/>
      <c r="L613" s="10"/>
      <c r="M613" s="10"/>
    </row>
    <row r="614" spans="1:13" ht="18.75" x14ac:dyDescent="0.25">
      <c r="A614" s="9"/>
      <c r="B614" s="13" t="e">
        <f>VLOOKUP(Table27[[#This Row],[Location 
(drop-down)]],'List source'!D$2:E$59,2,FALSE)</f>
        <v>#N/A</v>
      </c>
      <c r="C614" s="25" t="s">
        <v>1585</v>
      </c>
      <c r="D614" s="33" t="e">
        <f t="shared" si="10"/>
        <v>#N/A</v>
      </c>
      <c r="E614" s="9"/>
      <c r="F614" s="10"/>
      <c r="G614" s="9"/>
      <c r="H614" s="10"/>
      <c r="I614" s="12"/>
      <c r="J614" s="12"/>
      <c r="K614" s="91"/>
      <c r="L614" s="10"/>
      <c r="M614" s="10"/>
    </row>
    <row r="615" spans="1:13" ht="18.75" x14ac:dyDescent="0.25">
      <c r="A615" s="9"/>
      <c r="B615" s="13" t="e">
        <f>VLOOKUP(Table27[[#This Row],[Location 
(drop-down)]],'List source'!D$2:E$59,2,FALSE)</f>
        <v>#N/A</v>
      </c>
      <c r="C615" s="25" t="s">
        <v>1587</v>
      </c>
      <c r="D615" s="33" t="e">
        <f t="shared" si="10"/>
        <v>#N/A</v>
      </c>
      <c r="E615" s="9"/>
      <c r="F615" s="10"/>
      <c r="G615" s="9"/>
      <c r="H615" s="10"/>
      <c r="I615" s="12"/>
      <c r="J615" s="12"/>
      <c r="K615" s="91"/>
      <c r="L615" s="10"/>
      <c r="M615" s="10"/>
    </row>
    <row r="616" spans="1:13" ht="18.75" x14ac:dyDescent="0.25">
      <c r="A616" s="9"/>
      <c r="B616" s="13" t="e">
        <f>VLOOKUP(Table27[[#This Row],[Location 
(drop-down)]],'List source'!D$2:E$59,2,FALSE)</f>
        <v>#N/A</v>
      </c>
      <c r="C616" s="25" t="s">
        <v>1589</v>
      </c>
      <c r="D616" s="33" t="e">
        <f t="shared" si="10"/>
        <v>#N/A</v>
      </c>
      <c r="E616" s="9"/>
      <c r="F616" s="10"/>
      <c r="G616" s="9"/>
      <c r="H616" s="10"/>
      <c r="I616" s="12"/>
      <c r="J616" s="12"/>
      <c r="K616" s="91"/>
      <c r="L616" s="10"/>
      <c r="M616" s="10"/>
    </row>
    <row r="617" spans="1:13" ht="18.75" x14ac:dyDescent="0.25">
      <c r="A617" s="9"/>
      <c r="B617" s="13" t="e">
        <f>VLOOKUP(Table27[[#This Row],[Location 
(drop-down)]],'List source'!D$2:E$59,2,FALSE)</f>
        <v>#N/A</v>
      </c>
      <c r="C617" s="25" t="s">
        <v>1591</v>
      </c>
      <c r="D617" s="33" t="e">
        <f t="shared" si="10"/>
        <v>#N/A</v>
      </c>
      <c r="E617" s="9"/>
      <c r="F617" s="10"/>
      <c r="G617" s="9"/>
      <c r="H617" s="10"/>
      <c r="I617" s="12"/>
      <c r="J617" s="12"/>
      <c r="K617" s="91"/>
      <c r="L617" s="10"/>
      <c r="M617" s="10"/>
    </row>
    <row r="618" spans="1:13" ht="18.75" x14ac:dyDescent="0.25">
      <c r="A618" s="9"/>
      <c r="B618" s="13" t="e">
        <f>VLOOKUP(Table27[[#This Row],[Location 
(drop-down)]],'List source'!D$2:E$59,2,FALSE)</f>
        <v>#N/A</v>
      </c>
      <c r="C618" s="25" t="s">
        <v>1593</v>
      </c>
      <c r="D618" s="33" t="e">
        <f t="shared" si="10"/>
        <v>#N/A</v>
      </c>
      <c r="E618" s="9"/>
      <c r="F618" s="10"/>
      <c r="G618" s="9"/>
      <c r="H618" s="10"/>
      <c r="I618" s="12"/>
      <c r="J618" s="12"/>
      <c r="K618" s="91"/>
      <c r="L618" s="10"/>
      <c r="M618" s="10"/>
    </row>
    <row r="619" spans="1:13" ht="18.75" x14ac:dyDescent="0.25">
      <c r="A619" s="9"/>
      <c r="B619" s="13" t="e">
        <f>VLOOKUP(Table27[[#This Row],[Location 
(drop-down)]],'List source'!D$2:E$59,2,FALSE)</f>
        <v>#N/A</v>
      </c>
      <c r="C619" s="25" t="s">
        <v>1595</v>
      </c>
      <c r="D619" s="33" t="e">
        <f t="shared" si="10"/>
        <v>#N/A</v>
      </c>
      <c r="E619" s="9"/>
      <c r="F619" s="10"/>
      <c r="G619" s="9"/>
      <c r="H619" s="10"/>
      <c r="I619" s="12"/>
      <c r="J619" s="12"/>
      <c r="K619" s="91"/>
      <c r="L619" s="10"/>
      <c r="M619" s="10"/>
    </row>
    <row r="620" spans="1:13" ht="18.75" x14ac:dyDescent="0.25">
      <c r="A620" s="9"/>
      <c r="B620" s="13" t="e">
        <f>VLOOKUP(Table27[[#This Row],[Location 
(drop-down)]],'List source'!D$2:E$59,2,FALSE)</f>
        <v>#N/A</v>
      </c>
      <c r="C620" s="25" t="s">
        <v>1597</v>
      </c>
      <c r="D620" s="33" t="e">
        <f t="shared" si="10"/>
        <v>#N/A</v>
      </c>
      <c r="E620" s="9"/>
      <c r="F620" s="10"/>
      <c r="G620" s="9"/>
      <c r="H620" s="10"/>
      <c r="I620" s="12"/>
      <c r="J620" s="12"/>
      <c r="K620" s="91"/>
      <c r="L620" s="10"/>
      <c r="M620" s="10"/>
    </row>
    <row r="621" spans="1:13" ht="18.75" x14ac:dyDescent="0.25">
      <c r="A621" s="9"/>
      <c r="B621" s="13" t="e">
        <f>VLOOKUP(Table27[[#This Row],[Location 
(drop-down)]],'List source'!D$2:E$59,2,FALSE)</f>
        <v>#N/A</v>
      </c>
      <c r="C621" s="25" t="s">
        <v>1599</v>
      </c>
      <c r="D621" s="33" t="e">
        <f t="shared" si="10"/>
        <v>#N/A</v>
      </c>
      <c r="E621" s="9"/>
      <c r="F621" s="10"/>
      <c r="G621" s="9"/>
      <c r="H621" s="10"/>
      <c r="I621" s="12"/>
      <c r="J621" s="12"/>
      <c r="K621" s="91"/>
      <c r="L621" s="10"/>
      <c r="M621" s="10"/>
    </row>
    <row r="622" spans="1:13" ht="18.75" x14ac:dyDescent="0.25">
      <c r="A622" s="9"/>
      <c r="B622" s="13" t="e">
        <f>VLOOKUP(Table27[[#This Row],[Location 
(drop-down)]],'List source'!D$2:E$59,2,FALSE)</f>
        <v>#N/A</v>
      </c>
      <c r="C622" s="25" t="s">
        <v>1601</v>
      </c>
      <c r="D622" s="33" t="e">
        <f t="shared" si="10"/>
        <v>#N/A</v>
      </c>
      <c r="E622" s="9"/>
      <c r="F622" s="10"/>
      <c r="G622" s="9"/>
      <c r="H622" s="10"/>
      <c r="I622" s="12"/>
      <c r="J622" s="12"/>
      <c r="K622" s="91"/>
      <c r="L622" s="10"/>
      <c r="M622" s="10"/>
    </row>
    <row r="623" spans="1:13" ht="18.75" x14ac:dyDescent="0.25">
      <c r="A623" s="9"/>
      <c r="B623" s="13" t="e">
        <f>VLOOKUP(Table27[[#This Row],[Location 
(drop-down)]],'List source'!D$2:E$59,2,FALSE)</f>
        <v>#N/A</v>
      </c>
      <c r="C623" s="25" t="s">
        <v>1602</v>
      </c>
      <c r="D623" s="33" t="e">
        <f t="shared" si="10"/>
        <v>#N/A</v>
      </c>
      <c r="E623" s="9"/>
      <c r="F623" s="10"/>
      <c r="G623" s="9"/>
      <c r="H623" s="10"/>
      <c r="I623" s="12"/>
      <c r="J623" s="12"/>
      <c r="K623" s="91"/>
      <c r="L623" s="10"/>
      <c r="M623" s="10"/>
    </row>
    <row r="624" spans="1:13" ht="18.75" x14ac:dyDescent="0.25">
      <c r="A624" s="9"/>
      <c r="B624" s="13" t="e">
        <f>VLOOKUP(Table27[[#This Row],[Location 
(drop-down)]],'List source'!D$2:E$59,2,FALSE)</f>
        <v>#N/A</v>
      </c>
      <c r="C624" s="25" t="s">
        <v>1604</v>
      </c>
      <c r="D624" s="33" t="e">
        <f t="shared" si="10"/>
        <v>#N/A</v>
      </c>
      <c r="E624" s="9"/>
      <c r="F624" s="10"/>
      <c r="G624" s="9"/>
      <c r="H624" s="10"/>
      <c r="I624" s="12"/>
      <c r="J624" s="12"/>
      <c r="K624" s="91"/>
      <c r="L624" s="10"/>
      <c r="M624" s="10"/>
    </row>
    <row r="625" spans="1:13" ht="18.75" x14ac:dyDescent="0.25">
      <c r="A625" s="9"/>
      <c r="B625" s="13" t="e">
        <f>VLOOKUP(Table27[[#This Row],[Location 
(drop-down)]],'List source'!D$2:E$59,2,FALSE)</f>
        <v>#N/A</v>
      </c>
      <c r="C625" s="25" t="s">
        <v>1606</v>
      </c>
      <c r="D625" s="33" t="e">
        <f t="shared" si="10"/>
        <v>#N/A</v>
      </c>
      <c r="E625" s="9"/>
      <c r="F625" s="10"/>
      <c r="G625" s="9"/>
      <c r="H625" s="10"/>
      <c r="I625" s="12"/>
      <c r="J625" s="12"/>
      <c r="K625" s="91"/>
      <c r="L625" s="10"/>
      <c r="M625" s="10"/>
    </row>
    <row r="626" spans="1:13" ht="18.75" x14ac:dyDescent="0.25">
      <c r="A626" s="9"/>
      <c r="B626" s="13" t="e">
        <f>VLOOKUP(Table27[[#This Row],[Location 
(drop-down)]],'List source'!D$2:E$59,2,FALSE)</f>
        <v>#N/A</v>
      </c>
      <c r="C626" s="25" t="s">
        <v>1608</v>
      </c>
      <c r="D626" s="33" t="e">
        <f t="shared" si="10"/>
        <v>#N/A</v>
      </c>
      <c r="E626" s="9"/>
      <c r="F626" s="10"/>
      <c r="G626" s="9"/>
      <c r="H626" s="10"/>
      <c r="I626" s="12"/>
      <c r="J626" s="12"/>
      <c r="K626" s="91"/>
      <c r="L626" s="10"/>
      <c r="M626" s="10"/>
    </row>
    <row r="627" spans="1:13" ht="18.75" x14ac:dyDescent="0.25">
      <c r="A627" s="9"/>
      <c r="B627" s="13" t="e">
        <f>VLOOKUP(Table27[[#This Row],[Location 
(drop-down)]],'List source'!D$2:E$59,2,FALSE)</f>
        <v>#N/A</v>
      </c>
      <c r="C627" s="25" t="s">
        <v>1610</v>
      </c>
      <c r="D627" s="33" t="e">
        <f t="shared" si="10"/>
        <v>#N/A</v>
      </c>
      <c r="E627" s="9"/>
      <c r="F627" s="10"/>
      <c r="G627" s="9"/>
      <c r="H627" s="10"/>
      <c r="I627" s="12"/>
      <c r="J627" s="12"/>
      <c r="K627" s="91"/>
      <c r="L627" s="10"/>
      <c r="M627" s="10"/>
    </row>
    <row r="628" spans="1:13" ht="18.75" x14ac:dyDescent="0.25">
      <c r="A628" s="9"/>
      <c r="B628" s="13" t="e">
        <f>VLOOKUP(Table27[[#This Row],[Location 
(drop-down)]],'List source'!D$2:E$59,2,FALSE)</f>
        <v>#N/A</v>
      </c>
      <c r="C628" s="25" t="s">
        <v>1612</v>
      </c>
      <c r="D628" s="33" t="e">
        <f t="shared" si="10"/>
        <v>#N/A</v>
      </c>
      <c r="E628" s="9"/>
      <c r="F628" s="10"/>
      <c r="G628" s="9"/>
      <c r="H628" s="10"/>
      <c r="I628" s="12"/>
      <c r="J628" s="12"/>
      <c r="K628" s="91"/>
      <c r="L628" s="10"/>
      <c r="M628" s="10"/>
    </row>
    <row r="629" spans="1:13" ht="18.75" x14ac:dyDescent="0.25">
      <c r="A629" s="9"/>
      <c r="B629" s="13" t="e">
        <f>VLOOKUP(Table27[[#This Row],[Location 
(drop-down)]],'List source'!D$2:E$59,2,FALSE)</f>
        <v>#N/A</v>
      </c>
      <c r="C629" s="25" t="s">
        <v>1614</v>
      </c>
      <c r="D629" s="33" t="e">
        <f t="shared" si="10"/>
        <v>#N/A</v>
      </c>
      <c r="E629" s="9"/>
      <c r="F629" s="10"/>
      <c r="G629" s="9"/>
      <c r="H629" s="10"/>
      <c r="I629" s="12"/>
      <c r="J629" s="12"/>
      <c r="K629" s="91"/>
      <c r="L629" s="10"/>
      <c r="M629" s="10"/>
    </row>
    <row r="630" spans="1:13" ht="18.75" x14ac:dyDescent="0.25">
      <c r="A630" s="9"/>
      <c r="B630" s="13" t="e">
        <f>VLOOKUP(Table27[[#This Row],[Location 
(drop-down)]],'List source'!D$2:E$59,2,FALSE)</f>
        <v>#N/A</v>
      </c>
      <c r="C630" s="25" t="s">
        <v>1616</v>
      </c>
      <c r="D630" s="33" t="e">
        <f t="shared" si="10"/>
        <v>#N/A</v>
      </c>
      <c r="E630" s="9"/>
      <c r="F630" s="10"/>
      <c r="G630" s="9"/>
      <c r="H630" s="10"/>
      <c r="I630" s="12"/>
      <c r="J630" s="12"/>
      <c r="K630" s="91"/>
      <c r="L630" s="10"/>
      <c r="M630" s="10"/>
    </row>
    <row r="631" spans="1:13" ht="18.75" x14ac:dyDescent="0.25">
      <c r="A631" s="9"/>
      <c r="B631" s="13" t="e">
        <f>VLOOKUP(Table27[[#This Row],[Location 
(drop-down)]],'List source'!D$2:E$59,2,FALSE)</f>
        <v>#N/A</v>
      </c>
      <c r="C631" s="25" t="s">
        <v>1618</v>
      </c>
      <c r="D631" s="33" t="e">
        <f t="shared" si="10"/>
        <v>#N/A</v>
      </c>
      <c r="E631" s="9"/>
      <c r="F631" s="10"/>
      <c r="G631" s="9"/>
      <c r="H631" s="10"/>
      <c r="I631" s="12"/>
      <c r="J631" s="12"/>
      <c r="K631" s="91"/>
      <c r="L631" s="10"/>
      <c r="M631" s="10"/>
    </row>
    <row r="632" spans="1:13" ht="18.75" x14ac:dyDescent="0.25">
      <c r="A632" s="9"/>
      <c r="B632" s="13" t="e">
        <f>VLOOKUP(Table27[[#This Row],[Location 
(drop-down)]],'List source'!D$2:E$59,2,FALSE)</f>
        <v>#N/A</v>
      </c>
      <c r="C632" s="25" t="s">
        <v>1620</v>
      </c>
      <c r="D632" s="33" t="e">
        <f t="shared" si="10"/>
        <v>#N/A</v>
      </c>
      <c r="E632" s="9"/>
      <c r="F632" s="10"/>
      <c r="G632" s="9"/>
      <c r="H632" s="10"/>
      <c r="I632" s="12"/>
      <c r="J632" s="12"/>
      <c r="K632" s="91"/>
      <c r="L632" s="10"/>
      <c r="M632" s="10"/>
    </row>
    <row r="633" spans="1:13" ht="18.75" x14ac:dyDescent="0.25">
      <c r="A633" s="9"/>
      <c r="B633" s="13" t="e">
        <f>VLOOKUP(Table27[[#This Row],[Location 
(drop-down)]],'List source'!D$2:E$59,2,FALSE)</f>
        <v>#N/A</v>
      </c>
      <c r="C633" s="25" t="s">
        <v>1622</v>
      </c>
      <c r="D633" s="33" t="e">
        <f t="shared" si="10"/>
        <v>#N/A</v>
      </c>
      <c r="E633" s="9"/>
      <c r="F633" s="10"/>
      <c r="G633" s="9"/>
      <c r="H633" s="10"/>
      <c r="I633" s="12"/>
      <c r="J633" s="12"/>
      <c r="K633" s="91"/>
      <c r="L633" s="10"/>
      <c r="M633" s="10"/>
    </row>
    <row r="634" spans="1:13" ht="18.75" x14ac:dyDescent="0.25">
      <c r="A634" s="9"/>
      <c r="B634" s="13" t="e">
        <f>VLOOKUP(Table27[[#This Row],[Location 
(drop-down)]],'List source'!D$2:E$59,2,FALSE)</f>
        <v>#N/A</v>
      </c>
      <c r="C634" s="25" t="s">
        <v>1624</v>
      </c>
      <c r="D634" s="33" t="e">
        <f t="shared" si="10"/>
        <v>#N/A</v>
      </c>
      <c r="E634" s="9"/>
      <c r="F634" s="10"/>
      <c r="G634" s="9"/>
      <c r="H634" s="10"/>
      <c r="I634" s="12"/>
      <c r="J634" s="12"/>
      <c r="K634" s="91"/>
      <c r="L634" s="10"/>
      <c r="M634" s="10"/>
    </row>
    <row r="635" spans="1:13" ht="18.75" x14ac:dyDescent="0.25">
      <c r="A635" s="9"/>
      <c r="B635" s="13" t="e">
        <f>VLOOKUP(Table27[[#This Row],[Location 
(drop-down)]],'List source'!D$2:E$59,2,FALSE)</f>
        <v>#N/A</v>
      </c>
      <c r="C635" s="25" t="s">
        <v>1626</v>
      </c>
      <c r="D635" s="33" t="e">
        <f t="shared" si="10"/>
        <v>#N/A</v>
      </c>
      <c r="E635" s="9"/>
      <c r="F635" s="10"/>
      <c r="G635" s="9"/>
      <c r="H635" s="10"/>
      <c r="I635" s="12"/>
      <c r="J635" s="12"/>
      <c r="K635" s="91"/>
      <c r="L635" s="10"/>
      <c r="M635" s="10"/>
    </row>
    <row r="636" spans="1:13" ht="18.75" x14ac:dyDescent="0.25">
      <c r="A636" s="9"/>
      <c r="B636" s="13" t="e">
        <f>VLOOKUP(Table27[[#This Row],[Location 
(drop-down)]],'List source'!D$2:E$59,2,FALSE)</f>
        <v>#N/A</v>
      </c>
      <c r="C636" s="25" t="s">
        <v>1628</v>
      </c>
      <c r="D636" s="33" t="e">
        <f t="shared" si="10"/>
        <v>#N/A</v>
      </c>
      <c r="E636" s="9"/>
      <c r="F636" s="10"/>
      <c r="G636" s="9"/>
      <c r="H636" s="10"/>
      <c r="I636" s="12"/>
      <c r="J636" s="12"/>
      <c r="K636" s="91"/>
      <c r="L636" s="10"/>
      <c r="M636" s="10"/>
    </row>
    <row r="637" spans="1:13" ht="18.75" x14ac:dyDescent="0.25">
      <c r="A637" s="9"/>
      <c r="B637" s="13" t="e">
        <f>VLOOKUP(Table27[[#This Row],[Location 
(drop-down)]],'List source'!D$2:E$59,2,FALSE)</f>
        <v>#N/A</v>
      </c>
      <c r="C637" s="25" t="s">
        <v>1630</v>
      </c>
      <c r="D637" s="33" t="e">
        <f t="shared" si="10"/>
        <v>#N/A</v>
      </c>
      <c r="E637" s="9"/>
      <c r="F637" s="10"/>
      <c r="G637" s="9"/>
      <c r="H637" s="10"/>
      <c r="I637" s="12"/>
      <c r="J637" s="12"/>
      <c r="K637" s="91"/>
      <c r="L637" s="10"/>
      <c r="M637" s="10"/>
    </row>
    <row r="638" spans="1:13" ht="18.75" x14ac:dyDescent="0.25">
      <c r="A638" s="9"/>
      <c r="B638" s="13" t="e">
        <f>VLOOKUP(Table27[[#This Row],[Location 
(drop-down)]],'List source'!D$2:E$59,2,FALSE)</f>
        <v>#N/A</v>
      </c>
      <c r="C638" s="25" t="s">
        <v>1632</v>
      </c>
      <c r="D638" s="33" t="e">
        <f t="shared" si="10"/>
        <v>#N/A</v>
      </c>
      <c r="E638" s="9"/>
      <c r="F638" s="10"/>
      <c r="G638" s="9"/>
      <c r="H638" s="10"/>
      <c r="I638" s="12"/>
      <c r="J638" s="12"/>
      <c r="K638" s="91"/>
      <c r="L638" s="10"/>
      <c r="M638" s="10"/>
    </row>
    <row r="639" spans="1:13" ht="18.75" x14ac:dyDescent="0.25">
      <c r="A639" s="9"/>
      <c r="B639" s="13" t="e">
        <f>VLOOKUP(Table27[[#This Row],[Location 
(drop-down)]],'List source'!D$2:E$59,2,FALSE)</f>
        <v>#N/A</v>
      </c>
      <c r="C639" s="25" t="s">
        <v>1634</v>
      </c>
      <c r="D639" s="33" t="e">
        <f t="shared" si="10"/>
        <v>#N/A</v>
      </c>
      <c r="E639" s="9"/>
      <c r="F639" s="10"/>
      <c r="G639" s="9"/>
      <c r="H639" s="10"/>
      <c r="I639" s="12"/>
      <c r="J639" s="12"/>
      <c r="K639" s="91"/>
      <c r="L639" s="10"/>
      <c r="M639" s="10"/>
    </row>
    <row r="640" spans="1:13" ht="18.75" x14ac:dyDescent="0.25">
      <c r="A640" s="9"/>
      <c r="B640" s="13" t="e">
        <f>VLOOKUP(Table27[[#This Row],[Location 
(drop-down)]],'List source'!D$2:E$59,2,FALSE)</f>
        <v>#N/A</v>
      </c>
      <c r="C640" s="25" t="s">
        <v>1636</v>
      </c>
      <c r="D640" s="33" t="e">
        <f t="shared" si="10"/>
        <v>#N/A</v>
      </c>
      <c r="E640" s="9"/>
      <c r="F640" s="10"/>
      <c r="G640" s="9"/>
      <c r="H640" s="10"/>
      <c r="I640" s="12"/>
      <c r="J640" s="12"/>
      <c r="K640" s="91"/>
      <c r="L640" s="10"/>
      <c r="M640" s="10"/>
    </row>
    <row r="641" spans="1:13" ht="18.75" x14ac:dyDescent="0.25">
      <c r="A641" s="9"/>
      <c r="B641" s="13" t="e">
        <f>VLOOKUP(Table27[[#This Row],[Location 
(drop-down)]],'List source'!D$2:E$59,2,FALSE)</f>
        <v>#N/A</v>
      </c>
      <c r="C641" s="25" t="s">
        <v>1638</v>
      </c>
      <c r="D641" s="33" t="e">
        <f t="shared" si="10"/>
        <v>#N/A</v>
      </c>
      <c r="E641" s="9"/>
      <c r="F641" s="10"/>
      <c r="G641" s="9"/>
      <c r="H641" s="10"/>
      <c r="I641" s="12"/>
      <c r="J641" s="12"/>
      <c r="K641" s="91"/>
      <c r="L641" s="10"/>
      <c r="M641" s="10"/>
    </row>
    <row r="642" spans="1:13" ht="18.75" x14ac:dyDescent="0.25">
      <c r="A642" s="9"/>
      <c r="B642" s="13" t="e">
        <f>VLOOKUP(Table27[[#This Row],[Location 
(drop-down)]],'List source'!D$2:E$59,2,FALSE)</f>
        <v>#N/A</v>
      </c>
      <c r="C642" s="25" t="s">
        <v>1640</v>
      </c>
      <c r="D642" s="33" t="e">
        <f t="shared" ref="D642:D705" si="11">"PTO" &amp; C642 &amp; "-" &amp; B642 &amp; "-" &amp; "23"</f>
        <v>#N/A</v>
      </c>
      <c r="E642" s="9"/>
      <c r="F642" s="10"/>
      <c r="G642" s="9"/>
      <c r="H642" s="10"/>
      <c r="I642" s="12"/>
      <c r="J642" s="12"/>
      <c r="K642" s="91"/>
      <c r="L642" s="10"/>
      <c r="M642" s="10"/>
    </row>
    <row r="643" spans="1:13" ht="18.75" x14ac:dyDescent="0.25">
      <c r="A643" s="9"/>
      <c r="B643" s="13" t="e">
        <f>VLOOKUP(Table27[[#This Row],[Location 
(drop-down)]],'List source'!D$2:E$59,2,FALSE)</f>
        <v>#N/A</v>
      </c>
      <c r="C643" s="25" t="s">
        <v>1642</v>
      </c>
      <c r="D643" s="33" t="e">
        <f t="shared" si="11"/>
        <v>#N/A</v>
      </c>
      <c r="E643" s="9"/>
      <c r="F643" s="10"/>
      <c r="G643" s="9"/>
      <c r="H643" s="10"/>
      <c r="I643" s="12"/>
      <c r="J643" s="12"/>
      <c r="K643" s="91"/>
      <c r="L643" s="10"/>
      <c r="M643" s="10"/>
    </row>
    <row r="644" spans="1:13" ht="18.75" x14ac:dyDescent="0.25">
      <c r="A644" s="9"/>
      <c r="B644" s="13" t="e">
        <f>VLOOKUP(Table27[[#This Row],[Location 
(drop-down)]],'List source'!D$2:E$59,2,FALSE)</f>
        <v>#N/A</v>
      </c>
      <c r="C644" s="25" t="s">
        <v>1644</v>
      </c>
      <c r="D644" s="33" t="e">
        <f t="shared" si="11"/>
        <v>#N/A</v>
      </c>
      <c r="E644" s="9"/>
      <c r="F644" s="10"/>
      <c r="G644" s="9"/>
      <c r="H644" s="10"/>
      <c r="I644" s="12"/>
      <c r="J644" s="12"/>
      <c r="K644" s="91"/>
      <c r="L644" s="10"/>
      <c r="M644" s="10"/>
    </row>
    <row r="645" spans="1:13" ht="18.75" x14ac:dyDescent="0.25">
      <c r="A645" s="9"/>
      <c r="B645" s="13" t="e">
        <f>VLOOKUP(Table27[[#This Row],[Location 
(drop-down)]],'List source'!D$2:E$59,2,FALSE)</f>
        <v>#N/A</v>
      </c>
      <c r="C645" s="25" t="s">
        <v>1646</v>
      </c>
      <c r="D645" s="33" t="e">
        <f t="shared" si="11"/>
        <v>#N/A</v>
      </c>
      <c r="E645" s="9"/>
      <c r="F645" s="10"/>
      <c r="G645" s="9"/>
      <c r="H645" s="10"/>
      <c r="I645" s="12"/>
      <c r="J645" s="12"/>
      <c r="K645" s="91"/>
      <c r="L645" s="10"/>
      <c r="M645" s="10"/>
    </row>
    <row r="646" spans="1:13" ht="18.75" x14ac:dyDescent="0.25">
      <c r="A646" s="9"/>
      <c r="B646" s="13" t="e">
        <f>VLOOKUP(Table27[[#This Row],[Location 
(drop-down)]],'List source'!D$2:E$59,2,FALSE)</f>
        <v>#N/A</v>
      </c>
      <c r="C646" s="25" t="s">
        <v>1648</v>
      </c>
      <c r="D646" s="33" t="e">
        <f t="shared" si="11"/>
        <v>#N/A</v>
      </c>
      <c r="E646" s="9"/>
      <c r="F646" s="10"/>
      <c r="G646" s="9"/>
      <c r="H646" s="10"/>
      <c r="I646" s="12"/>
      <c r="J646" s="12"/>
      <c r="K646" s="91"/>
      <c r="L646" s="10"/>
      <c r="M646" s="10"/>
    </row>
    <row r="647" spans="1:13" ht="18.75" x14ac:dyDescent="0.25">
      <c r="A647" s="9"/>
      <c r="B647" s="13" t="e">
        <f>VLOOKUP(Table27[[#This Row],[Location 
(drop-down)]],'List source'!D$2:E$59,2,FALSE)</f>
        <v>#N/A</v>
      </c>
      <c r="C647" s="25" t="s">
        <v>1650</v>
      </c>
      <c r="D647" s="33" t="e">
        <f t="shared" si="11"/>
        <v>#N/A</v>
      </c>
      <c r="E647" s="9"/>
      <c r="F647" s="10"/>
      <c r="G647" s="9"/>
      <c r="H647" s="10"/>
      <c r="I647" s="12"/>
      <c r="J647" s="12"/>
      <c r="K647" s="91"/>
      <c r="L647" s="10"/>
      <c r="M647" s="10"/>
    </row>
    <row r="648" spans="1:13" ht="18.75" x14ac:dyDescent="0.25">
      <c r="A648" s="9"/>
      <c r="B648" s="13" t="e">
        <f>VLOOKUP(Table27[[#This Row],[Location 
(drop-down)]],'List source'!D$2:E$59,2,FALSE)</f>
        <v>#N/A</v>
      </c>
      <c r="C648" s="25" t="s">
        <v>1652</v>
      </c>
      <c r="D648" s="33" t="e">
        <f t="shared" si="11"/>
        <v>#N/A</v>
      </c>
      <c r="E648" s="9"/>
      <c r="F648" s="10"/>
      <c r="G648" s="9"/>
      <c r="H648" s="10"/>
      <c r="I648" s="12"/>
      <c r="J648" s="12"/>
      <c r="K648" s="91"/>
      <c r="L648" s="10"/>
      <c r="M648" s="10"/>
    </row>
    <row r="649" spans="1:13" ht="18.75" x14ac:dyDescent="0.25">
      <c r="A649" s="9"/>
      <c r="B649" s="13" t="e">
        <f>VLOOKUP(Table27[[#This Row],[Location 
(drop-down)]],'List source'!D$2:E$59,2,FALSE)</f>
        <v>#N/A</v>
      </c>
      <c r="C649" s="25" t="s">
        <v>1654</v>
      </c>
      <c r="D649" s="33" t="e">
        <f t="shared" si="11"/>
        <v>#N/A</v>
      </c>
      <c r="E649" s="9"/>
      <c r="F649" s="10"/>
      <c r="G649" s="9"/>
      <c r="H649" s="10"/>
      <c r="I649" s="12"/>
      <c r="J649" s="12"/>
      <c r="K649" s="91"/>
      <c r="L649" s="10"/>
      <c r="M649" s="10"/>
    </row>
    <row r="650" spans="1:13" ht="18.75" x14ac:dyDescent="0.25">
      <c r="A650" s="9"/>
      <c r="B650" s="13" t="e">
        <f>VLOOKUP(Table27[[#This Row],[Location 
(drop-down)]],'List source'!D$2:E$59,2,FALSE)</f>
        <v>#N/A</v>
      </c>
      <c r="C650" s="25" t="s">
        <v>1656</v>
      </c>
      <c r="D650" s="33" t="e">
        <f t="shared" si="11"/>
        <v>#N/A</v>
      </c>
      <c r="E650" s="9"/>
      <c r="F650" s="10"/>
      <c r="G650" s="9"/>
      <c r="H650" s="10"/>
      <c r="I650" s="12"/>
      <c r="J650" s="12"/>
      <c r="K650" s="91"/>
      <c r="L650" s="10"/>
      <c r="M650" s="10"/>
    </row>
    <row r="651" spans="1:13" ht="18.75" x14ac:dyDescent="0.25">
      <c r="A651" s="9"/>
      <c r="B651" s="13" t="e">
        <f>VLOOKUP(Table27[[#This Row],[Location 
(drop-down)]],'List source'!D$2:E$59,2,FALSE)</f>
        <v>#N/A</v>
      </c>
      <c r="C651" s="25" t="s">
        <v>1659</v>
      </c>
      <c r="D651" s="33" t="e">
        <f t="shared" si="11"/>
        <v>#N/A</v>
      </c>
      <c r="E651" s="9"/>
      <c r="F651" s="10"/>
      <c r="G651" s="9"/>
      <c r="H651" s="10"/>
      <c r="I651" s="12"/>
      <c r="J651" s="12"/>
      <c r="K651" s="91"/>
      <c r="L651" s="10"/>
      <c r="M651" s="10"/>
    </row>
    <row r="652" spans="1:13" ht="18.75" x14ac:dyDescent="0.25">
      <c r="A652" s="9"/>
      <c r="B652" s="13" t="e">
        <f>VLOOKUP(Table27[[#This Row],[Location 
(drop-down)]],'List source'!D$2:E$59,2,FALSE)</f>
        <v>#N/A</v>
      </c>
      <c r="C652" s="25" t="s">
        <v>1661</v>
      </c>
      <c r="D652" s="33" t="e">
        <f t="shared" si="11"/>
        <v>#N/A</v>
      </c>
      <c r="E652" s="9"/>
      <c r="F652" s="10"/>
      <c r="G652" s="9"/>
      <c r="H652" s="10"/>
      <c r="I652" s="12"/>
      <c r="J652" s="12"/>
      <c r="K652" s="91"/>
      <c r="L652" s="10"/>
      <c r="M652" s="10"/>
    </row>
    <row r="653" spans="1:13" ht="18.75" x14ac:dyDescent="0.25">
      <c r="A653" s="9"/>
      <c r="B653" s="13" t="e">
        <f>VLOOKUP(Table27[[#This Row],[Location 
(drop-down)]],'List source'!D$2:E$59,2,FALSE)</f>
        <v>#N/A</v>
      </c>
      <c r="C653" s="25" t="s">
        <v>1662</v>
      </c>
      <c r="D653" s="33" t="e">
        <f t="shared" si="11"/>
        <v>#N/A</v>
      </c>
      <c r="E653" s="9"/>
      <c r="F653" s="10"/>
      <c r="G653" s="9"/>
      <c r="H653" s="10"/>
      <c r="I653" s="12"/>
      <c r="J653" s="12"/>
      <c r="K653" s="91"/>
      <c r="L653" s="10"/>
      <c r="M653" s="10"/>
    </row>
    <row r="654" spans="1:13" ht="18.75" x14ac:dyDescent="0.25">
      <c r="A654" s="9"/>
      <c r="B654" s="13" t="e">
        <f>VLOOKUP(Table27[[#This Row],[Location 
(drop-down)]],'List source'!D$2:E$59,2,FALSE)</f>
        <v>#N/A</v>
      </c>
      <c r="C654" s="25" t="s">
        <v>1664</v>
      </c>
      <c r="D654" s="33" t="e">
        <f t="shared" si="11"/>
        <v>#N/A</v>
      </c>
      <c r="E654" s="9"/>
      <c r="F654" s="10"/>
      <c r="G654" s="9"/>
      <c r="H654" s="10"/>
      <c r="I654" s="12"/>
      <c r="J654" s="12"/>
      <c r="K654" s="91"/>
      <c r="L654" s="10"/>
      <c r="M654" s="10"/>
    </row>
    <row r="655" spans="1:13" ht="18.75" x14ac:dyDescent="0.25">
      <c r="A655" s="9"/>
      <c r="B655" s="13" t="e">
        <f>VLOOKUP(Table27[[#This Row],[Location 
(drop-down)]],'List source'!D$2:E$59,2,FALSE)</f>
        <v>#N/A</v>
      </c>
      <c r="C655" s="25" t="s">
        <v>1665</v>
      </c>
      <c r="D655" s="33" t="e">
        <f t="shared" si="11"/>
        <v>#N/A</v>
      </c>
      <c r="E655" s="9"/>
      <c r="F655" s="10"/>
      <c r="G655" s="9"/>
      <c r="H655" s="10"/>
      <c r="I655" s="12"/>
      <c r="J655" s="12"/>
      <c r="K655" s="91"/>
      <c r="L655" s="10"/>
      <c r="M655" s="10"/>
    </row>
    <row r="656" spans="1:13" ht="18.75" x14ac:dyDescent="0.25">
      <c r="A656" s="9"/>
      <c r="B656" s="13" t="e">
        <f>VLOOKUP(Table27[[#This Row],[Location 
(drop-down)]],'List source'!D$2:E$59,2,FALSE)</f>
        <v>#N/A</v>
      </c>
      <c r="C656" s="25" t="s">
        <v>1667</v>
      </c>
      <c r="D656" s="33" t="e">
        <f t="shared" si="11"/>
        <v>#N/A</v>
      </c>
      <c r="E656" s="9"/>
      <c r="F656" s="10"/>
      <c r="G656" s="9"/>
      <c r="H656" s="10"/>
      <c r="I656" s="12"/>
      <c r="J656" s="12"/>
      <c r="K656" s="91"/>
      <c r="L656" s="10"/>
      <c r="M656" s="10"/>
    </row>
    <row r="657" spans="1:13" ht="18.75" x14ac:dyDescent="0.25">
      <c r="A657" s="9"/>
      <c r="B657" s="13" t="e">
        <f>VLOOKUP(Table27[[#This Row],[Location 
(drop-down)]],'List source'!D$2:E$59,2,FALSE)</f>
        <v>#N/A</v>
      </c>
      <c r="C657" s="25" t="s">
        <v>1669</v>
      </c>
      <c r="D657" s="33" t="e">
        <f t="shared" si="11"/>
        <v>#N/A</v>
      </c>
      <c r="E657" s="9"/>
      <c r="F657" s="10"/>
      <c r="G657" s="9"/>
      <c r="H657" s="10"/>
      <c r="I657" s="12"/>
      <c r="J657" s="12"/>
      <c r="K657" s="91"/>
      <c r="L657" s="10"/>
      <c r="M657" s="10"/>
    </row>
    <row r="658" spans="1:13" ht="18.75" x14ac:dyDescent="0.25">
      <c r="A658" s="9"/>
      <c r="B658" s="13" t="e">
        <f>VLOOKUP(Table27[[#This Row],[Location 
(drop-down)]],'List source'!D$2:E$59,2,FALSE)</f>
        <v>#N/A</v>
      </c>
      <c r="C658" s="25" t="s">
        <v>1671</v>
      </c>
      <c r="D658" s="33" t="e">
        <f t="shared" si="11"/>
        <v>#N/A</v>
      </c>
      <c r="E658" s="9"/>
      <c r="F658" s="10"/>
      <c r="G658" s="9"/>
      <c r="H658" s="10"/>
      <c r="I658" s="12"/>
      <c r="J658" s="12"/>
      <c r="K658" s="91"/>
      <c r="L658" s="10"/>
      <c r="M658" s="10"/>
    </row>
    <row r="659" spans="1:13" ht="18.75" x14ac:dyDescent="0.25">
      <c r="A659" s="9"/>
      <c r="B659" s="13" t="e">
        <f>VLOOKUP(Table27[[#This Row],[Location 
(drop-down)]],'List source'!D$2:E$59,2,FALSE)</f>
        <v>#N/A</v>
      </c>
      <c r="C659" s="25" t="s">
        <v>1673</v>
      </c>
      <c r="D659" s="33" t="e">
        <f t="shared" si="11"/>
        <v>#N/A</v>
      </c>
      <c r="E659" s="9"/>
      <c r="F659" s="10"/>
      <c r="G659" s="9"/>
      <c r="H659" s="10"/>
      <c r="I659" s="12"/>
      <c r="J659" s="12"/>
      <c r="K659" s="91"/>
      <c r="L659" s="10"/>
      <c r="M659" s="10"/>
    </row>
    <row r="660" spans="1:13" ht="18.75" x14ac:dyDescent="0.25">
      <c r="A660" s="9"/>
      <c r="B660" s="13" t="e">
        <f>VLOOKUP(Table27[[#This Row],[Location 
(drop-down)]],'List source'!D$2:E$59,2,FALSE)</f>
        <v>#N/A</v>
      </c>
      <c r="C660" s="25" t="s">
        <v>1675</v>
      </c>
      <c r="D660" s="33" t="e">
        <f t="shared" si="11"/>
        <v>#N/A</v>
      </c>
      <c r="E660" s="9"/>
      <c r="F660" s="10"/>
      <c r="G660" s="9"/>
      <c r="H660" s="10"/>
      <c r="I660" s="12"/>
      <c r="J660" s="12"/>
      <c r="K660" s="91"/>
      <c r="L660" s="10"/>
      <c r="M660" s="10"/>
    </row>
    <row r="661" spans="1:13" ht="18.75" x14ac:dyDescent="0.25">
      <c r="A661" s="9"/>
      <c r="B661" s="13" t="e">
        <f>VLOOKUP(Table27[[#This Row],[Location 
(drop-down)]],'List source'!D$2:E$59,2,FALSE)</f>
        <v>#N/A</v>
      </c>
      <c r="C661" s="25" t="s">
        <v>1677</v>
      </c>
      <c r="D661" s="33" t="e">
        <f t="shared" si="11"/>
        <v>#N/A</v>
      </c>
      <c r="E661" s="9"/>
      <c r="F661" s="10"/>
      <c r="G661" s="9"/>
      <c r="H661" s="10"/>
      <c r="I661" s="12"/>
      <c r="J661" s="12"/>
      <c r="K661" s="91"/>
      <c r="L661" s="10"/>
      <c r="M661" s="10"/>
    </row>
    <row r="662" spans="1:13" ht="18.75" x14ac:dyDescent="0.25">
      <c r="A662" s="9"/>
      <c r="B662" s="13" t="e">
        <f>VLOOKUP(Table27[[#This Row],[Location 
(drop-down)]],'List source'!D$2:E$59,2,FALSE)</f>
        <v>#N/A</v>
      </c>
      <c r="C662" s="25" t="s">
        <v>1679</v>
      </c>
      <c r="D662" s="33" t="e">
        <f t="shared" si="11"/>
        <v>#N/A</v>
      </c>
      <c r="E662" s="9"/>
      <c r="F662" s="10"/>
      <c r="G662" s="9"/>
      <c r="H662" s="10"/>
      <c r="I662" s="12"/>
      <c r="J662" s="12"/>
      <c r="K662" s="91"/>
      <c r="L662" s="10"/>
      <c r="M662" s="10"/>
    </row>
    <row r="663" spans="1:13" ht="18.75" x14ac:dyDescent="0.25">
      <c r="A663" s="9"/>
      <c r="B663" s="13" t="e">
        <f>VLOOKUP(Table27[[#This Row],[Location 
(drop-down)]],'List source'!D$2:E$59,2,FALSE)</f>
        <v>#N/A</v>
      </c>
      <c r="C663" s="25" t="s">
        <v>1681</v>
      </c>
      <c r="D663" s="33" t="e">
        <f t="shared" si="11"/>
        <v>#N/A</v>
      </c>
      <c r="E663" s="9"/>
      <c r="F663" s="10"/>
      <c r="G663" s="9"/>
      <c r="H663" s="10"/>
      <c r="I663" s="12"/>
      <c r="J663" s="12"/>
      <c r="K663" s="91"/>
      <c r="L663" s="10"/>
      <c r="M663" s="10"/>
    </row>
    <row r="664" spans="1:13" ht="18.75" x14ac:dyDescent="0.25">
      <c r="A664" s="9"/>
      <c r="B664" s="13" t="e">
        <f>VLOOKUP(Table27[[#This Row],[Location 
(drop-down)]],'List source'!D$2:E$59,2,FALSE)</f>
        <v>#N/A</v>
      </c>
      <c r="C664" s="25" t="s">
        <v>1683</v>
      </c>
      <c r="D664" s="33" t="e">
        <f t="shared" si="11"/>
        <v>#N/A</v>
      </c>
      <c r="E664" s="9"/>
      <c r="F664" s="10"/>
      <c r="G664" s="9"/>
      <c r="H664" s="10"/>
      <c r="I664" s="12"/>
      <c r="J664" s="12"/>
      <c r="K664" s="91"/>
      <c r="L664" s="10"/>
      <c r="M664" s="10"/>
    </row>
    <row r="665" spans="1:13" ht="18.75" x14ac:dyDescent="0.25">
      <c r="A665" s="9"/>
      <c r="B665" s="13" t="e">
        <f>VLOOKUP(Table27[[#This Row],[Location 
(drop-down)]],'List source'!D$2:E$59,2,FALSE)</f>
        <v>#N/A</v>
      </c>
      <c r="C665" s="25" t="s">
        <v>1685</v>
      </c>
      <c r="D665" s="33" t="e">
        <f t="shared" si="11"/>
        <v>#N/A</v>
      </c>
      <c r="E665" s="9"/>
      <c r="F665" s="10"/>
      <c r="G665" s="9"/>
      <c r="H665" s="10"/>
      <c r="I665" s="12"/>
      <c r="J665" s="12"/>
      <c r="K665" s="91"/>
      <c r="L665" s="10"/>
      <c r="M665" s="10"/>
    </row>
    <row r="666" spans="1:13" ht="18.75" x14ac:dyDescent="0.25">
      <c r="A666" s="9"/>
      <c r="B666" s="13" t="e">
        <f>VLOOKUP(Table27[[#This Row],[Location 
(drop-down)]],'List source'!D$2:E$59,2,FALSE)</f>
        <v>#N/A</v>
      </c>
      <c r="C666" s="25" t="s">
        <v>1687</v>
      </c>
      <c r="D666" s="33" t="e">
        <f t="shared" si="11"/>
        <v>#N/A</v>
      </c>
      <c r="E666" s="9"/>
      <c r="F666" s="10"/>
      <c r="G666" s="9"/>
      <c r="H666" s="10"/>
      <c r="I666" s="12"/>
      <c r="J666" s="12"/>
      <c r="K666" s="91"/>
      <c r="L666" s="10"/>
      <c r="M666" s="10"/>
    </row>
    <row r="667" spans="1:13" ht="18.75" x14ac:dyDescent="0.25">
      <c r="A667" s="9"/>
      <c r="B667" s="13" t="e">
        <f>VLOOKUP(Table27[[#This Row],[Location 
(drop-down)]],'List source'!D$2:E$59,2,FALSE)</f>
        <v>#N/A</v>
      </c>
      <c r="C667" s="25" t="s">
        <v>1689</v>
      </c>
      <c r="D667" s="33" t="e">
        <f t="shared" si="11"/>
        <v>#N/A</v>
      </c>
      <c r="E667" s="9"/>
      <c r="F667" s="10"/>
      <c r="G667" s="9"/>
      <c r="H667" s="10"/>
      <c r="I667" s="12"/>
      <c r="J667" s="12"/>
      <c r="K667" s="91"/>
      <c r="L667" s="10"/>
      <c r="M667" s="10"/>
    </row>
    <row r="668" spans="1:13" ht="18.75" x14ac:dyDescent="0.25">
      <c r="A668" s="9"/>
      <c r="B668" s="13" t="e">
        <f>VLOOKUP(Table27[[#This Row],[Location 
(drop-down)]],'List source'!D$2:E$59,2,FALSE)</f>
        <v>#N/A</v>
      </c>
      <c r="C668" s="25" t="s">
        <v>1691</v>
      </c>
      <c r="D668" s="33" t="e">
        <f t="shared" si="11"/>
        <v>#N/A</v>
      </c>
      <c r="E668" s="9"/>
      <c r="F668" s="10"/>
      <c r="G668" s="9"/>
      <c r="H668" s="10"/>
      <c r="I668" s="12"/>
      <c r="J668" s="12"/>
      <c r="K668" s="91"/>
      <c r="L668" s="10"/>
      <c r="M668" s="10"/>
    </row>
    <row r="669" spans="1:13" ht="18.75" x14ac:dyDescent="0.25">
      <c r="A669" s="9"/>
      <c r="B669" s="13" t="e">
        <f>VLOOKUP(Table27[[#This Row],[Location 
(drop-down)]],'List source'!D$2:E$59,2,FALSE)</f>
        <v>#N/A</v>
      </c>
      <c r="C669" s="25" t="s">
        <v>1693</v>
      </c>
      <c r="D669" s="33" t="e">
        <f t="shared" si="11"/>
        <v>#N/A</v>
      </c>
      <c r="E669" s="9"/>
      <c r="F669" s="10"/>
      <c r="G669" s="9"/>
      <c r="H669" s="10"/>
      <c r="I669" s="12"/>
      <c r="J669" s="12"/>
      <c r="K669" s="91"/>
      <c r="L669" s="10"/>
      <c r="M669" s="10"/>
    </row>
    <row r="670" spans="1:13" ht="18.75" x14ac:dyDescent="0.25">
      <c r="A670" s="9"/>
      <c r="B670" s="13" t="e">
        <f>VLOOKUP(Table27[[#This Row],[Location 
(drop-down)]],'List source'!D$2:E$59,2,FALSE)</f>
        <v>#N/A</v>
      </c>
      <c r="C670" s="25" t="s">
        <v>1695</v>
      </c>
      <c r="D670" s="33" t="e">
        <f t="shared" si="11"/>
        <v>#N/A</v>
      </c>
      <c r="E670" s="9"/>
      <c r="F670" s="10"/>
      <c r="G670" s="9"/>
      <c r="H670" s="10"/>
      <c r="I670" s="12"/>
      <c r="J670" s="12"/>
      <c r="K670" s="91"/>
      <c r="L670" s="10"/>
      <c r="M670" s="10"/>
    </row>
    <row r="671" spans="1:13" ht="18.75" x14ac:dyDescent="0.25">
      <c r="A671" s="9"/>
      <c r="B671" s="13" t="e">
        <f>VLOOKUP(Table27[[#This Row],[Location 
(drop-down)]],'List source'!D$2:E$59,2,FALSE)</f>
        <v>#N/A</v>
      </c>
      <c r="C671" s="25" t="s">
        <v>1697</v>
      </c>
      <c r="D671" s="33" t="e">
        <f t="shared" si="11"/>
        <v>#N/A</v>
      </c>
      <c r="E671" s="9"/>
      <c r="F671" s="10"/>
      <c r="G671" s="9"/>
      <c r="H671" s="10"/>
      <c r="I671" s="12"/>
      <c r="J671" s="12"/>
      <c r="K671" s="91"/>
      <c r="L671" s="10"/>
      <c r="M671" s="10"/>
    </row>
    <row r="672" spans="1:13" ht="18.75" x14ac:dyDescent="0.25">
      <c r="A672" s="9"/>
      <c r="B672" s="13" t="e">
        <f>VLOOKUP(Table27[[#This Row],[Location 
(drop-down)]],'List source'!D$2:E$59,2,FALSE)</f>
        <v>#N/A</v>
      </c>
      <c r="C672" s="25" t="s">
        <v>1699</v>
      </c>
      <c r="D672" s="33" t="e">
        <f t="shared" si="11"/>
        <v>#N/A</v>
      </c>
      <c r="E672" s="9"/>
      <c r="F672" s="10"/>
      <c r="G672" s="9"/>
      <c r="H672" s="10"/>
      <c r="I672" s="12"/>
      <c r="J672" s="12"/>
      <c r="K672" s="91"/>
      <c r="L672" s="10"/>
      <c r="M672" s="10"/>
    </row>
    <row r="673" spans="1:13" ht="18.75" x14ac:dyDescent="0.25">
      <c r="A673" s="9"/>
      <c r="B673" s="13" t="e">
        <f>VLOOKUP(Table27[[#This Row],[Location 
(drop-down)]],'List source'!D$2:E$59,2,FALSE)</f>
        <v>#N/A</v>
      </c>
      <c r="C673" s="25" t="s">
        <v>1700</v>
      </c>
      <c r="D673" s="33" t="e">
        <f t="shared" si="11"/>
        <v>#N/A</v>
      </c>
      <c r="E673" s="9"/>
      <c r="F673" s="10"/>
      <c r="G673" s="9"/>
      <c r="H673" s="10"/>
      <c r="I673" s="12"/>
      <c r="J673" s="12"/>
      <c r="K673" s="91"/>
      <c r="L673" s="10"/>
      <c r="M673" s="10"/>
    </row>
    <row r="674" spans="1:13" ht="18.75" x14ac:dyDescent="0.25">
      <c r="A674" s="9"/>
      <c r="B674" s="13" t="e">
        <f>VLOOKUP(Table27[[#This Row],[Location 
(drop-down)]],'List source'!D$2:E$59,2,FALSE)</f>
        <v>#N/A</v>
      </c>
      <c r="C674" s="25" t="s">
        <v>1701</v>
      </c>
      <c r="D674" s="33" t="e">
        <f t="shared" si="11"/>
        <v>#N/A</v>
      </c>
      <c r="E674" s="9"/>
      <c r="F674" s="10"/>
      <c r="G674" s="9"/>
      <c r="H674" s="10"/>
      <c r="I674" s="12"/>
      <c r="J674" s="12"/>
      <c r="K674" s="91"/>
      <c r="L674" s="10"/>
      <c r="M674" s="10"/>
    </row>
    <row r="675" spans="1:13" ht="18.75" x14ac:dyDescent="0.25">
      <c r="A675" s="9"/>
      <c r="B675" s="13" t="e">
        <f>VLOOKUP(Table27[[#This Row],[Location 
(drop-down)]],'List source'!D$2:E$59,2,FALSE)</f>
        <v>#N/A</v>
      </c>
      <c r="C675" s="25" t="s">
        <v>1703</v>
      </c>
      <c r="D675" s="33" t="e">
        <f t="shared" si="11"/>
        <v>#N/A</v>
      </c>
      <c r="E675" s="9"/>
      <c r="F675" s="10"/>
      <c r="G675" s="9"/>
      <c r="H675" s="10"/>
      <c r="I675" s="12"/>
      <c r="J675" s="12"/>
      <c r="K675" s="91"/>
      <c r="L675" s="10"/>
      <c r="M675" s="10"/>
    </row>
    <row r="676" spans="1:13" ht="18.75" x14ac:dyDescent="0.25">
      <c r="A676" s="9"/>
      <c r="B676" s="13" t="e">
        <f>VLOOKUP(Table27[[#This Row],[Location 
(drop-down)]],'List source'!D$2:E$59,2,FALSE)</f>
        <v>#N/A</v>
      </c>
      <c r="C676" s="25" t="s">
        <v>1706</v>
      </c>
      <c r="D676" s="33" t="e">
        <f t="shared" si="11"/>
        <v>#N/A</v>
      </c>
      <c r="E676" s="9"/>
      <c r="F676" s="10"/>
      <c r="G676" s="9"/>
      <c r="H676" s="10"/>
      <c r="I676" s="12"/>
      <c r="J676" s="12"/>
      <c r="K676" s="91"/>
      <c r="L676" s="10"/>
      <c r="M676" s="10"/>
    </row>
    <row r="677" spans="1:13" ht="18.75" x14ac:dyDescent="0.25">
      <c r="A677" s="9"/>
      <c r="B677" s="13" t="e">
        <f>VLOOKUP(Table27[[#This Row],[Location 
(drop-down)]],'List source'!D$2:E$59,2,FALSE)</f>
        <v>#N/A</v>
      </c>
      <c r="C677" s="25" t="s">
        <v>1708</v>
      </c>
      <c r="D677" s="33" t="e">
        <f t="shared" si="11"/>
        <v>#N/A</v>
      </c>
      <c r="E677" s="9"/>
      <c r="F677" s="10"/>
      <c r="G677" s="9"/>
      <c r="H677" s="10"/>
      <c r="I677" s="12"/>
      <c r="J677" s="12"/>
      <c r="K677" s="91"/>
      <c r="L677" s="10"/>
      <c r="M677" s="10"/>
    </row>
    <row r="678" spans="1:13" ht="18.75" x14ac:dyDescent="0.25">
      <c r="A678" s="9"/>
      <c r="B678" s="13" t="e">
        <f>VLOOKUP(Table27[[#This Row],[Location 
(drop-down)]],'List source'!D$2:E$59,2,FALSE)</f>
        <v>#N/A</v>
      </c>
      <c r="C678" s="25" t="s">
        <v>1710</v>
      </c>
      <c r="D678" s="33" t="e">
        <f t="shared" si="11"/>
        <v>#N/A</v>
      </c>
      <c r="E678" s="9"/>
      <c r="F678" s="10"/>
      <c r="G678" s="9"/>
      <c r="H678" s="10"/>
      <c r="I678" s="12"/>
      <c r="J678" s="12"/>
      <c r="K678" s="91"/>
      <c r="L678" s="10"/>
      <c r="M678" s="10"/>
    </row>
    <row r="679" spans="1:13" ht="18.75" x14ac:dyDescent="0.25">
      <c r="A679" s="9"/>
      <c r="B679" s="13" t="e">
        <f>VLOOKUP(Table27[[#This Row],[Location 
(drop-down)]],'List source'!D$2:E$59,2,FALSE)</f>
        <v>#N/A</v>
      </c>
      <c r="C679" s="25" t="s">
        <v>1712</v>
      </c>
      <c r="D679" s="33" t="e">
        <f t="shared" si="11"/>
        <v>#N/A</v>
      </c>
      <c r="E679" s="9"/>
      <c r="F679" s="10"/>
      <c r="G679" s="9"/>
      <c r="H679" s="10"/>
      <c r="I679" s="12"/>
      <c r="J679" s="12"/>
      <c r="K679" s="91"/>
      <c r="L679" s="10"/>
      <c r="M679" s="10"/>
    </row>
    <row r="680" spans="1:13" ht="18.75" x14ac:dyDescent="0.25">
      <c r="A680" s="9"/>
      <c r="B680" s="13" t="e">
        <f>VLOOKUP(Table27[[#This Row],[Location 
(drop-down)]],'List source'!D$2:E$59,2,FALSE)</f>
        <v>#N/A</v>
      </c>
      <c r="C680" s="25" t="s">
        <v>1714</v>
      </c>
      <c r="D680" s="33" t="e">
        <f t="shared" si="11"/>
        <v>#N/A</v>
      </c>
      <c r="E680" s="9"/>
      <c r="F680" s="10"/>
      <c r="G680" s="9"/>
      <c r="H680" s="10"/>
      <c r="I680" s="12"/>
      <c r="J680" s="12"/>
      <c r="K680" s="91"/>
      <c r="L680" s="10"/>
      <c r="M680" s="10"/>
    </row>
    <row r="681" spans="1:13" ht="18.75" x14ac:dyDescent="0.25">
      <c r="A681" s="9"/>
      <c r="B681" s="13" t="e">
        <f>VLOOKUP(Table27[[#This Row],[Location 
(drop-down)]],'List source'!D$2:E$59,2,FALSE)</f>
        <v>#N/A</v>
      </c>
      <c r="C681" s="25" t="s">
        <v>1716</v>
      </c>
      <c r="D681" s="33" t="e">
        <f t="shared" si="11"/>
        <v>#N/A</v>
      </c>
      <c r="E681" s="9"/>
      <c r="F681" s="10"/>
      <c r="G681" s="9"/>
      <c r="H681" s="10"/>
      <c r="I681" s="12"/>
      <c r="J681" s="12"/>
      <c r="K681" s="91"/>
      <c r="L681" s="10"/>
      <c r="M681" s="10"/>
    </row>
    <row r="682" spans="1:13" ht="18.75" x14ac:dyDescent="0.25">
      <c r="A682" s="9"/>
      <c r="B682" s="13" t="e">
        <f>VLOOKUP(Table27[[#This Row],[Location 
(drop-down)]],'List source'!D$2:E$59,2,FALSE)</f>
        <v>#N/A</v>
      </c>
      <c r="C682" s="25" t="s">
        <v>1718</v>
      </c>
      <c r="D682" s="33" t="e">
        <f t="shared" si="11"/>
        <v>#N/A</v>
      </c>
      <c r="E682" s="9"/>
      <c r="F682" s="10"/>
      <c r="G682" s="9"/>
      <c r="H682" s="10"/>
      <c r="I682" s="12"/>
      <c r="J682" s="12"/>
      <c r="K682" s="91"/>
      <c r="L682" s="10"/>
      <c r="M682" s="10"/>
    </row>
    <row r="683" spans="1:13" ht="18.75" x14ac:dyDescent="0.25">
      <c r="A683" s="9"/>
      <c r="B683" s="13" t="e">
        <f>VLOOKUP(Table27[[#This Row],[Location 
(drop-down)]],'List source'!D$2:E$59,2,FALSE)</f>
        <v>#N/A</v>
      </c>
      <c r="C683" s="25" t="s">
        <v>1721</v>
      </c>
      <c r="D683" s="33" t="e">
        <f t="shared" si="11"/>
        <v>#N/A</v>
      </c>
      <c r="E683" s="9"/>
      <c r="F683" s="10"/>
      <c r="G683" s="9"/>
      <c r="H683" s="10"/>
      <c r="I683" s="12"/>
      <c r="J683" s="12"/>
      <c r="K683" s="91"/>
      <c r="L683" s="10"/>
      <c r="M683" s="10"/>
    </row>
    <row r="684" spans="1:13" ht="18.75" x14ac:dyDescent="0.25">
      <c r="A684" s="9"/>
      <c r="B684" s="13" t="e">
        <f>VLOOKUP(Table27[[#This Row],[Location 
(drop-down)]],'List source'!D$2:E$59,2,FALSE)</f>
        <v>#N/A</v>
      </c>
      <c r="C684" s="25" t="s">
        <v>1723</v>
      </c>
      <c r="D684" s="33" t="e">
        <f t="shared" si="11"/>
        <v>#N/A</v>
      </c>
      <c r="E684" s="9"/>
      <c r="F684" s="10"/>
      <c r="G684" s="9"/>
      <c r="H684" s="10"/>
      <c r="I684" s="12"/>
      <c r="J684" s="12"/>
      <c r="K684" s="91"/>
      <c r="L684" s="10"/>
      <c r="M684" s="10"/>
    </row>
    <row r="685" spans="1:13" ht="18.75" x14ac:dyDescent="0.25">
      <c r="A685" s="9"/>
      <c r="B685" s="13" t="e">
        <f>VLOOKUP(Table27[[#This Row],[Location 
(drop-down)]],'List source'!D$2:E$59,2,FALSE)</f>
        <v>#N/A</v>
      </c>
      <c r="C685" s="25" t="s">
        <v>1724</v>
      </c>
      <c r="D685" s="33" t="e">
        <f t="shared" si="11"/>
        <v>#N/A</v>
      </c>
      <c r="E685" s="9"/>
      <c r="F685" s="10"/>
      <c r="G685" s="9"/>
      <c r="H685" s="10"/>
      <c r="I685" s="12"/>
      <c r="J685" s="12"/>
      <c r="K685" s="91"/>
      <c r="L685" s="10"/>
      <c r="M685" s="10"/>
    </row>
    <row r="686" spans="1:13" ht="18.75" x14ac:dyDescent="0.25">
      <c r="A686" s="9"/>
      <c r="B686" s="13" t="e">
        <f>VLOOKUP(Table27[[#This Row],[Location 
(drop-down)]],'List source'!D$2:E$59,2,FALSE)</f>
        <v>#N/A</v>
      </c>
      <c r="C686" s="25" t="s">
        <v>1726</v>
      </c>
      <c r="D686" s="33" t="e">
        <f t="shared" si="11"/>
        <v>#N/A</v>
      </c>
      <c r="E686" s="9"/>
      <c r="F686" s="10"/>
      <c r="G686" s="9"/>
      <c r="H686" s="10"/>
      <c r="I686" s="12"/>
      <c r="J686" s="12"/>
      <c r="K686" s="91"/>
      <c r="L686" s="10"/>
      <c r="M686" s="10"/>
    </row>
    <row r="687" spans="1:13" ht="18.75" x14ac:dyDescent="0.25">
      <c r="A687" s="9"/>
      <c r="B687" s="13" t="e">
        <f>VLOOKUP(Table27[[#This Row],[Location 
(drop-down)]],'List source'!D$2:E$59,2,FALSE)</f>
        <v>#N/A</v>
      </c>
      <c r="C687" s="25" t="s">
        <v>1728</v>
      </c>
      <c r="D687" s="33" t="e">
        <f t="shared" si="11"/>
        <v>#N/A</v>
      </c>
      <c r="E687" s="9"/>
      <c r="F687" s="10"/>
      <c r="G687" s="9"/>
      <c r="H687" s="10"/>
      <c r="I687" s="12"/>
      <c r="J687" s="12"/>
      <c r="K687" s="91"/>
      <c r="L687" s="10"/>
      <c r="M687" s="10"/>
    </row>
    <row r="688" spans="1:13" ht="18.75" x14ac:dyDescent="0.25">
      <c r="A688" s="9"/>
      <c r="B688" s="13" t="e">
        <f>VLOOKUP(Table27[[#This Row],[Location 
(drop-down)]],'List source'!D$2:E$59,2,FALSE)</f>
        <v>#N/A</v>
      </c>
      <c r="C688" s="25" t="s">
        <v>1730</v>
      </c>
      <c r="D688" s="33" t="e">
        <f t="shared" si="11"/>
        <v>#N/A</v>
      </c>
      <c r="E688" s="9"/>
      <c r="F688" s="10"/>
      <c r="G688" s="9"/>
      <c r="H688" s="10"/>
      <c r="I688" s="12"/>
      <c r="J688" s="12"/>
      <c r="K688" s="91"/>
      <c r="L688" s="10"/>
      <c r="M688" s="10"/>
    </row>
    <row r="689" spans="1:13" ht="18.75" x14ac:dyDescent="0.25">
      <c r="A689" s="9"/>
      <c r="B689" s="13" t="e">
        <f>VLOOKUP(Table27[[#This Row],[Location 
(drop-down)]],'List source'!D$2:E$59,2,FALSE)</f>
        <v>#N/A</v>
      </c>
      <c r="C689" s="25" t="s">
        <v>1732</v>
      </c>
      <c r="D689" s="33" t="e">
        <f t="shared" si="11"/>
        <v>#N/A</v>
      </c>
      <c r="E689" s="9"/>
      <c r="F689" s="10"/>
      <c r="G689" s="9"/>
      <c r="H689" s="10"/>
      <c r="I689" s="12"/>
      <c r="J689" s="12"/>
      <c r="K689" s="91"/>
      <c r="L689" s="10"/>
      <c r="M689" s="10"/>
    </row>
    <row r="690" spans="1:13" ht="18.75" x14ac:dyDescent="0.25">
      <c r="A690" s="9"/>
      <c r="B690" s="13" t="e">
        <f>VLOOKUP(Table27[[#This Row],[Location 
(drop-down)]],'List source'!D$2:E$59,2,FALSE)</f>
        <v>#N/A</v>
      </c>
      <c r="C690" s="25" t="s">
        <v>1734</v>
      </c>
      <c r="D690" s="33" t="e">
        <f t="shared" si="11"/>
        <v>#N/A</v>
      </c>
      <c r="E690" s="9"/>
      <c r="F690" s="10"/>
      <c r="G690" s="9"/>
      <c r="H690" s="10"/>
      <c r="I690" s="12"/>
      <c r="J690" s="12"/>
      <c r="K690" s="91"/>
      <c r="L690" s="10"/>
      <c r="M690" s="10"/>
    </row>
    <row r="691" spans="1:13" ht="18.75" x14ac:dyDescent="0.25">
      <c r="A691" s="9"/>
      <c r="B691" s="13" t="e">
        <f>VLOOKUP(Table27[[#This Row],[Location 
(drop-down)]],'List source'!D$2:E$59,2,FALSE)</f>
        <v>#N/A</v>
      </c>
      <c r="C691" s="25" t="s">
        <v>1735</v>
      </c>
      <c r="D691" s="33" t="e">
        <f t="shared" si="11"/>
        <v>#N/A</v>
      </c>
      <c r="E691" s="9"/>
      <c r="F691" s="10"/>
      <c r="G691" s="9"/>
      <c r="H691" s="10"/>
      <c r="I691" s="12"/>
      <c r="J691" s="12"/>
      <c r="K691" s="91"/>
      <c r="L691" s="10"/>
      <c r="M691" s="10"/>
    </row>
    <row r="692" spans="1:13" ht="18.75" x14ac:dyDescent="0.25">
      <c r="A692" s="9"/>
      <c r="B692" s="13" t="e">
        <f>VLOOKUP(Table27[[#This Row],[Location 
(drop-down)]],'List source'!D$2:E$59,2,FALSE)</f>
        <v>#N/A</v>
      </c>
      <c r="C692" s="25" t="s">
        <v>1737</v>
      </c>
      <c r="D692" s="33" t="e">
        <f t="shared" si="11"/>
        <v>#N/A</v>
      </c>
      <c r="E692" s="9"/>
      <c r="F692" s="10"/>
      <c r="G692" s="9"/>
      <c r="H692" s="10"/>
      <c r="I692" s="12"/>
      <c r="J692" s="12"/>
      <c r="K692" s="91"/>
      <c r="L692" s="10"/>
      <c r="M692" s="10"/>
    </row>
    <row r="693" spans="1:13" ht="18.75" x14ac:dyDescent="0.25">
      <c r="A693" s="9"/>
      <c r="B693" s="13" t="e">
        <f>VLOOKUP(Table27[[#This Row],[Location 
(drop-down)]],'List source'!D$2:E$59,2,FALSE)</f>
        <v>#N/A</v>
      </c>
      <c r="C693" s="25" t="s">
        <v>1739</v>
      </c>
      <c r="D693" s="33" t="e">
        <f t="shared" si="11"/>
        <v>#N/A</v>
      </c>
      <c r="E693" s="9"/>
      <c r="F693" s="10"/>
      <c r="G693" s="9"/>
      <c r="H693" s="10"/>
      <c r="I693" s="12"/>
      <c r="J693" s="12"/>
      <c r="K693" s="91"/>
      <c r="L693" s="10"/>
      <c r="M693" s="10"/>
    </row>
    <row r="694" spans="1:13" ht="18.75" x14ac:dyDescent="0.25">
      <c r="A694" s="9"/>
      <c r="B694" s="13" t="e">
        <f>VLOOKUP(Table27[[#This Row],[Location 
(drop-down)]],'List source'!D$2:E$59,2,FALSE)</f>
        <v>#N/A</v>
      </c>
      <c r="C694" s="25" t="s">
        <v>1741</v>
      </c>
      <c r="D694" s="33" t="e">
        <f t="shared" si="11"/>
        <v>#N/A</v>
      </c>
      <c r="E694" s="9"/>
      <c r="F694" s="10"/>
      <c r="G694" s="9"/>
      <c r="H694" s="10"/>
      <c r="I694" s="12"/>
      <c r="J694" s="12"/>
      <c r="K694" s="91"/>
      <c r="L694" s="10"/>
      <c r="M694" s="10"/>
    </row>
    <row r="695" spans="1:13" ht="18.75" x14ac:dyDescent="0.25">
      <c r="A695" s="9"/>
      <c r="B695" s="13" t="e">
        <f>VLOOKUP(Table27[[#This Row],[Location 
(drop-down)]],'List source'!D$2:E$59,2,FALSE)</f>
        <v>#N/A</v>
      </c>
      <c r="C695" s="25" t="s">
        <v>1743</v>
      </c>
      <c r="D695" s="33" t="e">
        <f t="shared" si="11"/>
        <v>#N/A</v>
      </c>
      <c r="E695" s="9"/>
      <c r="F695" s="10"/>
      <c r="G695" s="9"/>
      <c r="H695" s="10"/>
      <c r="I695" s="12"/>
      <c r="J695" s="12"/>
      <c r="K695" s="91"/>
      <c r="L695" s="10"/>
      <c r="M695" s="10"/>
    </row>
    <row r="696" spans="1:13" ht="18.75" x14ac:dyDescent="0.25">
      <c r="A696" s="9"/>
      <c r="B696" s="13" t="e">
        <f>VLOOKUP(Table27[[#This Row],[Location 
(drop-down)]],'List source'!D$2:E$59,2,FALSE)</f>
        <v>#N/A</v>
      </c>
      <c r="C696" s="25" t="s">
        <v>1744</v>
      </c>
      <c r="D696" s="33" t="e">
        <f t="shared" si="11"/>
        <v>#N/A</v>
      </c>
      <c r="E696" s="9"/>
      <c r="F696" s="10"/>
      <c r="G696" s="9"/>
      <c r="H696" s="10"/>
      <c r="I696" s="12"/>
      <c r="J696" s="12"/>
      <c r="K696" s="91"/>
      <c r="L696" s="10"/>
      <c r="M696" s="10"/>
    </row>
    <row r="697" spans="1:13" ht="18.75" x14ac:dyDescent="0.25">
      <c r="A697" s="9"/>
      <c r="B697" s="13" t="e">
        <f>VLOOKUP(Table27[[#This Row],[Location 
(drop-down)]],'List source'!D$2:E$59,2,FALSE)</f>
        <v>#N/A</v>
      </c>
      <c r="C697" s="25" t="s">
        <v>1746</v>
      </c>
      <c r="D697" s="33" t="e">
        <f t="shared" si="11"/>
        <v>#N/A</v>
      </c>
      <c r="E697" s="9"/>
      <c r="F697" s="10"/>
      <c r="G697" s="9"/>
      <c r="H697" s="10"/>
      <c r="I697" s="12"/>
      <c r="J697" s="12"/>
      <c r="K697" s="91"/>
      <c r="L697" s="10"/>
      <c r="M697" s="10"/>
    </row>
    <row r="698" spans="1:13" ht="18.75" x14ac:dyDescent="0.25">
      <c r="A698" s="9"/>
      <c r="B698" s="13" t="e">
        <f>VLOOKUP(Table27[[#This Row],[Location 
(drop-down)]],'List source'!D$2:E$59,2,FALSE)</f>
        <v>#N/A</v>
      </c>
      <c r="C698" s="25" t="s">
        <v>1748</v>
      </c>
      <c r="D698" s="33" t="e">
        <f t="shared" si="11"/>
        <v>#N/A</v>
      </c>
      <c r="E698" s="9"/>
      <c r="F698" s="10"/>
      <c r="G698" s="9"/>
      <c r="H698" s="10"/>
      <c r="I698" s="12"/>
      <c r="J698" s="12"/>
      <c r="K698" s="91"/>
      <c r="L698" s="10"/>
      <c r="M698" s="10"/>
    </row>
    <row r="699" spans="1:13" ht="18.75" x14ac:dyDescent="0.25">
      <c r="A699" s="9"/>
      <c r="B699" s="13" t="e">
        <f>VLOOKUP(Table27[[#This Row],[Location 
(drop-down)]],'List source'!D$2:E$59,2,FALSE)</f>
        <v>#N/A</v>
      </c>
      <c r="C699" s="25" t="s">
        <v>1750</v>
      </c>
      <c r="D699" s="33" t="e">
        <f t="shared" si="11"/>
        <v>#N/A</v>
      </c>
      <c r="E699" s="9"/>
      <c r="F699" s="10"/>
      <c r="G699" s="9"/>
      <c r="H699" s="10"/>
      <c r="I699" s="12"/>
      <c r="J699" s="12"/>
      <c r="K699" s="91"/>
      <c r="L699" s="10"/>
      <c r="M699" s="10"/>
    </row>
    <row r="700" spans="1:13" ht="18.75" x14ac:dyDescent="0.25">
      <c r="A700" s="9"/>
      <c r="B700" s="13" t="e">
        <f>VLOOKUP(Table27[[#This Row],[Location 
(drop-down)]],'List source'!D$2:E$59,2,FALSE)</f>
        <v>#N/A</v>
      </c>
      <c r="C700" s="25" t="s">
        <v>1752</v>
      </c>
      <c r="D700" s="33" t="e">
        <f t="shared" si="11"/>
        <v>#N/A</v>
      </c>
      <c r="E700" s="9"/>
      <c r="F700" s="10"/>
      <c r="G700" s="9"/>
      <c r="H700" s="10"/>
      <c r="I700" s="12"/>
      <c r="J700" s="12"/>
      <c r="K700" s="91"/>
      <c r="L700" s="10"/>
      <c r="M700" s="10"/>
    </row>
    <row r="701" spans="1:13" ht="26.25" customHeight="1" x14ac:dyDescent="0.25">
      <c r="A701" s="111"/>
      <c r="B701" s="112" t="e">
        <f>VLOOKUP(Table27[[#This Row],[Location 
(drop-down)]],'List source'!D$2:E$59,2,FALSE)</f>
        <v>#N/A</v>
      </c>
      <c r="C701" s="25" t="s">
        <v>1754</v>
      </c>
      <c r="D701" s="33" t="e">
        <f t="shared" si="11"/>
        <v>#N/A</v>
      </c>
      <c r="E701" s="9"/>
      <c r="F701" s="10"/>
      <c r="G701" s="9"/>
      <c r="H701" s="10"/>
      <c r="I701" s="12"/>
      <c r="J701" s="12"/>
      <c r="K701" s="114"/>
      <c r="L701" s="10"/>
      <c r="M701" s="115"/>
    </row>
    <row r="702" spans="1:13" ht="18.75" x14ac:dyDescent="0.25">
      <c r="A702" s="9"/>
      <c r="B702" s="13" t="e">
        <f>VLOOKUP(Table27[[#This Row],[Location 
(drop-down)]],'List source'!D$2:E$59,2,FALSE)</f>
        <v>#N/A</v>
      </c>
      <c r="C702" s="25" t="s">
        <v>1757</v>
      </c>
      <c r="D702" s="33" t="e">
        <f t="shared" si="11"/>
        <v>#N/A</v>
      </c>
      <c r="E702" s="9"/>
      <c r="F702" s="10"/>
      <c r="G702" s="9"/>
      <c r="H702" s="10"/>
      <c r="I702" s="12"/>
      <c r="J702" s="12"/>
      <c r="K702" s="91"/>
      <c r="L702" s="10"/>
      <c r="M702" s="10"/>
    </row>
    <row r="703" spans="1:13" ht="18.75" x14ac:dyDescent="0.25">
      <c r="A703" s="9"/>
      <c r="B703" s="13" t="e">
        <f>VLOOKUP(Table27[[#This Row],[Location 
(drop-down)]],'List source'!D$2:E$59,2,FALSE)</f>
        <v>#N/A</v>
      </c>
      <c r="C703" s="25" t="s">
        <v>1760</v>
      </c>
      <c r="D703" s="33" t="e">
        <f t="shared" si="11"/>
        <v>#N/A</v>
      </c>
      <c r="E703" s="9"/>
      <c r="F703" s="10"/>
      <c r="G703" s="9"/>
      <c r="H703" s="10"/>
      <c r="I703" s="12"/>
      <c r="J703" s="12"/>
      <c r="K703" s="91"/>
      <c r="L703" s="10"/>
      <c r="M703" s="10"/>
    </row>
    <row r="704" spans="1:13" ht="18.75" x14ac:dyDescent="0.25">
      <c r="A704" s="9"/>
      <c r="B704" s="13" t="e">
        <f>VLOOKUP(Table27[[#This Row],[Location 
(drop-down)]],'List source'!D$2:E$59,2,FALSE)</f>
        <v>#N/A</v>
      </c>
      <c r="C704" s="128" t="s">
        <v>1763</v>
      </c>
      <c r="D704" s="33" t="e">
        <f t="shared" si="11"/>
        <v>#N/A</v>
      </c>
      <c r="E704" s="143"/>
      <c r="F704" s="183"/>
      <c r="G704" s="143"/>
      <c r="H704" s="183"/>
      <c r="I704" s="12"/>
      <c r="J704" s="12"/>
      <c r="K704" s="91"/>
      <c r="L704" s="10"/>
      <c r="M704" s="10"/>
    </row>
    <row r="705" spans="1:13" ht="18.75" x14ac:dyDescent="0.25">
      <c r="A705" s="9"/>
      <c r="B705" s="13" t="e">
        <f>VLOOKUP(Table27[[#This Row],[Location 
(drop-down)]],'List source'!D$2:E$59,2,FALSE)</f>
        <v>#N/A</v>
      </c>
      <c r="C705" s="128" t="s">
        <v>1766</v>
      </c>
      <c r="D705" s="33" t="e">
        <f t="shared" si="11"/>
        <v>#N/A</v>
      </c>
      <c r="E705" s="9"/>
      <c r="F705" s="10"/>
      <c r="G705" s="9"/>
      <c r="H705" s="10"/>
      <c r="I705" s="12"/>
      <c r="J705" s="12"/>
      <c r="K705" s="91"/>
      <c r="L705" s="10"/>
      <c r="M705" s="10"/>
    </row>
    <row r="706" spans="1:13" ht="18.75" x14ac:dyDescent="0.25">
      <c r="A706" s="9"/>
      <c r="B706" s="13" t="e">
        <f>VLOOKUP(Table27[[#This Row],[Location 
(drop-down)]],'List source'!D$2:E$59,2,FALSE)</f>
        <v>#N/A</v>
      </c>
      <c r="C706" s="128" t="s">
        <v>1768</v>
      </c>
      <c r="D706" s="33" t="e">
        <f t="shared" ref="D706:D769" si="12">"PTO" &amp; C706 &amp; "-" &amp; B706 &amp; "-" &amp; "23"</f>
        <v>#N/A</v>
      </c>
      <c r="E706" s="9"/>
      <c r="F706" s="10"/>
      <c r="G706" s="9"/>
      <c r="H706" s="10"/>
      <c r="I706" s="12"/>
      <c r="J706" s="12"/>
      <c r="K706" s="91"/>
      <c r="L706" s="10"/>
      <c r="M706" s="10"/>
    </row>
    <row r="707" spans="1:13" ht="18.75" x14ac:dyDescent="0.25">
      <c r="A707" s="9"/>
      <c r="B707" s="13" t="e">
        <f>VLOOKUP(Table27[[#This Row],[Location 
(drop-down)]],'List source'!D$2:E$59,2,FALSE)</f>
        <v>#N/A</v>
      </c>
      <c r="C707" s="25" t="s">
        <v>1770</v>
      </c>
      <c r="D707" s="33" t="e">
        <f t="shared" si="12"/>
        <v>#N/A</v>
      </c>
      <c r="E707" s="9"/>
      <c r="F707" s="10"/>
      <c r="G707" s="9"/>
      <c r="H707" s="10"/>
      <c r="I707" s="12"/>
      <c r="J707" s="12"/>
      <c r="K707" s="91"/>
      <c r="L707" s="10"/>
      <c r="M707" s="10"/>
    </row>
    <row r="708" spans="1:13" ht="18.75" x14ac:dyDescent="0.25">
      <c r="A708" s="9"/>
      <c r="B708" s="13" t="e">
        <f>VLOOKUP(Table27[[#This Row],[Location 
(drop-down)]],'List source'!D$2:E$59,2,FALSE)</f>
        <v>#N/A</v>
      </c>
      <c r="C708" s="25" t="s">
        <v>1772</v>
      </c>
      <c r="D708" s="33" t="e">
        <f t="shared" si="12"/>
        <v>#N/A</v>
      </c>
      <c r="E708" s="9"/>
      <c r="F708" s="10"/>
      <c r="G708" s="9"/>
      <c r="H708" s="10"/>
      <c r="I708" s="12"/>
      <c r="J708" s="12"/>
      <c r="K708" s="91"/>
      <c r="L708" s="10"/>
      <c r="M708" s="10"/>
    </row>
    <row r="709" spans="1:13" ht="18.75" x14ac:dyDescent="0.25">
      <c r="A709" s="9"/>
      <c r="B709" s="13" t="e">
        <f>VLOOKUP(Table27[[#This Row],[Location 
(drop-down)]],'List source'!D$2:E$59,2,FALSE)</f>
        <v>#N/A</v>
      </c>
      <c r="C709" s="25" t="s">
        <v>1774</v>
      </c>
      <c r="D709" s="33" t="e">
        <f t="shared" si="12"/>
        <v>#N/A</v>
      </c>
      <c r="E709" s="9"/>
      <c r="F709" s="10"/>
      <c r="G709" s="9"/>
      <c r="H709" s="10"/>
      <c r="I709" s="12"/>
      <c r="J709" s="12"/>
      <c r="K709" s="91"/>
      <c r="L709" s="10"/>
      <c r="M709" s="10"/>
    </row>
    <row r="710" spans="1:13" ht="18.75" x14ac:dyDescent="0.25">
      <c r="A710" s="9"/>
      <c r="B710" s="13" t="e">
        <f>VLOOKUP(Table27[[#This Row],[Location 
(drop-down)]],'List source'!D$2:E$59,2,FALSE)</f>
        <v>#N/A</v>
      </c>
      <c r="C710" s="25" t="s">
        <v>1776</v>
      </c>
      <c r="D710" s="33" t="e">
        <f t="shared" si="12"/>
        <v>#N/A</v>
      </c>
      <c r="E710" s="9"/>
      <c r="F710" s="10"/>
      <c r="G710" s="9"/>
      <c r="H710" s="10"/>
      <c r="I710" s="12"/>
      <c r="J710" s="12"/>
      <c r="K710" s="91"/>
      <c r="L710" s="10"/>
      <c r="M710" s="10"/>
    </row>
    <row r="711" spans="1:13" ht="18.75" x14ac:dyDescent="0.25">
      <c r="A711" s="9"/>
      <c r="B711" s="13" t="e">
        <f>VLOOKUP(Table27[[#This Row],[Location 
(drop-down)]],'List source'!D$2:E$59,2,FALSE)</f>
        <v>#N/A</v>
      </c>
      <c r="C711" s="25" t="s">
        <v>1778</v>
      </c>
      <c r="D711" s="33" t="e">
        <f t="shared" si="12"/>
        <v>#N/A</v>
      </c>
      <c r="E711" s="9"/>
      <c r="F711" s="10"/>
      <c r="G711" s="9"/>
      <c r="H711" s="10"/>
      <c r="I711" s="12"/>
      <c r="J711" s="12"/>
      <c r="K711" s="91"/>
      <c r="L711" s="10"/>
      <c r="M711" s="10"/>
    </row>
    <row r="712" spans="1:13" ht="18.75" x14ac:dyDescent="0.25">
      <c r="A712" s="9"/>
      <c r="B712" s="13" t="e">
        <f>VLOOKUP(Table27[[#This Row],[Location 
(drop-down)]],'List source'!D$2:E$59,2,FALSE)</f>
        <v>#N/A</v>
      </c>
      <c r="C712" s="25" t="s">
        <v>1780</v>
      </c>
      <c r="D712" s="33" t="e">
        <f t="shared" si="12"/>
        <v>#N/A</v>
      </c>
      <c r="E712" s="9"/>
      <c r="F712" s="10"/>
      <c r="G712" s="9"/>
      <c r="H712" s="10"/>
      <c r="I712" s="12"/>
      <c r="J712" s="12"/>
      <c r="K712" s="91"/>
      <c r="L712" s="10"/>
      <c r="M712" s="10"/>
    </row>
    <row r="713" spans="1:13" ht="18.75" x14ac:dyDescent="0.25">
      <c r="A713" s="9"/>
      <c r="B713" s="13" t="e">
        <f>VLOOKUP(Table27[[#This Row],[Location 
(drop-down)]],'List source'!D$2:E$59,2,FALSE)</f>
        <v>#N/A</v>
      </c>
      <c r="C713" s="25" t="s">
        <v>1782</v>
      </c>
      <c r="D713" s="33" t="e">
        <f t="shared" si="12"/>
        <v>#N/A</v>
      </c>
      <c r="E713" s="9"/>
      <c r="F713" s="10"/>
      <c r="G713" s="9"/>
      <c r="H713" s="10"/>
      <c r="I713" s="12"/>
      <c r="J713" s="12"/>
      <c r="K713" s="91"/>
      <c r="L713" s="10"/>
      <c r="M713" s="10"/>
    </row>
    <row r="714" spans="1:13" ht="18.75" x14ac:dyDescent="0.25">
      <c r="A714" s="9"/>
      <c r="B714" s="13" t="e">
        <f>VLOOKUP(Table27[[#This Row],[Location 
(drop-down)]],'List source'!D$2:E$59,2,FALSE)</f>
        <v>#N/A</v>
      </c>
      <c r="C714" s="25" t="s">
        <v>1784</v>
      </c>
      <c r="D714" s="33" t="e">
        <f t="shared" si="12"/>
        <v>#N/A</v>
      </c>
      <c r="E714" s="9"/>
      <c r="F714" s="10"/>
      <c r="G714" s="9"/>
      <c r="H714" s="10"/>
      <c r="I714" s="12"/>
      <c r="J714" s="12"/>
      <c r="K714" s="91"/>
      <c r="L714" s="10"/>
      <c r="M714" s="10"/>
    </row>
    <row r="715" spans="1:13" ht="18.75" x14ac:dyDescent="0.25">
      <c r="A715" s="9"/>
      <c r="B715" s="13" t="e">
        <f>VLOOKUP(Table27[[#This Row],[Location 
(drop-down)]],'List source'!D$2:E$59,2,FALSE)</f>
        <v>#N/A</v>
      </c>
      <c r="C715" s="25" t="s">
        <v>1786</v>
      </c>
      <c r="D715" s="33" t="e">
        <f t="shared" si="12"/>
        <v>#N/A</v>
      </c>
      <c r="E715" s="9"/>
      <c r="F715" s="10"/>
      <c r="G715" s="9"/>
      <c r="H715" s="10"/>
      <c r="I715" s="12"/>
      <c r="J715" s="12"/>
      <c r="K715" s="91"/>
      <c r="L715" s="10"/>
      <c r="M715" s="10"/>
    </row>
    <row r="716" spans="1:13" ht="18.75" x14ac:dyDescent="0.25">
      <c r="A716" s="9"/>
      <c r="B716" s="13" t="e">
        <f>VLOOKUP(Table27[[#This Row],[Location 
(drop-down)]],'List source'!D$2:E$59,2,FALSE)</f>
        <v>#N/A</v>
      </c>
      <c r="C716" s="25" t="s">
        <v>1788</v>
      </c>
      <c r="D716" s="33" t="e">
        <f t="shared" si="12"/>
        <v>#N/A</v>
      </c>
      <c r="E716" s="9"/>
      <c r="F716" s="10"/>
      <c r="G716" s="9"/>
      <c r="H716" s="10"/>
      <c r="I716" s="12"/>
      <c r="J716" s="12"/>
      <c r="K716" s="91"/>
      <c r="L716" s="10"/>
      <c r="M716" s="10"/>
    </row>
    <row r="717" spans="1:13" ht="18.75" x14ac:dyDescent="0.25">
      <c r="A717" s="9"/>
      <c r="B717" s="13" t="e">
        <f>VLOOKUP(Table27[[#This Row],[Location 
(drop-down)]],'List source'!D$2:E$59,2,FALSE)</f>
        <v>#N/A</v>
      </c>
      <c r="C717" s="25" t="s">
        <v>1790</v>
      </c>
      <c r="D717" s="33" t="e">
        <f t="shared" si="12"/>
        <v>#N/A</v>
      </c>
      <c r="E717" s="9"/>
      <c r="F717" s="10"/>
      <c r="G717" s="9"/>
      <c r="H717" s="10"/>
      <c r="I717" s="12"/>
      <c r="J717" s="12"/>
      <c r="K717" s="91"/>
      <c r="L717" s="10"/>
      <c r="M717" s="10"/>
    </row>
    <row r="718" spans="1:13" ht="18.75" x14ac:dyDescent="0.25">
      <c r="A718" s="9"/>
      <c r="B718" s="13" t="e">
        <f>VLOOKUP(Table27[[#This Row],[Location 
(drop-down)]],'List source'!D$2:E$59,2,FALSE)</f>
        <v>#N/A</v>
      </c>
      <c r="C718" s="25" t="s">
        <v>1792</v>
      </c>
      <c r="D718" s="33" t="e">
        <f t="shared" si="12"/>
        <v>#N/A</v>
      </c>
      <c r="E718" s="9"/>
      <c r="F718" s="10"/>
      <c r="G718" s="9"/>
      <c r="H718" s="10"/>
      <c r="I718" s="12"/>
      <c r="J718" s="12"/>
      <c r="K718" s="91"/>
      <c r="L718" s="10"/>
      <c r="M718" s="10"/>
    </row>
    <row r="719" spans="1:13" ht="18.75" x14ac:dyDescent="0.25">
      <c r="A719" s="9"/>
      <c r="B719" s="13" t="e">
        <f>VLOOKUP(Table27[[#This Row],[Location 
(drop-down)]],'List source'!D$2:E$59,2,FALSE)</f>
        <v>#N/A</v>
      </c>
      <c r="C719" s="11" t="s">
        <v>1794</v>
      </c>
      <c r="D719" s="33" t="e">
        <f t="shared" si="12"/>
        <v>#N/A</v>
      </c>
      <c r="E719" s="9"/>
      <c r="F719" s="10"/>
      <c r="G719" s="9"/>
      <c r="H719" s="10"/>
      <c r="I719" s="12"/>
      <c r="J719" s="12"/>
      <c r="K719" s="91"/>
      <c r="L719" s="10"/>
      <c r="M719" s="10"/>
    </row>
    <row r="720" spans="1:13" ht="18.75" x14ac:dyDescent="0.25">
      <c r="A720" s="9"/>
      <c r="B720" s="13" t="e">
        <f>VLOOKUP(Table27[[#This Row],[Location 
(drop-down)]],'List source'!D$2:E$59,2,FALSE)</f>
        <v>#N/A</v>
      </c>
      <c r="C720" s="11" t="s">
        <v>1796</v>
      </c>
      <c r="D720" s="33" t="e">
        <f t="shared" si="12"/>
        <v>#N/A</v>
      </c>
      <c r="E720" s="9"/>
      <c r="F720" s="10"/>
      <c r="G720" s="9"/>
      <c r="H720" s="10"/>
      <c r="I720" s="12"/>
      <c r="J720" s="12"/>
      <c r="K720" s="91"/>
      <c r="L720" s="10"/>
      <c r="M720" s="10"/>
    </row>
    <row r="721" spans="1:13" ht="18.75" x14ac:dyDescent="0.25">
      <c r="A721" s="9"/>
      <c r="B721" s="13" t="e">
        <f>VLOOKUP(Table27[[#This Row],[Location 
(drop-down)]],'List source'!D$2:E$59,2,FALSE)</f>
        <v>#N/A</v>
      </c>
      <c r="C721" s="11" t="s">
        <v>1798</v>
      </c>
      <c r="D721" s="33" t="e">
        <f t="shared" si="12"/>
        <v>#N/A</v>
      </c>
      <c r="E721" s="9"/>
      <c r="F721" s="10"/>
      <c r="G721" s="9"/>
      <c r="H721" s="10"/>
      <c r="I721" s="12"/>
      <c r="J721" s="12"/>
      <c r="K721" s="91"/>
      <c r="L721" s="10"/>
      <c r="M721" s="10"/>
    </row>
    <row r="722" spans="1:13" ht="18.75" x14ac:dyDescent="0.25">
      <c r="A722" s="9"/>
      <c r="B722" s="13" t="e">
        <f>VLOOKUP(Table27[[#This Row],[Location 
(drop-down)]],'List source'!D$2:E$59,2,FALSE)</f>
        <v>#N/A</v>
      </c>
      <c r="C722" s="11" t="s">
        <v>1800</v>
      </c>
      <c r="D722" s="33" t="e">
        <f t="shared" si="12"/>
        <v>#N/A</v>
      </c>
      <c r="E722" s="9"/>
      <c r="F722" s="10"/>
      <c r="G722" s="9"/>
      <c r="H722" s="10"/>
      <c r="I722" s="12"/>
      <c r="J722" s="12"/>
      <c r="K722" s="91"/>
      <c r="L722" s="10"/>
      <c r="M722" s="10"/>
    </row>
    <row r="723" spans="1:13" ht="18.75" x14ac:dyDescent="0.25">
      <c r="A723" s="9"/>
      <c r="B723" s="13" t="e">
        <f>VLOOKUP(Table27[[#This Row],[Location 
(drop-down)]],'List source'!D$2:E$59,2,FALSE)</f>
        <v>#N/A</v>
      </c>
      <c r="C723" s="11" t="s">
        <v>1802</v>
      </c>
      <c r="D723" s="33" t="e">
        <f t="shared" si="12"/>
        <v>#N/A</v>
      </c>
      <c r="E723" s="9"/>
      <c r="F723" s="10"/>
      <c r="G723" s="9"/>
      <c r="H723" s="10"/>
      <c r="I723" s="12"/>
      <c r="J723" s="12"/>
      <c r="K723" s="91"/>
      <c r="L723" s="10"/>
      <c r="M723" s="10"/>
    </row>
    <row r="724" spans="1:13" ht="18.75" x14ac:dyDescent="0.25">
      <c r="A724" s="9"/>
      <c r="B724" s="13" t="e">
        <f>VLOOKUP(Table27[[#This Row],[Location 
(drop-down)]],'List source'!D$2:E$59,2,FALSE)</f>
        <v>#N/A</v>
      </c>
      <c r="C724" s="11" t="s">
        <v>1804</v>
      </c>
      <c r="D724" s="33" t="e">
        <f t="shared" si="12"/>
        <v>#N/A</v>
      </c>
      <c r="E724" s="9"/>
      <c r="F724" s="10"/>
      <c r="G724" s="9"/>
      <c r="H724" s="10"/>
      <c r="I724" s="12"/>
      <c r="J724" s="12"/>
      <c r="K724" s="91"/>
      <c r="L724" s="10"/>
      <c r="M724" s="10"/>
    </row>
    <row r="725" spans="1:13" ht="18.75" x14ac:dyDescent="0.25">
      <c r="A725" s="9"/>
      <c r="B725" s="13" t="e">
        <f>VLOOKUP(Table27[[#This Row],[Location 
(drop-down)]],'List source'!D$2:E$59,2,FALSE)</f>
        <v>#N/A</v>
      </c>
      <c r="C725" s="11" t="s">
        <v>1806</v>
      </c>
      <c r="D725" s="33" t="e">
        <f t="shared" si="12"/>
        <v>#N/A</v>
      </c>
      <c r="E725" s="9"/>
      <c r="F725" s="10"/>
      <c r="G725" s="9"/>
      <c r="H725" s="10"/>
      <c r="I725" s="12"/>
      <c r="J725" s="12"/>
      <c r="K725" s="91"/>
      <c r="L725" s="10"/>
      <c r="M725" s="10"/>
    </row>
    <row r="726" spans="1:13" ht="18.75" x14ac:dyDescent="0.25">
      <c r="A726" s="9"/>
      <c r="B726" s="13" t="e">
        <f>VLOOKUP(Table27[[#This Row],[Location 
(drop-down)]],'List source'!D$2:E$59,2,FALSE)</f>
        <v>#N/A</v>
      </c>
      <c r="C726" s="11" t="s">
        <v>1808</v>
      </c>
      <c r="D726" s="33" t="e">
        <f t="shared" si="12"/>
        <v>#N/A</v>
      </c>
      <c r="E726" s="9"/>
      <c r="F726" s="10"/>
      <c r="G726" s="9"/>
      <c r="H726" s="10"/>
      <c r="I726" s="12"/>
      <c r="J726" s="12"/>
      <c r="K726" s="91"/>
      <c r="L726" s="10"/>
      <c r="M726" s="10"/>
    </row>
    <row r="727" spans="1:13" ht="18.75" x14ac:dyDescent="0.25">
      <c r="A727" s="9"/>
      <c r="B727" s="13" t="e">
        <f>VLOOKUP(Table27[[#This Row],[Location 
(drop-down)]],'List source'!D$2:E$59,2,FALSE)</f>
        <v>#N/A</v>
      </c>
      <c r="C727" s="11" t="s">
        <v>1810</v>
      </c>
      <c r="D727" s="33" t="e">
        <f t="shared" si="12"/>
        <v>#N/A</v>
      </c>
      <c r="E727" s="9"/>
      <c r="F727" s="10"/>
      <c r="G727" s="9"/>
      <c r="H727" s="10"/>
      <c r="I727" s="12"/>
      <c r="J727" s="12"/>
      <c r="K727" s="91"/>
      <c r="L727" s="10"/>
      <c r="M727" s="10"/>
    </row>
    <row r="728" spans="1:13" ht="18.75" x14ac:dyDescent="0.25">
      <c r="A728" s="9"/>
      <c r="B728" s="13" t="e">
        <f>VLOOKUP(Table27[[#This Row],[Location 
(drop-down)]],'List source'!D$2:E$59,2,FALSE)</f>
        <v>#N/A</v>
      </c>
      <c r="C728" s="11" t="s">
        <v>1813</v>
      </c>
      <c r="D728" s="33" t="e">
        <f t="shared" si="12"/>
        <v>#N/A</v>
      </c>
      <c r="E728" s="9"/>
      <c r="F728" s="10"/>
      <c r="G728" s="9"/>
      <c r="H728" s="10"/>
      <c r="I728" s="12"/>
      <c r="J728" s="12"/>
      <c r="K728" s="91"/>
      <c r="L728" s="10"/>
      <c r="M728" s="10"/>
    </row>
    <row r="729" spans="1:13" ht="18.75" x14ac:dyDescent="0.25">
      <c r="A729" s="9"/>
      <c r="B729" s="13" t="e">
        <f>VLOOKUP(Table27[[#This Row],[Location 
(drop-down)]],'List source'!D$2:E$59,2,FALSE)</f>
        <v>#N/A</v>
      </c>
      <c r="C729" s="11" t="s">
        <v>1815</v>
      </c>
      <c r="D729" s="33" t="e">
        <f t="shared" si="12"/>
        <v>#N/A</v>
      </c>
      <c r="E729" s="9"/>
      <c r="F729" s="10"/>
      <c r="G729" s="9"/>
      <c r="H729" s="10"/>
      <c r="I729" s="12"/>
      <c r="J729" s="12"/>
      <c r="K729" s="91"/>
      <c r="L729" s="10"/>
      <c r="M729" s="10"/>
    </row>
    <row r="730" spans="1:13" ht="18.75" x14ac:dyDescent="0.25">
      <c r="A730" s="9"/>
      <c r="B730" s="13" t="e">
        <f>VLOOKUP(Table27[[#This Row],[Location 
(drop-down)]],'List source'!D$2:E$59,2,FALSE)</f>
        <v>#N/A</v>
      </c>
      <c r="C730" s="11" t="s">
        <v>1817</v>
      </c>
      <c r="D730" s="33" t="e">
        <f t="shared" si="12"/>
        <v>#N/A</v>
      </c>
      <c r="E730" s="9"/>
      <c r="F730" s="10"/>
      <c r="G730" s="9"/>
      <c r="H730" s="10"/>
      <c r="I730" s="12"/>
      <c r="J730" s="12"/>
      <c r="K730" s="91"/>
      <c r="L730" s="10"/>
      <c r="M730" s="10"/>
    </row>
    <row r="731" spans="1:13" ht="18.75" x14ac:dyDescent="0.25">
      <c r="A731" s="9"/>
      <c r="B731" s="13" t="e">
        <f>VLOOKUP(Table27[[#This Row],[Location 
(drop-down)]],'List source'!D$2:E$59,2,FALSE)</f>
        <v>#N/A</v>
      </c>
      <c r="C731" s="11" t="s">
        <v>1819</v>
      </c>
      <c r="D731" s="33" t="e">
        <f t="shared" si="12"/>
        <v>#N/A</v>
      </c>
      <c r="E731" s="9"/>
      <c r="F731" s="10"/>
      <c r="G731" s="9"/>
      <c r="H731" s="10"/>
      <c r="I731" s="12"/>
      <c r="J731" s="12"/>
      <c r="K731" s="91"/>
      <c r="L731" s="10"/>
      <c r="M731" s="10"/>
    </row>
    <row r="732" spans="1:13" ht="18.75" x14ac:dyDescent="0.25">
      <c r="A732" s="9"/>
      <c r="B732" s="13" t="e">
        <f>VLOOKUP(Table27[[#This Row],[Location 
(drop-down)]],'List source'!D$2:E$59,2,FALSE)</f>
        <v>#N/A</v>
      </c>
      <c r="C732" s="11" t="s">
        <v>1821</v>
      </c>
      <c r="D732" s="33" t="e">
        <f t="shared" si="12"/>
        <v>#N/A</v>
      </c>
      <c r="E732" s="9"/>
      <c r="F732" s="10"/>
      <c r="G732" s="9"/>
      <c r="H732" s="10"/>
      <c r="I732" s="12"/>
      <c r="J732" s="12"/>
      <c r="K732" s="91"/>
      <c r="L732" s="10"/>
      <c r="M732" s="10"/>
    </row>
    <row r="733" spans="1:13" ht="18.75" x14ac:dyDescent="0.25">
      <c r="A733" s="9"/>
      <c r="B733" s="13" t="e">
        <f>VLOOKUP(Table27[[#This Row],[Location 
(drop-down)]],'List source'!D$2:E$59,2,FALSE)</f>
        <v>#N/A</v>
      </c>
      <c r="C733" s="11" t="s">
        <v>1823</v>
      </c>
      <c r="D733" s="33" t="e">
        <f t="shared" si="12"/>
        <v>#N/A</v>
      </c>
      <c r="E733" s="9"/>
      <c r="F733" s="10"/>
      <c r="G733" s="9"/>
      <c r="H733" s="10"/>
      <c r="I733" s="12"/>
      <c r="J733" s="12"/>
      <c r="K733" s="91"/>
      <c r="L733" s="10"/>
      <c r="M733" s="10"/>
    </row>
    <row r="734" spans="1:13" ht="18.75" x14ac:dyDescent="0.25">
      <c r="A734" s="9"/>
      <c r="B734" s="13" t="e">
        <f>VLOOKUP(Table27[[#This Row],[Location 
(drop-down)]],'List source'!D$2:E$59,2,FALSE)</f>
        <v>#N/A</v>
      </c>
      <c r="C734" s="11" t="s">
        <v>1825</v>
      </c>
      <c r="D734" s="33" t="e">
        <f t="shared" si="12"/>
        <v>#N/A</v>
      </c>
      <c r="E734" s="9"/>
      <c r="F734" s="10"/>
      <c r="G734" s="9"/>
      <c r="H734" s="10"/>
      <c r="I734" s="12"/>
      <c r="J734" s="12"/>
      <c r="K734" s="91"/>
      <c r="L734" s="10"/>
      <c r="M734" s="10"/>
    </row>
    <row r="735" spans="1:13" ht="18.75" x14ac:dyDescent="0.25">
      <c r="A735" s="9"/>
      <c r="B735" s="13" t="e">
        <f>VLOOKUP(Table27[[#This Row],[Location 
(drop-down)]],'List source'!D$2:E$59,2,FALSE)</f>
        <v>#N/A</v>
      </c>
      <c r="C735" s="11" t="s">
        <v>1827</v>
      </c>
      <c r="D735" s="33" t="e">
        <f t="shared" si="12"/>
        <v>#N/A</v>
      </c>
      <c r="E735" s="9"/>
      <c r="F735" s="10"/>
      <c r="G735" s="9"/>
      <c r="H735" s="10"/>
      <c r="I735" s="12"/>
      <c r="J735" s="12"/>
      <c r="K735" s="91"/>
      <c r="L735" s="10"/>
      <c r="M735" s="10"/>
    </row>
    <row r="736" spans="1:13" ht="18.75" x14ac:dyDescent="0.25">
      <c r="A736" s="9"/>
      <c r="B736" s="13" t="e">
        <f>VLOOKUP(Table27[[#This Row],[Location 
(drop-down)]],'List source'!D$2:E$59,2,FALSE)</f>
        <v>#N/A</v>
      </c>
      <c r="C736" s="11" t="s">
        <v>1829</v>
      </c>
      <c r="D736" s="33" t="e">
        <f t="shared" si="12"/>
        <v>#N/A</v>
      </c>
      <c r="E736" s="9"/>
      <c r="F736" s="10"/>
      <c r="G736" s="9"/>
      <c r="H736" s="10"/>
      <c r="I736" s="12"/>
      <c r="J736" s="12"/>
      <c r="K736" s="91"/>
      <c r="L736" s="10"/>
      <c r="M736" s="10"/>
    </row>
    <row r="737" spans="1:13" ht="18.75" x14ac:dyDescent="0.25">
      <c r="A737" s="9"/>
      <c r="B737" s="13" t="e">
        <f>VLOOKUP(Table27[[#This Row],[Location 
(drop-down)]],'List source'!D$2:E$59,2,FALSE)</f>
        <v>#N/A</v>
      </c>
      <c r="C737" s="11" t="s">
        <v>1831</v>
      </c>
      <c r="D737" s="33" t="e">
        <f t="shared" si="12"/>
        <v>#N/A</v>
      </c>
      <c r="E737" s="9"/>
      <c r="F737" s="10"/>
      <c r="G737" s="9"/>
      <c r="H737" s="10"/>
      <c r="I737" s="12"/>
      <c r="J737" s="12"/>
      <c r="K737" s="91"/>
      <c r="L737" s="10"/>
      <c r="M737" s="10"/>
    </row>
    <row r="738" spans="1:13" ht="18.75" x14ac:dyDescent="0.25">
      <c r="A738" s="9"/>
      <c r="B738" s="13" t="e">
        <f>VLOOKUP(Table27[[#This Row],[Location 
(drop-down)]],'List source'!D$2:E$59,2,FALSE)</f>
        <v>#N/A</v>
      </c>
      <c r="C738" s="11" t="s">
        <v>1833</v>
      </c>
      <c r="D738" s="33" t="e">
        <f t="shared" si="12"/>
        <v>#N/A</v>
      </c>
      <c r="E738" s="9"/>
      <c r="F738" s="10"/>
      <c r="G738" s="9"/>
      <c r="H738" s="10"/>
      <c r="I738" s="12"/>
      <c r="J738" s="12"/>
      <c r="K738" s="91"/>
      <c r="L738" s="10"/>
      <c r="M738" s="10"/>
    </row>
    <row r="739" spans="1:13" ht="18.75" x14ac:dyDescent="0.25">
      <c r="A739" s="9"/>
      <c r="B739" s="13" t="e">
        <f>VLOOKUP(Table27[[#This Row],[Location 
(drop-down)]],'List source'!D$2:E$59,2,FALSE)</f>
        <v>#N/A</v>
      </c>
      <c r="C739" s="11" t="s">
        <v>1835</v>
      </c>
      <c r="D739" s="33" t="e">
        <f t="shared" si="12"/>
        <v>#N/A</v>
      </c>
      <c r="E739" s="9"/>
      <c r="F739" s="10"/>
      <c r="G739" s="9"/>
      <c r="H739" s="10"/>
      <c r="I739" s="12"/>
      <c r="J739" s="12"/>
      <c r="K739" s="91"/>
      <c r="L739" s="10"/>
      <c r="M739" s="10"/>
    </row>
    <row r="740" spans="1:13" ht="18.75" x14ac:dyDescent="0.25">
      <c r="A740" s="9"/>
      <c r="B740" s="13" t="e">
        <f>VLOOKUP(Table27[[#This Row],[Location 
(drop-down)]],'List source'!D$2:E$59,2,FALSE)</f>
        <v>#N/A</v>
      </c>
      <c r="C740" s="11" t="s">
        <v>1837</v>
      </c>
      <c r="D740" s="33" t="e">
        <f t="shared" si="12"/>
        <v>#N/A</v>
      </c>
      <c r="E740" s="9"/>
      <c r="F740" s="10"/>
      <c r="G740" s="9"/>
      <c r="H740" s="10"/>
      <c r="I740" s="12"/>
      <c r="J740" s="12"/>
      <c r="K740" s="91"/>
      <c r="L740" s="10"/>
      <c r="M740" s="10"/>
    </row>
    <row r="741" spans="1:13" ht="18.75" x14ac:dyDescent="0.25">
      <c r="A741" s="9"/>
      <c r="B741" s="13" t="e">
        <f>VLOOKUP(Table27[[#This Row],[Location 
(drop-down)]],'List source'!D$2:E$59,2,FALSE)</f>
        <v>#N/A</v>
      </c>
      <c r="C741" s="11" t="s">
        <v>1839</v>
      </c>
      <c r="D741" s="33" t="e">
        <f t="shared" si="12"/>
        <v>#N/A</v>
      </c>
      <c r="E741" s="9"/>
      <c r="F741" s="10"/>
      <c r="G741" s="9"/>
      <c r="H741" s="10"/>
      <c r="I741" s="12"/>
      <c r="J741" s="12"/>
      <c r="K741" s="91"/>
      <c r="L741" s="10"/>
      <c r="M741" s="10"/>
    </row>
    <row r="742" spans="1:13" ht="18.75" x14ac:dyDescent="0.25">
      <c r="A742" s="9"/>
      <c r="B742" s="13" t="e">
        <f>VLOOKUP(Table27[[#This Row],[Location 
(drop-down)]],'List source'!D$2:E$59,2,FALSE)</f>
        <v>#N/A</v>
      </c>
      <c r="C742" s="11" t="s">
        <v>1841</v>
      </c>
      <c r="D742" s="33" t="e">
        <f t="shared" si="12"/>
        <v>#N/A</v>
      </c>
      <c r="E742" s="9"/>
      <c r="F742" s="10"/>
      <c r="G742" s="9"/>
      <c r="H742" s="10"/>
      <c r="I742" s="12"/>
      <c r="J742" s="12"/>
      <c r="K742" s="91"/>
      <c r="L742" s="10"/>
      <c r="M742" s="10"/>
    </row>
    <row r="743" spans="1:13" ht="18.75" x14ac:dyDescent="0.25">
      <c r="A743" s="9"/>
      <c r="B743" s="13" t="e">
        <f>VLOOKUP(Table27[[#This Row],[Location 
(drop-down)]],'List source'!D$2:E$59,2,FALSE)</f>
        <v>#N/A</v>
      </c>
      <c r="C743" s="11" t="s">
        <v>1843</v>
      </c>
      <c r="D743" s="33" t="e">
        <f t="shared" si="12"/>
        <v>#N/A</v>
      </c>
      <c r="E743" s="9"/>
      <c r="F743" s="10"/>
      <c r="G743" s="9"/>
      <c r="H743" s="10"/>
      <c r="I743" s="12"/>
      <c r="J743" s="12"/>
      <c r="K743" s="91"/>
      <c r="L743" s="10"/>
      <c r="M743" s="10"/>
    </row>
    <row r="744" spans="1:13" ht="18.75" x14ac:dyDescent="0.25">
      <c r="A744" s="9"/>
      <c r="B744" s="13" t="e">
        <f>VLOOKUP(Table27[[#This Row],[Location 
(drop-down)]],'List source'!D$2:E$59,2,FALSE)</f>
        <v>#N/A</v>
      </c>
      <c r="C744" s="11" t="s">
        <v>1845</v>
      </c>
      <c r="D744" s="33" t="e">
        <f t="shared" si="12"/>
        <v>#N/A</v>
      </c>
      <c r="E744" s="9"/>
      <c r="F744" s="10"/>
      <c r="G744" s="9"/>
      <c r="H744" s="10"/>
      <c r="I744" s="12"/>
      <c r="J744" s="12"/>
      <c r="K744" s="91"/>
      <c r="L744" s="10"/>
      <c r="M744" s="10"/>
    </row>
    <row r="745" spans="1:13" ht="18.75" x14ac:dyDescent="0.25">
      <c r="A745" s="9"/>
      <c r="B745" s="13" t="e">
        <f>VLOOKUP(Table27[[#This Row],[Location 
(drop-down)]],'List source'!D$2:E$59,2,FALSE)</f>
        <v>#N/A</v>
      </c>
      <c r="C745" s="11" t="s">
        <v>1847</v>
      </c>
      <c r="D745" s="33" t="e">
        <f t="shared" si="12"/>
        <v>#N/A</v>
      </c>
      <c r="E745" s="9"/>
      <c r="F745" s="10"/>
      <c r="G745" s="9"/>
      <c r="H745" s="10"/>
      <c r="I745" s="12"/>
      <c r="J745" s="12"/>
      <c r="K745" s="91"/>
      <c r="L745" s="10"/>
      <c r="M745" s="10"/>
    </row>
    <row r="746" spans="1:13" ht="18.75" x14ac:dyDescent="0.25">
      <c r="A746" s="9"/>
      <c r="B746" s="13" t="e">
        <f>VLOOKUP(Table27[[#This Row],[Location 
(drop-down)]],'List source'!D$2:E$59,2,FALSE)</f>
        <v>#N/A</v>
      </c>
      <c r="C746" s="11" t="s">
        <v>1849</v>
      </c>
      <c r="D746" s="33" t="e">
        <f t="shared" si="12"/>
        <v>#N/A</v>
      </c>
      <c r="E746" s="9"/>
      <c r="F746" s="10"/>
      <c r="G746" s="9"/>
      <c r="H746" s="10"/>
      <c r="I746" s="12"/>
      <c r="J746" s="12"/>
      <c r="K746" s="91"/>
      <c r="L746" s="10"/>
      <c r="M746" s="10"/>
    </row>
    <row r="747" spans="1:13" ht="18.75" x14ac:dyDescent="0.25">
      <c r="A747" s="9"/>
      <c r="B747" s="13" t="e">
        <f>VLOOKUP(Table27[[#This Row],[Location 
(drop-down)]],'List source'!D$2:E$59,2,FALSE)</f>
        <v>#N/A</v>
      </c>
      <c r="C747" s="11" t="s">
        <v>1852</v>
      </c>
      <c r="D747" s="33" t="e">
        <f t="shared" si="12"/>
        <v>#N/A</v>
      </c>
      <c r="E747" s="9"/>
      <c r="F747" s="10"/>
      <c r="G747" s="9"/>
      <c r="H747" s="10"/>
      <c r="I747" s="12"/>
      <c r="J747" s="12"/>
      <c r="K747" s="91"/>
      <c r="L747" s="10"/>
      <c r="M747" s="10"/>
    </row>
    <row r="748" spans="1:13" ht="18.75" x14ac:dyDescent="0.25">
      <c r="A748" s="9"/>
      <c r="B748" s="13" t="e">
        <f>VLOOKUP(Table27[[#This Row],[Location 
(drop-down)]],'List source'!D$2:E$59,2,FALSE)</f>
        <v>#N/A</v>
      </c>
      <c r="C748" s="11" t="s">
        <v>1854</v>
      </c>
      <c r="D748" s="33" t="e">
        <f t="shared" si="12"/>
        <v>#N/A</v>
      </c>
      <c r="E748" s="9"/>
      <c r="F748" s="10"/>
      <c r="G748" s="9"/>
      <c r="H748" s="10"/>
      <c r="I748" s="12"/>
      <c r="J748" s="12"/>
      <c r="K748" s="91"/>
      <c r="L748" s="10"/>
      <c r="M748" s="10"/>
    </row>
    <row r="749" spans="1:13" ht="18.75" x14ac:dyDescent="0.25">
      <c r="A749" s="9"/>
      <c r="B749" s="13" t="e">
        <f>VLOOKUP(Table27[[#This Row],[Location 
(drop-down)]],'List source'!D$2:E$59,2,FALSE)</f>
        <v>#N/A</v>
      </c>
      <c r="C749" s="11" t="s">
        <v>1856</v>
      </c>
      <c r="D749" s="33" t="e">
        <f t="shared" si="12"/>
        <v>#N/A</v>
      </c>
      <c r="E749" s="9"/>
      <c r="F749" s="10"/>
      <c r="G749" s="9"/>
      <c r="H749" s="10"/>
      <c r="I749" s="12"/>
      <c r="J749" s="12"/>
      <c r="K749" s="91"/>
      <c r="L749" s="10"/>
      <c r="M749" s="10"/>
    </row>
    <row r="750" spans="1:13" ht="18.75" x14ac:dyDescent="0.25">
      <c r="A750" s="9"/>
      <c r="B750" s="13" t="e">
        <f>VLOOKUP(Table27[[#This Row],[Location 
(drop-down)]],'List source'!D$2:E$59,2,FALSE)</f>
        <v>#N/A</v>
      </c>
      <c r="C750" s="11" t="s">
        <v>1858</v>
      </c>
      <c r="D750" s="33" t="e">
        <f t="shared" si="12"/>
        <v>#N/A</v>
      </c>
      <c r="E750" s="9"/>
      <c r="F750" s="10"/>
      <c r="G750" s="9"/>
      <c r="H750" s="10"/>
      <c r="I750" s="12"/>
      <c r="J750" s="12"/>
      <c r="K750" s="91"/>
      <c r="L750" s="10"/>
      <c r="M750" s="10"/>
    </row>
    <row r="751" spans="1:13" ht="18.75" x14ac:dyDescent="0.25">
      <c r="A751" s="9"/>
      <c r="B751" s="13" t="e">
        <f>VLOOKUP(Table27[[#This Row],[Location 
(drop-down)]],'List source'!D$2:E$59,2,FALSE)</f>
        <v>#N/A</v>
      </c>
      <c r="C751" s="11" t="s">
        <v>1861</v>
      </c>
      <c r="D751" s="33" t="e">
        <f t="shared" si="12"/>
        <v>#N/A</v>
      </c>
      <c r="E751" s="9"/>
      <c r="F751" s="10"/>
      <c r="G751" s="9"/>
      <c r="H751" s="10"/>
      <c r="I751" s="12"/>
      <c r="J751" s="12"/>
      <c r="K751" s="91"/>
      <c r="L751" s="10"/>
      <c r="M751" s="10"/>
    </row>
    <row r="752" spans="1:13" ht="18.75" x14ac:dyDescent="0.25">
      <c r="A752" s="9"/>
      <c r="B752" s="13" t="e">
        <f>VLOOKUP(Table27[[#This Row],[Location 
(drop-down)]],'List source'!D$2:E$59,2,FALSE)</f>
        <v>#N/A</v>
      </c>
      <c r="C752" s="11" t="s">
        <v>1863</v>
      </c>
      <c r="D752" s="33" t="e">
        <f t="shared" si="12"/>
        <v>#N/A</v>
      </c>
      <c r="E752" s="9"/>
      <c r="F752" s="10"/>
      <c r="G752" s="9"/>
      <c r="H752" s="10"/>
      <c r="I752" s="12"/>
      <c r="J752" s="12"/>
      <c r="K752" s="91"/>
      <c r="L752" s="10"/>
      <c r="M752" s="10"/>
    </row>
    <row r="753" spans="1:13" ht="18.75" x14ac:dyDescent="0.25">
      <c r="A753" s="9"/>
      <c r="B753" s="13" t="e">
        <f>VLOOKUP(Table27[[#This Row],[Location 
(drop-down)]],'List source'!D$2:E$59,2,FALSE)</f>
        <v>#N/A</v>
      </c>
      <c r="C753" s="11" t="s">
        <v>1865</v>
      </c>
      <c r="D753" s="33" t="e">
        <f t="shared" si="12"/>
        <v>#N/A</v>
      </c>
      <c r="E753" s="9"/>
      <c r="F753" s="10"/>
      <c r="G753" s="9"/>
      <c r="H753" s="10"/>
      <c r="I753" s="12"/>
      <c r="J753" s="12"/>
      <c r="K753" s="91"/>
      <c r="L753" s="10"/>
      <c r="M753" s="10"/>
    </row>
    <row r="754" spans="1:13" ht="18.75" x14ac:dyDescent="0.25">
      <c r="A754" s="9"/>
      <c r="B754" s="13" t="e">
        <f>VLOOKUP(Table27[[#This Row],[Location 
(drop-down)]],'List source'!D$2:E$59,2,FALSE)</f>
        <v>#N/A</v>
      </c>
      <c r="C754" s="11" t="s">
        <v>1867</v>
      </c>
      <c r="D754" s="33" t="e">
        <f t="shared" si="12"/>
        <v>#N/A</v>
      </c>
      <c r="E754" s="9"/>
      <c r="F754" s="10"/>
      <c r="G754" s="9"/>
      <c r="H754" s="10"/>
      <c r="I754" s="12"/>
      <c r="J754" s="12"/>
      <c r="K754" s="91"/>
      <c r="L754" s="10"/>
      <c r="M754" s="10"/>
    </row>
    <row r="755" spans="1:13" ht="18.75" x14ac:dyDescent="0.25">
      <c r="A755" s="9"/>
      <c r="B755" s="13" t="e">
        <f>VLOOKUP(Table27[[#This Row],[Location 
(drop-down)]],'List source'!D$2:E$59,2,FALSE)</f>
        <v>#N/A</v>
      </c>
      <c r="C755" s="11" t="s">
        <v>1869</v>
      </c>
      <c r="D755" s="33" t="e">
        <f t="shared" si="12"/>
        <v>#N/A</v>
      </c>
      <c r="E755" s="9"/>
      <c r="F755" s="10"/>
      <c r="G755" s="9"/>
      <c r="H755" s="10"/>
      <c r="I755" s="12"/>
      <c r="J755" s="12"/>
      <c r="K755" s="91"/>
      <c r="L755" s="10"/>
      <c r="M755" s="10"/>
    </row>
    <row r="756" spans="1:13" ht="18.75" x14ac:dyDescent="0.25">
      <c r="A756" s="9"/>
      <c r="B756" s="13" t="e">
        <f>VLOOKUP(Table27[[#This Row],[Location 
(drop-down)]],'List source'!D$2:E$59,2,FALSE)</f>
        <v>#N/A</v>
      </c>
      <c r="C756" s="11" t="s">
        <v>1871</v>
      </c>
      <c r="D756" s="33" t="e">
        <f t="shared" si="12"/>
        <v>#N/A</v>
      </c>
      <c r="E756" s="9"/>
      <c r="F756" s="10"/>
      <c r="G756" s="9"/>
      <c r="H756" s="10"/>
      <c r="I756" s="12"/>
      <c r="J756" s="12"/>
      <c r="K756" s="91"/>
      <c r="L756" s="10"/>
      <c r="M756" s="10"/>
    </row>
    <row r="757" spans="1:13" ht="18.75" x14ac:dyDescent="0.25">
      <c r="A757" s="9"/>
      <c r="B757" s="13" t="e">
        <f>VLOOKUP(Table27[[#This Row],[Location 
(drop-down)]],'List source'!D$2:E$59,2,FALSE)</f>
        <v>#N/A</v>
      </c>
      <c r="C757" s="11" t="s">
        <v>1873</v>
      </c>
      <c r="D757" s="33" t="e">
        <f t="shared" si="12"/>
        <v>#N/A</v>
      </c>
      <c r="E757" s="9"/>
      <c r="F757" s="10"/>
      <c r="G757" s="9"/>
      <c r="H757" s="10"/>
      <c r="I757" s="12"/>
      <c r="J757" s="12"/>
      <c r="K757" s="91"/>
      <c r="L757" s="10"/>
      <c r="M757" s="10"/>
    </row>
    <row r="758" spans="1:13" ht="18.75" x14ac:dyDescent="0.25">
      <c r="A758" s="9"/>
      <c r="B758" s="13" t="e">
        <f>VLOOKUP(Table27[[#This Row],[Location 
(drop-down)]],'List source'!D$2:E$59,2,FALSE)</f>
        <v>#N/A</v>
      </c>
      <c r="C758" s="11" t="s">
        <v>1875</v>
      </c>
      <c r="D758" s="33" t="e">
        <f t="shared" si="12"/>
        <v>#N/A</v>
      </c>
      <c r="E758" s="9"/>
      <c r="F758" s="10"/>
      <c r="G758" s="9"/>
      <c r="H758" s="10"/>
      <c r="I758" s="12"/>
      <c r="J758" s="12"/>
      <c r="K758" s="91"/>
      <c r="L758" s="10"/>
      <c r="M758" s="10"/>
    </row>
    <row r="759" spans="1:13" ht="18.75" x14ac:dyDescent="0.25">
      <c r="A759" s="9"/>
      <c r="B759" s="13" t="e">
        <f>VLOOKUP(Table27[[#This Row],[Location 
(drop-down)]],'List source'!D$2:E$59,2,FALSE)</f>
        <v>#N/A</v>
      </c>
      <c r="C759" s="11" t="s">
        <v>1877</v>
      </c>
      <c r="D759" s="33" t="e">
        <f t="shared" si="12"/>
        <v>#N/A</v>
      </c>
      <c r="E759" s="9"/>
      <c r="F759" s="10"/>
      <c r="G759" s="9"/>
      <c r="H759" s="10"/>
      <c r="I759" s="12"/>
      <c r="J759" s="12"/>
      <c r="K759" s="91"/>
      <c r="L759" s="10"/>
      <c r="M759" s="10"/>
    </row>
    <row r="760" spans="1:13" ht="18.75" x14ac:dyDescent="0.25">
      <c r="A760" s="9"/>
      <c r="B760" s="13" t="e">
        <f>VLOOKUP(Table27[[#This Row],[Location 
(drop-down)]],'List source'!D$2:E$59,2,FALSE)</f>
        <v>#N/A</v>
      </c>
      <c r="C760" s="11" t="s">
        <v>1879</v>
      </c>
      <c r="D760" s="33" t="e">
        <f t="shared" si="12"/>
        <v>#N/A</v>
      </c>
      <c r="E760" s="9"/>
      <c r="F760" s="10"/>
      <c r="G760" s="9"/>
      <c r="H760" s="10"/>
      <c r="I760" s="12"/>
      <c r="J760" s="12"/>
      <c r="K760" s="91"/>
      <c r="L760" s="10"/>
      <c r="M760" s="10"/>
    </row>
    <row r="761" spans="1:13" ht="18.75" x14ac:dyDescent="0.25">
      <c r="A761" s="9"/>
      <c r="B761" s="13" t="e">
        <f>VLOOKUP(Table27[[#This Row],[Location 
(drop-down)]],'List source'!D$2:E$59,2,FALSE)</f>
        <v>#N/A</v>
      </c>
      <c r="C761" s="11" t="s">
        <v>1882</v>
      </c>
      <c r="D761" s="33" t="e">
        <f t="shared" si="12"/>
        <v>#N/A</v>
      </c>
      <c r="E761" s="9"/>
      <c r="F761" s="10"/>
      <c r="G761" s="9"/>
      <c r="H761" s="10"/>
      <c r="I761" s="12"/>
      <c r="J761" s="12"/>
      <c r="K761" s="91"/>
      <c r="L761" s="10"/>
      <c r="M761" s="10"/>
    </row>
    <row r="762" spans="1:13" ht="18.75" x14ac:dyDescent="0.25">
      <c r="A762" s="9"/>
      <c r="B762" s="13" t="e">
        <f>VLOOKUP(Table27[[#This Row],[Location 
(drop-down)]],'List source'!D$2:E$59,2,FALSE)</f>
        <v>#N/A</v>
      </c>
      <c r="C762" s="11" t="s">
        <v>1883</v>
      </c>
      <c r="D762" s="33" t="e">
        <f t="shared" si="12"/>
        <v>#N/A</v>
      </c>
      <c r="E762" s="9"/>
      <c r="F762" s="10"/>
      <c r="G762" s="9"/>
      <c r="H762" s="10"/>
      <c r="I762" s="12"/>
      <c r="J762" s="12"/>
      <c r="K762" s="91"/>
      <c r="L762" s="10"/>
      <c r="M762" s="10"/>
    </row>
    <row r="763" spans="1:13" ht="18.75" x14ac:dyDescent="0.25">
      <c r="A763" s="9"/>
      <c r="B763" s="13" t="e">
        <f>VLOOKUP(Table27[[#This Row],[Location 
(drop-down)]],'List source'!D$2:E$59,2,FALSE)</f>
        <v>#N/A</v>
      </c>
      <c r="C763" s="11" t="s">
        <v>1884</v>
      </c>
      <c r="D763" s="33" t="e">
        <f t="shared" si="12"/>
        <v>#N/A</v>
      </c>
      <c r="E763" s="9"/>
      <c r="F763" s="10"/>
      <c r="G763" s="9"/>
      <c r="H763" s="10"/>
      <c r="I763" s="12"/>
      <c r="J763" s="12"/>
      <c r="K763" s="91"/>
      <c r="L763" s="10"/>
      <c r="M763" s="10"/>
    </row>
    <row r="764" spans="1:13" ht="18.75" x14ac:dyDescent="0.25">
      <c r="A764" s="9"/>
      <c r="B764" s="13" t="e">
        <f>VLOOKUP(Table27[[#This Row],[Location 
(drop-down)]],'List source'!D$2:E$59,2,FALSE)</f>
        <v>#N/A</v>
      </c>
      <c r="C764" s="11" t="s">
        <v>1885</v>
      </c>
      <c r="D764" s="33" t="e">
        <f t="shared" si="12"/>
        <v>#N/A</v>
      </c>
      <c r="E764" s="9"/>
      <c r="F764" s="10"/>
      <c r="G764" s="9"/>
      <c r="H764" s="10"/>
      <c r="I764" s="12"/>
      <c r="J764" s="12"/>
      <c r="K764" s="91"/>
      <c r="L764" s="10"/>
      <c r="M764" s="10"/>
    </row>
    <row r="765" spans="1:13" ht="18.75" x14ac:dyDescent="0.25">
      <c r="A765" s="9"/>
      <c r="B765" s="13" t="e">
        <f>VLOOKUP(Table27[[#This Row],[Location 
(drop-down)]],'List source'!D$2:E$59,2,FALSE)</f>
        <v>#N/A</v>
      </c>
      <c r="C765" s="11" t="s">
        <v>1886</v>
      </c>
      <c r="D765" s="33" t="e">
        <f t="shared" si="12"/>
        <v>#N/A</v>
      </c>
      <c r="E765" s="9"/>
      <c r="F765" s="10"/>
      <c r="G765" s="9"/>
      <c r="H765" s="10"/>
      <c r="I765" s="12"/>
      <c r="J765" s="12"/>
      <c r="K765" s="91"/>
      <c r="L765" s="10"/>
      <c r="M765" s="10"/>
    </row>
    <row r="766" spans="1:13" ht="18.75" x14ac:dyDescent="0.25">
      <c r="A766" s="9"/>
      <c r="B766" s="13" t="e">
        <f>VLOOKUP(Table27[[#This Row],[Location 
(drop-down)]],'List source'!D$2:E$59,2,FALSE)</f>
        <v>#N/A</v>
      </c>
      <c r="C766" s="11" t="s">
        <v>1887</v>
      </c>
      <c r="D766" s="33" t="e">
        <f t="shared" si="12"/>
        <v>#N/A</v>
      </c>
      <c r="E766" s="9"/>
      <c r="F766" s="10"/>
      <c r="G766" s="9"/>
      <c r="H766" s="10"/>
      <c r="I766" s="12"/>
      <c r="J766" s="12"/>
      <c r="K766" s="91"/>
      <c r="L766" s="10"/>
      <c r="M766" s="10"/>
    </row>
    <row r="767" spans="1:13" ht="18.75" x14ac:dyDescent="0.25">
      <c r="A767" s="9"/>
      <c r="B767" s="13" t="e">
        <f>VLOOKUP(Table27[[#This Row],[Location 
(drop-down)]],'List source'!D$2:E$59,2,FALSE)</f>
        <v>#N/A</v>
      </c>
      <c r="C767" s="11" t="s">
        <v>1888</v>
      </c>
      <c r="D767" s="33" t="e">
        <f t="shared" si="12"/>
        <v>#N/A</v>
      </c>
      <c r="E767" s="9"/>
      <c r="F767" s="10"/>
      <c r="G767" s="9"/>
      <c r="H767" s="10"/>
      <c r="I767" s="12"/>
      <c r="J767" s="12"/>
      <c r="K767" s="91"/>
      <c r="L767" s="10"/>
      <c r="M767" s="10"/>
    </row>
    <row r="768" spans="1:13" ht="18.75" x14ac:dyDescent="0.25">
      <c r="A768" s="9"/>
      <c r="B768" s="13" t="e">
        <f>VLOOKUP(Table27[[#This Row],[Location 
(drop-down)]],'List source'!D$2:E$59,2,FALSE)</f>
        <v>#N/A</v>
      </c>
      <c r="C768" s="11" t="s">
        <v>1889</v>
      </c>
      <c r="D768" s="33" t="e">
        <f t="shared" si="12"/>
        <v>#N/A</v>
      </c>
      <c r="E768" s="9"/>
      <c r="F768" s="10"/>
      <c r="G768" s="9"/>
      <c r="H768" s="10"/>
      <c r="I768" s="12"/>
      <c r="J768" s="12"/>
      <c r="K768" s="91"/>
      <c r="L768" s="10"/>
      <c r="M768" s="10"/>
    </row>
    <row r="769" spans="1:13" ht="18.75" x14ac:dyDescent="0.25">
      <c r="A769" s="9"/>
      <c r="B769" s="13" t="e">
        <f>VLOOKUP(Table27[[#This Row],[Location 
(drop-down)]],'List source'!D$2:E$59,2,FALSE)</f>
        <v>#N/A</v>
      </c>
      <c r="C769" s="11" t="s">
        <v>1890</v>
      </c>
      <c r="D769" s="33" t="e">
        <f t="shared" si="12"/>
        <v>#N/A</v>
      </c>
      <c r="E769" s="9"/>
      <c r="F769" s="10"/>
      <c r="G769" s="9"/>
      <c r="H769" s="10"/>
      <c r="I769" s="12"/>
      <c r="J769" s="12"/>
      <c r="K769" s="91"/>
      <c r="L769" s="10"/>
      <c r="M769" s="10"/>
    </row>
    <row r="770" spans="1:13" ht="18.75" x14ac:dyDescent="0.25">
      <c r="A770" s="9"/>
      <c r="B770" s="13" t="e">
        <f>VLOOKUP(Table27[[#This Row],[Location 
(drop-down)]],'List source'!D$2:E$59,2,FALSE)</f>
        <v>#N/A</v>
      </c>
      <c r="C770" s="11" t="s">
        <v>1891</v>
      </c>
      <c r="D770" s="33" t="e">
        <f t="shared" ref="D770:D821" si="13">"PTO" &amp; C770 &amp; "-" &amp; B770 &amp; "-" &amp; "23"</f>
        <v>#N/A</v>
      </c>
      <c r="E770" s="9"/>
      <c r="F770" s="10"/>
      <c r="G770" s="9"/>
      <c r="H770" s="10"/>
      <c r="I770" s="12"/>
      <c r="J770" s="12"/>
      <c r="K770" s="91"/>
      <c r="L770" s="10"/>
      <c r="M770" s="10"/>
    </row>
    <row r="771" spans="1:13" ht="18.75" x14ac:dyDescent="0.25">
      <c r="A771" s="9"/>
      <c r="B771" s="13" t="e">
        <f>VLOOKUP(Table27[[#This Row],[Location 
(drop-down)]],'List source'!D$2:E$59,2,FALSE)</f>
        <v>#N/A</v>
      </c>
      <c r="C771" s="11" t="s">
        <v>1892</v>
      </c>
      <c r="D771" s="33" t="e">
        <f t="shared" si="13"/>
        <v>#N/A</v>
      </c>
      <c r="E771" s="9"/>
      <c r="F771" s="10"/>
      <c r="G771" s="9"/>
      <c r="H771" s="10"/>
      <c r="I771" s="12"/>
      <c r="J771" s="12"/>
      <c r="K771" s="91"/>
      <c r="L771" s="10"/>
      <c r="M771" s="10"/>
    </row>
    <row r="772" spans="1:13" ht="18.75" x14ac:dyDescent="0.25">
      <c r="A772" s="9"/>
      <c r="B772" s="13" t="e">
        <f>VLOOKUP(Table27[[#This Row],[Location 
(drop-down)]],'List source'!D$2:E$59,2,FALSE)</f>
        <v>#N/A</v>
      </c>
      <c r="C772" s="11" t="s">
        <v>1893</v>
      </c>
      <c r="D772" s="33" t="e">
        <f t="shared" si="13"/>
        <v>#N/A</v>
      </c>
      <c r="E772" s="9"/>
      <c r="F772" s="10"/>
      <c r="G772" s="9"/>
      <c r="H772" s="10"/>
      <c r="I772" s="12"/>
      <c r="J772" s="12"/>
      <c r="K772" s="91"/>
      <c r="L772" s="10"/>
      <c r="M772" s="10"/>
    </row>
    <row r="773" spans="1:13" ht="18.75" x14ac:dyDescent="0.25">
      <c r="A773" s="9"/>
      <c r="B773" s="13" t="e">
        <f>VLOOKUP(Table27[[#This Row],[Location 
(drop-down)]],'List source'!D$2:E$59,2,FALSE)</f>
        <v>#N/A</v>
      </c>
      <c r="C773" s="11" t="s">
        <v>1894</v>
      </c>
      <c r="D773" s="33" t="e">
        <f t="shared" si="13"/>
        <v>#N/A</v>
      </c>
      <c r="E773" s="9"/>
      <c r="F773" s="10"/>
      <c r="G773" s="9"/>
      <c r="H773" s="10"/>
      <c r="I773" s="12"/>
      <c r="J773" s="12"/>
      <c r="K773" s="91"/>
      <c r="L773" s="10"/>
      <c r="M773" s="10"/>
    </row>
    <row r="774" spans="1:13" ht="18.75" x14ac:dyDescent="0.25">
      <c r="A774" s="9"/>
      <c r="B774" s="13" t="e">
        <f>VLOOKUP(Table27[[#This Row],[Location 
(drop-down)]],'List source'!D$2:E$59,2,FALSE)</f>
        <v>#N/A</v>
      </c>
      <c r="C774" s="11" t="s">
        <v>1895</v>
      </c>
      <c r="D774" s="33" t="e">
        <f t="shared" si="13"/>
        <v>#N/A</v>
      </c>
      <c r="E774" s="9"/>
      <c r="F774" s="10"/>
      <c r="G774" s="9"/>
      <c r="H774" s="10"/>
      <c r="I774" s="12"/>
      <c r="J774" s="12"/>
      <c r="K774" s="91"/>
      <c r="L774" s="10"/>
      <c r="M774" s="10"/>
    </row>
    <row r="775" spans="1:13" ht="18.75" x14ac:dyDescent="0.25">
      <c r="A775" s="9"/>
      <c r="B775" s="13" t="e">
        <f>VLOOKUP(Table27[[#This Row],[Location 
(drop-down)]],'List source'!D$2:E$59,2,FALSE)</f>
        <v>#N/A</v>
      </c>
      <c r="C775" s="11" t="s">
        <v>1896</v>
      </c>
      <c r="D775" s="33" t="e">
        <f t="shared" si="13"/>
        <v>#N/A</v>
      </c>
      <c r="E775" s="9"/>
      <c r="F775" s="10"/>
      <c r="G775" s="9"/>
      <c r="H775" s="10"/>
      <c r="I775" s="12"/>
      <c r="J775" s="12"/>
      <c r="K775" s="91"/>
      <c r="L775" s="10"/>
      <c r="M775" s="10"/>
    </row>
    <row r="776" spans="1:13" ht="18.75" x14ac:dyDescent="0.25">
      <c r="A776" s="9"/>
      <c r="B776" s="13" t="e">
        <f>VLOOKUP(Table27[[#This Row],[Location 
(drop-down)]],'List source'!D$2:E$59,2,FALSE)</f>
        <v>#N/A</v>
      </c>
      <c r="C776" s="11" t="s">
        <v>1897</v>
      </c>
      <c r="D776" s="33" t="e">
        <f t="shared" si="13"/>
        <v>#N/A</v>
      </c>
      <c r="E776" s="9"/>
      <c r="F776" s="10"/>
      <c r="G776" s="9"/>
      <c r="H776" s="10"/>
      <c r="I776" s="12"/>
      <c r="J776" s="12"/>
      <c r="K776" s="91"/>
      <c r="L776" s="10"/>
      <c r="M776" s="10"/>
    </row>
    <row r="777" spans="1:13" ht="18.75" x14ac:dyDescent="0.25">
      <c r="A777" s="9"/>
      <c r="B777" s="13" t="e">
        <f>VLOOKUP(Table27[[#This Row],[Location 
(drop-down)]],'List source'!D$2:E$59,2,FALSE)</f>
        <v>#N/A</v>
      </c>
      <c r="C777" s="11" t="s">
        <v>1898</v>
      </c>
      <c r="D777" s="33" t="e">
        <f t="shared" si="13"/>
        <v>#N/A</v>
      </c>
      <c r="E777" s="9"/>
      <c r="F777" s="10"/>
      <c r="G777" s="9"/>
      <c r="H777" s="10"/>
      <c r="I777" s="12"/>
      <c r="J777" s="12"/>
      <c r="K777" s="91"/>
      <c r="L777" s="10"/>
      <c r="M777" s="10"/>
    </row>
    <row r="778" spans="1:13" ht="18.75" x14ac:dyDescent="0.25">
      <c r="A778" s="9"/>
      <c r="B778" s="13" t="e">
        <f>VLOOKUP(Table27[[#This Row],[Location 
(drop-down)]],'List source'!D$2:E$59,2,FALSE)</f>
        <v>#N/A</v>
      </c>
      <c r="C778" s="11" t="s">
        <v>1899</v>
      </c>
      <c r="D778" s="33" t="e">
        <f t="shared" si="13"/>
        <v>#N/A</v>
      </c>
      <c r="E778" s="9"/>
      <c r="F778" s="10"/>
      <c r="G778" s="9"/>
      <c r="H778" s="10"/>
      <c r="I778" s="12"/>
      <c r="J778" s="12"/>
      <c r="K778" s="91"/>
      <c r="L778" s="10"/>
      <c r="M778" s="10"/>
    </row>
    <row r="779" spans="1:13" ht="18.75" x14ac:dyDescent="0.25">
      <c r="A779" s="9"/>
      <c r="B779" s="13" t="e">
        <f>VLOOKUP(Table27[[#This Row],[Location 
(drop-down)]],'List source'!D$2:E$59,2,FALSE)</f>
        <v>#N/A</v>
      </c>
      <c r="C779" s="11" t="s">
        <v>1900</v>
      </c>
      <c r="D779" s="33" t="e">
        <f t="shared" si="13"/>
        <v>#N/A</v>
      </c>
      <c r="E779" s="9"/>
      <c r="F779" s="10"/>
      <c r="G779" s="9"/>
      <c r="H779" s="10"/>
      <c r="I779" s="12"/>
      <c r="J779" s="12"/>
      <c r="K779" s="91"/>
      <c r="L779" s="10"/>
      <c r="M779" s="10"/>
    </row>
    <row r="780" spans="1:13" ht="18.75" x14ac:dyDescent="0.25">
      <c r="A780" s="9"/>
      <c r="B780" s="13" t="e">
        <f>VLOOKUP(Table27[[#This Row],[Location 
(drop-down)]],'List source'!D$2:E$59,2,FALSE)</f>
        <v>#N/A</v>
      </c>
      <c r="C780" s="11" t="s">
        <v>1901</v>
      </c>
      <c r="D780" s="33" t="e">
        <f t="shared" si="13"/>
        <v>#N/A</v>
      </c>
      <c r="E780" s="9"/>
      <c r="F780" s="10"/>
      <c r="G780" s="9"/>
      <c r="H780" s="10"/>
      <c r="I780" s="12"/>
      <c r="J780" s="12"/>
      <c r="K780" s="91"/>
      <c r="L780" s="10"/>
      <c r="M780" s="10"/>
    </row>
    <row r="781" spans="1:13" ht="18.75" x14ac:dyDescent="0.25">
      <c r="A781" s="9"/>
      <c r="B781" s="13" t="e">
        <f>VLOOKUP(Table27[[#This Row],[Location 
(drop-down)]],'List source'!D$2:E$59,2,FALSE)</f>
        <v>#N/A</v>
      </c>
      <c r="C781" s="11" t="s">
        <v>1902</v>
      </c>
      <c r="D781" s="33" t="e">
        <f t="shared" si="13"/>
        <v>#N/A</v>
      </c>
      <c r="E781" s="9"/>
      <c r="F781" s="10"/>
      <c r="G781" s="9"/>
      <c r="H781" s="10"/>
      <c r="I781" s="12"/>
      <c r="J781" s="12"/>
      <c r="K781" s="91"/>
      <c r="L781" s="10"/>
      <c r="M781" s="10"/>
    </row>
    <row r="782" spans="1:13" ht="18.75" x14ac:dyDescent="0.25">
      <c r="A782" s="9"/>
      <c r="B782" s="13" t="e">
        <f>VLOOKUP(Table27[[#This Row],[Location 
(drop-down)]],'List source'!D$2:E$59,2,FALSE)</f>
        <v>#N/A</v>
      </c>
      <c r="C782" s="11" t="s">
        <v>1903</v>
      </c>
      <c r="D782" s="33" t="e">
        <f t="shared" si="13"/>
        <v>#N/A</v>
      </c>
      <c r="E782" s="9"/>
      <c r="F782" s="10"/>
      <c r="G782" s="9"/>
      <c r="H782" s="10"/>
      <c r="I782" s="12"/>
      <c r="J782" s="12"/>
      <c r="K782" s="91"/>
      <c r="L782" s="10"/>
      <c r="M782" s="10"/>
    </row>
    <row r="783" spans="1:13" ht="18.75" x14ac:dyDescent="0.25">
      <c r="A783" s="9"/>
      <c r="B783" s="13" t="e">
        <f>VLOOKUP(Table27[[#This Row],[Location 
(drop-down)]],'List source'!D$2:E$59,2,FALSE)</f>
        <v>#N/A</v>
      </c>
      <c r="C783" s="11" t="s">
        <v>1904</v>
      </c>
      <c r="D783" s="33" t="e">
        <f t="shared" si="13"/>
        <v>#N/A</v>
      </c>
      <c r="E783" s="9"/>
      <c r="F783" s="10"/>
      <c r="G783" s="9"/>
      <c r="H783" s="10"/>
      <c r="I783" s="12"/>
      <c r="J783" s="12"/>
      <c r="K783" s="91"/>
      <c r="L783" s="10"/>
      <c r="M783" s="10"/>
    </row>
    <row r="784" spans="1:13" ht="18.75" x14ac:dyDescent="0.25">
      <c r="A784" s="9"/>
      <c r="B784" s="13" t="e">
        <f>VLOOKUP(Table27[[#This Row],[Location 
(drop-down)]],'List source'!D$2:E$59,2,FALSE)</f>
        <v>#N/A</v>
      </c>
      <c r="C784" s="11" t="s">
        <v>1905</v>
      </c>
      <c r="D784" s="33" t="e">
        <f t="shared" si="13"/>
        <v>#N/A</v>
      </c>
      <c r="E784" s="9"/>
      <c r="F784" s="10"/>
      <c r="G784" s="9"/>
      <c r="H784" s="10"/>
      <c r="I784" s="12"/>
      <c r="J784" s="12"/>
      <c r="K784" s="91"/>
      <c r="L784" s="10"/>
      <c r="M784" s="10"/>
    </row>
    <row r="785" spans="1:13" ht="18.75" x14ac:dyDescent="0.25">
      <c r="A785" s="9"/>
      <c r="B785" s="13" t="e">
        <f>VLOOKUP(Table27[[#This Row],[Location 
(drop-down)]],'List source'!D$2:E$59,2,FALSE)</f>
        <v>#N/A</v>
      </c>
      <c r="C785" s="11" t="s">
        <v>1906</v>
      </c>
      <c r="D785" s="33" t="e">
        <f t="shared" si="13"/>
        <v>#N/A</v>
      </c>
      <c r="E785" s="9"/>
      <c r="F785" s="10"/>
      <c r="G785" s="9"/>
      <c r="H785" s="10"/>
      <c r="I785" s="12"/>
      <c r="J785" s="12"/>
      <c r="K785" s="91"/>
      <c r="L785" s="10"/>
      <c r="M785" s="10"/>
    </row>
    <row r="786" spans="1:13" ht="18.75" x14ac:dyDescent="0.25">
      <c r="A786" s="9"/>
      <c r="B786" s="13" t="e">
        <f>VLOOKUP(Table27[[#This Row],[Location 
(drop-down)]],'List source'!D$2:E$59,2,FALSE)</f>
        <v>#N/A</v>
      </c>
      <c r="C786" s="11" t="s">
        <v>1907</v>
      </c>
      <c r="D786" s="33" t="e">
        <f t="shared" si="13"/>
        <v>#N/A</v>
      </c>
      <c r="E786" s="9"/>
      <c r="F786" s="10"/>
      <c r="G786" s="9"/>
      <c r="H786" s="10"/>
      <c r="I786" s="12"/>
      <c r="J786" s="12"/>
      <c r="K786" s="91"/>
      <c r="L786" s="10"/>
      <c r="M786" s="10"/>
    </row>
    <row r="787" spans="1:13" ht="18.75" x14ac:dyDescent="0.25">
      <c r="A787" s="9"/>
      <c r="B787" s="13" t="e">
        <f>VLOOKUP(Table27[[#This Row],[Location 
(drop-down)]],'List source'!D$2:E$59,2,FALSE)</f>
        <v>#N/A</v>
      </c>
      <c r="C787" s="11" t="s">
        <v>1908</v>
      </c>
      <c r="D787" s="33" t="e">
        <f t="shared" si="13"/>
        <v>#N/A</v>
      </c>
      <c r="E787" s="9"/>
      <c r="F787" s="10"/>
      <c r="G787" s="9"/>
      <c r="H787" s="10"/>
      <c r="I787" s="12"/>
      <c r="J787" s="12"/>
      <c r="K787" s="91"/>
      <c r="L787" s="10"/>
      <c r="M787" s="10"/>
    </row>
    <row r="788" spans="1:13" ht="18.75" x14ac:dyDescent="0.25">
      <c r="A788" s="9"/>
      <c r="B788" s="13" t="e">
        <f>VLOOKUP(Table27[[#This Row],[Location 
(drop-down)]],'List source'!D$2:E$59,2,FALSE)</f>
        <v>#N/A</v>
      </c>
      <c r="C788" s="11" t="s">
        <v>1909</v>
      </c>
      <c r="D788" s="33" t="e">
        <f t="shared" si="13"/>
        <v>#N/A</v>
      </c>
      <c r="E788" s="9"/>
      <c r="F788" s="10"/>
      <c r="G788" s="9"/>
      <c r="H788" s="10"/>
      <c r="I788" s="12"/>
      <c r="J788" s="12"/>
      <c r="K788" s="91"/>
      <c r="L788" s="10"/>
      <c r="M788" s="10"/>
    </row>
    <row r="789" spans="1:13" ht="18.75" x14ac:dyDescent="0.25">
      <c r="A789" s="9"/>
      <c r="B789" s="13" t="e">
        <f>VLOOKUP(Table27[[#This Row],[Location 
(drop-down)]],'List source'!D$2:E$59,2,FALSE)</f>
        <v>#N/A</v>
      </c>
      <c r="C789" s="11" t="s">
        <v>1910</v>
      </c>
      <c r="D789" s="33" t="e">
        <f t="shared" si="13"/>
        <v>#N/A</v>
      </c>
      <c r="E789" s="9"/>
      <c r="F789" s="10"/>
      <c r="G789" s="9"/>
      <c r="H789" s="10"/>
      <c r="I789" s="12"/>
      <c r="J789" s="12"/>
      <c r="K789" s="91"/>
      <c r="L789" s="10"/>
      <c r="M789" s="10"/>
    </row>
    <row r="790" spans="1:13" ht="18.75" x14ac:dyDescent="0.25">
      <c r="A790" s="9"/>
      <c r="B790" s="13" t="e">
        <f>VLOOKUP(Table27[[#This Row],[Location 
(drop-down)]],'List source'!D$2:E$59,2,FALSE)</f>
        <v>#N/A</v>
      </c>
      <c r="C790" s="11" t="s">
        <v>1911</v>
      </c>
      <c r="D790" s="33" t="e">
        <f t="shared" si="13"/>
        <v>#N/A</v>
      </c>
      <c r="E790" s="9"/>
      <c r="F790" s="10"/>
      <c r="G790" s="9"/>
      <c r="H790" s="10"/>
      <c r="I790" s="12"/>
      <c r="J790" s="12"/>
      <c r="K790" s="91"/>
      <c r="L790" s="10"/>
      <c r="M790" s="10"/>
    </row>
    <row r="791" spans="1:13" ht="18.75" x14ac:dyDescent="0.25">
      <c r="A791" s="9"/>
      <c r="B791" s="13" t="e">
        <f>VLOOKUP(Table27[[#This Row],[Location 
(drop-down)]],'List source'!D$2:E$59,2,FALSE)</f>
        <v>#N/A</v>
      </c>
      <c r="C791" s="11" t="s">
        <v>1912</v>
      </c>
      <c r="D791" s="33" t="e">
        <f t="shared" si="13"/>
        <v>#N/A</v>
      </c>
      <c r="E791" s="9"/>
      <c r="F791" s="10"/>
      <c r="G791" s="9"/>
      <c r="H791" s="10"/>
      <c r="I791" s="12"/>
      <c r="J791" s="12"/>
      <c r="K791" s="91"/>
      <c r="L791" s="10"/>
      <c r="M791" s="10"/>
    </row>
    <row r="792" spans="1:13" ht="18.75" x14ac:dyDescent="0.25">
      <c r="A792" s="9"/>
      <c r="B792" s="13" t="e">
        <f>VLOOKUP(Table27[[#This Row],[Location 
(drop-down)]],'List source'!D$2:E$59,2,FALSE)</f>
        <v>#N/A</v>
      </c>
      <c r="C792" s="11" t="s">
        <v>1913</v>
      </c>
      <c r="D792" s="33" t="e">
        <f t="shared" si="13"/>
        <v>#N/A</v>
      </c>
      <c r="E792" s="9"/>
      <c r="F792" s="10"/>
      <c r="G792" s="9"/>
      <c r="H792" s="10"/>
      <c r="I792" s="12"/>
      <c r="J792" s="12"/>
      <c r="K792" s="91"/>
      <c r="L792" s="10"/>
      <c r="M792" s="10"/>
    </row>
    <row r="793" spans="1:13" ht="18.75" x14ac:dyDescent="0.25">
      <c r="A793" s="9"/>
      <c r="B793" s="13" t="e">
        <f>VLOOKUP(Table27[[#This Row],[Location 
(drop-down)]],'List source'!D$2:E$59,2,FALSE)</f>
        <v>#N/A</v>
      </c>
      <c r="C793" s="11" t="s">
        <v>1914</v>
      </c>
      <c r="D793" s="33" t="e">
        <f t="shared" si="13"/>
        <v>#N/A</v>
      </c>
      <c r="E793" s="9"/>
      <c r="F793" s="10"/>
      <c r="G793" s="9"/>
      <c r="H793" s="10"/>
      <c r="I793" s="12"/>
      <c r="J793" s="12"/>
      <c r="K793" s="91"/>
      <c r="L793" s="10"/>
      <c r="M793" s="10"/>
    </row>
    <row r="794" spans="1:13" ht="18.75" x14ac:dyDescent="0.25">
      <c r="A794" s="9"/>
      <c r="B794" s="13" t="e">
        <f>VLOOKUP(Table27[[#This Row],[Location 
(drop-down)]],'List source'!D$2:E$59,2,FALSE)</f>
        <v>#N/A</v>
      </c>
      <c r="C794" s="11" t="s">
        <v>1915</v>
      </c>
      <c r="D794" s="33" t="e">
        <f t="shared" si="13"/>
        <v>#N/A</v>
      </c>
      <c r="E794" s="9"/>
      <c r="F794" s="10"/>
      <c r="G794" s="9"/>
      <c r="H794" s="10"/>
      <c r="I794" s="12"/>
      <c r="J794" s="12"/>
      <c r="K794" s="91"/>
      <c r="L794" s="10"/>
      <c r="M794" s="10"/>
    </row>
    <row r="795" spans="1:13" ht="18.75" x14ac:dyDescent="0.25">
      <c r="A795" s="9"/>
      <c r="B795" s="13" t="e">
        <f>VLOOKUP(Table27[[#This Row],[Location 
(drop-down)]],'List source'!D$2:E$59,2,FALSE)</f>
        <v>#N/A</v>
      </c>
      <c r="C795" s="11" t="s">
        <v>1916</v>
      </c>
      <c r="D795" s="33" t="e">
        <f t="shared" si="13"/>
        <v>#N/A</v>
      </c>
      <c r="E795" s="9"/>
      <c r="F795" s="10"/>
      <c r="G795" s="9"/>
      <c r="H795" s="10"/>
      <c r="I795" s="12"/>
      <c r="J795" s="12"/>
      <c r="K795" s="91"/>
      <c r="L795" s="10"/>
      <c r="M795" s="10"/>
    </row>
    <row r="796" spans="1:13" ht="18.75" x14ac:dyDescent="0.25">
      <c r="A796" s="9"/>
      <c r="B796" s="13" t="e">
        <f>VLOOKUP(Table27[[#This Row],[Location 
(drop-down)]],'List source'!D$2:E$59,2,FALSE)</f>
        <v>#N/A</v>
      </c>
      <c r="C796" s="11" t="s">
        <v>1917</v>
      </c>
      <c r="D796" s="33" t="e">
        <f t="shared" si="13"/>
        <v>#N/A</v>
      </c>
      <c r="E796" s="9"/>
      <c r="F796" s="10"/>
      <c r="G796" s="9"/>
      <c r="H796" s="10"/>
      <c r="I796" s="12"/>
      <c r="J796" s="12"/>
      <c r="K796" s="91"/>
      <c r="L796" s="10"/>
      <c r="M796" s="10"/>
    </row>
    <row r="797" spans="1:13" ht="18.75" x14ac:dyDescent="0.25">
      <c r="A797" s="9"/>
      <c r="B797" s="13" t="e">
        <f>VLOOKUP(Table27[[#This Row],[Location 
(drop-down)]],'List source'!D$2:E$59,2,FALSE)</f>
        <v>#N/A</v>
      </c>
      <c r="C797" s="11" t="s">
        <v>1918</v>
      </c>
      <c r="D797" s="33" t="e">
        <f t="shared" si="13"/>
        <v>#N/A</v>
      </c>
      <c r="E797" s="9"/>
      <c r="F797" s="10"/>
      <c r="G797" s="9"/>
      <c r="H797" s="10"/>
      <c r="I797" s="12"/>
      <c r="J797" s="12"/>
      <c r="K797" s="91"/>
      <c r="L797" s="10"/>
      <c r="M797" s="10"/>
    </row>
    <row r="798" spans="1:13" ht="18.75" x14ac:dyDescent="0.25">
      <c r="A798" s="9"/>
      <c r="B798" s="13" t="e">
        <f>VLOOKUP(Table27[[#This Row],[Location 
(drop-down)]],'List source'!D$2:E$59,2,FALSE)</f>
        <v>#N/A</v>
      </c>
      <c r="C798" s="11" t="s">
        <v>1919</v>
      </c>
      <c r="D798" s="33" t="e">
        <f t="shared" si="13"/>
        <v>#N/A</v>
      </c>
      <c r="E798" s="9"/>
      <c r="F798" s="10"/>
      <c r="G798" s="9"/>
      <c r="H798" s="10"/>
      <c r="I798" s="12"/>
      <c r="J798" s="12"/>
      <c r="K798" s="91"/>
      <c r="L798" s="10"/>
      <c r="M798" s="10"/>
    </row>
    <row r="799" spans="1:13" ht="18.75" x14ac:dyDescent="0.25">
      <c r="A799" s="9"/>
      <c r="B799" s="13" t="e">
        <f>VLOOKUP(Table27[[#This Row],[Location 
(drop-down)]],'List source'!D$2:E$59,2,FALSE)</f>
        <v>#N/A</v>
      </c>
      <c r="C799" s="11" t="s">
        <v>1920</v>
      </c>
      <c r="D799" s="33" t="e">
        <f t="shared" si="13"/>
        <v>#N/A</v>
      </c>
      <c r="E799" s="9"/>
      <c r="F799" s="10"/>
      <c r="G799" s="9"/>
      <c r="H799" s="10"/>
      <c r="I799" s="12"/>
      <c r="J799" s="12"/>
      <c r="K799" s="91"/>
      <c r="L799" s="10"/>
      <c r="M799" s="10"/>
    </row>
    <row r="800" spans="1:13" ht="18.75" x14ac:dyDescent="0.25">
      <c r="A800" s="9"/>
      <c r="B800" s="13" t="e">
        <f>VLOOKUP(Table27[[#This Row],[Location 
(drop-down)]],'List source'!D$2:E$59,2,FALSE)</f>
        <v>#N/A</v>
      </c>
      <c r="C800" s="11" t="s">
        <v>1921</v>
      </c>
      <c r="D800" s="33" t="e">
        <f t="shared" si="13"/>
        <v>#N/A</v>
      </c>
      <c r="E800" s="9"/>
      <c r="F800" s="10"/>
      <c r="G800" s="9"/>
      <c r="H800" s="10"/>
      <c r="I800" s="12"/>
      <c r="J800" s="12"/>
      <c r="K800" s="91"/>
      <c r="L800" s="10"/>
      <c r="M800" s="10"/>
    </row>
    <row r="801" spans="1:13" ht="18.75" x14ac:dyDescent="0.25">
      <c r="A801" s="111"/>
      <c r="B801" s="112" t="e">
        <f>VLOOKUP(Table27[[#This Row],[Location 
(drop-down)]],'List source'!D$2:E$59,2,FALSE)</f>
        <v>#N/A</v>
      </c>
      <c r="C801" s="129" t="s">
        <v>1922</v>
      </c>
      <c r="D801" s="33" t="e">
        <f t="shared" si="13"/>
        <v>#N/A</v>
      </c>
      <c r="E801" s="111"/>
      <c r="F801" s="115"/>
      <c r="G801" s="111"/>
      <c r="H801" s="115"/>
      <c r="I801" s="113"/>
      <c r="J801" s="113"/>
      <c r="K801" s="114"/>
      <c r="L801" s="115"/>
      <c r="M801" s="115"/>
    </row>
    <row r="802" spans="1:13" ht="18.75" x14ac:dyDescent="0.25">
      <c r="A802" s="111"/>
      <c r="B802" s="112" t="e">
        <f>VLOOKUP(Table27[[#This Row],[Location 
(drop-down)]],'List source'!D$2:E$59,2,FALSE)</f>
        <v>#N/A</v>
      </c>
      <c r="C802" s="129" t="s">
        <v>1923</v>
      </c>
      <c r="D802" s="33" t="e">
        <f t="shared" si="13"/>
        <v>#N/A</v>
      </c>
      <c r="E802" s="111"/>
      <c r="F802" s="115"/>
      <c r="G802" s="111"/>
      <c r="H802" s="115"/>
      <c r="I802" s="113"/>
      <c r="J802" s="113"/>
      <c r="K802" s="114"/>
      <c r="L802" s="115"/>
      <c r="M802" s="115"/>
    </row>
    <row r="803" spans="1:13" ht="18.75" x14ac:dyDescent="0.25">
      <c r="A803" s="111"/>
      <c r="B803" s="112" t="e">
        <f>VLOOKUP(Table27[[#This Row],[Location 
(drop-down)]],'List source'!D$2:E$59,2,FALSE)</f>
        <v>#N/A</v>
      </c>
      <c r="C803" s="129" t="s">
        <v>1924</v>
      </c>
      <c r="D803" s="33" t="e">
        <f t="shared" si="13"/>
        <v>#N/A</v>
      </c>
      <c r="E803" s="111"/>
      <c r="F803" s="115"/>
      <c r="G803" s="111"/>
      <c r="H803" s="115"/>
      <c r="I803" s="113"/>
      <c r="J803" s="113"/>
      <c r="K803" s="114"/>
      <c r="L803" s="115"/>
      <c r="M803" s="115"/>
    </row>
    <row r="804" spans="1:13" ht="18.75" x14ac:dyDescent="0.25">
      <c r="A804" s="111"/>
      <c r="B804" s="112" t="e">
        <f>VLOOKUP(Table27[[#This Row],[Location 
(drop-down)]],'List source'!D$2:E$59,2,FALSE)</f>
        <v>#N/A</v>
      </c>
      <c r="C804" s="129" t="s">
        <v>1925</v>
      </c>
      <c r="D804" s="33" t="e">
        <f t="shared" si="13"/>
        <v>#N/A</v>
      </c>
      <c r="E804" s="111"/>
      <c r="F804" s="115"/>
      <c r="G804" s="111"/>
      <c r="H804" s="115"/>
      <c r="I804" s="113"/>
      <c r="J804" s="113"/>
      <c r="K804" s="114"/>
      <c r="L804" s="115"/>
      <c r="M804" s="115"/>
    </row>
    <row r="805" spans="1:13" ht="18.75" x14ac:dyDescent="0.25">
      <c r="A805" s="111"/>
      <c r="B805" s="112" t="e">
        <f>VLOOKUP(Table27[[#This Row],[Location 
(drop-down)]],'List source'!D$2:E$59,2,FALSE)</f>
        <v>#N/A</v>
      </c>
      <c r="C805" s="129" t="s">
        <v>1926</v>
      </c>
      <c r="D805" s="33" t="e">
        <f t="shared" si="13"/>
        <v>#N/A</v>
      </c>
      <c r="E805" s="111"/>
      <c r="F805" s="115"/>
      <c r="G805" s="111"/>
      <c r="H805" s="115"/>
      <c r="I805" s="113"/>
      <c r="J805" s="113"/>
      <c r="K805" s="114"/>
      <c r="L805" s="115"/>
      <c r="M805" s="115"/>
    </row>
    <row r="806" spans="1:13" ht="18.75" x14ac:dyDescent="0.25">
      <c r="A806" s="111"/>
      <c r="B806" s="112" t="e">
        <f>VLOOKUP(Table27[[#This Row],[Location 
(drop-down)]],'List source'!D$2:E$59,2,FALSE)</f>
        <v>#N/A</v>
      </c>
      <c r="C806" s="129" t="s">
        <v>1927</v>
      </c>
      <c r="D806" s="33" t="e">
        <f t="shared" si="13"/>
        <v>#N/A</v>
      </c>
      <c r="E806" s="111"/>
      <c r="F806" s="115"/>
      <c r="G806" s="111"/>
      <c r="H806" s="115"/>
      <c r="I806" s="113"/>
      <c r="J806" s="113"/>
      <c r="K806" s="114"/>
      <c r="L806" s="115"/>
      <c r="M806" s="115"/>
    </row>
    <row r="807" spans="1:13" ht="18.75" x14ac:dyDescent="0.25">
      <c r="A807" s="111"/>
      <c r="B807" s="112" t="e">
        <f>VLOOKUP(Table27[[#This Row],[Location 
(drop-down)]],'List source'!D$2:E$59,2,FALSE)</f>
        <v>#N/A</v>
      </c>
      <c r="C807" s="129" t="s">
        <v>1928</v>
      </c>
      <c r="D807" s="33" t="e">
        <f t="shared" si="13"/>
        <v>#N/A</v>
      </c>
      <c r="E807" s="111"/>
      <c r="F807" s="115"/>
      <c r="G807" s="111"/>
      <c r="H807" s="115"/>
      <c r="I807" s="113"/>
      <c r="J807" s="113"/>
      <c r="K807" s="114"/>
      <c r="L807" s="115"/>
      <c r="M807" s="115"/>
    </row>
    <row r="808" spans="1:13" ht="18.75" x14ac:dyDescent="0.25">
      <c r="A808" s="111"/>
      <c r="B808" s="112" t="e">
        <f>VLOOKUP(Table27[[#This Row],[Location 
(drop-down)]],'List source'!D$2:E$59,2,FALSE)</f>
        <v>#N/A</v>
      </c>
      <c r="C808" s="129" t="s">
        <v>1929</v>
      </c>
      <c r="D808" s="33" t="e">
        <f t="shared" si="13"/>
        <v>#N/A</v>
      </c>
      <c r="E808" s="111"/>
      <c r="F808" s="115"/>
      <c r="G808" s="111"/>
      <c r="H808" s="115"/>
      <c r="I808" s="113"/>
      <c r="J808" s="113"/>
      <c r="K808" s="114"/>
      <c r="L808" s="115"/>
      <c r="M808" s="115"/>
    </row>
    <row r="809" spans="1:13" ht="18.75" x14ac:dyDescent="0.25">
      <c r="A809" s="111"/>
      <c r="B809" s="112" t="e">
        <f>VLOOKUP(Table27[[#This Row],[Location 
(drop-down)]],'List source'!D$2:E$59,2,FALSE)</f>
        <v>#N/A</v>
      </c>
      <c r="C809" s="129" t="s">
        <v>1930</v>
      </c>
      <c r="D809" s="33" t="e">
        <f t="shared" si="13"/>
        <v>#N/A</v>
      </c>
      <c r="E809" s="111"/>
      <c r="F809" s="115"/>
      <c r="G809" s="111"/>
      <c r="H809" s="115"/>
      <c r="I809" s="113"/>
      <c r="J809" s="113"/>
      <c r="K809" s="114"/>
      <c r="L809" s="115"/>
      <c r="M809" s="115"/>
    </row>
    <row r="810" spans="1:13" ht="18.75" x14ac:dyDescent="0.25">
      <c r="A810" s="111"/>
      <c r="B810" s="112" t="e">
        <f>VLOOKUP(Table27[[#This Row],[Location 
(drop-down)]],'List source'!D$2:E$59,2,FALSE)</f>
        <v>#N/A</v>
      </c>
      <c r="C810" s="129" t="s">
        <v>1931</v>
      </c>
      <c r="D810" s="33" t="e">
        <f t="shared" si="13"/>
        <v>#N/A</v>
      </c>
      <c r="E810" s="111"/>
      <c r="F810" s="115"/>
      <c r="G810" s="111"/>
      <c r="H810" s="115"/>
      <c r="I810" s="113"/>
      <c r="J810" s="113"/>
      <c r="K810" s="114"/>
      <c r="L810" s="115"/>
      <c r="M810" s="115"/>
    </row>
    <row r="811" spans="1:13" ht="18.75" x14ac:dyDescent="0.25">
      <c r="A811" s="111"/>
      <c r="B811" s="112" t="e">
        <f>VLOOKUP(Table27[[#This Row],[Location 
(drop-down)]],'List source'!D$2:E$59,2,FALSE)</f>
        <v>#N/A</v>
      </c>
      <c r="C811" s="129" t="s">
        <v>1932</v>
      </c>
      <c r="D811" s="33" t="e">
        <f t="shared" si="13"/>
        <v>#N/A</v>
      </c>
      <c r="E811" s="111"/>
      <c r="F811" s="115"/>
      <c r="G811" s="111"/>
      <c r="H811" s="115"/>
      <c r="I811" s="113"/>
      <c r="J811" s="113"/>
      <c r="K811" s="114"/>
      <c r="L811" s="115"/>
      <c r="M811" s="115"/>
    </row>
    <row r="812" spans="1:13" ht="18.75" x14ac:dyDescent="0.25">
      <c r="A812" s="111"/>
      <c r="B812" s="112" t="e">
        <f>VLOOKUP(Table27[[#This Row],[Location 
(drop-down)]],'List source'!D$2:E$59,2,FALSE)</f>
        <v>#N/A</v>
      </c>
      <c r="C812" s="129" t="s">
        <v>1933</v>
      </c>
      <c r="D812" s="33" t="e">
        <f t="shared" si="13"/>
        <v>#N/A</v>
      </c>
      <c r="E812" s="111"/>
      <c r="F812" s="115"/>
      <c r="G812" s="111"/>
      <c r="H812" s="115"/>
      <c r="I812" s="113"/>
      <c r="J812" s="113"/>
      <c r="K812" s="114"/>
      <c r="L812" s="115"/>
      <c r="M812" s="115"/>
    </row>
    <row r="813" spans="1:13" ht="18.75" x14ac:dyDescent="0.25">
      <c r="A813" s="111"/>
      <c r="B813" s="112" t="e">
        <f>VLOOKUP(Table27[[#This Row],[Location 
(drop-down)]],'List source'!D$2:E$59,2,FALSE)</f>
        <v>#N/A</v>
      </c>
      <c r="C813" s="129" t="s">
        <v>1934</v>
      </c>
      <c r="D813" s="33" t="e">
        <f t="shared" si="13"/>
        <v>#N/A</v>
      </c>
      <c r="E813" s="111"/>
      <c r="F813" s="115"/>
      <c r="G813" s="111"/>
      <c r="H813" s="115"/>
      <c r="I813" s="113"/>
      <c r="J813" s="113"/>
      <c r="K813" s="114"/>
      <c r="L813" s="115"/>
      <c r="M813" s="115"/>
    </row>
    <row r="814" spans="1:13" ht="18.75" x14ac:dyDescent="0.25">
      <c r="A814" s="111"/>
      <c r="B814" s="112" t="e">
        <f>VLOOKUP(Table27[[#This Row],[Location 
(drop-down)]],'List source'!D$2:E$59,2,FALSE)</f>
        <v>#N/A</v>
      </c>
      <c r="C814" s="129" t="s">
        <v>1935</v>
      </c>
      <c r="D814" s="33" t="e">
        <f t="shared" si="13"/>
        <v>#N/A</v>
      </c>
      <c r="E814" s="111"/>
      <c r="F814" s="115"/>
      <c r="G814" s="111"/>
      <c r="H814" s="115"/>
      <c r="I814" s="113"/>
      <c r="J814" s="113"/>
      <c r="K814" s="114"/>
      <c r="L814" s="115"/>
      <c r="M814" s="115"/>
    </row>
    <row r="815" spans="1:13" ht="18.75" x14ac:dyDescent="0.25">
      <c r="A815" s="111"/>
      <c r="B815" s="112" t="e">
        <f>VLOOKUP(Table27[[#This Row],[Location 
(drop-down)]],'List source'!D$2:E$59,2,FALSE)</f>
        <v>#N/A</v>
      </c>
      <c r="C815" s="129" t="s">
        <v>1936</v>
      </c>
      <c r="D815" s="33" t="e">
        <f t="shared" si="13"/>
        <v>#N/A</v>
      </c>
      <c r="E815" s="111"/>
      <c r="F815" s="115"/>
      <c r="G815" s="111"/>
      <c r="H815" s="115"/>
      <c r="I815" s="113"/>
      <c r="J815" s="113"/>
      <c r="K815" s="114"/>
      <c r="L815" s="115"/>
      <c r="M815" s="115"/>
    </row>
    <row r="816" spans="1:13" ht="18.75" x14ac:dyDescent="0.25">
      <c r="A816" s="111"/>
      <c r="B816" s="112" t="e">
        <f>VLOOKUP(Table27[[#This Row],[Location 
(drop-down)]],'List source'!D$2:E$59,2,FALSE)</f>
        <v>#N/A</v>
      </c>
      <c r="C816" s="129" t="s">
        <v>1937</v>
      </c>
      <c r="D816" s="33" t="e">
        <f t="shared" si="13"/>
        <v>#N/A</v>
      </c>
      <c r="E816" s="111"/>
      <c r="F816" s="115"/>
      <c r="G816" s="111"/>
      <c r="H816" s="115"/>
      <c r="I816" s="113"/>
      <c r="J816" s="113"/>
      <c r="K816" s="114"/>
      <c r="L816" s="115"/>
      <c r="M816" s="115"/>
    </row>
    <row r="817" spans="1:13" ht="18.75" x14ac:dyDescent="0.25">
      <c r="A817" s="111"/>
      <c r="B817" s="112" t="e">
        <f>VLOOKUP(Table27[[#This Row],[Location 
(drop-down)]],'List source'!D$2:E$59,2,FALSE)</f>
        <v>#N/A</v>
      </c>
      <c r="C817" s="129" t="s">
        <v>1938</v>
      </c>
      <c r="D817" s="33" t="e">
        <f t="shared" si="13"/>
        <v>#N/A</v>
      </c>
      <c r="E817" s="111"/>
      <c r="F817" s="115"/>
      <c r="G817" s="111"/>
      <c r="H817" s="115"/>
      <c r="I817" s="113"/>
      <c r="J817" s="113"/>
      <c r="K817" s="114"/>
      <c r="L817" s="115"/>
      <c r="M817" s="115"/>
    </row>
    <row r="818" spans="1:13" ht="18.75" x14ac:dyDescent="0.25">
      <c r="A818" s="111"/>
      <c r="B818" s="112" t="e">
        <f>VLOOKUP(Table27[[#This Row],[Location 
(drop-down)]],'List source'!D$2:E$59,2,FALSE)</f>
        <v>#N/A</v>
      </c>
      <c r="C818" s="129" t="s">
        <v>1939</v>
      </c>
      <c r="D818" s="33" t="e">
        <f t="shared" si="13"/>
        <v>#N/A</v>
      </c>
      <c r="E818" s="111"/>
      <c r="F818" s="115"/>
      <c r="G818" s="111"/>
      <c r="H818" s="115"/>
      <c r="I818" s="113"/>
      <c r="J818" s="113"/>
      <c r="K818" s="114"/>
      <c r="L818" s="115"/>
      <c r="M818" s="115"/>
    </row>
    <row r="819" spans="1:13" ht="18.75" x14ac:dyDescent="0.25">
      <c r="A819" s="111"/>
      <c r="B819" s="112" t="e">
        <f>VLOOKUP(Table27[[#This Row],[Location 
(drop-down)]],'List source'!D$2:E$59,2,FALSE)</f>
        <v>#N/A</v>
      </c>
      <c r="C819" s="129" t="s">
        <v>1940</v>
      </c>
      <c r="D819" s="33" t="e">
        <f t="shared" si="13"/>
        <v>#N/A</v>
      </c>
      <c r="E819" s="111"/>
      <c r="F819" s="115"/>
      <c r="G819" s="111"/>
      <c r="H819" s="115"/>
      <c r="I819" s="113"/>
      <c r="J819" s="113"/>
      <c r="K819" s="114"/>
      <c r="L819" s="115"/>
      <c r="M819" s="115"/>
    </row>
    <row r="820" spans="1:13" ht="18.75" x14ac:dyDescent="0.25">
      <c r="A820" s="111"/>
      <c r="B820" s="112" t="e">
        <f>VLOOKUP(Table27[[#This Row],[Location 
(drop-down)]],'List source'!D$2:E$59,2,FALSE)</f>
        <v>#N/A</v>
      </c>
      <c r="C820" s="129" t="s">
        <v>1941</v>
      </c>
      <c r="D820" s="33" t="e">
        <f t="shared" si="13"/>
        <v>#N/A</v>
      </c>
      <c r="E820" s="111"/>
      <c r="F820" s="115"/>
      <c r="G820" s="111"/>
      <c r="H820" s="115"/>
      <c r="I820" s="113"/>
      <c r="J820" s="113"/>
      <c r="K820" s="114"/>
      <c r="L820" s="115"/>
      <c r="M820" s="115"/>
    </row>
    <row r="821" spans="1:13" ht="18.75" x14ac:dyDescent="0.25">
      <c r="A821" s="111"/>
      <c r="B821" s="112" t="e">
        <f>VLOOKUP(Table27[[#This Row],[Location 
(drop-down)]],'List source'!D$2:E$59,2,FALSE)</f>
        <v>#N/A</v>
      </c>
      <c r="C821" s="129" t="s">
        <v>1942</v>
      </c>
      <c r="D821" s="33" t="e">
        <f t="shared" si="13"/>
        <v>#N/A</v>
      </c>
      <c r="E821" s="111"/>
      <c r="F821" s="115"/>
      <c r="G821" s="111"/>
      <c r="H821" s="115"/>
      <c r="I821" s="113"/>
      <c r="J821" s="113"/>
      <c r="K821" s="114"/>
      <c r="L821" s="115"/>
      <c r="M821" s="115"/>
    </row>
    <row r="822" spans="1:13" ht="18.75" x14ac:dyDescent="0.25">
      <c r="A822" s="111"/>
      <c r="B822" s="112"/>
      <c r="C822" s="129"/>
      <c r="D822" s="117"/>
      <c r="E822" s="111"/>
      <c r="F822" s="115"/>
      <c r="G822" s="111"/>
      <c r="H822" s="115"/>
      <c r="I822" s="113"/>
      <c r="J822" s="113"/>
      <c r="K822" s="114"/>
      <c r="L822" s="115"/>
      <c r="M822" s="115"/>
    </row>
    <row r="823" spans="1:13" ht="18.75" x14ac:dyDescent="0.25">
      <c r="A823" s="111"/>
      <c r="B823" s="112"/>
      <c r="C823" s="129"/>
      <c r="D823" s="117"/>
      <c r="E823" s="111"/>
      <c r="F823" s="115"/>
      <c r="G823" s="111"/>
      <c r="H823" s="115"/>
      <c r="I823" s="113"/>
      <c r="J823" s="113"/>
      <c r="K823" s="114"/>
      <c r="L823" s="115"/>
      <c r="M823" s="115"/>
    </row>
    <row r="824" spans="1:13" ht="18.75" x14ac:dyDescent="0.25">
      <c r="A824" s="111"/>
      <c r="B824" s="112"/>
      <c r="C824" s="129"/>
      <c r="D824" s="117"/>
      <c r="E824" s="111"/>
      <c r="F824" s="115"/>
      <c r="G824" s="111"/>
      <c r="H824" s="115"/>
      <c r="I824" s="113"/>
      <c r="J824" s="113"/>
      <c r="K824" s="114"/>
      <c r="L824" s="115"/>
      <c r="M824" s="115"/>
    </row>
    <row r="825" spans="1:13" ht="18.75" x14ac:dyDescent="0.25">
      <c r="A825" s="111"/>
      <c r="B825" s="112"/>
      <c r="C825" s="129"/>
      <c r="D825" s="117"/>
      <c r="E825" s="111"/>
      <c r="F825" s="115"/>
      <c r="G825" s="111"/>
      <c r="H825" s="115"/>
      <c r="I825" s="113"/>
      <c r="J825" s="113"/>
      <c r="K825" s="114"/>
      <c r="L825" s="115"/>
      <c r="M825" s="115"/>
    </row>
    <row r="826" spans="1:13" ht="18.75" x14ac:dyDescent="0.25">
      <c r="A826" s="111"/>
      <c r="B826" s="112"/>
      <c r="C826" s="129"/>
      <c r="D826" s="117"/>
      <c r="E826" s="111"/>
      <c r="F826" s="115"/>
      <c r="G826" s="111"/>
      <c r="H826" s="115"/>
      <c r="I826" s="113"/>
      <c r="J826" s="113"/>
      <c r="K826" s="114"/>
      <c r="L826" s="115"/>
      <c r="M826" s="115"/>
    </row>
    <row r="827" spans="1:13" ht="18.75" x14ac:dyDescent="0.25">
      <c r="A827" s="111"/>
      <c r="B827" s="112"/>
      <c r="C827" s="129"/>
      <c r="D827" s="117"/>
      <c r="E827" s="111"/>
      <c r="F827" s="115"/>
      <c r="G827" s="111"/>
      <c r="H827" s="115"/>
      <c r="I827" s="113"/>
      <c r="J827" s="113"/>
      <c r="K827" s="114"/>
      <c r="L827" s="115"/>
      <c r="M827" s="115"/>
    </row>
    <row r="828" spans="1:13" ht="18.75" x14ac:dyDescent="0.25">
      <c r="A828" s="111"/>
      <c r="B828" s="112"/>
      <c r="C828" s="129"/>
      <c r="D828" s="117"/>
      <c r="E828" s="111"/>
      <c r="F828" s="115"/>
      <c r="G828" s="111"/>
      <c r="H828" s="115"/>
      <c r="I828" s="113"/>
      <c r="J828" s="113"/>
      <c r="K828" s="114"/>
      <c r="L828" s="115"/>
      <c r="M828" s="115"/>
    </row>
    <row r="829" spans="1:13" ht="18.75" x14ac:dyDescent="0.25">
      <c r="A829" s="111"/>
      <c r="B829" s="112"/>
      <c r="C829" s="129"/>
      <c r="D829" s="117"/>
      <c r="E829" s="111"/>
      <c r="F829" s="115"/>
      <c r="G829" s="111"/>
      <c r="H829" s="115"/>
      <c r="I829" s="113"/>
      <c r="J829" s="113"/>
      <c r="K829" s="114"/>
      <c r="L829" s="115"/>
      <c r="M829" s="115"/>
    </row>
    <row r="830" spans="1:13" ht="18.75" x14ac:dyDescent="0.25">
      <c r="A830" s="111"/>
      <c r="B830" s="112"/>
      <c r="C830" s="129"/>
      <c r="D830" s="117"/>
      <c r="E830" s="111"/>
      <c r="F830" s="115"/>
      <c r="G830" s="111"/>
      <c r="H830" s="115"/>
      <c r="I830" s="113"/>
      <c r="J830" s="113"/>
      <c r="K830" s="114"/>
      <c r="L830" s="115"/>
      <c r="M830" s="115"/>
    </row>
    <row r="831" spans="1:13" ht="18.75" x14ac:dyDescent="0.25">
      <c r="A831" s="111"/>
      <c r="B831" s="112"/>
      <c r="C831" s="129"/>
      <c r="D831" s="117"/>
      <c r="E831" s="111"/>
      <c r="F831" s="115"/>
      <c r="G831" s="111"/>
      <c r="H831" s="115"/>
      <c r="I831" s="113"/>
      <c r="J831" s="113"/>
      <c r="K831" s="114"/>
      <c r="L831" s="115"/>
      <c r="M831" s="115"/>
    </row>
    <row r="832" spans="1:13" ht="18.75" x14ac:dyDescent="0.25">
      <c r="A832" s="111"/>
      <c r="B832" s="112"/>
      <c r="C832" s="129"/>
      <c r="D832" s="117"/>
      <c r="E832" s="111"/>
      <c r="F832" s="115"/>
      <c r="G832" s="111"/>
      <c r="H832" s="115"/>
      <c r="I832" s="113"/>
      <c r="J832" s="113"/>
      <c r="K832" s="114"/>
      <c r="L832" s="115"/>
      <c r="M832" s="115"/>
    </row>
    <row r="833" spans="1:13" ht="18.75" x14ac:dyDescent="0.25">
      <c r="A833" s="111"/>
      <c r="B833" s="112"/>
      <c r="C833" s="129"/>
      <c r="D833" s="117"/>
      <c r="E833" s="111"/>
      <c r="F833" s="115"/>
      <c r="G833" s="111"/>
      <c r="H833" s="115"/>
      <c r="I833" s="113"/>
      <c r="J833" s="113"/>
      <c r="K833" s="114"/>
      <c r="L833" s="115"/>
      <c r="M833" s="115"/>
    </row>
    <row r="834" spans="1:13" ht="18.75" x14ac:dyDescent="0.25">
      <c r="A834" s="111"/>
      <c r="B834" s="112"/>
      <c r="C834" s="129"/>
      <c r="D834" s="117"/>
      <c r="E834" s="111"/>
      <c r="F834" s="115"/>
      <c r="G834" s="111"/>
      <c r="H834" s="115"/>
      <c r="I834" s="113"/>
      <c r="J834" s="113"/>
      <c r="K834" s="114"/>
      <c r="L834" s="115"/>
      <c r="M834" s="115"/>
    </row>
    <row r="835" spans="1:13" ht="18.75" x14ac:dyDescent="0.25">
      <c r="A835" s="111"/>
      <c r="B835" s="112"/>
      <c r="C835" s="129"/>
      <c r="D835" s="117"/>
      <c r="E835" s="111"/>
      <c r="F835" s="115"/>
      <c r="G835" s="111"/>
      <c r="H835" s="115"/>
      <c r="I835" s="113"/>
      <c r="J835" s="113"/>
      <c r="K835" s="114"/>
      <c r="L835" s="115"/>
      <c r="M835" s="115"/>
    </row>
    <row r="836" spans="1:13" ht="18.75" x14ac:dyDescent="0.25">
      <c r="A836" s="111"/>
      <c r="B836" s="112"/>
      <c r="C836" s="129"/>
      <c r="D836" s="117"/>
      <c r="E836" s="111"/>
      <c r="F836" s="115"/>
      <c r="G836" s="111"/>
      <c r="H836" s="115"/>
      <c r="I836" s="113"/>
      <c r="J836" s="113"/>
      <c r="K836" s="114"/>
      <c r="L836" s="115"/>
      <c r="M836" s="115"/>
    </row>
    <row r="837" spans="1:13" ht="18.75" x14ac:dyDescent="0.25">
      <c r="A837" s="111"/>
      <c r="B837" s="112"/>
      <c r="C837" s="129"/>
      <c r="D837" s="117"/>
      <c r="E837" s="111"/>
      <c r="F837" s="115"/>
      <c r="G837" s="111"/>
      <c r="H837" s="115"/>
      <c r="I837" s="113"/>
      <c r="J837" s="113"/>
      <c r="K837" s="114"/>
      <c r="L837" s="115"/>
      <c r="M837" s="115"/>
    </row>
    <row r="838" spans="1:13" ht="18.75" x14ac:dyDescent="0.25">
      <c r="A838" s="111"/>
      <c r="B838" s="112"/>
      <c r="C838" s="129"/>
      <c r="D838" s="117"/>
      <c r="E838" s="111"/>
      <c r="F838" s="115"/>
      <c r="G838" s="111"/>
      <c r="H838" s="115"/>
      <c r="I838" s="113"/>
      <c r="J838" s="113"/>
      <c r="K838" s="114"/>
      <c r="L838" s="115"/>
      <c r="M838" s="115"/>
    </row>
    <row r="839" spans="1:13" ht="18.75" x14ac:dyDescent="0.25">
      <c r="A839" s="111"/>
      <c r="B839" s="112"/>
      <c r="C839" s="129"/>
      <c r="D839" s="117"/>
      <c r="E839" s="111"/>
      <c r="F839" s="115"/>
      <c r="G839" s="111"/>
      <c r="H839" s="115"/>
      <c r="I839" s="113"/>
      <c r="J839" s="113"/>
      <c r="K839" s="114"/>
      <c r="L839" s="115"/>
      <c r="M839" s="115"/>
    </row>
    <row r="840" spans="1:13" ht="18.75" x14ac:dyDescent="0.25">
      <c r="A840" s="111"/>
      <c r="B840" s="112"/>
      <c r="C840" s="129"/>
      <c r="D840" s="117"/>
      <c r="E840" s="111"/>
      <c r="F840" s="115"/>
      <c r="G840" s="111"/>
      <c r="H840" s="115"/>
      <c r="I840" s="113"/>
      <c r="J840" s="113"/>
      <c r="K840" s="114"/>
      <c r="L840" s="115"/>
      <c r="M840" s="115"/>
    </row>
    <row r="841" spans="1:13" ht="18.75" x14ac:dyDescent="0.25">
      <c r="A841" s="111"/>
      <c r="B841" s="112"/>
      <c r="C841" s="129"/>
      <c r="D841" s="117"/>
      <c r="E841" s="111"/>
      <c r="F841" s="115"/>
      <c r="G841" s="111"/>
      <c r="H841" s="115"/>
      <c r="I841" s="113"/>
      <c r="J841" s="113"/>
      <c r="K841" s="114"/>
      <c r="L841" s="115"/>
      <c r="M841" s="115"/>
    </row>
    <row r="842" spans="1:13" ht="18.75" x14ac:dyDescent="0.25">
      <c r="A842" s="111"/>
      <c r="B842" s="112"/>
      <c r="C842" s="129"/>
      <c r="D842" s="117"/>
      <c r="E842" s="111"/>
      <c r="F842" s="115"/>
      <c r="G842" s="111"/>
      <c r="H842" s="115"/>
      <c r="I842" s="113"/>
      <c r="J842" s="113"/>
      <c r="K842" s="114"/>
      <c r="L842" s="115"/>
      <c r="M842" s="115"/>
    </row>
    <row r="843" spans="1:13" ht="18.75" x14ac:dyDescent="0.25">
      <c r="A843" s="111"/>
      <c r="B843" s="112"/>
      <c r="C843" s="129"/>
      <c r="D843" s="117"/>
      <c r="E843" s="111"/>
      <c r="F843" s="115"/>
      <c r="G843" s="111"/>
      <c r="H843" s="115"/>
      <c r="I843" s="113"/>
      <c r="J843" s="113"/>
      <c r="K843" s="114"/>
      <c r="L843" s="115"/>
      <c r="M843" s="115"/>
    </row>
    <row r="844" spans="1:13" ht="18.75" x14ac:dyDescent="0.25">
      <c r="A844" s="111"/>
      <c r="B844" s="112"/>
      <c r="C844" s="129"/>
      <c r="D844" s="117"/>
      <c r="E844" s="111"/>
      <c r="F844" s="115"/>
      <c r="G844" s="111"/>
      <c r="H844" s="115"/>
      <c r="I844" s="113"/>
      <c r="J844" s="113"/>
      <c r="K844" s="114"/>
      <c r="L844" s="115"/>
      <c r="M844" s="115"/>
    </row>
    <row r="845" spans="1:13" ht="18.75" x14ac:dyDescent="0.25">
      <c r="A845" s="111"/>
      <c r="B845" s="112"/>
      <c r="C845" s="129"/>
      <c r="D845" s="117"/>
      <c r="E845" s="111"/>
      <c r="F845" s="115"/>
      <c r="G845" s="111"/>
      <c r="H845" s="115"/>
      <c r="I845" s="113"/>
      <c r="J845" s="113"/>
      <c r="K845" s="114"/>
      <c r="L845" s="115"/>
      <c r="M845" s="115"/>
    </row>
    <row r="846" spans="1:13" ht="18.75" x14ac:dyDescent="0.25">
      <c r="A846" s="111"/>
      <c r="B846" s="112"/>
      <c r="C846" s="129"/>
      <c r="D846" s="117"/>
      <c r="E846" s="111"/>
      <c r="F846" s="115"/>
      <c r="G846" s="111"/>
      <c r="H846" s="115"/>
      <c r="I846" s="113"/>
      <c r="J846" s="113"/>
      <c r="K846" s="114"/>
      <c r="L846" s="115"/>
      <c r="M846" s="115"/>
    </row>
    <row r="847" spans="1:13" ht="18.75" x14ac:dyDescent="0.25">
      <c r="A847" s="111"/>
      <c r="B847" s="112"/>
      <c r="C847" s="129"/>
      <c r="D847" s="117"/>
      <c r="E847" s="111"/>
      <c r="F847" s="115"/>
      <c r="G847" s="111"/>
      <c r="H847" s="115"/>
      <c r="I847" s="113"/>
      <c r="J847" s="113"/>
      <c r="K847" s="114"/>
      <c r="L847" s="115"/>
      <c r="M847" s="115"/>
    </row>
    <row r="848" spans="1:13" ht="18.75" x14ac:dyDescent="0.25">
      <c r="A848" s="111"/>
      <c r="B848" s="112"/>
      <c r="C848" s="129"/>
      <c r="D848" s="117"/>
      <c r="E848" s="111"/>
      <c r="F848" s="115"/>
      <c r="G848" s="111"/>
      <c r="H848" s="115"/>
      <c r="I848" s="113"/>
      <c r="J848" s="113"/>
      <c r="K848" s="114"/>
      <c r="L848" s="115"/>
      <c r="M848" s="115"/>
    </row>
    <row r="849" spans="1:13" ht="18.75" x14ac:dyDescent="0.25">
      <c r="A849" s="111"/>
      <c r="B849" s="112"/>
      <c r="C849" s="129"/>
      <c r="D849" s="117"/>
      <c r="E849" s="111"/>
      <c r="F849" s="115"/>
      <c r="G849" s="111"/>
      <c r="H849" s="115"/>
      <c r="I849" s="113"/>
      <c r="J849" s="113"/>
      <c r="K849" s="114"/>
      <c r="L849" s="115"/>
      <c r="M849" s="115"/>
    </row>
    <row r="850" spans="1:13" ht="18.75" x14ac:dyDescent="0.25">
      <c r="A850" s="111"/>
      <c r="B850" s="112"/>
      <c r="C850" s="129"/>
      <c r="D850" s="117"/>
      <c r="E850" s="111"/>
      <c r="F850" s="115"/>
      <c r="G850" s="111"/>
      <c r="H850" s="115"/>
      <c r="I850" s="113"/>
      <c r="J850" s="113"/>
      <c r="K850" s="114"/>
      <c r="L850" s="115"/>
      <c r="M850" s="115"/>
    </row>
    <row r="851" spans="1:13" ht="18.75" x14ac:dyDescent="0.25">
      <c r="A851" s="111"/>
      <c r="B851" s="112"/>
      <c r="C851" s="129"/>
      <c r="D851" s="117"/>
      <c r="E851" s="111"/>
      <c r="F851" s="115"/>
      <c r="G851" s="111"/>
      <c r="H851" s="115"/>
      <c r="I851" s="113"/>
      <c r="J851" s="113"/>
      <c r="K851" s="114"/>
      <c r="L851" s="115"/>
      <c r="M851" s="115"/>
    </row>
    <row r="852" spans="1:13" ht="18.75" x14ac:dyDescent="0.25">
      <c r="A852" s="9"/>
      <c r="B852" s="112"/>
      <c r="C852" s="129"/>
      <c r="D852" s="117"/>
      <c r="E852" s="9"/>
      <c r="F852" s="10"/>
      <c r="G852" s="9"/>
      <c r="H852" s="10"/>
      <c r="I852" s="12"/>
      <c r="J852" s="12"/>
      <c r="K852" s="91"/>
      <c r="L852" s="10"/>
      <c r="M852" s="10"/>
    </row>
    <row r="853" spans="1:13" ht="18.75" x14ac:dyDescent="0.25">
      <c r="A853" s="9"/>
      <c r="B853" s="112"/>
      <c r="C853" s="129"/>
      <c r="D853" s="117"/>
      <c r="E853" s="9"/>
      <c r="F853" s="10"/>
      <c r="G853" s="9"/>
      <c r="H853" s="10"/>
      <c r="I853" s="12"/>
      <c r="J853" s="12"/>
      <c r="K853" s="91"/>
      <c r="L853" s="10"/>
      <c r="M853" s="10"/>
    </row>
    <row r="854" spans="1:13" ht="18.75" x14ac:dyDescent="0.25">
      <c r="A854" s="9"/>
      <c r="B854" s="112"/>
      <c r="C854" s="129"/>
      <c r="D854" s="117"/>
      <c r="E854" s="9"/>
      <c r="F854" s="10"/>
      <c r="G854" s="9"/>
      <c r="H854" s="10"/>
      <c r="I854" s="12"/>
      <c r="J854" s="12"/>
      <c r="K854" s="91"/>
      <c r="L854" s="10"/>
      <c r="M854" s="10"/>
    </row>
    <row r="855" spans="1:13" ht="18.75" x14ac:dyDescent="0.25">
      <c r="A855" s="9"/>
      <c r="B855" s="112"/>
      <c r="C855" s="129"/>
      <c r="D855" s="117"/>
      <c r="E855" s="9"/>
      <c r="F855" s="10"/>
      <c r="G855" s="9"/>
      <c r="H855" s="10"/>
      <c r="I855" s="12"/>
      <c r="J855" s="12"/>
      <c r="K855" s="91"/>
      <c r="L855" s="10"/>
      <c r="M855" s="10"/>
    </row>
    <row r="856" spans="1:13" ht="18.75" x14ac:dyDescent="0.25">
      <c r="A856" s="9"/>
      <c r="B856" s="112"/>
      <c r="C856" s="129"/>
      <c r="D856" s="117"/>
      <c r="E856" s="9"/>
      <c r="F856" s="10"/>
      <c r="G856" s="9"/>
      <c r="H856" s="10"/>
      <c r="I856" s="12"/>
      <c r="J856" s="12"/>
      <c r="K856" s="91"/>
      <c r="L856" s="10"/>
      <c r="M856" s="10"/>
    </row>
    <row r="857" spans="1:13" ht="18.75" x14ac:dyDescent="0.25">
      <c r="A857" s="9"/>
      <c r="B857" s="112"/>
      <c r="C857" s="129"/>
      <c r="D857" s="117"/>
      <c r="E857" s="9"/>
      <c r="F857" s="10"/>
      <c r="G857" s="9"/>
      <c r="H857" s="10"/>
      <c r="I857" s="12"/>
      <c r="J857" s="12"/>
      <c r="K857" s="91"/>
      <c r="L857" s="10"/>
      <c r="M857" s="10"/>
    </row>
    <row r="858" spans="1:13" ht="18.75" x14ac:dyDescent="0.25">
      <c r="A858" s="9"/>
      <c r="B858" s="112"/>
      <c r="C858" s="129"/>
      <c r="D858" s="117"/>
      <c r="E858" s="9"/>
      <c r="F858" s="10"/>
      <c r="G858" s="9"/>
      <c r="H858" s="10"/>
      <c r="I858" s="12"/>
      <c r="J858" s="12"/>
      <c r="K858" s="91"/>
      <c r="L858" s="10"/>
      <c r="M858" s="10"/>
    </row>
    <row r="859" spans="1:13" ht="18.75" x14ac:dyDescent="0.25">
      <c r="A859" s="9"/>
      <c r="B859" s="112"/>
      <c r="C859" s="129"/>
      <c r="D859" s="117"/>
      <c r="E859" s="9"/>
      <c r="F859" s="10"/>
      <c r="G859" s="9"/>
      <c r="H859" s="10"/>
      <c r="I859" s="12"/>
      <c r="J859" s="12"/>
      <c r="K859" s="91"/>
      <c r="L859" s="10"/>
      <c r="M859" s="10"/>
    </row>
    <row r="860" spans="1:13" ht="18.75" x14ac:dyDescent="0.25">
      <c r="A860" s="9"/>
      <c r="B860" s="112"/>
      <c r="C860" s="129"/>
      <c r="D860" s="117"/>
      <c r="E860" s="9"/>
      <c r="F860" s="10"/>
      <c r="G860" s="9"/>
      <c r="H860" s="10"/>
      <c r="I860" s="12"/>
      <c r="J860" s="12"/>
      <c r="K860" s="91"/>
      <c r="L860" s="10"/>
      <c r="M860" s="10"/>
    </row>
    <row r="861" spans="1:13" ht="18.75" x14ac:dyDescent="0.25">
      <c r="A861" s="9"/>
      <c r="B861" s="112"/>
      <c r="C861" s="129"/>
      <c r="D861" s="117"/>
      <c r="E861" s="9"/>
      <c r="F861" s="10"/>
      <c r="G861" s="9"/>
      <c r="H861" s="10"/>
      <c r="I861" s="12"/>
      <c r="J861" s="12"/>
      <c r="K861" s="91"/>
      <c r="L861" s="10"/>
      <c r="M861" s="10"/>
    </row>
    <row r="862" spans="1:13" ht="18.75" x14ac:dyDescent="0.25">
      <c r="A862" s="9"/>
      <c r="B862" s="112"/>
      <c r="C862" s="129"/>
      <c r="D862" s="117"/>
      <c r="E862" s="9"/>
      <c r="F862" s="10"/>
      <c r="G862" s="9"/>
      <c r="H862" s="10"/>
      <c r="I862" s="12"/>
      <c r="J862" s="12"/>
      <c r="K862" s="91"/>
      <c r="L862" s="10"/>
      <c r="M862" s="10"/>
    </row>
    <row r="863" spans="1:13" ht="18.75" x14ac:dyDescent="0.25">
      <c r="A863" s="9"/>
      <c r="B863" s="112"/>
      <c r="C863" s="129"/>
      <c r="D863" s="117"/>
      <c r="E863" s="9"/>
      <c r="F863" s="10"/>
      <c r="G863" s="9"/>
      <c r="H863" s="10"/>
      <c r="I863" s="12"/>
      <c r="J863" s="12"/>
      <c r="K863" s="91"/>
      <c r="L863" s="10"/>
      <c r="M863" s="10"/>
    </row>
    <row r="864" spans="1:13" ht="18.75" x14ac:dyDescent="0.25">
      <c r="A864" s="9"/>
      <c r="B864" s="112"/>
      <c r="C864" s="129"/>
      <c r="D864" s="117"/>
      <c r="E864" s="9"/>
      <c r="F864" s="10"/>
      <c r="G864" s="9"/>
      <c r="H864" s="10"/>
      <c r="I864" s="12"/>
      <c r="J864" s="12"/>
      <c r="K864" s="91"/>
      <c r="L864" s="10"/>
      <c r="M864" s="10"/>
    </row>
    <row r="865" spans="1:13" ht="18.75" x14ac:dyDescent="0.25">
      <c r="A865" s="9"/>
      <c r="B865" s="112"/>
      <c r="C865" s="129"/>
      <c r="D865" s="117"/>
      <c r="E865" s="9"/>
      <c r="F865" s="10"/>
      <c r="G865" s="9"/>
      <c r="H865" s="10"/>
      <c r="I865" s="12"/>
      <c r="J865" s="12"/>
      <c r="K865" s="91"/>
      <c r="L865" s="10"/>
      <c r="M865" s="10"/>
    </row>
    <row r="866" spans="1:13" ht="18.75" x14ac:dyDescent="0.25">
      <c r="A866" s="9"/>
      <c r="B866" s="112"/>
      <c r="C866" s="129"/>
      <c r="D866" s="117"/>
      <c r="E866" s="9"/>
      <c r="F866" s="10"/>
      <c r="G866" s="9"/>
      <c r="H866" s="10"/>
      <c r="I866" s="12"/>
      <c r="J866" s="12"/>
      <c r="K866" s="91"/>
      <c r="L866" s="10"/>
      <c r="M866" s="10"/>
    </row>
    <row r="867" spans="1:13" ht="18.75" x14ac:dyDescent="0.25">
      <c r="A867" s="9"/>
      <c r="B867" s="112"/>
      <c r="C867" s="129"/>
      <c r="D867" s="117"/>
      <c r="E867" s="9"/>
      <c r="F867" s="10"/>
      <c r="G867" s="9"/>
      <c r="H867" s="10"/>
      <c r="I867" s="12"/>
      <c r="J867" s="12"/>
      <c r="K867" s="91"/>
      <c r="L867" s="10"/>
      <c r="M867" s="10"/>
    </row>
    <row r="868" spans="1:13" ht="18.75" x14ac:dyDescent="0.25">
      <c r="A868" s="9"/>
      <c r="B868" s="112"/>
      <c r="C868" s="129"/>
      <c r="D868" s="117"/>
      <c r="E868" s="9"/>
      <c r="F868" s="10"/>
      <c r="G868" s="9"/>
      <c r="H868" s="10"/>
      <c r="I868" s="12"/>
      <c r="J868" s="12"/>
      <c r="K868" s="91"/>
      <c r="L868" s="10"/>
      <c r="M868" s="10"/>
    </row>
    <row r="869" spans="1:13" ht="18.75" x14ac:dyDescent="0.25">
      <c r="A869" s="9"/>
      <c r="B869" s="112"/>
      <c r="C869" s="129"/>
      <c r="D869" s="117"/>
      <c r="E869" s="9"/>
      <c r="F869" s="10"/>
      <c r="G869" s="9"/>
      <c r="H869" s="10"/>
      <c r="I869" s="12"/>
      <c r="J869" s="12"/>
      <c r="K869" s="91"/>
      <c r="L869" s="10"/>
      <c r="M869" s="10"/>
    </row>
    <row r="870" spans="1:13" ht="18.75" x14ac:dyDescent="0.25">
      <c r="A870" s="9"/>
      <c r="B870" s="112"/>
      <c r="C870" s="129"/>
      <c r="D870" s="117"/>
      <c r="E870" s="9"/>
      <c r="F870" s="10"/>
      <c r="G870" s="9"/>
      <c r="H870" s="10"/>
      <c r="I870" s="12"/>
      <c r="J870" s="12"/>
      <c r="K870" s="91"/>
      <c r="L870" s="10"/>
      <c r="M870" s="10"/>
    </row>
    <row r="871" spans="1:13" ht="18.75" x14ac:dyDescent="0.25">
      <c r="A871" s="9"/>
      <c r="B871" s="112"/>
      <c r="C871" s="129"/>
      <c r="D871" s="117"/>
      <c r="E871" s="9"/>
      <c r="F871" s="10"/>
      <c r="G871" s="9"/>
      <c r="H871" s="10"/>
      <c r="I871" s="12"/>
      <c r="J871" s="12"/>
      <c r="K871" s="91"/>
      <c r="L871" s="10"/>
      <c r="M871" s="10"/>
    </row>
    <row r="872" spans="1:13" ht="18.75" x14ac:dyDescent="0.25">
      <c r="A872" s="9"/>
      <c r="B872" s="112"/>
      <c r="C872" s="129"/>
      <c r="D872" s="117"/>
      <c r="E872" s="9"/>
      <c r="F872" s="10"/>
      <c r="G872" s="9"/>
      <c r="H872" s="10"/>
      <c r="I872" s="12"/>
      <c r="J872" s="12"/>
      <c r="K872" s="91"/>
      <c r="L872" s="10"/>
      <c r="M872" s="10"/>
    </row>
    <row r="873" spans="1:13" ht="18.75" x14ac:dyDescent="0.25">
      <c r="A873" s="9"/>
      <c r="B873" s="112"/>
      <c r="C873" s="129"/>
      <c r="D873" s="117"/>
      <c r="E873" s="9"/>
      <c r="F873" s="10"/>
      <c r="G873" s="9"/>
      <c r="H873" s="10"/>
      <c r="I873" s="12"/>
      <c r="J873" s="12"/>
      <c r="K873" s="91"/>
      <c r="L873" s="10"/>
      <c r="M873" s="10"/>
    </row>
    <row r="874" spans="1:13" ht="18.75" x14ac:dyDescent="0.25">
      <c r="A874" s="9"/>
      <c r="B874" s="112"/>
      <c r="C874" s="129"/>
      <c r="D874" s="117"/>
      <c r="E874" s="9"/>
      <c r="F874" s="10"/>
      <c r="G874" s="9"/>
      <c r="H874" s="10"/>
      <c r="I874" s="12"/>
      <c r="J874" s="12"/>
      <c r="K874" s="91"/>
      <c r="L874" s="10"/>
      <c r="M874" s="10"/>
    </row>
    <row r="875" spans="1:13" ht="18.75" x14ac:dyDescent="0.25">
      <c r="A875" s="9"/>
      <c r="B875" s="112"/>
      <c r="C875" s="129"/>
      <c r="D875" s="117"/>
      <c r="E875" s="9"/>
      <c r="F875" s="10"/>
      <c r="G875" s="9"/>
      <c r="H875" s="10"/>
      <c r="I875" s="12"/>
      <c r="J875" s="12"/>
      <c r="K875" s="91"/>
      <c r="L875" s="10"/>
      <c r="M875" s="10"/>
    </row>
    <row r="876" spans="1:13" ht="18.75" x14ac:dyDescent="0.25">
      <c r="A876" s="9"/>
      <c r="B876" s="112"/>
      <c r="C876" s="129"/>
      <c r="D876" s="117"/>
      <c r="E876" s="9"/>
      <c r="F876" s="10"/>
      <c r="G876" s="9"/>
      <c r="H876" s="10"/>
      <c r="I876" s="12"/>
      <c r="J876" s="12"/>
      <c r="K876" s="91"/>
      <c r="L876" s="10"/>
      <c r="M876" s="10"/>
    </row>
    <row r="877" spans="1:13" ht="18.75" x14ac:dyDescent="0.25">
      <c r="A877" s="9"/>
      <c r="B877" s="112"/>
      <c r="C877" s="129"/>
      <c r="D877" s="117"/>
      <c r="E877" s="9"/>
      <c r="F877" s="10"/>
      <c r="G877" s="9"/>
      <c r="H877" s="10"/>
      <c r="I877" s="12"/>
      <c r="J877" s="12"/>
      <c r="K877" s="91"/>
      <c r="L877" s="10"/>
      <c r="M877" s="10"/>
    </row>
    <row r="878" spans="1:13" ht="18.75" x14ac:dyDescent="0.25">
      <c r="A878" s="9"/>
      <c r="B878" s="112"/>
      <c r="C878" s="129"/>
      <c r="D878" s="117"/>
      <c r="E878" s="9"/>
      <c r="F878" s="10"/>
      <c r="G878" s="9"/>
      <c r="H878" s="10"/>
      <c r="I878" s="12"/>
      <c r="J878" s="12"/>
      <c r="K878" s="91"/>
      <c r="L878" s="10"/>
      <c r="M878" s="10"/>
    </row>
    <row r="879" spans="1:13" ht="18.75" x14ac:dyDescent="0.25">
      <c r="A879" s="9"/>
      <c r="B879" s="112"/>
      <c r="C879" s="129"/>
      <c r="D879" s="117"/>
      <c r="E879" s="9"/>
      <c r="F879" s="10"/>
      <c r="G879" s="9"/>
      <c r="H879" s="10"/>
      <c r="I879" s="12"/>
      <c r="J879" s="12"/>
      <c r="K879" s="91"/>
      <c r="L879" s="10"/>
      <c r="M879" s="10"/>
    </row>
    <row r="880" spans="1:13" ht="18.75" x14ac:dyDescent="0.25">
      <c r="A880" s="9"/>
      <c r="B880" s="112"/>
      <c r="C880" s="129"/>
      <c r="D880" s="117"/>
      <c r="E880" s="9"/>
      <c r="F880" s="10"/>
      <c r="G880" s="9"/>
      <c r="H880" s="10"/>
      <c r="I880" s="12"/>
      <c r="J880" s="12"/>
      <c r="K880" s="91"/>
      <c r="L880" s="10"/>
      <c r="M880" s="10"/>
    </row>
    <row r="881" spans="1:13" ht="18.75" x14ac:dyDescent="0.25">
      <c r="A881" s="9"/>
      <c r="B881" s="112"/>
      <c r="C881" s="129"/>
      <c r="D881" s="117"/>
      <c r="E881" s="9"/>
      <c r="F881" s="10"/>
      <c r="G881" s="9"/>
      <c r="H881" s="10"/>
      <c r="I881" s="12"/>
      <c r="J881" s="12"/>
      <c r="K881" s="91"/>
      <c r="L881" s="10"/>
      <c r="M881" s="10"/>
    </row>
    <row r="882" spans="1:13" ht="18.75" x14ac:dyDescent="0.25">
      <c r="A882" s="9"/>
      <c r="B882" s="112"/>
      <c r="C882" s="129"/>
      <c r="D882" s="117"/>
      <c r="E882" s="9"/>
      <c r="F882" s="10"/>
      <c r="G882" s="9"/>
      <c r="H882" s="10"/>
      <c r="I882" s="12"/>
      <c r="J882" s="12"/>
      <c r="K882" s="91"/>
      <c r="L882" s="10"/>
      <c r="M882" s="10"/>
    </row>
    <row r="883" spans="1:13" ht="18.75" x14ac:dyDescent="0.25">
      <c r="A883" s="9"/>
      <c r="B883" s="112"/>
      <c r="C883" s="129"/>
      <c r="D883" s="117"/>
      <c r="E883" s="9"/>
      <c r="F883" s="10"/>
      <c r="G883" s="9"/>
      <c r="H883" s="10"/>
      <c r="I883" s="12"/>
      <c r="J883" s="12"/>
      <c r="K883" s="91"/>
      <c r="L883" s="10"/>
      <c r="M883" s="10"/>
    </row>
    <row r="884" spans="1:13" ht="18.75" x14ac:dyDescent="0.25">
      <c r="A884" s="9"/>
      <c r="B884" s="112"/>
      <c r="C884" s="129"/>
      <c r="D884" s="117"/>
      <c r="E884" s="9"/>
      <c r="F884" s="10"/>
      <c r="G884" s="9"/>
      <c r="H884" s="10"/>
      <c r="I884" s="12"/>
      <c r="J884" s="12"/>
      <c r="K884" s="91"/>
      <c r="L884" s="10"/>
      <c r="M884" s="10"/>
    </row>
    <row r="885" spans="1:13" ht="18.75" x14ac:dyDescent="0.25">
      <c r="A885" s="9"/>
      <c r="B885" s="112"/>
      <c r="C885" s="129"/>
      <c r="D885" s="117"/>
      <c r="E885" s="9"/>
      <c r="F885" s="10"/>
      <c r="G885" s="9"/>
      <c r="H885" s="10"/>
      <c r="I885" s="12"/>
      <c r="J885" s="12"/>
      <c r="K885" s="91"/>
      <c r="L885" s="10"/>
      <c r="M885" s="10"/>
    </row>
    <row r="886" spans="1:13" ht="18.75" x14ac:dyDescent="0.25">
      <c r="A886" s="9"/>
      <c r="B886" s="112"/>
      <c r="C886" s="129"/>
      <c r="D886" s="117"/>
      <c r="E886" s="9"/>
      <c r="F886" s="10"/>
      <c r="G886" s="9"/>
      <c r="H886" s="10"/>
      <c r="I886" s="12"/>
      <c r="J886" s="12"/>
      <c r="K886" s="91"/>
      <c r="L886" s="10"/>
      <c r="M886" s="10"/>
    </row>
    <row r="887" spans="1:13" ht="18.75" x14ac:dyDescent="0.25">
      <c r="A887" s="9"/>
      <c r="B887" s="112"/>
      <c r="C887" s="129"/>
      <c r="D887" s="117"/>
      <c r="E887" s="9"/>
      <c r="F887" s="10"/>
      <c r="G887" s="9"/>
      <c r="H887" s="10"/>
      <c r="I887" s="12"/>
      <c r="J887" s="12"/>
      <c r="K887" s="91"/>
      <c r="L887" s="10"/>
      <c r="M887" s="10"/>
    </row>
    <row r="888" spans="1:13" ht="18.75" x14ac:dyDescent="0.25">
      <c r="A888" s="9"/>
      <c r="B888" s="112"/>
      <c r="C888" s="129"/>
      <c r="D888" s="117"/>
      <c r="E888" s="9"/>
      <c r="F888" s="10"/>
      <c r="G888" s="9"/>
      <c r="H888" s="10"/>
      <c r="I888" s="12"/>
      <c r="J888" s="12"/>
      <c r="K888" s="91"/>
      <c r="L888" s="10"/>
      <c r="M888" s="10"/>
    </row>
    <row r="889" spans="1:13" ht="18.75" x14ac:dyDescent="0.25">
      <c r="A889" s="9"/>
      <c r="B889" s="112"/>
      <c r="C889" s="129"/>
      <c r="D889" s="117"/>
      <c r="E889" s="9"/>
      <c r="F889" s="10"/>
      <c r="G889" s="9"/>
      <c r="H889" s="10"/>
      <c r="I889" s="12"/>
      <c r="J889" s="12"/>
      <c r="K889" s="91"/>
      <c r="L889" s="10"/>
      <c r="M889" s="10"/>
    </row>
    <row r="890" spans="1:13" ht="18.75" x14ac:dyDescent="0.25">
      <c r="A890" s="9"/>
      <c r="B890" s="112"/>
      <c r="C890" s="129"/>
      <c r="D890" s="117"/>
      <c r="E890" s="9"/>
      <c r="F890" s="10"/>
      <c r="G890" s="9"/>
      <c r="H890" s="10"/>
      <c r="I890" s="12"/>
      <c r="J890" s="12"/>
      <c r="K890" s="91"/>
      <c r="L890" s="10"/>
      <c r="M890" s="10"/>
    </row>
    <row r="891" spans="1:13" ht="18.75" x14ac:dyDescent="0.25">
      <c r="A891" s="9"/>
      <c r="B891" s="112"/>
      <c r="C891" s="129"/>
      <c r="D891" s="117"/>
      <c r="E891" s="9"/>
      <c r="F891" s="10"/>
      <c r="G891" s="9"/>
      <c r="H891" s="10"/>
      <c r="I891" s="12"/>
      <c r="J891" s="12"/>
      <c r="K891" s="91"/>
      <c r="L891" s="10"/>
      <c r="M891" s="10"/>
    </row>
    <row r="892" spans="1:13" ht="18.75" x14ac:dyDescent="0.25">
      <c r="A892" s="9"/>
      <c r="B892" s="112"/>
      <c r="C892" s="129"/>
      <c r="D892" s="117"/>
      <c r="E892" s="9"/>
      <c r="F892" s="10"/>
      <c r="G892" s="9"/>
      <c r="H892" s="10"/>
      <c r="I892" s="12"/>
      <c r="J892" s="12"/>
      <c r="K892" s="91"/>
      <c r="L892" s="10"/>
      <c r="M892" s="10"/>
    </row>
    <row r="893" spans="1:13" ht="18.75" x14ac:dyDescent="0.25">
      <c r="A893" s="9"/>
      <c r="B893" s="112"/>
      <c r="C893" s="129"/>
      <c r="D893" s="117"/>
      <c r="E893" s="9"/>
      <c r="F893" s="10"/>
      <c r="G893" s="9"/>
      <c r="H893" s="10"/>
      <c r="I893" s="12"/>
      <c r="J893" s="12"/>
      <c r="K893" s="91"/>
      <c r="L893" s="10"/>
      <c r="M893" s="10"/>
    </row>
    <row r="894" spans="1:13" ht="18.75" x14ac:dyDescent="0.25">
      <c r="A894" s="9"/>
      <c r="B894" s="112"/>
      <c r="C894" s="129"/>
      <c r="D894" s="117"/>
      <c r="E894" s="9"/>
      <c r="F894" s="10"/>
      <c r="G894" s="9"/>
      <c r="H894" s="10"/>
      <c r="I894" s="12"/>
      <c r="J894" s="12"/>
      <c r="K894" s="91"/>
      <c r="L894" s="10"/>
      <c r="M894" s="10"/>
    </row>
    <row r="895" spans="1:13" ht="18.75" x14ac:dyDescent="0.25">
      <c r="A895" s="9"/>
      <c r="B895" s="112"/>
      <c r="C895" s="129"/>
      <c r="D895" s="117"/>
      <c r="E895" s="9"/>
      <c r="F895" s="10"/>
      <c r="G895" s="9"/>
      <c r="H895" s="10"/>
      <c r="I895" s="12"/>
      <c r="J895" s="12"/>
      <c r="K895" s="91"/>
      <c r="L895" s="10"/>
      <c r="M895" s="10"/>
    </row>
    <row r="896" spans="1:13" ht="18.75" x14ac:dyDescent="0.25">
      <c r="A896" s="9"/>
      <c r="B896" s="112"/>
      <c r="C896" s="129"/>
      <c r="D896" s="117"/>
      <c r="E896" s="9"/>
      <c r="F896" s="10"/>
      <c r="G896" s="9"/>
      <c r="H896" s="10"/>
      <c r="I896" s="12"/>
      <c r="J896" s="12"/>
      <c r="K896" s="91"/>
      <c r="L896" s="10"/>
      <c r="M896" s="10"/>
    </row>
    <row r="897" spans="1:13" ht="18.75" x14ac:dyDescent="0.25">
      <c r="A897" s="9"/>
      <c r="B897" s="112"/>
      <c r="C897" s="129"/>
      <c r="D897" s="117"/>
      <c r="E897" s="9"/>
      <c r="F897" s="10"/>
      <c r="G897" s="9"/>
      <c r="H897" s="10"/>
      <c r="I897" s="12"/>
      <c r="J897" s="12"/>
      <c r="K897" s="91"/>
      <c r="L897" s="10"/>
      <c r="M897" s="10"/>
    </row>
    <row r="898" spans="1:13" ht="18.75" x14ac:dyDescent="0.25">
      <c r="A898" s="9"/>
      <c r="B898" s="112"/>
      <c r="C898" s="129"/>
      <c r="D898" s="117"/>
      <c r="E898" s="9"/>
      <c r="F898" s="10"/>
      <c r="G898" s="9"/>
      <c r="H898" s="10"/>
      <c r="I898" s="12"/>
      <c r="J898" s="12"/>
      <c r="K898" s="91"/>
      <c r="L898" s="10"/>
      <c r="M898" s="10"/>
    </row>
    <row r="899" spans="1:13" ht="18.75" x14ac:dyDescent="0.25">
      <c r="A899" s="9"/>
      <c r="B899" s="112"/>
      <c r="C899" s="129"/>
      <c r="D899" s="117"/>
      <c r="E899" s="9"/>
      <c r="F899" s="10"/>
      <c r="G899" s="9"/>
      <c r="H899" s="10"/>
      <c r="I899" s="12"/>
      <c r="J899" s="12"/>
      <c r="K899" s="91"/>
      <c r="L899" s="10"/>
      <c r="M899" s="10"/>
    </row>
    <row r="900" spans="1:13" ht="18.75" x14ac:dyDescent="0.25">
      <c r="A900" s="9"/>
      <c r="B900" s="112"/>
      <c r="C900" s="129"/>
      <c r="D900" s="117"/>
      <c r="E900" s="9"/>
      <c r="F900" s="10"/>
      <c r="G900" s="9"/>
      <c r="H900" s="10"/>
      <c r="I900" s="12"/>
      <c r="J900" s="12"/>
      <c r="K900" s="91"/>
      <c r="L900" s="10"/>
      <c r="M900" s="10"/>
    </row>
    <row r="901" spans="1:13" ht="18.75" x14ac:dyDescent="0.25">
      <c r="A901" s="9"/>
      <c r="B901" s="112"/>
      <c r="C901" s="129"/>
      <c r="D901" s="117"/>
      <c r="E901" s="9"/>
      <c r="F901" s="10"/>
      <c r="G901" s="9"/>
      <c r="H901" s="10"/>
      <c r="I901" s="12"/>
      <c r="J901" s="12"/>
      <c r="K901" s="91"/>
      <c r="L901" s="10"/>
      <c r="M901" s="10"/>
    </row>
    <row r="902" spans="1:13" ht="18.75" x14ac:dyDescent="0.25">
      <c r="A902" s="9"/>
      <c r="B902" s="112"/>
      <c r="C902" s="129"/>
      <c r="D902" s="117"/>
      <c r="E902" s="9"/>
      <c r="F902" s="10"/>
      <c r="G902" s="9"/>
      <c r="H902" s="10"/>
      <c r="I902" s="12"/>
      <c r="J902" s="12"/>
      <c r="K902" s="91"/>
      <c r="L902" s="10"/>
      <c r="M902" s="10"/>
    </row>
    <row r="903" spans="1:13" ht="18.75" x14ac:dyDescent="0.25">
      <c r="A903" s="9"/>
      <c r="B903" s="112"/>
      <c r="C903" s="129"/>
      <c r="D903" s="117"/>
      <c r="E903" s="9"/>
      <c r="F903" s="10"/>
      <c r="G903" s="9"/>
      <c r="H903" s="10"/>
      <c r="I903" s="12"/>
      <c r="J903" s="12"/>
      <c r="K903" s="91"/>
      <c r="L903" s="10"/>
      <c r="M903" s="10"/>
    </row>
    <row r="904" spans="1:13" ht="18.75" x14ac:dyDescent="0.25">
      <c r="A904" s="9"/>
      <c r="B904" s="112"/>
      <c r="C904" s="129"/>
      <c r="D904" s="117"/>
      <c r="E904" s="9"/>
      <c r="F904" s="10"/>
      <c r="G904" s="9"/>
      <c r="H904" s="10"/>
      <c r="I904" s="12"/>
      <c r="J904" s="12"/>
      <c r="K904" s="91"/>
      <c r="L904" s="10"/>
      <c r="M904" s="10"/>
    </row>
    <row r="905" spans="1:13" ht="18.75" x14ac:dyDescent="0.25">
      <c r="A905" s="9"/>
      <c r="B905" s="112"/>
      <c r="C905" s="129"/>
      <c r="D905" s="117"/>
      <c r="E905" s="9"/>
      <c r="F905" s="10"/>
      <c r="G905" s="9"/>
      <c r="H905" s="10"/>
      <c r="I905" s="12"/>
      <c r="J905" s="12"/>
      <c r="K905" s="91"/>
      <c r="L905" s="10"/>
      <c r="M905" s="10"/>
    </row>
    <row r="906" spans="1:13" ht="18.75" x14ac:dyDescent="0.25">
      <c r="A906" s="9"/>
      <c r="B906" s="112"/>
      <c r="C906" s="129"/>
      <c r="D906" s="117"/>
      <c r="E906" s="9"/>
      <c r="F906" s="10"/>
      <c r="G906" s="9"/>
      <c r="H906" s="10"/>
      <c r="I906" s="12"/>
      <c r="J906" s="12"/>
      <c r="K906" s="91"/>
      <c r="L906" s="10"/>
      <c r="M906" s="10"/>
    </row>
    <row r="907" spans="1:13" ht="18.75" x14ac:dyDescent="0.25">
      <c r="A907" s="9"/>
      <c r="B907" s="112"/>
      <c r="C907" s="129"/>
      <c r="D907" s="117"/>
      <c r="E907" s="9"/>
      <c r="F907" s="10"/>
      <c r="G907" s="9"/>
      <c r="H907" s="10"/>
      <c r="I907" s="12"/>
      <c r="J907" s="12"/>
      <c r="K907" s="91"/>
      <c r="L907" s="10"/>
      <c r="M907" s="10"/>
    </row>
    <row r="908" spans="1:13" ht="18.75" x14ac:dyDescent="0.25">
      <c r="A908" s="9"/>
      <c r="B908" s="112"/>
      <c r="C908" s="129"/>
      <c r="D908" s="117"/>
      <c r="E908" s="9"/>
      <c r="F908" s="10"/>
      <c r="G908" s="9"/>
      <c r="H908" s="10"/>
      <c r="I908" s="12"/>
      <c r="J908" s="12"/>
      <c r="K908" s="91"/>
      <c r="L908" s="10"/>
      <c r="M908" s="10"/>
    </row>
    <row r="909" spans="1:13" ht="18.75" x14ac:dyDescent="0.25">
      <c r="A909" s="9"/>
      <c r="B909" s="112"/>
      <c r="C909" s="129"/>
      <c r="D909" s="117"/>
      <c r="E909" s="9"/>
      <c r="F909" s="10"/>
      <c r="G909" s="9"/>
      <c r="H909" s="10"/>
      <c r="I909" s="12"/>
      <c r="J909" s="12"/>
      <c r="K909" s="91"/>
      <c r="L909" s="10"/>
      <c r="M909" s="10"/>
    </row>
    <row r="910" spans="1:13" ht="18.75" x14ac:dyDescent="0.25">
      <c r="A910" s="9"/>
      <c r="B910" s="112"/>
      <c r="C910" s="129"/>
      <c r="D910" s="117"/>
      <c r="E910" s="9"/>
      <c r="F910" s="10"/>
      <c r="G910" s="9"/>
      <c r="H910" s="10"/>
      <c r="I910" s="12"/>
      <c r="J910" s="12"/>
      <c r="K910" s="91"/>
      <c r="L910" s="10"/>
      <c r="M910" s="10"/>
    </row>
    <row r="911" spans="1:13" ht="18.75" x14ac:dyDescent="0.25">
      <c r="A911" s="9"/>
      <c r="B911" s="112"/>
      <c r="C911" s="129"/>
      <c r="D911" s="117"/>
      <c r="E911" s="9"/>
      <c r="F911" s="10"/>
      <c r="G911" s="9"/>
      <c r="H911" s="10"/>
      <c r="I911" s="12"/>
      <c r="J911" s="12"/>
      <c r="K911" s="91"/>
      <c r="L911" s="10"/>
      <c r="M911" s="10"/>
    </row>
    <row r="912" spans="1:13" ht="18.75" x14ac:dyDescent="0.25">
      <c r="A912" s="9"/>
      <c r="B912" s="112"/>
      <c r="C912" s="129"/>
      <c r="D912" s="117"/>
      <c r="E912" s="9"/>
      <c r="F912" s="10"/>
      <c r="G912" s="9"/>
      <c r="H912" s="10"/>
      <c r="I912" s="12"/>
      <c r="J912" s="12"/>
      <c r="K912" s="91"/>
      <c r="L912" s="10"/>
      <c r="M912" s="10"/>
    </row>
    <row r="913" spans="1:13" ht="18.75" x14ac:dyDescent="0.25">
      <c r="A913" s="9"/>
      <c r="B913" s="112"/>
      <c r="C913" s="129"/>
      <c r="D913" s="117"/>
      <c r="E913" s="9"/>
      <c r="F913" s="10"/>
      <c r="G913" s="9"/>
      <c r="H913" s="10"/>
      <c r="I913" s="12"/>
      <c r="J913" s="12"/>
      <c r="K913" s="91"/>
      <c r="L913" s="10"/>
      <c r="M913" s="10"/>
    </row>
    <row r="914" spans="1:13" ht="18.75" x14ac:dyDescent="0.25">
      <c r="A914" s="9"/>
      <c r="B914" s="112"/>
      <c r="C914" s="129"/>
      <c r="D914" s="117"/>
      <c r="E914" s="9"/>
      <c r="F914" s="10"/>
      <c r="G914" s="9"/>
      <c r="H914" s="10"/>
      <c r="I914" s="12"/>
      <c r="J914" s="12"/>
      <c r="K914" s="91"/>
      <c r="L914" s="10"/>
      <c r="M914" s="10"/>
    </row>
    <row r="915" spans="1:13" ht="18.75" x14ac:dyDescent="0.25">
      <c r="A915" s="9"/>
      <c r="B915" s="112"/>
      <c r="C915" s="129"/>
      <c r="D915" s="117"/>
      <c r="E915" s="9"/>
      <c r="F915" s="10"/>
      <c r="G915" s="9"/>
      <c r="H915" s="10"/>
      <c r="I915" s="12"/>
      <c r="J915" s="12"/>
      <c r="K915" s="91"/>
      <c r="L915" s="10"/>
      <c r="M915" s="10"/>
    </row>
    <row r="916" spans="1:13" ht="18.75" x14ac:dyDescent="0.25">
      <c r="A916" s="9"/>
      <c r="B916" s="112"/>
      <c r="C916" s="129"/>
      <c r="D916" s="117"/>
      <c r="E916" s="9"/>
      <c r="F916" s="10"/>
      <c r="G916" s="9"/>
      <c r="H916" s="10"/>
      <c r="I916" s="12"/>
      <c r="J916" s="12"/>
      <c r="K916" s="91"/>
      <c r="L916" s="10"/>
      <c r="M916" s="10"/>
    </row>
    <row r="917" spans="1:13" ht="18.75" x14ac:dyDescent="0.25">
      <c r="A917" s="9"/>
      <c r="B917" s="112"/>
      <c r="C917" s="129"/>
      <c r="D917" s="117"/>
      <c r="E917" s="9"/>
      <c r="F917" s="10"/>
      <c r="G917" s="9"/>
      <c r="H917" s="10"/>
      <c r="I917" s="12"/>
      <c r="J917" s="12"/>
      <c r="K917" s="91"/>
      <c r="L917" s="10"/>
      <c r="M917" s="10"/>
    </row>
    <row r="918" spans="1:13" ht="18.75" x14ac:dyDescent="0.25">
      <c r="A918" s="9"/>
      <c r="B918" s="112"/>
      <c r="C918" s="129"/>
      <c r="D918" s="117"/>
      <c r="E918" s="9"/>
      <c r="F918" s="10"/>
      <c r="G918" s="9"/>
      <c r="H918" s="10"/>
      <c r="I918" s="12"/>
      <c r="J918" s="12"/>
      <c r="K918" s="91"/>
      <c r="L918" s="10"/>
      <c r="M918" s="10"/>
    </row>
    <row r="919" spans="1:13" ht="18.75" x14ac:dyDescent="0.25">
      <c r="A919" s="9"/>
      <c r="B919" s="112"/>
      <c r="C919" s="129"/>
      <c r="D919" s="117"/>
      <c r="E919" s="9"/>
      <c r="F919" s="10"/>
      <c r="G919" s="9"/>
      <c r="H919" s="10"/>
      <c r="I919" s="12"/>
      <c r="J919" s="12"/>
      <c r="K919" s="91"/>
      <c r="L919" s="10"/>
      <c r="M919" s="10"/>
    </row>
    <row r="920" spans="1:13" ht="18.75" x14ac:dyDescent="0.25">
      <c r="A920" s="9"/>
      <c r="B920" s="112"/>
      <c r="C920" s="129"/>
      <c r="D920" s="117"/>
      <c r="E920" s="9"/>
      <c r="F920" s="10"/>
      <c r="G920" s="9"/>
      <c r="H920" s="10"/>
      <c r="I920" s="12"/>
      <c r="J920" s="12"/>
      <c r="K920" s="91"/>
      <c r="L920" s="10"/>
      <c r="M920" s="10"/>
    </row>
    <row r="921" spans="1:13" ht="18.75" x14ac:dyDescent="0.25">
      <c r="A921" s="9"/>
      <c r="B921" s="112"/>
      <c r="C921" s="129"/>
      <c r="D921" s="117"/>
      <c r="E921" s="9"/>
      <c r="F921" s="10"/>
      <c r="G921" s="9"/>
      <c r="H921" s="10"/>
      <c r="I921" s="12"/>
      <c r="J921" s="12"/>
      <c r="K921" s="91"/>
      <c r="L921" s="10"/>
      <c r="M921" s="10"/>
    </row>
    <row r="922" spans="1:13" ht="18.75" x14ac:dyDescent="0.25">
      <c r="A922" s="9"/>
      <c r="B922" s="112"/>
      <c r="C922" s="129"/>
      <c r="D922" s="117"/>
      <c r="E922" s="9"/>
      <c r="F922" s="10"/>
      <c r="G922" s="9"/>
      <c r="H922" s="10"/>
      <c r="I922" s="12"/>
      <c r="J922" s="12"/>
      <c r="K922" s="91"/>
      <c r="L922" s="10"/>
      <c r="M922" s="10"/>
    </row>
    <row r="923" spans="1:13" ht="18.75" x14ac:dyDescent="0.25">
      <c r="A923" s="9"/>
      <c r="B923" s="112"/>
      <c r="C923" s="129"/>
      <c r="D923" s="117"/>
      <c r="E923" s="9"/>
      <c r="F923" s="10"/>
      <c r="G923" s="9"/>
      <c r="H923" s="10"/>
      <c r="I923" s="12"/>
      <c r="J923" s="12"/>
      <c r="K923" s="91"/>
      <c r="L923" s="10"/>
      <c r="M923" s="10"/>
    </row>
    <row r="924" spans="1:13" ht="18.75" x14ac:dyDescent="0.25">
      <c r="A924" s="9"/>
      <c r="B924" s="112"/>
      <c r="C924" s="129"/>
      <c r="D924" s="117"/>
      <c r="E924" s="9"/>
      <c r="F924" s="10"/>
      <c r="G924" s="9"/>
      <c r="H924" s="10"/>
      <c r="I924" s="12"/>
      <c r="J924" s="12"/>
      <c r="K924" s="91"/>
      <c r="L924" s="10"/>
      <c r="M924" s="10"/>
    </row>
    <row r="925" spans="1:13" ht="18.75" x14ac:dyDescent="0.25">
      <c r="A925" s="9"/>
      <c r="B925" s="112"/>
      <c r="C925" s="129"/>
      <c r="D925" s="117"/>
      <c r="E925" s="9"/>
      <c r="F925" s="10"/>
      <c r="G925" s="9"/>
      <c r="H925" s="10"/>
      <c r="I925" s="12"/>
      <c r="J925" s="12"/>
      <c r="K925" s="91"/>
      <c r="L925" s="10"/>
      <c r="M925" s="10"/>
    </row>
    <row r="926" spans="1:13" ht="18.75" x14ac:dyDescent="0.25">
      <c r="A926" s="9"/>
      <c r="B926" s="112"/>
      <c r="C926" s="129"/>
      <c r="D926" s="117"/>
      <c r="E926" s="9"/>
      <c r="F926" s="10"/>
      <c r="G926" s="9"/>
      <c r="H926" s="10"/>
      <c r="I926" s="12"/>
      <c r="J926" s="12"/>
      <c r="K926" s="91"/>
      <c r="L926" s="10"/>
      <c r="M926" s="10"/>
    </row>
    <row r="927" spans="1:13" ht="18.75" x14ac:dyDescent="0.25">
      <c r="A927" s="9"/>
      <c r="B927" s="112"/>
      <c r="C927" s="129"/>
      <c r="D927" s="117"/>
      <c r="E927" s="9"/>
      <c r="F927" s="10"/>
      <c r="G927" s="9"/>
      <c r="H927" s="10"/>
      <c r="I927" s="12"/>
      <c r="J927" s="12"/>
      <c r="K927" s="91"/>
      <c r="L927" s="10"/>
      <c r="M927" s="10"/>
    </row>
    <row r="928" spans="1:13" ht="18.75" x14ac:dyDescent="0.25">
      <c r="A928" s="9"/>
      <c r="B928" s="112"/>
      <c r="C928" s="129"/>
      <c r="D928" s="117"/>
      <c r="E928" s="9"/>
      <c r="F928" s="10"/>
      <c r="G928" s="9"/>
      <c r="H928" s="10"/>
      <c r="I928" s="12"/>
      <c r="J928" s="12"/>
      <c r="K928" s="91"/>
      <c r="L928" s="10"/>
      <c r="M928" s="10"/>
    </row>
    <row r="929" spans="1:13" ht="18.75" x14ac:dyDescent="0.25">
      <c r="A929" s="9"/>
      <c r="B929" s="112"/>
      <c r="C929" s="129"/>
      <c r="D929" s="117"/>
      <c r="E929" s="9"/>
      <c r="F929" s="10"/>
      <c r="G929" s="9"/>
      <c r="H929" s="10"/>
      <c r="I929" s="12"/>
      <c r="J929" s="12"/>
      <c r="K929" s="91"/>
      <c r="L929" s="10"/>
      <c r="M929" s="10"/>
    </row>
    <row r="930" spans="1:13" ht="18.75" x14ac:dyDescent="0.25">
      <c r="A930" s="9"/>
      <c r="B930" s="112"/>
      <c r="C930" s="129"/>
      <c r="D930" s="117"/>
      <c r="E930" s="9"/>
      <c r="F930" s="10"/>
      <c r="G930" s="9"/>
      <c r="H930" s="10"/>
      <c r="I930" s="12"/>
      <c r="J930" s="12"/>
      <c r="K930" s="91"/>
      <c r="L930" s="10"/>
      <c r="M930" s="10"/>
    </row>
    <row r="931" spans="1:13" ht="18.75" x14ac:dyDescent="0.25">
      <c r="A931" s="9"/>
      <c r="B931" s="112"/>
      <c r="C931" s="129"/>
      <c r="D931" s="117"/>
      <c r="E931" s="9"/>
      <c r="F931" s="10"/>
      <c r="G931" s="9"/>
      <c r="H931" s="10"/>
      <c r="I931" s="12"/>
      <c r="J931" s="12"/>
      <c r="K931" s="91"/>
      <c r="L931" s="10"/>
      <c r="M931" s="10"/>
    </row>
    <row r="932" spans="1:13" ht="18.75" x14ac:dyDescent="0.25">
      <c r="A932" s="9"/>
      <c r="B932" s="112"/>
      <c r="C932" s="129"/>
      <c r="D932" s="117"/>
      <c r="E932" s="9"/>
      <c r="F932" s="10"/>
      <c r="G932" s="9"/>
      <c r="H932" s="10"/>
      <c r="I932" s="12"/>
      <c r="J932" s="12"/>
      <c r="K932" s="91"/>
      <c r="L932" s="10"/>
      <c r="M932" s="10"/>
    </row>
    <row r="933" spans="1:13" ht="18.75" x14ac:dyDescent="0.25">
      <c r="A933" s="9"/>
      <c r="B933" s="112"/>
      <c r="C933" s="129"/>
      <c r="D933" s="117"/>
      <c r="E933" s="9"/>
      <c r="F933" s="10"/>
      <c r="G933" s="9"/>
      <c r="H933" s="10"/>
      <c r="I933" s="12"/>
      <c r="J933" s="12"/>
      <c r="K933" s="91"/>
      <c r="L933" s="10"/>
      <c r="M933" s="10"/>
    </row>
    <row r="934" spans="1:13" ht="18.75" x14ac:dyDescent="0.25">
      <c r="A934" s="9"/>
      <c r="B934" s="112"/>
      <c r="C934" s="129"/>
      <c r="D934" s="117"/>
      <c r="E934" s="9"/>
      <c r="F934" s="10"/>
      <c r="G934" s="9"/>
      <c r="H934" s="10"/>
      <c r="I934" s="12"/>
      <c r="J934" s="12"/>
      <c r="K934" s="91"/>
      <c r="L934" s="10"/>
      <c r="M934" s="10"/>
    </row>
    <row r="935" spans="1:13" ht="18.75" x14ac:dyDescent="0.25">
      <c r="A935" s="9"/>
      <c r="B935" s="112"/>
      <c r="C935" s="129"/>
      <c r="D935" s="117"/>
      <c r="E935" s="9"/>
      <c r="F935" s="10"/>
      <c r="G935" s="9"/>
      <c r="H935" s="10"/>
      <c r="I935" s="12"/>
      <c r="J935" s="12"/>
      <c r="K935" s="91"/>
      <c r="L935" s="10"/>
      <c r="M935" s="10"/>
    </row>
    <row r="936" spans="1:13" ht="18.75" x14ac:dyDescent="0.25">
      <c r="A936" s="9"/>
      <c r="B936" s="112"/>
      <c r="C936" s="129"/>
      <c r="D936" s="117"/>
      <c r="E936" s="9"/>
      <c r="F936" s="10"/>
      <c r="G936" s="9"/>
      <c r="H936" s="10"/>
      <c r="I936" s="12"/>
      <c r="J936" s="12"/>
      <c r="K936" s="91"/>
      <c r="L936" s="10"/>
      <c r="M936" s="10"/>
    </row>
    <row r="937" spans="1:13" ht="18.75" x14ac:dyDescent="0.25">
      <c r="A937" s="9"/>
      <c r="B937" s="112"/>
      <c r="C937" s="129"/>
      <c r="D937" s="117"/>
      <c r="E937" s="9"/>
      <c r="F937" s="10"/>
      <c r="G937" s="9"/>
      <c r="H937" s="10"/>
      <c r="I937" s="12"/>
      <c r="J937" s="12"/>
      <c r="K937" s="91"/>
      <c r="L937" s="10"/>
      <c r="M937" s="10"/>
    </row>
    <row r="938" spans="1:13" ht="18.75" x14ac:dyDescent="0.25">
      <c r="A938" s="9"/>
      <c r="B938" s="112"/>
      <c r="C938" s="129"/>
      <c r="D938" s="117"/>
      <c r="E938" s="9"/>
      <c r="F938" s="10"/>
      <c r="G938" s="9"/>
      <c r="H938" s="10"/>
      <c r="I938" s="12"/>
      <c r="J938" s="12"/>
      <c r="K938" s="91"/>
      <c r="L938" s="10"/>
      <c r="M938" s="10"/>
    </row>
    <row r="939" spans="1:13" ht="18.75" x14ac:dyDescent="0.25">
      <c r="A939" s="9"/>
      <c r="B939" s="112"/>
      <c r="C939" s="129"/>
      <c r="D939" s="117"/>
      <c r="E939" s="9"/>
      <c r="F939" s="10"/>
      <c r="G939" s="9"/>
      <c r="H939" s="10"/>
      <c r="I939" s="12"/>
      <c r="J939" s="12"/>
      <c r="K939" s="91"/>
      <c r="L939" s="10"/>
      <c r="M939" s="10"/>
    </row>
    <row r="940" spans="1:13" ht="18.75" x14ac:dyDescent="0.25">
      <c r="A940" s="9"/>
      <c r="B940" s="112"/>
      <c r="C940" s="129"/>
      <c r="D940" s="117"/>
      <c r="E940" s="9"/>
      <c r="F940" s="10"/>
      <c r="G940" s="9"/>
      <c r="H940" s="10"/>
      <c r="I940" s="12"/>
      <c r="J940" s="12"/>
      <c r="K940" s="91"/>
      <c r="L940" s="10"/>
      <c r="M940" s="10"/>
    </row>
    <row r="941" spans="1:13" ht="18.75" x14ac:dyDescent="0.25">
      <c r="A941" s="9"/>
      <c r="B941" s="112"/>
      <c r="C941" s="129"/>
      <c r="D941" s="117"/>
      <c r="E941" s="9"/>
      <c r="F941" s="10"/>
      <c r="G941" s="9"/>
      <c r="H941" s="10"/>
      <c r="I941" s="12"/>
      <c r="J941" s="12"/>
      <c r="K941" s="91"/>
      <c r="L941" s="10"/>
      <c r="M941" s="10"/>
    </row>
    <row r="942" spans="1:13" ht="18.75" x14ac:dyDescent="0.25">
      <c r="A942" s="9"/>
      <c r="B942" s="112"/>
      <c r="C942" s="129"/>
      <c r="D942" s="117"/>
      <c r="E942" s="9"/>
      <c r="F942" s="10"/>
      <c r="G942" s="9"/>
      <c r="H942" s="10"/>
      <c r="I942" s="12"/>
      <c r="J942" s="12"/>
      <c r="K942" s="91"/>
      <c r="L942" s="10"/>
      <c r="M942" s="10"/>
    </row>
    <row r="943" spans="1:13" ht="18.75" x14ac:dyDescent="0.25">
      <c r="A943" s="9"/>
      <c r="B943" s="112"/>
      <c r="C943" s="129"/>
      <c r="D943" s="117"/>
      <c r="E943" s="9"/>
      <c r="F943" s="10"/>
      <c r="G943" s="9"/>
      <c r="H943" s="10"/>
      <c r="I943" s="12"/>
      <c r="J943" s="12"/>
      <c r="K943" s="91"/>
      <c r="L943" s="10"/>
      <c r="M943" s="10"/>
    </row>
    <row r="944" spans="1:13" ht="18.75" x14ac:dyDescent="0.25">
      <c r="A944" s="9"/>
      <c r="B944" s="112"/>
      <c r="C944" s="129"/>
      <c r="D944" s="117"/>
      <c r="E944" s="9"/>
      <c r="F944" s="10"/>
      <c r="G944" s="9"/>
      <c r="H944" s="10"/>
      <c r="I944" s="12"/>
      <c r="J944" s="12"/>
      <c r="K944" s="91"/>
      <c r="L944" s="10"/>
      <c r="M944" s="10"/>
    </row>
    <row r="945" spans="1:13" ht="18.75" x14ac:dyDescent="0.25">
      <c r="A945" s="9"/>
      <c r="B945" s="112"/>
      <c r="C945" s="129"/>
      <c r="D945" s="117"/>
      <c r="E945" s="9"/>
      <c r="F945" s="10"/>
      <c r="G945" s="9"/>
      <c r="H945" s="10"/>
      <c r="I945" s="12"/>
      <c r="J945" s="12"/>
      <c r="K945" s="91"/>
      <c r="L945" s="10"/>
      <c r="M945" s="10"/>
    </row>
    <row r="946" spans="1:13" ht="18.75" x14ac:dyDescent="0.25">
      <c r="A946" s="9"/>
      <c r="B946" s="112"/>
      <c r="C946" s="129"/>
      <c r="D946" s="117"/>
      <c r="E946" s="9"/>
      <c r="F946" s="10"/>
      <c r="G946" s="9"/>
      <c r="H946" s="10"/>
      <c r="I946" s="12"/>
      <c r="J946" s="12"/>
      <c r="K946" s="91"/>
      <c r="L946" s="10"/>
      <c r="M946" s="10"/>
    </row>
    <row r="947" spans="1:13" ht="18.75" x14ac:dyDescent="0.25">
      <c r="A947" s="9"/>
      <c r="B947" s="112"/>
      <c r="C947" s="129"/>
      <c r="D947" s="117"/>
      <c r="E947" s="9"/>
      <c r="F947" s="10"/>
      <c r="G947" s="9"/>
      <c r="H947" s="10"/>
      <c r="I947" s="12"/>
      <c r="J947" s="12"/>
      <c r="K947" s="91"/>
      <c r="L947" s="10"/>
      <c r="M947" s="10"/>
    </row>
    <row r="948" spans="1:13" ht="18.75" x14ac:dyDescent="0.25">
      <c r="A948" s="9"/>
      <c r="B948" s="112"/>
      <c r="C948" s="129"/>
      <c r="D948" s="117"/>
      <c r="E948" s="9"/>
      <c r="F948" s="10"/>
      <c r="G948" s="9"/>
      <c r="H948" s="10"/>
      <c r="I948" s="12"/>
      <c r="J948" s="12"/>
      <c r="K948" s="91"/>
      <c r="L948" s="10"/>
      <c r="M948" s="10"/>
    </row>
    <row r="949" spans="1:13" ht="18.75" x14ac:dyDescent="0.25">
      <c r="A949" s="9"/>
      <c r="B949" s="112"/>
      <c r="C949" s="129"/>
      <c r="D949" s="117"/>
      <c r="E949" s="9"/>
      <c r="F949" s="10"/>
      <c r="G949" s="9"/>
      <c r="H949" s="10"/>
      <c r="I949" s="12"/>
      <c r="J949" s="12"/>
      <c r="K949" s="91"/>
      <c r="L949" s="10"/>
      <c r="M949" s="10"/>
    </row>
    <row r="950" spans="1:13" ht="18.75" x14ac:dyDescent="0.25">
      <c r="A950" s="9"/>
      <c r="B950" s="112"/>
      <c r="C950" s="129"/>
      <c r="D950" s="117"/>
      <c r="E950" s="9"/>
      <c r="F950" s="10"/>
      <c r="G950" s="9"/>
      <c r="H950" s="10"/>
      <c r="I950" s="12"/>
      <c r="J950" s="12"/>
      <c r="K950" s="91"/>
      <c r="L950" s="10"/>
      <c r="M950" s="10"/>
    </row>
    <row r="951" spans="1:13" ht="18.75" x14ac:dyDescent="0.25">
      <c r="A951" s="9"/>
      <c r="B951" s="112"/>
      <c r="C951" s="129"/>
      <c r="D951" s="117"/>
      <c r="E951" s="9"/>
      <c r="F951" s="10"/>
      <c r="G951" s="9"/>
      <c r="H951" s="10"/>
      <c r="I951" s="12"/>
      <c r="J951" s="12"/>
      <c r="K951" s="91"/>
      <c r="L951" s="10"/>
      <c r="M951" s="10"/>
    </row>
    <row r="952" spans="1:13" ht="18.75" x14ac:dyDescent="0.25">
      <c r="A952" s="9"/>
      <c r="B952" s="112"/>
      <c r="C952" s="129"/>
      <c r="D952" s="117"/>
      <c r="E952" s="9"/>
      <c r="F952" s="10"/>
      <c r="G952" s="9"/>
      <c r="H952" s="10"/>
      <c r="I952" s="12"/>
      <c r="J952" s="12"/>
      <c r="K952" s="91"/>
      <c r="L952" s="10"/>
      <c r="M952" s="10"/>
    </row>
    <row r="953" spans="1:13" ht="18.75" x14ac:dyDescent="0.25">
      <c r="A953" s="9"/>
      <c r="B953" s="112"/>
      <c r="C953" s="129"/>
      <c r="D953" s="117"/>
      <c r="E953" s="9"/>
      <c r="F953" s="10"/>
      <c r="G953" s="9"/>
      <c r="H953" s="10"/>
      <c r="I953" s="12"/>
      <c r="J953" s="12"/>
      <c r="K953" s="91"/>
      <c r="L953" s="10"/>
      <c r="M953" s="10"/>
    </row>
    <row r="954" spans="1:13" ht="18.75" x14ac:dyDescent="0.25">
      <c r="A954" s="9"/>
      <c r="B954" s="112"/>
      <c r="C954" s="129"/>
      <c r="D954" s="117"/>
      <c r="E954" s="9"/>
      <c r="F954" s="10"/>
      <c r="G954" s="9"/>
      <c r="H954" s="10"/>
      <c r="I954" s="12"/>
      <c r="J954" s="12"/>
      <c r="K954" s="91"/>
      <c r="L954" s="10"/>
      <c r="M954" s="10"/>
    </row>
    <row r="955" spans="1:13" ht="18.75" x14ac:dyDescent="0.25">
      <c r="A955" s="9"/>
      <c r="B955" s="112"/>
      <c r="C955" s="129"/>
      <c r="D955" s="117"/>
      <c r="E955" s="9"/>
      <c r="F955" s="10"/>
      <c r="G955" s="9"/>
      <c r="H955" s="10"/>
      <c r="I955" s="12"/>
      <c r="J955" s="12"/>
      <c r="K955" s="91"/>
      <c r="L955" s="10"/>
      <c r="M955" s="10"/>
    </row>
    <row r="956" spans="1:13" ht="18.75" x14ac:dyDescent="0.25">
      <c r="A956" s="9"/>
      <c r="B956" s="112"/>
      <c r="C956" s="129"/>
      <c r="D956" s="117"/>
      <c r="E956" s="9"/>
      <c r="F956" s="10"/>
      <c r="G956" s="9"/>
      <c r="H956" s="10"/>
      <c r="I956" s="12"/>
      <c r="J956" s="12"/>
      <c r="K956" s="91"/>
      <c r="L956" s="10"/>
      <c r="M956" s="10"/>
    </row>
    <row r="957" spans="1:13" ht="18.75" x14ac:dyDescent="0.25">
      <c r="A957" s="9"/>
      <c r="B957" s="112"/>
      <c r="C957" s="129"/>
      <c r="D957" s="117"/>
      <c r="E957" s="9"/>
      <c r="F957" s="10"/>
      <c r="G957" s="9"/>
      <c r="H957" s="10"/>
      <c r="I957" s="12"/>
      <c r="J957" s="12"/>
      <c r="K957" s="91"/>
      <c r="L957" s="10"/>
      <c r="M957" s="10"/>
    </row>
    <row r="958" spans="1:13" ht="18.75" x14ac:dyDescent="0.25">
      <c r="A958" s="9"/>
      <c r="B958" s="112"/>
      <c r="C958" s="129"/>
      <c r="D958" s="117"/>
      <c r="E958" s="9"/>
      <c r="F958" s="10"/>
      <c r="G958" s="9"/>
      <c r="H958" s="10"/>
      <c r="I958" s="12"/>
      <c r="J958" s="12"/>
      <c r="K958" s="91"/>
      <c r="L958" s="10"/>
      <c r="M958" s="10"/>
    </row>
    <row r="959" spans="1:13" ht="18.75" x14ac:dyDescent="0.25">
      <c r="A959" s="9"/>
      <c r="B959" s="112"/>
      <c r="C959" s="129"/>
      <c r="D959" s="117"/>
      <c r="E959" s="9"/>
      <c r="F959" s="10"/>
      <c r="G959" s="9"/>
      <c r="H959" s="10"/>
      <c r="I959" s="12"/>
      <c r="J959" s="12"/>
      <c r="K959" s="91"/>
      <c r="L959" s="10"/>
      <c r="M959" s="10"/>
    </row>
    <row r="960" spans="1:13" ht="18.75" x14ac:dyDescent="0.25">
      <c r="A960" s="9"/>
      <c r="B960" s="112"/>
      <c r="C960" s="129"/>
      <c r="D960" s="117"/>
      <c r="E960" s="9"/>
      <c r="F960" s="10"/>
      <c r="G960" s="9"/>
      <c r="H960" s="10"/>
      <c r="I960" s="12"/>
      <c r="J960" s="12"/>
      <c r="K960" s="91"/>
      <c r="L960" s="10"/>
      <c r="M960" s="10"/>
    </row>
    <row r="961" spans="1:13" ht="18.75" x14ac:dyDescent="0.25">
      <c r="A961" s="9"/>
      <c r="B961" s="112"/>
      <c r="C961" s="129"/>
      <c r="D961" s="117"/>
      <c r="E961" s="9"/>
      <c r="F961" s="10"/>
      <c r="G961" s="9"/>
      <c r="H961" s="10"/>
      <c r="I961" s="12"/>
      <c r="J961" s="12"/>
      <c r="K961" s="91"/>
      <c r="L961" s="10"/>
      <c r="M961" s="10"/>
    </row>
    <row r="962" spans="1:13" ht="18.75" x14ac:dyDescent="0.25">
      <c r="A962" s="9"/>
      <c r="B962" s="112"/>
      <c r="C962" s="129"/>
      <c r="D962" s="117"/>
      <c r="E962" s="9"/>
      <c r="F962" s="10"/>
      <c r="G962" s="9"/>
      <c r="H962" s="10"/>
      <c r="I962" s="12"/>
      <c r="J962" s="12"/>
      <c r="K962" s="91"/>
      <c r="L962" s="10"/>
      <c r="M962" s="10"/>
    </row>
    <row r="963" spans="1:13" ht="18.75" x14ac:dyDescent="0.25">
      <c r="A963" s="9"/>
      <c r="B963" s="112"/>
      <c r="C963" s="129"/>
      <c r="D963" s="117"/>
      <c r="E963" s="9"/>
      <c r="F963" s="10"/>
      <c r="G963" s="9"/>
      <c r="H963" s="10"/>
      <c r="I963" s="12"/>
      <c r="J963" s="12"/>
      <c r="K963" s="91"/>
      <c r="L963" s="10"/>
      <c r="M963" s="10"/>
    </row>
    <row r="964" spans="1:13" ht="18.75" x14ac:dyDescent="0.25">
      <c r="A964" s="9"/>
      <c r="B964" s="112"/>
      <c r="C964" s="129"/>
      <c r="D964" s="117"/>
      <c r="E964" s="9"/>
      <c r="F964" s="10"/>
      <c r="G964" s="9"/>
      <c r="H964" s="10"/>
      <c r="I964" s="12"/>
      <c r="J964" s="12"/>
      <c r="K964" s="91"/>
      <c r="L964" s="10"/>
      <c r="M964" s="10"/>
    </row>
    <row r="965" spans="1:13" ht="18.75" x14ac:dyDescent="0.25">
      <c r="A965" s="9"/>
      <c r="B965" s="112"/>
      <c r="C965" s="129"/>
      <c r="D965" s="117"/>
      <c r="E965" s="9"/>
      <c r="F965" s="10"/>
      <c r="G965" s="9"/>
      <c r="H965" s="10"/>
      <c r="I965" s="12"/>
      <c r="J965" s="12"/>
      <c r="K965" s="91"/>
      <c r="L965" s="10"/>
      <c r="M965" s="10"/>
    </row>
    <row r="966" spans="1:13" ht="18.75" x14ac:dyDescent="0.25">
      <c r="A966" s="9"/>
      <c r="B966" s="112"/>
      <c r="C966" s="129"/>
      <c r="D966" s="117"/>
      <c r="E966" s="9"/>
      <c r="F966" s="10"/>
      <c r="G966" s="9"/>
      <c r="H966" s="10"/>
      <c r="I966" s="12"/>
      <c r="J966" s="12"/>
      <c r="K966" s="91"/>
      <c r="L966" s="10"/>
      <c r="M966" s="10"/>
    </row>
    <row r="967" spans="1:13" ht="18.75" x14ac:dyDescent="0.25">
      <c r="A967" s="9"/>
      <c r="B967" s="112"/>
      <c r="C967" s="129"/>
      <c r="D967" s="117"/>
      <c r="E967" s="9"/>
      <c r="F967" s="10"/>
      <c r="G967" s="9"/>
      <c r="H967" s="10"/>
      <c r="I967" s="12"/>
      <c r="J967" s="12"/>
      <c r="K967" s="91"/>
      <c r="L967" s="10"/>
      <c r="M967" s="10"/>
    </row>
    <row r="968" spans="1:13" ht="18.75" x14ac:dyDescent="0.25">
      <c r="A968" s="9"/>
      <c r="B968" s="112"/>
      <c r="C968" s="129"/>
      <c r="D968" s="117"/>
      <c r="E968" s="9"/>
      <c r="F968" s="10"/>
      <c r="G968" s="9"/>
      <c r="H968" s="10"/>
      <c r="I968" s="12"/>
      <c r="J968" s="12"/>
      <c r="K968" s="91"/>
      <c r="L968" s="10"/>
      <c r="M968" s="10"/>
    </row>
    <row r="969" spans="1:13" ht="18.75" x14ac:dyDescent="0.25">
      <c r="A969" s="9"/>
      <c r="B969" s="112"/>
      <c r="C969" s="129"/>
      <c r="D969" s="117"/>
      <c r="E969" s="9"/>
      <c r="F969" s="10"/>
      <c r="G969" s="9"/>
      <c r="H969" s="10"/>
      <c r="I969" s="12"/>
      <c r="J969" s="12"/>
      <c r="K969" s="91"/>
      <c r="L969" s="10"/>
      <c r="M969" s="10"/>
    </row>
    <row r="970" spans="1:13" ht="18.75" x14ac:dyDescent="0.25">
      <c r="A970" s="9"/>
      <c r="B970" s="112"/>
      <c r="C970" s="129"/>
      <c r="D970" s="117"/>
      <c r="E970" s="9"/>
      <c r="F970" s="10"/>
      <c r="G970" s="9"/>
      <c r="H970" s="10"/>
      <c r="I970" s="12"/>
      <c r="J970" s="12"/>
      <c r="K970" s="91"/>
      <c r="L970" s="10"/>
      <c r="M970" s="10"/>
    </row>
    <row r="971" spans="1:13" ht="18.75" x14ac:dyDescent="0.25">
      <c r="A971" s="9"/>
      <c r="B971" s="112"/>
      <c r="C971" s="129"/>
      <c r="D971" s="117"/>
      <c r="E971" s="9"/>
      <c r="F971" s="10"/>
      <c r="G971" s="9"/>
      <c r="H971" s="10"/>
      <c r="I971" s="12"/>
      <c r="J971" s="12"/>
      <c r="K971" s="91"/>
      <c r="L971" s="10"/>
      <c r="M971" s="10"/>
    </row>
    <row r="972" spans="1:13" ht="18.75" x14ac:dyDescent="0.25">
      <c r="A972" s="9"/>
      <c r="B972" s="112"/>
      <c r="C972" s="129"/>
      <c r="D972" s="117"/>
      <c r="E972" s="9"/>
      <c r="F972" s="10"/>
      <c r="G972" s="9"/>
      <c r="H972" s="10"/>
      <c r="I972" s="12"/>
      <c r="J972" s="12"/>
      <c r="K972" s="91"/>
      <c r="L972" s="10"/>
      <c r="M972" s="10"/>
    </row>
    <row r="973" spans="1:13" ht="18.75" x14ac:dyDescent="0.25">
      <c r="A973" s="9"/>
      <c r="B973" s="112"/>
      <c r="C973" s="129"/>
      <c r="D973" s="117"/>
      <c r="E973" s="9"/>
      <c r="F973" s="10"/>
      <c r="G973" s="9"/>
      <c r="H973" s="10"/>
      <c r="I973" s="12"/>
      <c r="J973" s="12"/>
      <c r="K973" s="91"/>
      <c r="L973" s="10"/>
      <c r="M973" s="10"/>
    </row>
    <row r="974" spans="1:13" ht="18.75" x14ac:dyDescent="0.25">
      <c r="A974" s="9"/>
      <c r="B974" s="112"/>
      <c r="C974" s="129"/>
      <c r="D974" s="117"/>
      <c r="E974" s="9"/>
      <c r="F974" s="10"/>
      <c r="G974" s="9"/>
      <c r="H974" s="10"/>
      <c r="I974" s="12"/>
      <c r="J974" s="12"/>
      <c r="K974" s="91"/>
      <c r="L974" s="10"/>
      <c r="M974" s="10"/>
    </row>
    <row r="975" spans="1:13" ht="18.75" x14ac:dyDescent="0.25">
      <c r="A975" s="9"/>
      <c r="B975" s="112"/>
      <c r="C975" s="129"/>
      <c r="D975" s="117"/>
      <c r="E975" s="9"/>
      <c r="F975" s="10"/>
      <c r="G975" s="9"/>
      <c r="H975" s="10"/>
      <c r="I975" s="12"/>
      <c r="J975" s="12"/>
      <c r="K975" s="91"/>
      <c r="L975" s="10"/>
      <c r="M975" s="10"/>
    </row>
    <row r="976" spans="1:13" ht="18.75" x14ac:dyDescent="0.25">
      <c r="A976" s="9"/>
      <c r="B976" s="112"/>
      <c r="C976" s="129"/>
      <c r="D976" s="117"/>
      <c r="E976" s="9"/>
      <c r="F976" s="10"/>
      <c r="G976" s="9"/>
      <c r="H976" s="10"/>
      <c r="I976" s="12"/>
      <c r="J976" s="12"/>
      <c r="K976" s="91"/>
      <c r="L976" s="10"/>
      <c r="M976" s="10"/>
    </row>
    <row r="977" spans="1:13" ht="18.75" x14ac:dyDescent="0.25">
      <c r="A977" s="9"/>
      <c r="B977" s="112"/>
      <c r="C977" s="129"/>
      <c r="D977" s="117"/>
      <c r="E977" s="9"/>
      <c r="F977" s="10"/>
      <c r="G977" s="9"/>
      <c r="H977" s="10"/>
      <c r="I977" s="12"/>
      <c r="J977" s="12"/>
      <c r="K977" s="91"/>
      <c r="L977" s="10"/>
      <c r="M977" s="10"/>
    </row>
    <row r="978" spans="1:13" ht="18.75" x14ac:dyDescent="0.25">
      <c r="A978" s="9"/>
      <c r="B978" s="112"/>
      <c r="C978" s="129"/>
      <c r="D978" s="117"/>
      <c r="E978" s="9"/>
      <c r="F978" s="10"/>
      <c r="G978" s="9"/>
      <c r="H978" s="10"/>
      <c r="I978" s="12"/>
      <c r="J978" s="12"/>
      <c r="K978" s="91"/>
      <c r="L978" s="10"/>
      <c r="M978" s="10"/>
    </row>
    <row r="979" spans="1:13" ht="18.75" x14ac:dyDescent="0.25">
      <c r="A979" s="9"/>
      <c r="B979" s="112"/>
      <c r="C979" s="129"/>
      <c r="D979" s="117"/>
      <c r="E979" s="9"/>
      <c r="F979" s="10"/>
      <c r="G979" s="9"/>
      <c r="H979" s="10"/>
      <c r="I979" s="12"/>
      <c r="J979" s="12"/>
      <c r="K979" s="91"/>
      <c r="L979" s="10"/>
      <c r="M979" s="10"/>
    </row>
    <row r="980" spans="1:13" ht="18.75" x14ac:dyDescent="0.25">
      <c r="A980" s="9"/>
      <c r="B980" s="112"/>
      <c r="C980" s="129"/>
      <c r="D980" s="117"/>
      <c r="E980" s="9"/>
      <c r="F980" s="10"/>
      <c r="G980" s="9"/>
      <c r="H980" s="10"/>
      <c r="I980" s="12"/>
      <c r="J980" s="12"/>
      <c r="K980" s="91"/>
      <c r="L980" s="10"/>
      <c r="M980" s="10"/>
    </row>
    <row r="981" spans="1:13" ht="18.75" x14ac:dyDescent="0.25">
      <c r="A981" s="9"/>
      <c r="B981" s="112"/>
      <c r="C981" s="129"/>
      <c r="D981" s="117"/>
      <c r="E981" s="9"/>
      <c r="F981" s="10"/>
      <c r="G981" s="9"/>
      <c r="H981" s="10"/>
      <c r="I981" s="12"/>
      <c r="J981" s="12"/>
      <c r="K981" s="91"/>
      <c r="L981" s="10"/>
      <c r="M981" s="10"/>
    </row>
    <row r="982" spans="1:13" ht="18.75" x14ac:dyDescent="0.25">
      <c r="A982" s="9"/>
      <c r="B982" s="112"/>
      <c r="C982" s="129"/>
      <c r="D982" s="117"/>
      <c r="E982" s="9"/>
      <c r="F982" s="10"/>
      <c r="G982" s="9"/>
      <c r="H982" s="10"/>
      <c r="I982" s="12"/>
      <c r="J982" s="12"/>
      <c r="K982" s="91"/>
      <c r="L982" s="10"/>
      <c r="M982" s="10"/>
    </row>
    <row r="983" spans="1:13" ht="18.75" x14ac:dyDescent="0.25">
      <c r="A983" s="9"/>
      <c r="B983" s="112"/>
      <c r="C983" s="129"/>
      <c r="D983" s="117"/>
      <c r="E983" s="9"/>
      <c r="F983" s="10"/>
      <c r="G983" s="9"/>
      <c r="H983" s="10"/>
      <c r="I983" s="12"/>
      <c r="J983" s="12"/>
      <c r="K983" s="91"/>
      <c r="L983" s="10"/>
      <c r="M983" s="10"/>
    </row>
    <row r="984" spans="1:13" ht="18.75" x14ac:dyDescent="0.25">
      <c r="A984" s="9"/>
      <c r="B984" s="112"/>
      <c r="C984" s="129"/>
      <c r="D984" s="117"/>
      <c r="E984" s="9"/>
      <c r="F984" s="10"/>
      <c r="G984" s="9"/>
      <c r="H984" s="10"/>
      <c r="I984" s="12"/>
      <c r="J984" s="12"/>
      <c r="K984" s="91"/>
      <c r="L984" s="10"/>
      <c r="M984" s="10"/>
    </row>
    <row r="985" spans="1:13" ht="18.75" x14ac:dyDescent="0.25">
      <c r="A985" s="9"/>
      <c r="B985" s="112"/>
      <c r="C985" s="129"/>
      <c r="D985" s="117"/>
      <c r="E985" s="9"/>
      <c r="F985" s="10"/>
      <c r="G985" s="9"/>
      <c r="H985" s="10"/>
      <c r="I985" s="12"/>
      <c r="J985" s="12"/>
      <c r="K985" s="91"/>
      <c r="L985" s="10"/>
      <c r="M985" s="10"/>
    </row>
    <row r="986" spans="1:13" ht="18.75" x14ac:dyDescent="0.25">
      <c r="A986" s="9"/>
      <c r="B986" s="112"/>
      <c r="C986" s="129"/>
      <c r="D986" s="117"/>
      <c r="E986" s="9"/>
      <c r="F986" s="10"/>
      <c r="G986" s="9"/>
      <c r="H986" s="10"/>
      <c r="I986" s="12"/>
      <c r="J986" s="12"/>
      <c r="K986" s="91"/>
      <c r="L986" s="10"/>
      <c r="M986" s="10"/>
    </row>
    <row r="987" spans="1:13" ht="18.75" x14ac:dyDescent="0.25">
      <c r="A987" s="9"/>
      <c r="B987" s="112"/>
      <c r="C987" s="129"/>
      <c r="D987" s="117"/>
      <c r="E987" s="9"/>
      <c r="F987" s="10"/>
      <c r="G987" s="9"/>
      <c r="H987" s="10"/>
      <c r="I987" s="12"/>
      <c r="J987" s="12"/>
      <c r="K987" s="91"/>
      <c r="L987" s="10"/>
      <c r="M987" s="10"/>
    </row>
    <row r="988" spans="1:13" ht="18.75" x14ac:dyDescent="0.25">
      <c r="A988" s="9"/>
      <c r="B988" s="112"/>
      <c r="C988" s="129"/>
      <c r="D988" s="117"/>
      <c r="E988" s="9"/>
      <c r="F988" s="10"/>
      <c r="G988" s="9"/>
      <c r="H988" s="10"/>
      <c r="I988" s="12"/>
      <c r="J988" s="12"/>
      <c r="K988" s="91"/>
      <c r="L988" s="10"/>
      <c r="M988" s="10"/>
    </row>
    <row r="989" spans="1:13" ht="18.75" x14ac:dyDescent="0.25">
      <c r="A989" s="9"/>
      <c r="B989" s="112"/>
      <c r="C989" s="129"/>
      <c r="D989" s="117"/>
      <c r="E989" s="9"/>
      <c r="F989" s="10"/>
      <c r="G989" s="9"/>
      <c r="H989" s="10"/>
      <c r="I989" s="12"/>
      <c r="J989" s="12"/>
      <c r="K989" s="91"/>
      <c r="L989" s="10"/>
      <c r="M989" s="10"/>
    </row>
    <row r="990" spans="1:13" ht="18.75" x14ac:dyDescent="0.25">
      <c r="A990" s="9"/>
      <c r="B990" s="112"/>
      <c r="C990" s="129"/>
      <c r="D990" s="117"/>
      <c r="E990" s="9"/>
      <c r="F990" s="10"/>
      <c r="G990" s="9"/>
      <c r="H990" s="10"/>
      <c r="I990" s="12"/>
      <c r="J990" s="12"/>
      <c r="K990" s="91"/>
      <c r="L990" s="10"/>
      <c r="M990" s="10"/>
    </row>
    <row r="991" spans="1:13" ht="18.75" x14ac:dyDescent="0.25">
      <c r="A991" s="9"/>
      <c r="B991" s="112"/>
      <c r="C991" s="129"/>
      <c r="D991" s="117"/>
      <c r="E991" s="9"/>
      <c r="F991" s="10"/>
      <c r="G991" s="9"/>
      <c r="H991" s="10"/>
      <c r="I991" s="12"/>
      <c r="J991" s="12"/>
      <c r="K991" s="91"/>
      <c r="L991" s="10"/>
      <c r="M991" s="10"/>
    </row>
    <row r="992" spans="1:13" ht="18.75" x14ac:dyDescent="0.25">
      <c r="A992" s="9"/>
      <c r="B992" s="112"/>
      <c r="C992" s="129"/>
      <c r="D992" s="117"/>
      <c r="E992" s="9"/>
      <c r="F992" s="10"/>
      <c r="G992" s="9"/>
      <c r="H992" s="10"/>
      <c r="I992" s="12"/>
      <c r="J992" s="12"/>
      <c r="K992" s="91"/>
      <c r="L992" s="10"/>
      <c r="M992" s="10"/>
    </row>
    <row r="993" spans="1:13" ht="18.75" x14ac:dyDescent="0.25">
      <c r="A993" s="9"/>
      <c r="B993" s="112"/>
      <c r="C993" s="129"/>
      <c r="D993" s="117"/>
      <c r="E993" s="9"/>
      <c r="F993" s="10"/>
      <c r="G993" s="9"/>
      <c r="H993" s="10"/>
      <c r="I993" s="12"/>
      <c r="J993" s="12"/>
      <c r="K993" s="91"/>
      <c r="L993" s="10"/>
      <c r="M993" s="10"/>
    </row>
    <row r="994" spans="1:13" ht="18.75" x14ac:dyDescent="0.25">
      <c r="A994" s="9"/>
      <c r="B994" s="112"/>
      <c r="C994" s="129"/>
      <c r="D994" s="117"/>
      <c r="E994" s="9"/>
      <c r="F994" s="10"/>
      <c r="G994" s="9"/>
      <c r="H994" s="10"/>
      <c r="I994" s="12"/>
      <c r="J994" s="12"/>
      <c r="K994" s="91"/>
      <c r="L994" s="10"/>
      <c r="M994" s="10"/>
    </row>
    <row r="995" spans="1:13" ht="18.75" x14ac:dyDescent="0.25">
      <c r="A995" s="9"/>
      <c r="B995" s="112"/>
      <c r="C995" s="129"/>
      <c r="D995" s="117"/>
      <c r="E995" s="9"/>
      <c r="F995" s="10"/>
      <c r="G995" s="9"/>
      <c r="H995" s="10"/>
      <c r="I995" s="12"/>
      <c r="J995" s="12"/>
      <c r="K995" s="91"/>
      <c r="L995" s="10"/>
      <c r="M995" s="10"/>
    </row>
    <row r="996" spans="1:13" ht="18.75" x14ac:dyDescent="0.25">
      <c r="A996" s="9"/>
      <c r="B996" s="112"/>
      <c r="C996" s="129"/>
      <c r="D996" s="117"/>
      <c r="E996" s="9"/>
      <c r="F996" s="10"/>
      <c r="G996" s="9"/>
      <c r="H996" s="10"/>
      <c r="I996" s="12"/>
      <c r="J996" s="12"/>
      <c r="K996" s="91"/>
      <c r="L996" s="10"/>
      <c r="M996" s="10"/>
    </row>
    <row r="997" spans="1:13" ht="18.75" x14ac:dyDescent="0.25">
      <c r="A997" s="9"/>
      <c r="B997" s="112"/>
      <c r="C997" s="129"/>
      <c r="D997" s="117"/>
      <c r="E997" s="9"/>
      <c r="F997" s="10"/>
      <c r="G997" s="9"/>
      <c r="H997" s="10"/>
      <c r="I997" s="12"/>
      <c r="J997" s="12"/>
      <c r="K997" s="91"/>
      <c r="L997" s="10"/>
      <c r="M997" s="10"/>
    </row>
    <row r="998" spans="1:13" ht="18.75" x14ac:dyDescent="0.25">
      <c r="A998" s="9"/>
      <c r="B998" s="112"/>
      <c r="C998" s="129"/>
      <c r="D998" s="117"/>
      <c r="E998" s="9"/>
      <c r="F998" s="10"/>
      <c r="G998" s="9"/>
      <c r="H998" s="10"/>
      <c r="I998" s="12"/>
      <c r="J998" s="12"/>
      <c r="K998" s="91"/>
      <c r="L998" s="10"/>
      <c r="M998" s="10"/>
    </row>
    <row r="999" spans="1:13" ht="18.75" x14ac:dyDescent="0.25">
      <c r="A999" s="9"/>
      <c r="B999" s="112"/>
      <c r="C999" s="129"/>
      <c r="D999" s="117"/>
      <c r="E999" s="9"/>
      <c r="F999" s="10"/>
      <c r="G999" s="9"/>
      <c r="H999" s="10"/>
      <c r="I999" s="12"/>
      <c r="J999" s="12"/>
      <c r="K999" s="91"/>
      <c r="L999" s="10"/>
      <c r="M999" s="10"/>
    </row>
    <row r="1000" spans="1:13" ht="18.75" x14ac:dyDescent="0.25">
      <c r="A1000" s="9"/>
      <c r="B1000" s="13"/>
      <c r="C1000" s="11"/>
      <c r="D1000" s="117"/>
      <c r="E1000" s="9"/>
      <c r="F1000" s="10"/>
      <c r="G1000" s="9"/>
      <c r="H1000" s="10"/>
      <c r="I1000" s="12"/>
      <c r="J1000" s="12"/>
      <c r="K1000" s="91"/>
      <c r="L1000" s="10"/>
      <c r="M1000" s="10"/>
    </row>
  </sheetData>
  <phoneticPr fontId="4" type="noConversion"/>
  <pageMargins left="0.7" right="0.7" top="0.75" bottom="0.75" header="0.3" footer="0.3"/>
  <pageSetup scale="46"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ED54644-82F3-4483-B51E-345391EB5985}">
          <x14:formula1>
            <xm:f>'List source'!$A$14:$A$20</xm:f>
          </x14:formula1>
          <xm:sqref>E277 E181</xm:sqref>
        </x14:dataValidation>
        <x14:dataValidation type="list" allowBlank="1" showInputMessage="1" showErrorMessage="1" xr:uid="{44666D80-C2B4-4F7A-9F8F-AE5FBEAF8185}">
          <x14:formula1>
            <xm:f>'List source'!$B$2:$B$9</xm:f>
          </x14:formula1>
          <xm:sqref>L2:L31 L33:L129 L132:L1000</xm:sqref>
        </x14:dataValidation>
        <x14:dataValidation type="list" allowBlank="1" showInputMessage="1" showErrorMessage="1" xr:uid="{6F16F2E5-F8A3-4CDE-B517-A0A210C2C0C1}">
          <x14:formula1>
            <xm:f>'List source'!$D$2:$D$59</xm:f>
          </x14:formula1>
          <xm:sqref>A2:A1000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B1FE-416D-4689-B259-B6F215D55628}">
  <sheetPr>
    <tabColor rgb="FFFFFF00"/>
    <pageSetUpPr fitToPage="1"/>
  </sheetPr>
  <dimension ref="A1:L151"/>
  <sheetViews>
    <sheetView showGridLines="0" zoomScale="97" zoomScaleNormal="90" workbookViewId="0">
      <pane ySplit="1" topLeftCell="A2" activePane="bottomLeft" state="frozen"/>
      <selection activeCell="D1" sqref="D1"/>
      <selection pane="bottomLeft" activeCell="D1" sqref="D1"/>
    </sheetView>
  </sheetViews>
  <sheetFormatPr defaultRowHeight="15" x14ac:dyDescent="0.25"/>
  <cols>
    <col min="1" max="1" width="26.5703125" style="5" customWidth="1"/>
    <col min="2" max="2" width="9.5703125" customWidth="1"/>
    <col min="3" max="3" width="7.28515625" bestFit="1" customWidth="1"/>
    <col min="4" max="4" width="22" customWidth="1"/>
    <col min="5" max="5" width="22" hidden="1" customWidth="1"/>
    <col min="6" max="6" width="13.28515625" customWidth="1"/>
    <col min="7" max="7" width="15" customWidth="1"/>
    <col min="8" max="8" width="20.5703125" bestFit="1" customWidth="1"/>
    <col min="9" max="9" width="36.5703125" customWidth="1"/>
    <col min="10" max="10" width="23" style="7" customWidth="1"/>
    <col min="11" max="11" width="25.5703125" style="8" customWidth="1"/>
    <col min="12" max="12" width="37.28515625" style="8" customWidth="1"/>
  </cols>
  <sheetData>
    <row r="1" spans="1:12" s="2" customFormat="1" ht="45" customHeight="1" x14ac:dyDescent="0.25">
      <c r="A1" s="76" t="s">
        <v>0</v>
      </c>
      <c r="B1" s="77" t="s">
        <v>1</v>
      </c>
      <c r="C1" s="77" t="s">
        <v>2</v>
      </c>
      <c r="D1" s="77" t="s">
        <v>2839</v>
      </c>
      <c r="E1" s="77" t="s">
        <v>811</v>
      </c>
      <c r="F1" s="77" t="s">
        <v>2840</v>
      </c>
      <c r="G1" s="77" t="s">
        <v>2841</v>
      </c>
      <c r="H1" s="77" t="s">
        <v>2842</v>
      </c>
      <c r="I1" s="77" t="s">
        <v>2843</v>
      </c>
      <c r="J1" s="78" t="s">
        <v>2844</v>
      </c>
      <c r="K1" s="79" t="s">
        <v>2845</v>
      </c>
      <c r="L1" s="79" t="s">
        <v>12</v>
      </c>
    </row>
    <row r="2" spans="1:12" s="4" customFormat="1" ht="30" customHeight="1" x14ac:dyDescent="0.25">
      <c r="A2" s="24" t="s">
        <v>61</v>
      </c>
      <c r="B2" s="13">
        <f>VLOOKUP(Table2456[[#This Row],[Location 
(drop-down)]],'List source'!D$2:E$59,2,FALSE)</f>
        <v>120</v>
      </c>
      <c r="C2" s="25" t="s">
        <v>14</v>
      </c>
      <c r="D2" s="33" t="str">
        <f t="shared" ref="D2:D33" si="0">"CAF" &amp; C2 &amp; "-" &amp; B2 &amp; "-" &amp; "23"</f>
        <v>CAF001-120-23</v>
      </c>
      <c r="E2" s="33" t="str">
        <f>VLOOKUP(Table2456[[#This Row],[Location 
(drop-down)]],Table1[#All],3,FALSE)</f>
        <v>USGC</v>
      </c>
      <c r="F2" s="46">
        <v>44942</v>
      </c>
      <c r="G2" s="96">
        <v>44963</v>
      </c>
      <c r="H2" s="96">
        <v>44973</v>
      </c>
      <c r="I2" s="141" t="s">
        <v>2846</v>
      </c>
      <c r="J2" s="28" t="s">
        <v>97</v>
      </c>
      <c r="K2" s="62" t="s">
        <v>2847</v>
      </c>
      <c r="L2" s="62"/>
    </row>
    <row r="3" spans="1:12" s="4" customFormat="1" ht="30" customHeight="1" x14ac:dyDescent="0.25">
      <c r="A3" s="9" t="s">
        <v>57</v>
      </c>
      <c r="B3" s="58">
        <f>VLOOKUP(Table2456[[#This Row],[Location 
(drop-down)]],'List source'!D$2:E$59,2,FALSE)</f>
        <v>155</v>
      </c>
      <c r="C3" s="25" t="s">
        <v>20</v>
      </c>
      <c r="D3" s="33" t="str">
        <f t="shared" si="0"/>
        <v>CAF002-155-23</v>
      </c>
      <c r="E3" s="33" t="str">
        <f>VLOOKUP(Table2456[[#This Row],[Location 
(drop-down)]],Table1[#All],3,FALSE)</f>
        <v>USGC</v>
      </c>
      <c r="F3" s="65">
        <v>44953</v>
      </c>
      <c r="G3" s="65">
        <v>44963</v>
      </c>
      <c r="H3" s="65">
        <v>44973</v>
      </c>
      <c r="I3" s="107" t="s">
        <v>876</v>
      </c>
      <c r="J3" s="48" t="s">
        <v>2848</v>
      </c>
      <c r="K3" s="28" t="s">
        <v>2849</v>
      </c>
      <c r="L3" s="28"/>
    </row>
    <row r="4" spans="1:12" s="4" customFormat="1" ht="30" customHeight="1" x14ac:dyDescent="0.25">
      <c r="A4" s="9" t="s">
        <v>79</v>
      </c>
      <c r="B4" s="13">
        <f>VLOOKUP(Table2456[[#This Row],[Location 
(drop-down)]],'List source'!D$2:E$59,2,FALSE)</f>
        <v>141</v>
      </c>
      <c r="C4" s="25" t="s">
        <v>23</v>
      </c>
      <c r="D4" s="33" t="str">
        <f t="shared" si="0"/>
        <v>CAF003-141-23</v>
      </c>
      <c r="E4" s="33" t="str">
        <f>VLOOKUP(Table2456[[#This Row],[Location 
(drop-down)]],Table1[#All],3,FALSE)</f>
        <v>USNE, USMW &amp; Canada</v>
      </c>
      <c r="F4" s="47">
        <v>44958</v>
      </c>
      <c r="G4" s="65">
        <v>44970</v>
      </c>
      <c r="H4" s="65">
        <v>44973</v>
      </c>
      <c r="I4" s="140" t="s">
        <v>911</v>
      </c>
      <c r="J4" s="10" t="s">
        <v>2848</v>
      </c>
      <c r="K4" s="28" t="s">
        <v>2850</v>
      </c>
      <c r="L4" s="28"/>
    </row>
    <row r="5" spans="1:12" s="4" customFormat="1" ht="54" customHeight="1" x14ac:dyDescent="0.25">
      <c r="A5" s="9" t="s">
        <v>57</v>
      </c>
      <c r="B5" s="13">
        <f>VLOOKUP(Table2456[[#This Row],[Location 
(drop-down)]],'List source'!D$2:E$59,2,FALSE)</f>
        <v>155</v>
      </c>
      <c r="C5" s="25" t="s">
        <v>25</v>
      </c>
      <c r="D5" s="33" t="str">
        <f t="shared" si="0"/>
        <v>CAF004-155-23</v>
      </c>
      <c r="E5" s="33" t="str">
        <f>VLOOKUP(Table2456[[#This Row],[Location 
(drop-down)]],Table1[#All],3,FALSE)</f>
        <v>USGC</v>
      </c>
      <c r="F5" s="47">
        <v>44959</v>
      </c>
      <c r="G5" s="65">
        <v>44967</v>
      </c>
      <c r="H5" s="47">
        <v>44981</v>
      </c>
      <c r="I5" s="140" t="s">
        <v>2851</v>
      </c>
      <c r="J5" s="10" t="s">
        <v>2848</v>
      </c>
      <c r="K5" s="28" t="s">
        <v>2852</v>
      </c>
      <c r="L5" s="28"/>
    </row>
    <row r="6" spans="1:12" s="4" customFormat="1" ht="61.5" customHeight="1" x14ac:dyDescent="0.25">
      <c r="A6" s="9" t="s">
        <v>924</v>
      </c>
      <c r="B6" s="13">
        <f>VLOOKUP(Table2456[[#This Row],[Location 
(drop-down)]],'List source'!D$2:E$59,2,FALSE)</f>
        <v>144</v>
      </c>
      <c r="C6" s="25" t="s">
        <v>28</v>
      </c>
      <c r="D6" s="33" t="str">
        <f t="shared" si="0"/>
        <v>CAF005-144-23</v>
      </c>
      <c r="E6" s="33" t="str">
        <f>VLOOKUP(Table2456[[#This Row],[Location 
(drop-down)]],Table1[#All],3,FALSE)</f>
        <v>SE &amp; Caribbean</v>
      </c>
      <c r="F6" s="47">
        <v>44960</v>
      </c>
      <c r="G6" s="65">
        <v>44974</v>
      </c>
      <c r="H6" s="65">
        <v>44986</v>
      </c>
      <c r="I6" s="119" t="s">
        <v>2853</v>
      </c>
      <c r="J6" s="10" t="s">
        <v>2848</v>
      </c>
      <c r="K6" s="28" t="s">
        <v>2854</v>
      </c>
      <c r="L6" s="28" t="s">
        <v>2855</v>
      </c>
    </row>
    <row r="7" spans="1:12" s="4" customFormat="1" ht="30" customHeight="1" x14ac:dyDescent="0.25">
      <c r="A7" s="9" t="s">
        <v>27</v>
      </c>
      <c r="B7" s="13">
        <f>VLOOKUP(Table2456[[#This Row],[Location 
(drop-down)]],'List source'!D$2:E$59,2,FALSE)</f>
        <v>132</v>
      </c>
      <c r="C7" s="25" t="s">
        <v>30</v>
      </c>
      <c r="D7" s="33" t="str">
        <f t="shared" si="0"/>
        <v>CAF006-132-23</v>
      </c>
      <c r="E7" s="33" t="str">
        <f>VLOOKUP(Table2456[[#This Row],[Location 
(drop-down)]],Table1[#All],3,FALSE)</f>
        <v>USWC</v>
      </c>
      <c r="F7" s="65">
        <v>44963</v>
      </c>
      <c r="G7" s="65">
        <v>44967</v>
      </c>
      <c r="H7" s="65">
        <v>44973</v>
      </c>
      <c r="I7" s="107" t="s">
        <v>926</v>
      </c>
      <c r="J7" s="10" t="s">
        <v>2848</v>
      </c>
      <c r="K7" s="28" t="s">
        <v>2856</v>
      </c>
      <c r="L7" s="28"/>
    </row>
    <row r="8" spans="1:12" s="4" customFormat="1" ht="30" customHeight="1" x14ac:dyDescent="0.25">
      <c r="A8" s="9" t="s">
        <v>75</v>
      </c>
      <c r="B8" s="13">
        <f>VLOOKUP(Table2456[[#This Row],[Location 
(drop-down)]],'List source'!D$2:E$59,2,FALSE)</f>
        <v>180</v>
      </c>
      <c r="C8" s="25" t="s">
        <v>33</v>
      </c>
      <c r="D8" s="33" t="str">
        <f t="shared" si="0"/>
        <v>CAF007-180-23</v>
      </c>
      <c r="E8" s="33" t="str">
        <f>VLOOKUP(Table2456[[#This Row],[Location 
(drop-down)]],Table1[#All],3,FALSE)</f>
        <v>SE &amp; Caribbean</v>
      </c>
      <c r="F8" s="65">
        <v>44967</v>
      </c>
      <c r="G8" s="65">
        <v>44998</v>
      </c>
      <c r="H8" s="65">
        <v>45014</v>
      </c>
      <c r="I8" s="9" t="s">
        <v>939</v>
      </c>
      <c r="J8" s="10" t="s">
        <v>97</v>
      </c>
      <c r="K8" s="28" t="s">
        <v>2857</v>
      </c>
      <c r="L8" s="28"/>
    </row>
    <row r="9" spans="1:12" s="4" customFormat="1" ht="67.5" customHeight="1" x14ac:dyDescent="0.25">
      <c r="A9" s="9" t="s">
        <v>27</v>
      </c>
      <c r="B9" s="13">
        <f>VLOOKUP(Table2456[[#This Row],[Location 
(drop-down)]],'List source'!D$2:E$59,2,FALSE)</f>
        <v>132</v>
      </c>
      <c r="C9" s="25" t="s">
        <v>38</v>
      </c>
      <c r="D9" s="33" t="str">
        <f t="shared" si="0"/>
        <v>CAF008-132-23</v>
      </c>
      <c r="E9" s="33" t="str">
        <f>VLOOKUP(Table2456[[#This Row],[Location 
(drop-down)]],Table1[#All],3,FALSE)</f>
        <v>USWC</v>
      </c>
      <c r="F9" s="65">
        <v>44977</v>
      </c>
      <c r="G9" s="65">
        <v>44988</v>
      </c>
      <c r="H9" s="65">
        <v>45006</v>
      </c>
      <c r="I9" s="142" t="s">
        <v>951</v>
      </c>
      <c r="J9" s="10" t="s">
        <v>2848</v>
      </c>
      <c r="K9" s="28" t="s">
        <v>2858</v>
      </c>
      <c r="L9" s="155" t="s">
        <v>2859</v>
      </c>
    </row>
    <row r="10" spans="1:12" s="4" customFormat="1" ht="30" customHeight="1" x14ac:dyDescent="0.25">
      <c r="A10" s="9" t="s">
        <v>108</v>
      </c>
      <c r="B10" s="13">
        <f>VLOOKUP(Table2456[[#This Row],[Location 
(drop-down)]],'List source'!D$2:E$59,2,FALSE)</f>
        <v>191</v>
      </c>
      <c r="C10" s="25" t="s">
        <v>40</v>
      </c>
      <c r="D10" s="33" t="str">
        <f t="shared" si="0"/>
        <v>CAF009-191-23</v>
      </c>
      <c r="E10" s="33" t="str">
        <f>VLOOKUP(Table2456[[#This Row],[Location 
(drop-down)]],Table1[#All],3,FALSE)</f>
        <v>SE &amp; Caribbean</v>
      </c>
      <c r="F10" s="47">
        <v>44980</v>
      </c>
      <c r="G10" s="65">
        <v>45000</v>
      </c>
      <c r="H10" s="65">
        <v>45006</v>
      </c>
      <c r="I10" s="9" t="s">
        <v>956</v>
      </c>
      <c r="J10" s="10" t="s">
        <v>97</v>
      </c>
      <c r="K10" s="28" t="s">
        <v>2860</v>
      </c>
      <c r="L10" s="28"/>
    </row>
    <row r="11" spans="1:12" s="4" customFormat="1" ht="30" customHeight="1" x14ac:dyDescent="0.25">
      <c r="A11" s="9" t="s">
        <v>873</v>
      </c>
      <c r="B11" s="13">
        <f>VLOOKUP(Table2456[[#This Row],[Location 
(drop-down)]],'List source'!D$2:E$59,2,FALSE)</f>
        <v>190</v>
      </c>
      <c r="C11" s="25" t="s">
        <v>43</v>
      </c>
      <c r="D11" s="33" t="str">
        <f t="shared" si="0"/>
        <v>CAF010-190-23</v>
      </c>
      <c r="E11" s="33" t="str">
        <f>VLOOKUP(Table2456[[#This Row],[Location 
(drop-down)]],Table1[#All],3,FALSE)</f>
        <v>SE &amp; Caribbean</v>
      </c>
      <c r="F11" s="65">
        <v>44945</v>
      </c>
      <c r="G11" s="65">
        <v>45019</v>
      </c>
      <c r="H11" s="65">
        <v>45020</v>
      </c>
      <c r="I11" s="9" t="s">
        <v>874</v>
      </c>
      <c r="J11" s="10" t="s">
        <v>2848</v>
      </c>
      <c r="K11" s="28" t="s">
        <v>2861</v>
      </c>
      <c r="L11" s="28" t="s">
        <v>2862</v>
      </c>
    </row>
    <row r="12" spans="1:12" s="4" customFormat="1" ht="30" customHeight="1" x14ac:dyDescent="0.25">
      <c r="A12" s="9" t="s">
        <v>178</v>
      </c>
      <c r="B12" s="13">
        <f>VLOOKUP(Table2456[[#This Row],[Location 
(drop-down)]],'List source'!D$2:E$59,2,FALSE)</f>
        <v>150</v>
      </c>
      <c r="C12" s="25" t="s">
        <v>45</v>
      </c>
      <c r="D12" s="33" t="str">
        <f t="shared" si="0"/>
        <v>CAF011-150-23</v>
      </c>
      <c r="E12" s="33" t="str">
        <f>VLOOKUP(Table2456[[#This Row],[Location 
(drop-down)]],Table1[#All],3,FALSE)</f>
        <v>USGC</v>
      </c>
      <c r="F12" s="65">
        <v>45001</v>
      </c>
      <c r="G12" s="65">
        <v>45121</v>
      </c>
      <c r="H12" s="65">
        <v>45121</v>
      </c>
      <c r="I12" s="9" t="s">
        <v>874</v>
      </c>
      <c r="J12" s="10" t="s">
        <v>2848</v>
      </c>
      <c r="K12" s="156" t="s">
        <v>2863</v>
      </c>
      <c r="L12" s="28" t="s">
        <v>2864</v>
      </c>
    </row>
    <row r="13" spans="1:12" s="4" customFormat="1" ht="30" customHeight="1" x14ac:dyDescent="0.25">
      <c r="A13" s="9" t="s">
        <v>66</v>
      </c>
      <c r="B13" s="13">
        <f>VLOOKUP(Table2456[[#This Row],[Location 
(drop-down)]],'List source'!D$2:E$59,2,FALSE)</f>
        <v>165</v>
      </c>
      <c r="C13" s="25" t="s">
        <v>48</v>
      </c>
      <c r="D13" s="33" t="str">
        <f t="shared" si="0"/>
        <v>CAF012-165-23</v>
      </c>
      <c r="E13" s="33" t="str">
        <f>VLOOKUP(Table2456[[#This Row],[Location 
(drop-down)]],Table1[#All],3,FALSE)</f>
        <v>USGC</v>
      </c>
      <c r="F13" s="65">
        <v>45012</v>
      </c>
      <c r="G13" s="65">
        <v>45061</v>
      </c>
      <c r="H13" s="65">
        <v>45077</v>
      </c>
      <c r="I13" s="20" t="s">
        <v>2865</v>
      </c>
      <c r="J13" s="10" t="s">
        <v>97</v>
      </c>
      <c r="K13" s="156" t="s">
        <v>2866</v>
      </c>
      <c r="L13" s="28" t="s">
        <v>2867</v>
      </c>
    </row>
    <row r="14" spans="1:12" s="4" customFormat="1" ht="30" customHeight="1" x14ac:dyDescent="0.25">
      <c r="A14" s="9" t="s">
        <v>1020</v>
      </c>
      <c r="B14" s="13">
        <f>VLOOKUP(Table2456[[#This Row],[Location 
(drop-down)]],'List source'!D$2:E$59,2,FALSE)</f>
        <v>199</v>
      </c>
      <c r="C14" s="25" t="s">
        <v>53</v>
      </c>
      <c r="D14" s="33" t="str">
        <f t="shared" si="0"/>
        <v>CAF013-199-23</v>
      </c>
      <c r="E14" s="33" t="str">
        <f>VLOOKUP(Table2456[[#This Row],[Location 
(drop-down)]],Table1[#All],3,FALSE)</f>
        <v>USNE, USMW &amp; Canada</v>
      </c>
      <c r="F14" s="65">
        <v>45002</v>
      </c>
      <c r="G14" s="65">
        <v>45002</v>
      </c>
      <c r="H14" s="65">
        <v>45006</v>
      </c>
      <c r="I14" s="107" t="s">
        <v>2868</v>
      </c>
      <c r="J14" s="49" t="s">
        <v>2848</v>
      </c>
      <c r="K14" s="157" t="s">
        <v>2869</v>
      </c>
      <c r="L14" s="28" t="s">
        <v>2870</v>
      </c>
    </row>
    <row r="15" spans="1:12" s="4" customFormat="1" ht="44.25" customHeight="1" x14ac:dyDescent="0.25">
      <c r="A15" s="9" t="s">
        <v>61</v>
      </c>
      <c r="B15" s="13">
        <f>VLOOKUP(Table2456[[#This Row],[Location 
(drop-down)]],'List source'!D$2:E$59,2,FALSE)</f>
        <v>120</v>
      </c>
      <c r="C15" s="25" t="s">
        <v>58</v>
      </c>
      <c r="D15" s="33" t="str">
        <f t="shared" si="0"/>
        <v>CAF014-120-23</v>
      </c>
      <c r="E15" s="33" t="str">
        <f>VLOOKUP(Table2456[[#This Row],[Location 
(drop-down)]],Table1[#All],3,FALSE)</f>
        <v>USGC</v>
      </c>
      <c r="F15" s="65">
        <v>45019</v>
      </c>
      <c r="G15" s="65">
        <v>45019</v>
      </c>
      <c r="H15" s="47">
        <v>45019</v>
      </c>
      <c r="I15" s="107" t="s">
        <v>2871</v>
      </c>
      <c r="J15" s="10" t="s">
        <v>2848</v>
      </c>
      <c r="K15" s="28" t="s">
        <v>2872</v>
      </c>
      <c r="L15" s="28"/>
    </row>
    <row r="16" spans="1:12" s="4" customFormat="1" ht="37.5" customHeight="1" x14ac:dyDescent="0.25">
      <c r="A16" s="9" t="s">
        <v>226</v>
      </c>
      <c r="B16" s="13">
        <f>VLOOKUP(Table2456[[#This Row],[Location 
(drop-down)]],'List source'!D$2:E$59,2,FALSE)</f>
        <v>110</v>
      </c>
      <c r="C16" s="25" t="s">
        <v>62</v>
      </c>
      <c r="D16" s="33" t="str">
        <f t="shared" si="0"/>
        <v>CAF015-110-23</v>
      </c>
      <c r="E16" s="33" t="str">
        <f>VLOOKUP(Table2456[[#This Row],[Location 
(drop-down)]],Table1[#All],3,FALSE)</f>
        <v>USNE, USMW &amp; Canada</v>
      </c>
      <c r="F16" s="65">
        <v>45030</v>
      </c>
      <c r="G16" s="65">
        <v>45031</v>
      </c>
      <c r="H16" s="47" t="s">
        <v>2299</v>
      </c>
      <c r="I16" s="107" t="s">
        <v>2873</v>
      </c>
      <c r="J16" s="49" t="s">
        <v>2848</v>
      </c>
      <c r="K16" s="28" t="s">
        <v>2874</v>
      </c>
      <c r="L16" s="28" t="s">
        <v>2875</v>
      </c>
    </row>
    <row r="17" spans="1:12" s="4" customFormat="1" ht="30" customHeight="1" x14ac:dyDescent="0.25">
      <c r="A17" s="9" t="s">
        <v>1020</v>
      </c>
      <c r="B17" s="13">
        <f>VLOOKUP(Table2456[[#This Row],[Location 
(drop-down)]],'List source'!D$2:E$59,2,FALSE)</f>
        <v>199</v>
      </c>
      <c r="C17" s="25" t="s">
        <v>67</v>
      </c>
      <c r="D17" s="33" t="str">
        <f t="shared" si="0"/>
        <v>CAF016-199-23</v>
      </c>
      <c r="E17" s="33" t="str">
        <f>VLOOKUP(Table2456[[#This Row],[Location 
(drop-down)]],Table1[#All],3,FALSE)</f>
        <v>USNE, USMW &amp; Canada</v>
      </c>
      <c r="F17" s="65">
        <v>45056</v>
      </c>
      <c r="G17" s="65">
        <v>45078</v>
      </c>
      <c r="H17" s="65">
        <v>45078</v>
      </c>
      <c r="I17" s="107" t="s">
        <v>2876</v>
      </c>
      <c r="J17" s="10" t="s">
        <v>2848</v>
      </c>
      <c r="K17" s="28" t="s">
        <v>2877</v>
      </c>
      <c r="L17" s="28"/>
    </row>
    <row r="18" spans="1:12" s="4" customFormat="1" ht="42" customHeight="1" x14ac:dyDescent="0.25">
      <c r="A18" s="9" t="s">
        <v>1020</v>
      </c>
      <c r="B18" s="13">
        <f>VLOOKUP(Table2456[[#This Row],[Location 
(drop-down)]],'List source'!D$2:E$59,2,FALSE)</f>
        <v>199</v>
      </c>
      <c r="C18" s="25" t="s">
        <v>69</v>
      </c>
      <c r="D18" s="33" t="str">
        <f t="shared" si="0"/>
        <v>CAF017-199-23</v>
      </c>
      <c r="E18" s="33" t="str">
        <f>VLOOKUP(Table2456[[#This Row],[Location 
(drop-down)]],Table1[#All],3,FALSE)</f>
        <v>USNE, USMW &amp; Canada</v>
      </c>
      <c r="F18" s="65">
        <v>45057</v>
      </c>
      <c r="G18" s="65">
        <v>45071</v>
      </c>
      <c r="H18" s="65">
        <v>45071</v>
      </c>
      <c r="I18" s="9" t="s">
        <v>2878</v>
      </c>
      <c r="J18" s="10" t="s">
        <v>2848</v>
      </c>
      <c r="K18" s="28" t="s">
        <v>2879</v>
      </c>
      <c r="L18" s="106"/>
    </row>
    <row r="19" spans="1:12" s="4" customFormat="1" ht="30" customHeight="1" x14ac:dyDescent="0.25">
      <c r="A19" s="9" t="s">
        <v>131</v>
      </c>
      <c r="B19" s="13" t="str">
        <f>VLOOKUP(Table2456[[#This Row],[Location 
(drop-down)]],'List source'!D$2:E$59,2,FALSE)</f>
        <v>VOID</v>
      </c>
      <c r="C19" s="29">
        <v>18</v>
      </c>
      <c r="D19" s="69" t="str">
        <f>"CAF" &amp; C19 &amp; "-" &amp; B19 &amp; "-" &amp; "23"</f>
        <v>CAF18-VOID-23</v>
      </c>
      <c r="E19" s="33" t="str">
        <f>VLOOKUP(Table2456[[#This Row],[Location 
(drop-down)]],Table1[#All],3,FALSE)</f>
        <v>VOID</v>
      </c>
      <c r="F19" s="65" t="s">
        <v>50</v>
      </c>
      <c r="G19" s="65" t="s">
        <v>50</v>
      </c>
      <c r="H19" s="65" t="s">
        <v>50</v>
      </c>
      <c r="I19" s="9" t="s">
        <v>2880</v>
      </c>
      <c r="J19" s="10" t="s">
        <v>97</v>
      </c>
      <c r="K19" s="28" t="s">
        <v>2881</v>
      </c>
      <c r="L19" s="28" t="s">
        <v>2882</v>
      </c>
    </row>
    <row r="20" spans="1:12" s="4" customFormat="1" ht="45" customHeight="1" x14ac:dyDescent="0.25">
      <c r="A20" s="9" t="s">
        <v>87</v>
      </c>
      <c r="B20" s="13">
        <f>VLOOKUP(Table2456[[#This Row],[Location 
(drop-down)]],'List source'!D$2:E$59,2,FALSE)</f>
        <v>210</v>
      </c>
      <c r="C20" s="25" t="s">
        <v>76</v>
      </c>
      <c r="D20" s="33" t="str">
        <f t="shared" si="0"/>
        <v>CAF019-210-23</v>
      </c>
      <c r="E20" s="33" t="str">
        <f>VLOOKUP(Table2456[[#This Row],[Location 
(drop-down)]],Table1[#All],3,FALSE)</f>
        <v>SE &amp; Caribbean</v>
      </c>
      <c r="F20" s="65">
        <v>45065</v>
      </c>
      <c r="G20" s="65">
        <v>45082</v>
      </c>
      <c r="H20" s="65">
        <v>45090</v>
      </c>
      <c r="I20" s="142" t="s">
        <v>1178</v>
      </c>
      <c r="J20" s="10" t="s">
        <v>2848</v>
      </c>
      <c r="K20" s="97" t="s">
        <v>2883</v>
      </c>
      <c r="L20" s="101"/>
    </row>
    <row r="21" spans="1:12" s="4" customFormat="1" ht="30" customHeight="1" x14ac:dyDescent="0.25">
      <c r="A21" s="9" t="s">
        <v>324</v>
      </c>
      <c r="B21" s="13">
        <f>VLOOKUP(Table2456[[#This Row],[Location 
(drop-down)]],'List source'!D$2:E$59,2,FALSE)</f>
        <v>170</v>
      </c>
      <c r="C21" s="25" t="s">
        <v>80</v>
      </c>
      <c r="D21" s="33" t="str">
        <f t="shared" si="0"/>
        <v>CAF020-170-23</v>
      </c>
      <c r="E21" s="33" t="str">
        <f>VLOOKUP(Table2456[[#This Row],[Location 
(drop-down)]],Table1[#All],3,FALSE)</f>
        <v>SE &amp; Caribbean</v>
      </c>
      <c r="F21" s="65">
        <v>45044</v>
      </c>
      <c r="G21" s="65">
        <v>45110</v>
      </c>
      <c r="H21" s="65">
        <v>45110</v>
      </c>
      <c r="I21" s="9" t="s">
        <v>1116</v>
      </c>
      <c r="J21" s="10" t="s">
        <v>97</v>
      </c>
      <c r="K21" s="97" t="s">
        <v>2884</v>
      </c>
      <c r="L21" s="174" t="s">
        <v>2885</v>
      </c>
    </row>
    <row r="22" spans="1:12" s="4" customFormat="1" ht="30" customHeight="1" x14ac:dyDescent="0.25">
      <c r="A22" s="9" t="s">
        <v>57</v>
      </c>
      <c r="B22" s="13">
        <f>VLOOKUP(Table2456[[#This Row],[Location 
(drop-down)]],'List source'!D$2:E$59,2,FALSE)</f>
        <v>155</v>
      </c>
      <c r="C22" s="25" t="s">
        <v>84</v>
      </c>
      <c r="D22" s="33" t="str">
        <f t="shared" si="0"/>
        <v>CAF021-155-23</v>
      </c>
      <c r="E22" s="33" t="str">
        <f>VLOOKUP(Table2456[[#This Row],[Location 
(drop-down)]],Table1[#All],3,FALSE)</f>
        <v>USGC</v>
      </c>
      <c r="F22" s="65">
        <v>45105</v>
      </c>
      <c r="G22" s="47">
        <v>45141</v>
      </c>
      <c r="H22" s="47">
        <v>45141</v>
      </c>
      <c r="I22" s="124" t="s">
        <v>1288</v>
      </c>
      <c r="J22" s="10" t="s">
        <v>97</v>
      </c>
      <c r="K22" s="25" t="s">
        <v>2886</v>
      </c>
      <c r="L22" s="173">
        <v>45138</v>
      </c>
    </row>
    <row r="23" spans="1:12" s="4" customFormat="1" ht="65.25" customHeight="1" x14ac:dyDescent="0.25">
      <c r="A23" s="9" t="s">
        <v>953</v>
      </c>
      <c r="B23" s="13">
        <f>VLOOKUP(Table2456[[#This Row],[Location 
(drop-down)]],'List source'!D$2:E$59,2,FALSE)</f>
        <v>121</v>
      </c>
      <c r="C23" s="25" t="s">
        <v>88</v>
      </c>
      <c r="D23" s="33" t="str">
        <f t="shared" si="0"/>
        <v>CAF022-121-23</v>
      </c>
      <c r="E23" s="33" t="str">
        <f>VLOOKUP(Table2456[[#This Row],[Location 
(drop-down)]],Table1[#All],3,FALSE)</f>
        <v>USGC</v>
      </c>
      <c r="F23" s="65">
        <v>45114</v>
      </c>
      <c r="G23" s="65">
        <v>45121</v>
      </c>
      <c r="H23" s="65">
        <v>45121</v>
      </c>
      <c r="I23" s="9" t="s">
        <v>1302</v>
      </c>
      <c r="J23" s="10" t="s">
        <v>97</v>
      </c>
      <c r="K23" s="97" t="s">
        <v>2887</v>
      </c>
      <c r="L23" s="63"/>
    </row>
    <row r="24" spans="1:12" s="4" customFormat="1" ht="30" customHeight="1" x14ac:dyDescent="0.25">
      <c r="A24" s="9" t="s">
        <v>72</v>
      </c>
      <c r="B24" s="13">
        <f>VLOOKUP(Table2456[[#This Row],[Location 
(drop-down)]],'List source'!D$2:E$59,2,FALSE)</f>
        <v>197</v>
      </c>
      <c r="C24" s="25" t="s">
        <v>91</v>
      </c>
      <c r="D24" s="33" t="str">
        <f t="shared" si="0"/>
        <v>CAF023-197-23</v>
      </c>
      <c r="E24" s="33" t="str">
        <f>VLOOKUP(Table2456[[#This Row],[Location 
(drop-down)]],Table1[#All],3,FALSE)</f>
        <v>USNE, USMW &amp; Canada</v>
      </c>
      <c r="F24" s="65">
        <v>45126</v>
      </c>
      <c r="G24" s="65">
        <v>45140</v>
      </c>
      <c r="H24" s="65">
        <v>45140</v>
      </c>
      <c r="I24" s="107" t="s">
        <v>2888</v>
      </c>
      <c r="J24" s="10" t="s">
        <v>97</v>
      </c>
      <c r="K24" s="27" t="s">
        <v>2889</v>
      </c>
      <c r="L24" s="176" t="s">
        <v>2890</v>
      </c>
    </row>
    <row r="25" spans="1:12" s="4" customFormat="1" ht="29.25" customHeight="1" x14ac:dyDescent="0.25">
      <c r="A25" s="9" t="s">
        <v>47</v>
      </c>
      <c r="B25" s="13">
        <f>VLOOKUP(Table2456[[#This Row],[Location 
(drop-down)]],'List source'!D$2:E$59,2,FALSE)</f>
        <v>215</v>
      </c>
      <c r="C25" s="25" t="s">
        <v>93</v>
      </c>
      <c r="D25" s="33" t="str">
        <f t="shared" si="0"/>
        <v>CAF024-215-23</v>
      </c>
      <c r="E25" s="33" t="str">
        <f>VLOOKUP(Table2456[[#This Row],[Location 
(drop-down)]],Table1[#All],3,FALSE)</f>
        <v>SE &amp; Caribbean</v>
      </c>
      <c r="F25" s="65">
        <v>45131</v>
      </c>
      <c r="G25" s="65">
        <v>45148</v>
      </c>
      <c r="H25" s="65">
        <v>45148</v>
      </c>
      <c r="I25" s="172" t="s">
        <v>2891</v>
      </c>
      <c r="J25" s="10" t="s">
        <v>97</v>
      </c>
      <c r="K25" s="10" t="s">
        <v>2892</v>
      </c>
      <c r="L25" s="10" t="s">
        <v>2893</v>
      </c>
    </row>
    <row r="26" spans="1:12" s="4" customFormat="1" ht="46.5" customHeight="1" x14ac:dyDescent="0.25">
      <c r="A26" s="9" t="s">
        <v>61</v>
      </c>
      <c r="B26" s="13">
        <f>VLOOKUP(Table2456[[#This Row],[Location 
(drop-down)]],'List source'!D$2:E$59,2,FALSE)</f>
        <v>120</v>
      </c>
      <c r="C26" s="25" t="s">
        <v>100</v>
      </c>
      <c r="D26" s="33" t="str">
        <f t="shared" si="0"/>
        <v>CAF025-120-23</v>
      </c>
      <c r="E26" s="33" t="str">
        <f>VLOOKUP(Table2456[[#This Row],[Location 
(drop-down)]],Table1[#All],3,FALSE)</f>
        <v>USGC</v>
      </c>
      <c r="F26" s="65">
        <v>45138</v>
      </c>
      <c r="G26" s="65">
        <v>45140</v>
      </c>
      <c r="H26" s="65">
        <v>45140</v>
      </c>
      <c r="I26" s="171" t="s">
        <v>1416</v>
      </c>
      <c r="J26" s="10" t="s">
        <v>97</v>
      </c>
      <c r="K26" s="28" t="s">
        <v>2894</v>
      </c>
      <c r="L26" s="10"/>
    </row>
    <row r="27" spans="1:12" s="4" customFormat="1" ht="30" customHeight="1" x14ac:dyDescent="0.25">
      <c r="A27" s="9" t="s">
        <v>171</v>
      </c>
      <c r="B27" s="13">
        <f>VLOOKUP(Table2456[[#This Row],[Location 
(drop-down)]],'List source'!D$2:E$59,2,FALSE)</f>
        <v>160</v>
      </c>
      <c r="C27" s="25" t="s">
        <v>104</v>
      </c>
      <c r="D27" s="33" t="str">
        <f t="shared" si="0"/>
        <v>CAF026-160-23</v>
      </c>
      <c r="E27" s="33" t="str">
        <f>VLOOKUP(Table2456[[#This Row],[Location 
(drop-down)]],Table1[#All],3,FALSE)</f>
        <v>USGC</v>
      </c>
      <c r="F27" s="65">
        <v>45139</v>
      </c>
      <c r="G27" s="65">
        <v>45147</v>
      </c>
      <c r="H27" s="65">
        <v>45147</v>
      </c>
      <c r="I27" s="175" t="s">
        <v>2895</v>
      </c>
      <c r="J27" s="10" t="s">
        <v>97</v>
      </c>
      <c r="K27" s="97" t="s">
        <v>1432</v>
      </c>
      <c r="L27" s="109" t="s">
        <v>2896</v>
      </c>
    </row>
    <row r="28" spans="1:12" s="4" customFormat="1" ht="30" customHeight="1" x14ac:dyDescent="0.25">
      <c r="A28" s="9" t="s">
        <v>61</v>
      </c>
      <c r="B28" s="13">
        <f>VLOOKUP(Table2456[[#This Row],[Location 
(drop-down)]],'List source'!D$2:E$59,2,FALSE)</f>
        <v>120</v>
      </c>
      <c r="C28" s="25" t="s">
        <v>109</v>
      </c>
      <c r="D28" s="33" t="str">
        <f t="shared" si="0"/>
        <v>CAF027-120-23</v>
      </c>
      <c r="E28" s="33" t="str">
        <f>VLOOKUP(Table2456[[#This Row],[Location 
(drop-down)]],Table1[#All],3,FALSE)</f>
        <v>USGC</v>
      </c>
      <c r="F28" s="65">
        <v>45140</v>
      </c>
      <c r="G28" s="65">
        <v>45175</v>
      </c>
      <c r="H28" s="65">
        <v>45175</v>
      </c>
      <c r="I28" s="142" t="s">
        <v>2897</v>
      </c>
      <c r="J28" s="10" t="s">
        <v>2848</v>
      </c>
      <c r="K28" s="10" t="s">
        <v>2898</v>
      </c>
      <c r="L28" s="100" t="s">
        <v>2899</v>
      </c>
    </row>
    <row r="29" spans="1:12" s="4" customFormat="1" ht="30" customHeight="1" x14ac:dyDescent="0.25">
      <c r="A29" s="9" t="s">
        <v>57</v>
      </c>
      <c r="B29" s="13">
        <f>VLOOKUP(Table2456[[#This Row],[Location 
(drop-down)]],'List source'!D$2:E$59,2,FALSE)</f>
        <v>155</v>
      </c>
      <c r="C29" s="25" t="s">
        <v>113</v>
      </c>
      <c r="D29" s="33" t="str">
        <f t="shared" si="0"/>
        <v>CAF028-155-23</v>
      </c>
      <c r="E29" s="33" t="str">
        <f>VLOOKUP(Table2456[[#This Row],[Location 
(drop-down)]],Table1[#All],3,FALSE)</f>
        <v>USGC</v>
      </c>
      <c r="F29" s="65">
        <v>45141</v>
      </c>
      <c r="G29" s="65">
        <v>45149</v>
      </c>
      <c r="H29" s="65">
        <v>45149</v>
      </c>
      <c r="I29" s="175" t="s">
        <v>1454</v>
      </c>
      <c r="J29" s="10" t="s">
        <v>2848</v>
      </c>
      <c r="K29" s="10" t="s">
        <v>2900</v>
      </c>
      <c r="L29" s="10" t="s">
        <v>2901</v>
      </c>
    </row>
    <row r="30" spans="1:12" s="4" customFormat="1" ht="47.25" customHeight="1" x14ac:dyDescent="0.25">
      <c r="A30" s="9" t="s">
        <v>27</v>
      </c>
      <c r="B30" s="13">
        <f>VLOOKUP(Table2456[[#This Row],[Location 
(drop-down)]],'List source'!D$2:E$59,2,FALSE)</f>
        <v>132</v>
      </c>
      <c r="C30" s="25" t="s">
        <v>115</v>
      </c>
      <c r="D30" s="33" t="str">
        <f t="shared" si="0"/>
        <v>CAF029-132-23</v>
      </c>
      <c r="E30" s="33" t="str">
        <f>VLOOKUP(Table2456[[#This Row],[Location 
(drop-down)]],Table1[#All],3,FALSE)</f>
        <v>USWC</v>
      </c>
      <c r="F30" s="65">
        <v>45194</v>
      </c>
      <c r="G30" s="65">
        <v>45215</v>
      </c>
      <c r="H30" s="65">
        <v>45329</v>
      </c>
      <c r="I30" s="9" t="s">
        <v>1635</v>
      </c>
      <c r="J30" s="10" t="s">
        <v>97</v>
      </c>
      <c r="K30" s="10" t="s">
        <v>2902</v>
      </c>
      <c r="L30" s="100">
        <v>45329</v>
      </c>
    </row>
    <row r="31" spans="1:12" s="4" customFormat="1" ht="74.25" customHeight="1" x14ac:dyDescent="0.25">
      <c r="A31" s="9" t="s">
        <v>1023</v>
      </c>
      <c r="B31" s="13">
        <f>VLOOKUP(Table2456[[#This Row],[Location 
(drop-down)]],'List source'!D$2:E$59,2,FALSE)</f>
        <v>128</v>
      </c>
      <c r="C31" s="25" t="s">
        <v>117</v>
      </c>
      <c r="D31" s="33" t="str">
        <f t="shared" si="0"/>
        <v>CAF030-128-23</v>
      </c>
      <c r="E31" s="33" t="str">
        <f>VLOOKUP(Table2456[[#This Row],[Location 
(drop-down)]],Table1[#All],3,FALSE)</f>
        <v>USGC</v>
      </c>
      <c r="F31" s="47">
        <v>45223</v>
      </c>
      <c r="G31" s="47">
        <v>45229</v>
      </c>
      <c r="H31" s="47">
        <v>45229</v>
      </c>
      <c r="I31" s="142" t="s">
        <v>2903</v>
      </c>
      <c r="J31" s="10" t="s">
        <v>2848</v>
      </c>
      <c r="K31" s="97" t="s">
        <v>2904</v>
      </c>
      <c r="L31" s="63"/>
    </row>
    <row r="32" spans="1:12" s="4" customFormat="1" ht="44.25" customHeight="1" x14ac:dyDescent="0.25">
      <c r="A32" s="9" t="s">
        <v>953</v>
      </c>
      <c r="B32" s="13">
        <f>VLOOKUP(Table2456[[#This Row],[Location 
(drop-down)]],'List source'!D$2:E$59,2,FALSE)</f>
        <v>121</v>
      </c>
      <c r="C32" s="25" t="s">
        <v>119</v>
      </c>
      <c r="D32" s="33" t="str">
        <f t="shared" si="0"/>
        <v>CAF031-121-23</v>
      </c>
      <c r="E32" s="33" t="str">
        <f>VLOOKUP(Table2456[[#This Row],[Location 
(drop-down)]],Table1[#All],3,FALSE)</f>
        <v>USGC</v>
      </c>
      <c r="F32" s="65">
        <v>45243</v>
      </c>
      <c r="G32" s="47">
        <v>45250</v>
      </c>
      <c r="H32" s="47">
        <v>45250</v>
      </c>
      <c r="I32" s="172" t="s">
        <v>2905</v>
      </c>
      <c r="J32" s="10" t="s">
        <v>2848</v>
      </c>
      <c r="K32" s="97" t="s">
        <v>2906</v>
      </c>
      <c r="L32" s="63"/>
    </row>
    <row r="33" spans="1:12" s="4" customFormat="1" ht="30" customHeight="1" x14ac:dyDescent="0.25">
      <c r="A33" s="9" t="s">
        <v>27</v>
      </c>
      <c r="B33" s="13">
        <f>VLOOKUP(Table2456[[#This Row],[Location 
(drop-down)]],'List source'!D$2:E$59,2,FALSE)</f>
        <v>132</v>
      </c>
      <c r="C33" s="25" t="s">
        <v>121</v>
      </c>
      <c r="D33" s="33" t="str">
        <f t="shared" si="0"/>
        <v>CAF032-132-23</v>
      </c>
      <c r="E33" s="33" t="str">
        <f>VLOOKUP(Table2456[[#This Row],[Location 
(drop-down)]],Table1[#All],3,FALSE)</f>
        <v>USWC</v>
      </c>
      <c r="F33" s="47">
        <v>45266</v>
      </c>
      <c r="G33" s="47">
        <v>45286</v>
      </c>
      <c r="H33" s="47">
        <v>45288</v>
      </c>
      <c r="I33" s="212" t="s">
        <v>1811</v>
      </c>
      <c r="J33" s="10" t="s">
        <v>2848</v>
      </c>
      <c r="K33" s="97" t="s">
        <v>2907</v>
      </c>
      <c r="L33" s="214">
        <v>45282</v>
      </c>
    </row>
    <row r="34" spans="1:12" s="4" customFormat="1" ht="30" customHeight="1" x14ac:dyDescent="0.25">
      <c r="A34" s="9" t="s">
        <v>324</v>
      </c>
      <c r="B34" s="13">
        <f>VLOOKUP(Table2456[[#This Row],[Location 
(drop-down)]],'List source'!D$2:E$59,2,FALSE)</f>
        <v>170</v>
      </c>
      <c r="C34" s="25" t="s">
        <v>124</v>
      </c>
      <c r="D34" s="33" t="str">
        <f t="shared" ref="D34:D65" si="1">"CAF" &amp; C34 &amp; "-" &amp; B34 &amp; "-" &amp; "23"</f>
        <v>CAF033-170-23</v>
      </c>
      <c r="E34" s="33" t="str">
        <f>VLOOKUP(Table2456[[#This Row],[Location 
(drop-down)]],Table1[#All],3,FALSE)</f>
        <v>SE &amp; Caribbean</v>
      </c>
      <c r="F34" s="65">
        <v>45287</v>
      </c>
      <c r="G34" s="65">
        <v>45313</v>
      </c>
      <c r="H34" s="65">
        <v>45321</v>
      </c>
      <c r="I34" s="212" t="s">
        <v>1859</v>
      </c>
      <c r="J34" s="10" t="s">
        <v>97</v>
      </c>
      <c r="K34" s="97" t="s">
        <v>2908</v>
      </c>
      <c r="L34" s="63" t="s">
        <v>2909</v>
      </c>
    </row>
    <row r="35" spans="1:12" s="4" customFormat="1" ht="43.5" customHeight="1" x14ac:dyDescent="0.25">
      <c r="A35" s="362" t="s">
        <v>324</v>
      </c>
      <c r="B35" s="363">
        <f>VLOOKUP(Table2456[[#This Row],[Location 
(drop-down)]],'List source'!D$2:E$59,2,FALSE)</f>
        <v>170</v>
      </c>
      <c r="C35" s="364" t="s">
        <v>127</v>
      </c>
      <c r="D35" s="220" t="str">
        <f t="shared" si="1"/>
        <v>CAF034-170-23</v>
      </c>
      <c r="E35" s="220" t="str">
        <f>VLOOKUP(Table2456[[#This Row],[Location 
(drop-down)]],Table1[#All],3,FALSE)</f>
        <v>SE &amp; Caribbean</v>
      </c>
      <c r="F35" s="365">
        <v>45257</v>
      </c>
      <c r="G35" s="47" t="s">
        <v>2299</v>
      </c>
      <c r="H35" s="47">
        <v>45342</v>
      </c>
      <c r="I35" s="107" t="s">
        <v>1880</v>
      </c>
      <c r="J35" s="10" t="s">
        <v>2848</v>
      </c>
      <c r="K35" s="10" t="s">
        <v>2910</v>
      </c>
      <c r="L35" s="10" t="s">
        <v>2911</v>
      </c>
    </row>
    <row r="36" spans="1:12" s="4" customFormat="1" ht="30" customHeight="1" x14ac:dyDescent="0.25">
      <c r="A36" s="9"/>
      <c r="B36" s="13" t="e">
        <f>VLOOKUP(Table2456[[#This Row],[Location 
(drop-down)]],'List source'!D$2:E$59,2,FALSE)</f>
        <v>#N/A</v>
      </c>
      <c r="C36" s="25" t="s">
        <v>132</v>
      </c>
      <c r="D36" s="33" t="e">
        <f t="shared" si="1"/>
        <v>#N/A</v>
      </c>
      <c r="E36" s="33" t="e">
        <f>VLOOKUP(Table2456[[#This Row],[Location 
(drop-down)]],Table1[#All],3,FALSE)</f>
        <v>#N/A</v>
      </c>
      <c r="F36" s="47"/>
      <c r="G36" s="47"/>
      <c r="H36" s="47"/>
      <c r="I36" s="65"/>
      <c r="J36" s="10"/>
      <c r="K36" s="97"/>
      <c r="L36" s="63"/>
    </row>
    <row r="37" spans="1:12" s="4" customFormat="1" ht="30" customHeight="1" x14ac:dyDescent="0.25">
      <c r="A37" s="9"/>
      <c r="B37" s="13" t="e">
        <f>VLOOKUP(Table2456[[#This Row],[Location 
(drop-down)]],'List source'!D$2:E$59,2,FALSE)</f>
        <v>#N/A</v>
      </c>
      <c r="C37" s="25" t="s">
        <v>134</v>
      </c>
      <c r="D37" s="33" t="e">
        <f t="shared" si="1"/>
        <v>#N/A</v>
      </c>
      <c r="E37" s="33" t="e">
        <f>VLOOKUP(Table2456[[#This Row],[Location 
(drop-down)]],Table1[#All],3,FALSE)</f>
        <v>#N/A</v>
      </c>
      <c r="F37" s="65"/>
      <c r="G37" s="65"/>
      <c r="H37" s="65"/>
      <c r="I37" s="65"/>
      <c r="J37" s="10"/>
      <c r="K37" s="10"/>
      <c r="L37" s="10"/>
    </row>
    <row r="38" spans="1:12" s="4" customFormat="1" ht="30" customHeight="1" x14ac:dyDescent="0.25">
      <c r="A38" s="9"/>
      <c r="B38" s="13" t="e">
        <f>VLOOKUP(Table2456[[#This Row],[Location 
(drop-down)]],'List source'!D$2:E$59,2,FALSE)</f>
        <v>#N/A</v>
      </c>
      <c r="C38" s="25" t="s">
        <v>137</v>
      </c>
      <c r="D38" s="33" t="e">
        <f t="shared" si="1"/>
        <v>#N/A</v>
      </c>
      <c r="E38" s="33" t="e">
        <f>VLOOKUP(Table2456[[#This Row],[Location 
(drop-down)]],Table1[#All],3,FALSE)</f>
        <v>#N/A</v>
      </c>
      <c r="F38" s="47"/>
      <c r="G38" s="47"/>
      <c r="H38" s="47"/>
      <c r="I38" s="65"/>
      <c r="J38" s="110"/>
      <c r="K38" s="125"/>
      <c r="L38" s="63"/>
    </row>
    <row r="39" spans="1:12" s="4" customFormat="1" ht="30" customHeight="1" x14ac:dyDescent="0.25">
      <c r="A39" s="9"/>
      <c r="B39" s="13" t="e">
        <f>VLOOKUP(Table2456[[#This Row],[Location 
(drop-down)]],'List source'!D$2:E$59,2,FALSE)</f>
        <v>#N/A</v>
      </c>
      <c r="C39" s="25" t="s">
        <v>141</v>
      </c>
      <c r="D39" s="33" t="e">
        <f t="shared" si="1"/>
        <v>#N/A</v>
      </c>
      <c r="E39" s="33" t="e">
        <f>VLOOKUP(Table2456[[#This Row],[Location 
(drop-down)]],Table1[#All],3,FALSE)</f>
        <v>#N/A</v>
      </c>
      <c r="F39" s="47"/>
      <c r="G39" s="47"/>
      <c r="H39" s="47"/>
      <c r="I39" s="47"/>
      <c r="J39" s="110"/>
      <c r="K39" s="110"/>
      <c r="L39" s="110"/>
    </row>
    <row r="40" spans="1:12" s="4" customFormat="1" ht="30" customHeight="1" x14ac:dyDescent="0.25">
      <c r="A40" s="9"/>
      <c r="B40" s="13" t="e">
        <f>VLOOKUP(Table2456[[#This Row],[Location 
(drop-down)]],'List source'!D$2:E$59,2,FALSE)</f>
        <v>#N/A</v>
      </c>
      <c r="C40" s="25" t="s">
        <v>145</v>
      </c>
      <c r="D40" s="33" t="e">
        <f t="shared" si="1"/>
        <v>#N/A</v>
      </c>
      <c r="E40" s="33" t="e">
        <f>VLOOKUP(Table2456[[#This Row],[Location 
(drop-down)]],Table1[#All],3,FALSE)</f>
        <v>#N/A</v>
      </c>
      <c r="F40" s="47"/>
      <c r="G40" s="47"/>
      <c r="H40" s="47"/>
      <c r="I40" s="47"/>
      <c r="J40" s="110"/>
      <c r="K40" s="104"/>
      <c r="L40" s="99"/>
    </row>
    <row r="41" spans="1:12" s="4" customFormat="1" ht="30" customHeight="1" x14ac:dyDescent="0.25">
      <c r="A41" s="9"/>
      <c r="B41" s="13" t="e">
        <f>VLOOKUP(Table2456[[#This Row],[Location 
(drop-down)]],'List source'!D$2:E$59,2,FALSE)</f>
        <v>#N/A</v>
      </c>
      <c r="C41" s="25" t="s">
        <v>150</v>
      </c>
      <c r="D41" s="33" t="e">
        <f t="shared" si="1"/>
        <v>#N/A</v>
      </c>
      <c r="E41" s="33" t="e">
        <f>VLOOKUP(Table2456[[#This Row],[Location 
(drop-down)]],Table1[#All],3,FALSE)</f>
        <v>#N/A</v>
      </c>
      <c r="F41" s="47"/>
      <c r="G41" s="47"/>
      <c r="H41" s="47"/>
      <c r="I41" s="47"/>
      <c r="J41" s="110"/>
      <c r="K41" s="104"/>
      <c r="L41" s="99"/>
    </row>
    <row r="42" spans="1:12" s="4" customFormat="1" ht="30" customHeight="1" x14ac:dyDescent="0.25">
      <c r="A42" s="9"/>
      <c r="B42" s="13" t="e">
        <f>VLOOKUP(Table2456[[#This Row],[Location 
(drop-down)]],'List source'!D$2:E$59,2,FALSE)</f>
        <v>#N/A</v>
      </c>
      <c r="C42" s="25" t="s">
        <v>154</v>
      </c>
      <c r="D42" s="33" t="e">
        <f t="shared" si="1"/>
        <v>#N/A</v>
      </c>
      <c r="E42" s="33" t="e">
        <f>VLOOKUP(Table2456[[#This Row],[Location 
(drop-down)]],Table1[#All],3,FALSE)</f>
        <v>#N/A</v>
      </c>
      <c r="F42" s="47"/>
      <c r="G42" s="47"/>
      <c r="H42" s="47"/>
      <c r="I42" s="47"/>
      <c r="J42" s="110"/>
      <c r="K42" s="110"/>
      <c r="L42" s="110"/>
    </row>
    <row r="43" spans="1:12" s="4" customFormat="1" ht="30" customHeight="1" x14ac:dyDescent="0.25">
      <c r="A43" s="9"/>
      <c r="B43" s="13" t="e">
        <f>VLOOKUP(Table2456[[#This Row],[Location 
(drop-down)]],'List source'!D$2:E$59,2,FALSE)</f>
        <v>#N/A</v>
      </c>
      <c r="C43" s="25" t="s">
        <v>158</v>
      </c>
      <c r="D43" s="33" t="e">
        <f t="shared" si="1"/>
        <v>#N/A</v>
      </c>
      <c r="E43" s="33" t="e">
        <f>VLOOKUP(Table2456[[#This Row],[Location 
(drop-down)]],Table1[#All],3,FALSE)</f>
        <v>#N/A</v>
      </c>
      <c r="F43" s="47"/>
      <c r="G43" s="47"/>
      <c r="H43" s="47"/>
      <c r="I43" s="47"/>
      <c r="J43" s="110"/>
      <c r="K43" s="110"/>
      <c r="L43" s="97"/>
    </row>
    <row r="44" spans="1:12" s="4" customFormat="1" ht="30" customHeight="1" x14ac:dyDescent="0.25">
      <c r="A44" s="9"/>
      <c r="B44" s="13" t="e">
        <f>VLOOKUP(Table2456[[#This Row],[Location 
(drop-down)]],'List source'!D$2:E$59,2,FALSE)</f>
        <v>#N/A</v>
      </c>
      <c r="C44" s="25" t="s">
        <v>162</v>
      </c>
      <c r="D44" s="33" t="e">
        <f t="shared" si="1"/>
        <v>#N/A</v>
      </c>
      <c r="E44" s="33" t="e">
        <f>VLOOKUP(Table2456[[#This Row],[Location 
(drop-down)]],Table1[#All],3,FALSE)</f>
        <v>#N/A</v>
      </c>
      <c r="F44" s="47"/>
      <c r="G44" s="47"/>
      <c r="H44" s="47"/>
      <c r="I44" s="47"/>
      <c r="J44" s="110"/>
      <c r="K44" s="110"/>
      <c r="L44" s="110"/>
    </row>
    <row r="45" spans="1:12" s="4" customFormat="1" ht="30" customHeight="1" x14ac:dyDescent="0.25">
      <c r="A45" s="9"/>
      <c r="B45" s="13" t="e">
        <f>VLOOKUP(Table2456[[#This Row],[Location 
(drop-down)]],'List source'!D$2:E$59,2,FALSE)</f>
        <v>#N/A</v>
      </c>
      <c r="C45" s="25" t="s">
        <v>164</v>
      </c>
      <c r="D45" s="33" t="e">
        <f t="shared" si="1"/>
        <v>#N/A</v>
      </c>
      <c r="E45" s="33" t="e">
        <f>VLOOKUP(Table2456[[#This Row],[Location 
(drop-down)]],Table1[#All],3,FALSE)</f>
        <v>#N/A</v>
      </c>
      <c r="F45" s="47"/>
      <c r="G45" s="47"/>
      <c r="H45" s="47"/>
      <c r="I45" s="47"/>
      <c r="J45" s="110"/>
      <c r="K45" s="104"/>
      <c r="L45" s="99"/>
    </row>
    <row r="46" spans="1:12" s="4" customFormat="1" ht="30" customHeight="1" x14ac:dyDescent="0.25">
      <c r="A46" s="9"/>
      <c r="B46" s="13" t="e">
        <f>VLOOKUP(Table2456[[#This Row],[Location 
(drop-down)]],'List source'!D$2:E$59,2,FALSE)</f>
        <v>#N/A</v>
      </c>
      <c r="C46" s="25" t="s">
        <v>166</v>
      </c>
      <c r="D46" s="33" t="e">
        <f t="shared" si="1"/>
        <v>#N/A</v>
      </c>
      <c r="E46" s="33" t="e">
        <f>VLOOKUP(Table2456[[#This Row],[Location 
(drop-down)]],Table1[#All],3,FALSE)</f>
        <v>#N/A</v>
      </c>
      <c r="F46" s="47"/>
      <c r="G46" s="47"/>
      <c r="H46" s="47"/>
      <c r="I46" s="47"/>
      <c r="J46" s="110"/>
      <c r="K46" s="104"/>
      <c r="L46" s="99"/>
    </row>
    <row r="47" spans="1:12" s="4" customFormat="1" ht="30" customHeight="1" x14ac:dyDescent="0.25">
      <c r="A47" s="9"/>
      <c r="B47" s="13" t="e">
        <f>VLOOKUP(Table2456[[#This Row],[Location 
(drop-down)]],'List source'!D$2:E$59,2,FALSE)</f>
        <v>#N/A</v>
      </c>
      <c r="C47" s="25" t="s">
        <v>169</v>
      </c>
      <c r="D47" s="33" t="e">
        <f t="shared" si="1"/>
        <v>#N/A</v>
      </c>
      <c r="E47" s="33" t="e">
        <f>VLOOKUP(Table2456[[#This Row],[Location 
(drop-down)]],Table1[#All],3,FALSE)</f>
        <v>#N/A</v>
      </c>
      <c r="F47" s="47"/>
      <c r="G47" s="47"/>
      <c r="H47" s="47"/>
      <c r="I47" s="47"/>
      <c r="J47" s="110"/>
      <c r="K47" s="110"/>
      <c r="L47" s="110"/>
    </row>
    <row r="48" spans="1:12" s="4" customFormat="1" ht="30" customHeight="1" x14ac:dyDescent="0.25">
      <c r="A48" s="9"/>
      <c r="B48" s="13" t="e">
        <f>VLOOKUP(Table2456[[#This Row],[Location 
(drop-down)]],'List source'!D$2:E$59,2,FALSE)</f>
        <v>#N/A</v>
      </c>
      <c r="C48" s="25" t="s">
        <v>172</v>
      </c>
      <c r="D48" s="33" t="e">
        <f t="shared" si="1"/>
        <v>#N/A</v>
      </c>
      <c r="E48" s="33" t="e">
        <f>VLOOKUP(Table2456[[#This Row],[Location 
(drop-down)]],Table1[#All],3,FALSE)</f>
        <v>#N/A</v>
      </c>
      <c r="F48" s="47"/>
      <c r="G48" s="47"/>
      <c r="H48" s="47"/>
      <c r="I48" s="65"/>
      <c r="J48" s="110"/>
      <c r="K48" s="110"/>
      <c r="L48" s="110"/>
    </row>
    <row r="49" spans="1:12" s="4" customFormat="1" ht="30" customHeight="1" x14ac:dyDescent="0.25">
      <c r="A49" s="9"/>
      <c r="B49" s="13" t="e">
        <f>VLOOKUP(Table2456[[#This Row],[Location 
(drop-down)]],'List source'!D$2:E$59,2,FALSE)</f>
        <v>#N/A</v>
      </c>
      <c r="C49" s="25" t="s">
        <v>175</v>
      </c>
      <c r="D49" s="33" t="e">
        <f t="shared" si="1"/>
        <v>#N/A</v>
      </c>
      <c r="E49" s="33" t="e">
        <f>VLOOKUP(Table2456[[#This Row],[Location 
(drop-down)]],Table1[#All],3,FALSE)</f>
        <v>#N/A</v>
      </c>
      <c r="F49" s="47"/>
      <c r="G49" s="47"/>
      <c r="H49" s="47"/>
      <c r="I49" s="65"/>
      <c r="J49" s="110"/>
      <c r="K49" s="104"/>
      <c r="L49" s="99"/>
    </row>
    <row r="50" spans="1:12" s="4" customFormat="1" ht="30" customHeight="1" x14ac:dyDescent="0.25">
      <c r="A50" s="9"/>
      <c r="B50" s="13" t="e">
        <f>VLOOKUP(Table2456[[#This Row],[Location 
(drop-down)]],'List source'!D$2:E$59,2,FALSE)</f>
        <v>#N/A</v>
      </c>
      <c r="C50" s="25" t="s">
        <v>179</v>
      </c>
      <c r="D50" s="33" t="e">
        <f t="shared" si="1"/>
        <v>#N/A</v>
      </c>
      <c r="E50" s="33" t="e">
        <f>VLOOKUP(Table2456[[#This Row],[Location 
(drop-down)]],Table1[#All],3,FALSE)</f>
        <v>#N/A</v>
      </c>
      <c r="F50" s="47"/>
      <c r="G50" s="47"/>
      <c r="H50" s="47"/>
      <c r="I50" s="65"/>
      <c r="J50" s="110"/>
      <c r="K50" s="104"/>
      <c r="L50" s="99"/>
    </row>
    <row r="51" spans="1:12" s="4" customFormat="1" ht="30" customHeight="1" x14ac:dyDescent="0.25">
      <c r="A51" s="9"/>
      <c r="B51" s="13" t="e">
        <f>VLOOKUP(Table2456[[#This Row],[Location 
(drop-down)]],'List source'!D$2:E$59,2,FALSE)</f>
        <v>#N/A</v>
      </c>
      <c r="C51" s="25" t="s">
        <v>181</v>
      </c>
      <c r="D51" s="33" t="e">
        <f t="shared" si="1"/>
        <v>#N/A</v>
      </c>
      <c r="E51" s="33" t="e">
        <f>VLOOKUP(Table2456[[#This Row],[Location 
(drop-down)]],Table1[#All],3,FALSE)</f>
        <v>#N/A</v>
      </c>
      <c r="F51" s="47"/>
      <c r="G51" s="47"/>
      <c r="H51" s="47"/>
      <c r="I51" s="47"/>
      <c r="J51" s="110"/>
      <c r="K51" s="110"/>
      <c r="L51" s="110"/>
    </row>
    <row r="52" spans="1:12" s="4" customFormat="1" ht="30" customHeight="1" x14ac:dyDescent="0.25">
      <c r="A52" s="9"/>
      <c r="B52" s="13" t="e">
        <f>VLOOKUP(Table2456[[#This Row],[Location 
(drop-down)]],'List source'!D$2:E$59,2,FALSE)</f>
        <v>#N/A</v>
      </c>
      <c r="C52" s="25" t="s">
        <v>183</v>
      </c>
      <c r="D52" s="33" t="e">
        <f t="shared" si="1"/>
        <v>#N/A</v>
      </c>
      <c r="E52" s="33" t="e">
        <f>VLOOKUP(Table2456[[#This Row],[Location 
(drop-down)]],Table1[#All],3,FALSE)</f>
        <v>#N/A</v>
      </c>
      <c r="F52" s="47"/>
      <c r="G52" s="47"/>
      <c r="H52" s="47"/>
      <c r="I52" s="65"/>
      <c r="J52" s="110"/>
      <c r="K52" s="104"/>
      <c r="L52" s="99"/>
    </row>
    <row r="53" spans="1:12" s="4" customFormat="1" ht="30" customHeight="1" x14ac:dyDescent="0.25">
      <c r="A53" s="9"/>
      <c r="B53" s="13" t="e">
        <f>VLOOKUP(Table2456[[#This Row],[Location 
(drop-down)]],'List source'!D$2:E$59,2,FALSE)</f>
        <v>#N/A</v>
      </c>
      <c r="C53" s="25" t="s">
        <v>187</v>
      </c>
      <c r="D53" s="33" t="e">
        <f t="shared" si="1"/>
        <v>#N/A</v>
      </c>
      <c r="E53" s="33" t="e">
        <f>VLOOKUP(Table2456[[#This Row],[Location 
(drop-down)]],Table1[#All],3,FALSE)</f>
        <v>#N/A</v>
      </c>
      <c r="F53" s="65"/>
      <c r="G53" s="65"/>
      <c r="H53" s="65"/>
      <c r="I53" s="65"/>
      <c r="J53" s="110"/>
      <c r="K53" s="104"/>
      <c r="L53" s="99"/>
    </row>
    <row r="54" spans="1:12" s="4" customFormat="1" ht="30" customHeight="1" x14ac:dyDescent="0.25">
      <c r="A54" s="9"/>
      <c r="B54" s="13" t="e">
        <f>VLOOKUP(Table2456[[#This Row],[Location 
(drop-down)]],'List source'!D$2:E$59,2,FALSE)</f>
        <v>#N/A</v>
      </c>
      <c r="C54" s="25" t="s">
        <v>191</v>
      </c>
      <c r="D54" s="33" t="e">
        <f t="shared" si="1"/>
        <v>#N/A</v>
      </c>
      <c r="E54" s="33" t="e">
        <f>VLOOKUP(Table2456[[#This Row],[Location 
(drop-down)]],Table1[#All],3,FALSE)</f>
        <v>#N/A</v>
      </c>
      <c r="F54" s="65"/>
      <c r="G54" s="65"/>
      <c r="H54" s="65"/>
      <c r="I54" s="47"/>
      <c r="J54" s="110"/>
      <c r="K54" s="110"/>
      <c r="L54" s="110"/>
    </row>
    <row r="55" spans="1:12" s="4" customFormat="1" ht="30" customHeight="1" x14ac:dyDescent="0.25">
      <c r="A55" s="9"/>
      <c r="B55" s="13" t="e">
        <f>VLOOKUP(Table2456[[#This Row],[Location 
(drop-down)]],'List source'!D$2:E$59,2,FALSE)</f>
        <v>#N/A</v>
      </c>
      <c r="C55" s="25" t="s">
        <v>194</v>
      </c>
      <c r="D55" s="33" t="e">
        <f t="shared" si="1"/>
        <v>#N/A</v>
      </c>
      <c r="E55" s="33" t="e">
        <f>VLOOKUP(Table2456[[#This Row],[Location 
(drop-down)]],Table1[#All],3,FALSE)</f>
        <v>#N/A</v>
      </c>
      <c r="F55" s="65"/>
      <c r="G55" s="65"/>
      <c r="H55" s="65"/>
      <c r="I55" s="47"/>
      <c r="J55" s="10"/>
      <c r="K55" s="10"/>
      <c r="L55" s="10"/>
    </row>
    <row r="56" spans="1:12" s="4" customFormat="1" ht="30" customHeight="1" x14ac:dyDescent="0.25">
      <c r="A56" s="9"/>
      <c r="B56" s="13" t="e">
        <f>VLOOKUP(Table2456[[#This Row],[Location 
(drop-down)]],'List source'!D$2:E$59,2,FALSE)</f>
        <v>#N/A</v>
      </c>
      <c r="C56" s="25" t="s">
        <v>195</v>
      </c>
      <c r="D56" s="33" t="e">
        <f t="shared" si="1"/>
        <v>#N/A</v>
      </c>
      <c r="E56" s="33" t="e">
        <f>VLOOKUP(Table2456[[#This Row],[Location 
(drop-down)]],Table1[#All],3,FALSE)</f>
        <v>#N/A</v>
      </c>
      <c r="F56" s="65"/>
      <c r="G56" s="65"/>
      <c r="H56" s="65"/>
      <c r="I56" s="47"/>
      <c r="J56" s="10"/>
      <c r="K56" s="10"/>
      <c r="L56" s="10"/>
    </row>
    <row r="57" spans="1:12" s="4" customFormat="1" ht="30" customHeight="1" x14ac:dyDescent="0.25">
      <c r="A57" s="9"/>
      <c r="B57" s="13" t="e">
        <f>VLOOKUP(Table2456[[#This Row],[Location 
(drop-down)]],'List source'!D$2:E$59,2,FALSE)</f>
        <v>#N/A</v>
      </c>
      <c r="C57" s="25" t="s">
        <v>200</v>
      </c>
      <c r="D57" s="33" t="e">
        <f t="shared" si="1"/>
        <v>#N/A</v>
      </c>
      <c r="E57" s="33" t="e">
        <f>VLOOKUP(Table2456[[#This Row],[Location 
(drop-down)]],Table1[#All],3,FALSE)</f>
        <v>#N/A</v>
      </c>
      <c r="F57" s="65"/>
      <c r="G57" s="65"/>
      <c r="H57" s="65"/>
      <c r="I57" s="47"/>
      <c r="J57" s="10"/>
      <c r="K57" s="10"/>
      <c r="L57" s="10"/>
    </row>
    <row r="58" spans="1:12" s="4" customFormat="1" ht="30" customHeight="1" x14ac:dyDescent="0.25">
      <c r="A58" s="9"/>
      <c r="B58" s="13" t="e">
        <f>VLOOKUP(Table2456[[#This Row],[Location 
(drop-down)]],'List source'!D$2:E$59,2,FALSE)</f>
        <v>#N/A</v>
      </c>
      <c r="C58" s="25" t="s">
        <v>203</v>
      </c>
      <c r="D58" s="33" t="e">
        <f t="shared" si="1"/>
        <v>#N/A</v>
      </c>
      <c r="E58" s="33" t="e">
        <f>VLOOKUP(Table2456[[#This Row],[Location 
(drop-down)]],Table1[#All],3,FALSE)</f>
        <v>#N/A</v>
      </c>
      <c r="F58" s="65"/>
      <c r="G58" s="65"/>
      <c r="H58" s="65"/>
      <c r="I58" s="47"/>
      <c r="J58" s="10"/>
      <c r="K58" s="10"/>
      <c r="L58" s="10"/>
    </row>
    <row r="59" spans="1:12" s="4" customFormat="1" ht="30" customHeight="1" x14ac:dyDescent="0.25">
      <c r="A59" s="9"/>
      <c r="B59" s="13" t="e">
        <f>VLOOKUP(Table2456[[#This Row],[Location 
(drop-down)]],'List source'!D$2:E$59,2,FALSE)</f>
        <v>#N/A</v>
      </c>
      <c r="C59" s="25" t="s">
        <v>206</v>
      </c>
      <c r="D59" s="33" t="e">
        <f t="shared" si="1"/>
        <v>#N/A</v>
      </c>
      <c r="E59" s="33" t="e">
        <f>VLOOKUP(Table2456[[#This Row],[Location 
(drop-down)]],Table1[#All],3,FALSE)</f>
        <v>#N/A</v>
      </c>
      <c r="F59" s="65"/>
      <c r="G59" s="65"/>
      <c r="H59" s="65"/>
      <c r="I59" s="47"/>
      <c r="J59" s="10"/>
      <c r="K59" s="10"/>
      <c r="L59" s="10"/>
    </row>
    <row r="60" spans="1:12" s="4" customFormat="1" ht="30" customHeight="1" x14ac:dyDescent="0.25">
      <c r="A60" s="9"/>
      <c r="B60" s="13" t="e">
        <f>VLOOKUP(Table2456[[#This Row],[Location 
(drop-down)]],'List source'!D$2:E$59,2,FALSE)</f>
        <v>#N/A</v>
      </c>
      <c r="C60" s="25" t="s">
        <v>209</v>
      </c>
      <c r="D60" s="33" t="e">
        <f t="shared" si="1"/>
        <v>#N/A</v>
      </c>
      <c r="E60" s="33" t="e">
        <f>VLOOKUP(Table2456[[#This Row],[Location 
(drop-down)]],Table1[#All],3,FALSE)</f>
        <v>#N/A</v>
      </c>
      <c r="F60" s="65"/>
      <c r="G60" s="65"/>
      <c r="H60" s="65"/>
      <c r="I60" s="65"/>
      <c r="J60" s="10"/>
      <c r="K60" s="10"/>
      <c r="L60" s="10"/>
    </row>
    <row r="61" spans="1:12" s="4" customFormat="1" ht="30" customHeight="1" x14ac:dyDescent="0.25">
      <c r="A61" s="9"/>
      <c r="B61" s="13" t="e">
        <f>VLOOKUP(Table2456[[#This Row],[Location 
(drop-down)]],'List source'!D$2:E$59,2,FALSE)</f>
        <v>#N/A</v>
      </c>
      <c r="C61" s="25" t="s">
        <v>212</v>
      </c>
      <c r="D61" s="33" t="e">
        <f t="shared" si="1"/>
        <v>#N/A</v>
      </c>
      <c r="E61" s="33" t="e">
        <f>VLOOKUP(Table2456[[#This Row],[Location 
(drop-down)]],Table1[#All],3,FALSE)</f>
        <v>#N/A</v>
      </c>
      <c r="F61" s="65"/>
      <c r="G61" s="65"/>
      <c r="H61" s="65"/>
      <c r="I61" s="65"/>
      <c r="J61" s="10"/>
      <c r="K61" s="10"/>
      <c r="L61" s="10"/>
    </row>
    <row r="62" spans="1:12" s="4" customFormat="1" ht="30" customHeight="1" x14ac:dyDescent="0.25">
      <c r="A62" s="9"/>
      <c r="B62" s="13" t="e">
        <f>VLOOKUP(Table2456[[#This Row],[Location 
(drop-down)]],'List source'!D$2:E$59,2,FALSE)</f>
        <v>#N/A</v>
      </c>
      <c r="C62" s="25" t="s">
        <v>214</v>
      </c>
      <c r="D62" s="33" t="e">
        <f t="shared" si="1"/>
        <v>#N/A</v>
      </c>
      <c r="E62" s="33" t="e">
        <f>VLOOKUP(Table2456[[#This Row],[Location 
(drop-down)]],Table1[#All],3,FALSE)</f>
        <v>#N/A</v>
      </c>
      <c r="F62" s="65"/>
      <c r="G62" s="65"/>
      <c r="H62" s="65"/>
      <c r="I62" s="65"/>
      <c r="J62" s="10"/>
      <c r="K62" s="10"/>
      <c r="L62" s="10"/>
    </row>
    <row r="63" spans="1:12" s="4" customFormat="1" ht="30" customHeight="1" x14ac:dyDescent="0.25">
      <c r="A63" s="9"/>
      <c r="B63" s="13" t="e">
        <f>VLOOKUP(Table2456[[#This Row],[Location 
(drop-down)]],'List source'!D$2:E$59,2,FALSE)</f>
        <v>#N/A</v>
      </c>
      <c r="C63" s="25" t="s">
        <v>217</v>
      </c>
      <c r="D63" s="33" t="e">
        <f t="shared" si="1"/>
        <v>#N/A</v>
      </c>
      <c r="E63" s="33" t="e">
        <f>VLOOKUP(Table2456[[#This Row],[Location 
(drop-down)]],Table1[#All],3,FALSE)</f>
        <v>#N/A</v>
      </c>
      <c r="F63" s="65"/>
      <c r="G63" s="65"/>
      <c r="H63" s="65"/>
      <c r="I63" s="65"/>
      <c r="J63" s="10"/>
      <c r="K63" s="10"/>
      <c r="L63" s="10"/>
    </row>
    <row r="64" spans="1:12" s="4" customFormat="1" ht="30" customHeight="1" x14ac:dyDescent="0.25">
      <c r="A64" s="9"/>
      <c r="B64" s="13" t="e">
        <f>VLOOKUP(Table2456[[#This Row],[Location 
(drop-down)]],'List source'!D$2:E$59,2,FALSE)</f>
        <v>#N/A</v>
      </c>
      <c r="C64" s="25" t="s">
        <v>220</v>
      </c>
      <c r="D64" s="33" t="e">
        <f t="shared" si="1"/>
        <v>#N/A</v>
      </c>
      <c r="E64" s="33" t="e">
        <f>VLOOKUP(Table2456[[#This Row],[Location 
(drop-down)]],Table1[#All],3,FALSE)</f>
        <v>#N/A</v>
      </c>
      <c r="F64" s="65"/>
      <c r="G64" s="65"/>
      <c r="H64" s="65"/>
      <c r="I64" s="65"/>
      <c r="J64" s="10"/>
      <c r="K64" s="10"/>
      <c r="L64" s="10"/>
    </row>
    <row r="65" spans="1:12" s="4" customFormat="1" ht="30" customHeight="1" x14ac:dyDescent="0.25">
      <c r="A65" s="9"/>
      <c r="B65" s="13" t="e">
        <f>VLOOKUP(Table2456[[#This Row],[Location 
(drop-down)]],'List source'!D$2:E$59,2,FALSE)</f>
        <v>#N/A</v>
      </c>
      <c r="C65" s="25" t="s">
        <v>222</v>
      </c>
      <c r="D65" s="33" t="e">
        <f t="shared" si="1"/>
        <v>#N/A</v>
      </c>
      <c r="E65" s="33" t="e">
        <f>VLOOKUP(Table2456[[#This Row],[Location 
(drop-down)]],Table1[#All],3,FALSE)</f>
        <v>#N/A</v>
      </c>
      <c r="F65" s="65"/>
      <c r="G65" s="65"/>
      <c r="H65" s="65"/>
      <c r="I65" s="65"/>
      <c r="J65" s="10"/>
      <c r="K65" s="10"/>
      <c r="L65" s="10"/>
    </row>
    <row r="66" spans="1:12" s="4" customFormat="1" ht="30" customHeight="1" x14ac:dyDescent="0.25">
      <c r="A66" s="9"/>
      <c r="B66" s="13" t="e">
        <f>VLOOKUP(Table2456[[#This Row],[Location 
(drop-down)]],'List source'!D$2:E$59,2,FALSE)</f>
        <v>#N/A</v>
      </c>
      <c r="C66" s="25" t="s">
        <v>224</v>
      </c>
      <c r="D66" s="33" t="e">
        <f t="shared" ref="D66:D97" si="2">"CAF" &amp; C66 &amp; "-" &amp; B66 &amp; "-" &amp; "23"</f>
        <v>#N/A</v>
      </c>
      <c r="E66" s="33" t="e">
        <f>VLOOKUP(Table2456[[#This Row],[Location 
(drop-down)]],Table1[#All],3,FALSE)</f>
        <v>#N/A</v>
      </c>
      <c r="F66" s="65"/>
      <c r="G66" s="65"/>
      <c r="H66" s="65"/>
      <c r="I66" s="65"/>
      <c r="J66" s="10"/>
      <c r="K66" s="10"/>
      <c r="L66" s="10"/>
    </row>
    <row r="67" spans="1:12" s="4" customFormat="1" ht="30" customHeight="1" x14ac:dyDescent="0.25">
      <c r="A67" s="9"/>
      <c r="B67" s="13" t="e">
        <f>VLOOKUP(Table2456[[#This Row],[Location 
(drop-down)]],'List source'!D$2:E$59,2,FALSE)</f>
        <v>#N/A</v>
      </c>
      <c r="C67" s="25" t="s">
        <v>227</v>
      </c>
      <c r="D67" s="33" t="e">
        <f t="shared" si="2"/>
        <v>#N/A</v>
      </c>
      <c r="E67" s="33" t="e">
        <f>VLOOKUP(Table2456[[#This Row],[Location 
(drop-down)]],Table1[#All],3,FALSE)</f>
        <v>#N/A</v>
      </c>
      <c r="F67" s="65"/>
      <c r="G67" s="65"/>
      <c r="H67" s="65"/>
      <c r="I67" s="65"/>
      <c r="J67" s="10"/>
      <c r="K67" s="10"/>
      <c r="L67" s="10"/>
    </row>
    <row r="68" spans="1:12" s="4" customFormat="1" ht="30" customHeight="1" x14ac:dyDescent="0.25">
      <c r="A68" s="9"/>
      <c r="B68" s="13" t="e">
        <f>VLOOKUP(Table2456[[#This Row],[Location 
(drop-down)]],'List source'!D$2:E$59,2,FALSE)</f>
        <v>#N/A</v>
      </c>
      <c r="C68" s="25" t="s">
        <v>229</v>
      </c>
      <c r="D68" s="33" t="e">
        <f t="shared" si="2"/>
        <v>#N/A</v>
      </c>
      <c r="E68" s="33" t="e">
        <f>VLOOKUP(Table2456[[#This Row],[Location 
(drop-down)]],Table1[#All],3,FALSE)</f>
        <v>#N/A</v>
      </c>
      <c r="F68" s="47"/>
      <c r="G68" s="47"/>
      <c r="H68" s="47"/>
      <c r="I68" s="47"/>
      <c r="J68" s="10"/>
      <c r="K68" s="10"/>
      <c r="L68" s="10"/>
    </row>
    <row r="69" spans="1:12" s="4" customFormat="1" ht="30" customHeight="1" x14ac:dyDescent="0.25">
      <c r="A69" s="9"/>
      <c r="B69" s="13" t="e">
        <f>VLOOKUP(Table2456[[#This Row],[Location 
(drop-down)]],'List source'!D$2:E$59,2,FALSE)</f>
        <v>#N/A</v>
      </c>
      <c r="C69" s="25" t="s">
        <v>232</v>
      </c>
      <c r="D69" s="33" t="e">
        <f t="shared" si="2"/>
        <v>#N/A</v>
      </c>
      <c r="E69" s="33" t="e">
        <f>VLOOKUP(Table2456[[#This Row],[Location 
(drop-down)]],Table1[#All],3,FALSE)</f>
        <v>#N/A</v>
      </c>
      <c r="F69" s="47"/>
      <c r="G69" s="47"/>
      <c r="H69" s="47"/>
      <c r="I69" s="47"/>
      <c r="J69" s="10"/>
      <c r="K69" s="104"/>
      <c r="L69" s="99"/>
    </row>
    <row r="70" spans="1:12" s="4" customFormat="1" ht="30" customHeight="1" x14ac:dyDescent="0.25">
      <c r="A70" s="9"/>
      <c r="B70" s="13" t="e">
        <f>VLOOKUP(Table2456[[#This Row],[Location 
(drop-down)]],'List source'!D$2:E$59,2,FALSE)</f>
        <v>#N/A</v>
      </c>
      <c r="C70" s="25" t="s">
        <v>234</v>
      </c>
      <c r="D70" s="33" t="e">
        <f t="shared" si="2"/>
        <v>#N/A</v>
      </c>
      <c r="E70" s="33" t="e">
        <f>VLOOKUP(Table2456[[#This Row],[Location 
(drop-down)]],Table1[#All],3,FALSE)</f>
        <v>#N/A</v>
      </c>
      <c r="F70" s="47"/>
      <c r="G70" s="47"/>
      <c r="H70" s="47"/>
      <c r="I70" s="47"/>
      <c r="J70" s="10"/>
      <c r="K70" s="10"/>
      <c r="L70" s="10"/>
    </row>
    <row r="71" spans="1:12" s="4" customFormat="1" ht="30" customHeight="1" x14ac:dyDescent="0.25">
      <c r="A71" s="9"/>
      <c r="B71" s="13" t="e">
        <f>VLOOKUP(Table2456[[#This Row],[Location 
(drop-down)]],'List source'!D$2:E$59,2,FALSE)</f>
        <v>#N/A</v>
      </c>
      <c r="C71" s="25" t="s">
        <v>238</v>
      </c>
      <c r="D71" s="33" t="e">
        <f t="shared" si="2"/>
        <v>#N/A</v>
      </c>
      <c r="E71" s="33" t="e">
        <f>VLOOKUP(Table2456[[#This Row],[Location 
(drop-down)]],Table1[#All],3,FALSE)</f>
        <v>#N/A</v>
      </c>
      <c r="F71" s="47"/>
      <c r="G71" s="47"/>
      <c r="H71" s="47"/>
      <c r="I71" s="47"/>
      <c r="J71" s="10"/>
      <c r="K71" s="10"/>
      <c r="L71" s="10"/>
    </row>
    <row r="72" spans="1:12" s="4" customFormat="1" ht="30" customHeight="1" x14ac:dyDescent="0.25">
      <c r="A72" s="9"/>
      <c r="B72" s="13" t="e">
        <f>VLOOKUP(Table2456[[#This Row],[Location 
(drop-down)]],'List source'!D$2:E$59,2,FALSE)</f>
        <v>#N/A</v>
      </c>
      <c r="C72" s="25" t="s">
        <v>240</v>
      </c>
      <c r="D72" s="33" t="e">
        <f t="shared" si="2"/>
        <v>#N/A</v>
      </c>
      <c r="E72" s="33" t="e">
        <f>VLOOKUP(Table2456[[#This Row],[Location 
(drop-down)]],Table1[#All],3,FALSE)</f>
        <v>#N/A</v>
      </c>
      <c r="F72" s="47"/>
      <c r="G72" s="47"/>
      <c r="H72" s="47"/>
      <c r="I72" s="47"/>
      <c r="J72" s="10"/>
      <c r="K72" s="10"/>
      <c r="L72" s="10"/>
    </row>
    <row r="73" spans="1:12" s="4" customFormat="1" ht="30" customHeight="1" x14ac:dyDescent="0.25">
      <c r="A73" s="9"/>
      <c r="B73" s="13" t="e">
        <f>VLOOKUP(Table2456[[#This Row],[Location 
(drop-down)]],'List source'!D$2:E$59,2,FALSE)</f>
        <v>#N/A</v>
      </c>
      <c r="C73" s="25" t="s">
        <v>244</v>
      </c>
      <c r="D73" s="33" t="e">
        <f t="shared" si="2"/>
        <v>#N/A</v>
      </c>
      <c r="E73" s="33" t="e">
        <f>VLOOKUP(Table2456[[#This Row],[Location 
(drop-down)]],Table1[#All],3,FALSE)</f>
        <v>#N/A</v>
      </c>
      <c r="F73" s="47"/>
      <c r="G73" s="47"/>
      <c r="H73" s="47"/>
      <c r="I73" s="47"/>
      <c r="J73" s="10"/>
      <c r="K73" s="10"/>
      <c r="L73" s="10"/>
    </row>
    <row r="74" spans="1:12" s="4" customFormat="1" ht="30" customHeight="1" x14ac:dyDescent="0.25">
      <c r="A74" s="9"/>
      <c r="B74" s="13" t="e">
        <f>VLOOKUP(Table2456[[#This Row],[Location 
(drop-down)]],'List source'!D$2:E$59,2,FALSE)</f>
        <v>#N/A</v>
      </c>
      <c r="C74" s="25" t="s">
        <v>246</v>
      </c>
      <c r="D74" s="33" t="e">
        <f t="shared" si="2"/>
        <v>#N/A</v>
      </c>
      <c r="E74" s="33" t="e">
        <f>VLOOKUP(Table2456[[#This Row],[Location 
(drop-down)]],Table1[#All],3,FALSE)</f>
        <v>#N/A</v>
      </c>
      <c r="F74" s="47"/>
      <c r="G74" s="47"/>
      <c r="H74" s="47"/>
      <c r="I74" s="47"/>
      <c r="J74" s="10"/>
      <c r="K74" s="10"/>
      <c r="L74" s="10"/>
    </row>
    <row r="75" spans="1:12" s="4" customFormat="1" ht="30" customHeight="1" x14ac:dyDescent="0.25">
      <c r="A75" s="9"/>
      <c r="B75" s="13" t="e">
        <f>VLOOKUP(Table2456[[#This Row],[Location 
(drop-down)]],'List source'!D$2:E$59,2,FALSE)</f>
        <v>#N/A</v>
      </c>
      <c r="C75" s="25" t="s">
        <v>248</v>
      </c>
      <c r="D75" s="33" t="e">
        <f t="shared" si="2"/>
        <v>#N/A</v>
      </c>
      <c r="E75" s="33" t="e">
        <f>VLOOKUP(Table2456[[#This Row],[Location 
(drop-down)]],Table1[#All],3,FALSE)</f>
        <v>#N/A</v>
      </c>
      <c r="F75" s="65"/>
      <c r="G75" s="65"/>
      <c r="H75" s="65"/>
      <c r="I75" s="65"/>
      <c r="J75" s="10"/>
      <c r="K75" s="10"/>
      <c r="L75" s="10"/>
    </row>
    <row r="76" spans="1:12" s="4" customFormat="1" ht="30" customHeight="1" x14ac:dyDescent="0.25">
      <c r="A76" s="9"/>
      <c r="B76" s="13" t="e">
        <f>VLOOKUP(Table2456[[#This Row],[Location 
(drop-down)]],'List source'!D$2:E$59,2,FALSE)</f>
        <v>#N/A</v>
      </c>
      <c r="C76" s="25" t="s">
        <v>250</v>
      </c>
      <c r="D76" s="33" t="e">
        <f t="shared" si="2"/>
        <v>#N/A</v>
      </c>
      <c r="E76" s="33" t="e">
        <f>VLOOKUP(Table2456[[#This Row],[Location 
(drop-down)]],Table1[#All],3,FALSE)</f>
        <v>#N/A</v>
      </c>
      <c r="F76" s="47"/>
      <c r="G76" s="47"/>
      <c r="H76" s="47"/>
      <c r="I76" s="47"/>
      <c r="J76" s="10"/>
      <c r="K76" s="10"/>
      <c r="L76" s="10"/>
    </row>
    <row r="77" spans="1:12" s="4" customFormat="1" ht="30" customHeight="1" x14ac:dyDescent="0.25">
      <c r="A77" s="9"/>
      <c r="B77" s="13" t="e">
        <f>VLOOKUP(Table2456[[#This Row],[Location 
(drop-down)]],'List source'!D$2:E$59,2,FALSE)</f>
        <v>#N/A</v>
      </c>
      <c r="C77" s="25" t="s">
        <v>252</v>
      </c>
      <c r="D77" s="33" t="e">
        <f t="shared" si="2"/>
        <v>#N/A</v>
      </c>
      <c r="E77" s="33" t="e">
        <f>VLOOKUP(Table2456[[#This Row],[Location 
(drop-down)]],Table1[#All],3,FALSE)</f>
        <v>#N/A</v>
      </c>
      <c r="F77" s="47"/>
      <c r="G77" s="47"/>
      <c r="H77" s="47"/>
      <c r="I77" s="47"/>
      <c r="J77" s="10"/>
      <c r="K77" s="10"/>
      <c r="L77" s="10"/>
    </row>
    <row r="78" spans="1:12" s="4" customFormat="1" ht="30" customHeight="1" x14ac:dyDescent="0.25">
      <c r="A78" s="9"/>
      <c r="B78" s="13" t="e">
        <f>VLOOKUP(Table2456[[#This Row],[Location 
(drop-down)]],'List source'!D$2:E$59,2,FALSE)</f>
        <v>#N/A</v>
      </c>
      <c r="C78" s="25" t="s">
        <v>256</v>
      </c>
      <c r="D78" s="33" t="e">
        <f t="shared" si="2"/>
        <v>#N/A</v>
      </c>
      <c r="E78" s="33" t="e">
        <f>VLOOKUP(Table2456[[#This Row],[Location 
(drop-down)]],Table1[#All],3,FALSE)</f>
        <v>#N/A</v>
      </c>
      <c r="F78" s="65"/>
      <c r="G78" s="65"/>
      <c r="H78" s="65"/>
      <c r="I78" s="65"/>
      <c r="J78" s="10"/>
      <c r="K78" s="10"/>
      <c r="L78" s="10"/>
    </row>
    <row r="79" spans="1:12" s="4" customFormat="1" ht="30" customHeight="1" x14ac:dyDescent="0.25">
      <c r="A79" s="9"/>
      <c r="B79" s="13" t="e">
        <f>VLOOKUP(Table2456[[#This Row],[Location 
(drop-down)]],'List source'!D$2:E$59,2,FALSE)</f>
        <v>#N/A</v>
      </c>
      <c r="C79" s="25" t="s">
        <v>259</v>
      </c>
      <c r="D79" s="33" t="e">
        <f t="shared" si="2"/>
        <v>#N/A</v>
      </c>
      <c r="E79" s="33" t="e">
        <f>VLOOKUP(Table2456[[#This Row],[Location 
(drop-down)]],Table1[#All],3,FALSE)</f>
        <v>#N/A</v>
      </c>
      <c r="F79" s="65"/>
      <c r="G79" s="65"/>
      <c r="H79" s="65"/>
      <c r="I79" s="65"/>
      <c r="J79" s="10"/>
      <c r="K79" s="10"/>
      <c r="L79" s="10"/>
    </row>
    <row r="80" spans="1:12" s="4" customFormat="1" ht="30" customHeight="1" x14ac:dyDescent="0.25">
      <c r="A80" s="9"/>
      <c r="B80" s="13" t="e">
        <f>VLOOKUP(Table2456[[#This Row],[Location 
(drop-down)]],'List source'!D$2:E$59,2,FALSE)</f>
        <v>#N/A</v>
      </c>
      <c r="C80" s="25" t="s">
        <v>263</v>
      </c>
      <c r="D80" s="33" t="e">
        <f t="shared" si="2"/>
        <v>#N/A</v>
      </c>
      <c r="E80" s="33" t="e">
        <f>VLOOKUP(Table2456[[#This Row],[Location 
(drop-down)]],Table1[#All],3,FALSE)</f>
        <v>#N/A</v>
      </c>
      <c r="F80" s="47"/>
      <c r="G80" s="47"/>
      <c r="H80" s="47"/>
      <c r="I80" s="47"/>
      <c r="J80" s="10"/>
      <c r="K80" s="10"/>
      <c r="L80" s="10"/>
    </row>
    <row r="81" spans="1:12" s="4" customFormat="1" ht="30" customHeight="1" x14ac:dyDescent="0.25">
      <c r="A81" s="9"/>
      <c r="B81" s="13" t="e">
        <f>VLOOKUP(Table2456[[#This Row],[Location 
(drop-down)]],'List source'!D$2:E$59,2,FALSE)</f>
        <v>#N/A</v>
      </c>
      <c r="C81" s="25" t="s">
        <v>266</v>
      </c>
      <c r="D81" s="33" t="e">
        <f t="shared" si="2"/>
        <v>#N/A</v>
      </c>
      <c r="E81" s="33" t="e">
        <f>VLOOKUP(Table2456[[#This Row],[Location 
(drop-down)]],Table1[#All],3,FALSE)</f>
        <v>#N/A</v>
      </c>
      <c r="F81" s="65"/>
      <c r="G81" s="65"/>
      <c r="H81" s="65"/>
      <c r="I81" s="47"/>
      <c r="J81" s="10"/>
      <c r="K81" s="10"/>
      <c r="L81" s="10"/>
    </row>
    <row r="82" spans="1:12" s="4" customFormat="1" ht="30" customHeight="1" x14ac:dyDescent="0.25">
      <c r="A82" s="9"/>
      <c r="B82" s="13" t="e">
        <f>VLOOKUP(Table2456[[#This Row],[Location 
(drop-down)]],'List source'!D$2:E$59,2,FALSE)</f>
        <v>#N/A</v>
      </c>
      <c r="C82" s="25" t="s">
        <v>267</v>
      </c>
      <c r="D82" s="33" t="e">
        <f t="shared" si="2"/>
        <v>#N/A</v>
      </c>
      <c r="E82" s="33" t="e">
        <f>VLOOKUP(Table2456[[#This Row],[Location 
(drop-down)]],Table1[#All],3,FALSE)</f>
        <v>#N/A</v>
      </c>
      <c r="F82" s="65"/>
      <c r="G82" s="65"/>
      <c r="H82" s="65"/>
      <c r="I82" s="47"/>
      <c r="J82" s="10"/>
      <c r="K82" s="10"/>
      <c r="L82" s="10"/>
    </row>
    <row r="83" spans="1:12" s="4" customFormat="1" ht="30" customHeight="1" x14ac:dyDescent="0.25">
      <c r="A83" s="9"/>
      <c r="B83" s="13" t="e">
        <f>VLOOKUP(Table2456[[#This Row],[Location 
(drop-down)]],'List source'!D$2:E$59,2,FALSE)</f>
        <v>#N/A</v>
      </c>
      <c r="C83" s="25" t="s">
        <v>268</v>
      </c>
      <c r="D83" s="33" t="e">
        <f t="shared" si="2"/>
        <v>#N/A</v>
      </c>
      <c r="E83" s="33" t="e">
        <f>VLOOKUP(Table2456[[#This Row],[Location 
(drop-down)]],Table1[#All],3,FALSE)</f>
        <v>#N/A</v>
      </c>
      <c r="F83" s="65"/>
      <c r="G83" s="65"/>
      <c r="H83" s="65"/>
      <c r="I83" s="47"/>
      <c r="J83" s="10"/>
      <c r="K83" s="10"/>
      <c r="L83" s="10"/>
    </row>
    <row r="84" spans="1:12" s="4" customFormat="1" ht="30" customHeight="1" x14ac:dyDescent="0.25">
      <c r="A84" s="9"/>
      <c r="B84" s="13" t="e">
        <f>VLOOKUP(Table2456[[#This Row],[Location 
(drop-down)]],'List source'!D$2:E$59,2,FALSE)</f>
        <v>#N/A</v>
      </c>
      <c r="C84" s="25" t="s">
        <v>272</v>
      </c>
      <c r="D84" s="33" t="e">
        <f t="shared" si="2"/>
        <v>#N/A</v>
      </c>
      <c r="E84" s="33" t="e">
        <f>VLOOKUP(Table2456[[#This Row],[Location 
(drop-down)]],Table1[#All],3,FALSE)</f>
        <v>#N/A</v>
      </c>
      <c r="F84" s="65"/>
      <c r="G84" s="65"/>
      <c r="H84" s="65"/>
      <c r="I84" s="47"/>
      <c r="J84" s="10"/>
      <c r="K84" s="10"/>
      <c r="L84" s="9"/>
    </row>
    <row r="85" spans="1:12" s="4" customFormat="1" ht="30" customHeight="1" x14ac:dyDescent="0.25">
      <c r="A85" s="9"/>
      <c r="B85" s="13" t="e">
        <f>VLOOKUP(Table2456[[#This Row],[Location 
(drop-down)]],'List source'!D$2:E$59,2,FALSE)</f>
        <v>#N/A</v>
      </c>
      <c r="C85" s="25" t="s">
        <v>276</v>
      </c>
      <c r="D85" s="33" t="e">
        <f t="shared" si="2"/>
        <v>#N/A</v>
      </c>
      <c r="E85" s="33" t="e">
        <f>VLOOKUP(Table2456[[#This Row],[Location 
(drop-down)]],Table1[#All],3,FALSE)</f>
        <v>#N/A</v>
      </c>
      <c r="F85" s="47"/>
      <c r="G85" s="47"/>
      <c r="H85" s="47"/>
      <c r="I85" s="47"/>
      <c r="J85" s="10"/>
      <c r="K85" s="10"/>
      <c r="L85" s="10"/>
    </row>
    <row r="86" spans="1:12" s="4" customFormat="1" ht="30" customHeight="1" x14ac:dyDescent="0.25">
      <c r="A86" s="9"/>
      <c r="B86" s="13" t="e">
        <f>VLOOKUP(Table2456[[#This Row],[Location 
(drop-down)]],'List source'!D$2:E$59,2,FALSE)</f>
        <v>#N/A</v>
      </c>
      <c r="C86" s="25" t="s">
        <v>280</v>
      </c>
      <c r="D86" s="33" t="e">
        <f t="shared" si="2"/>
        <v>#N/A</v>
      </c>
      <c r="E86" s="33" t="e">
        <f>VLOOKUP(Table2456[[#This Row],[Location 
(drop-down)]],Table1[#All],3,FALSE)</f>
        <v>#N/A</v>
      </c>
      <c r="F86" s="47"/>
      <c r="G86" s="47"/>
      <c r="H86" s="47"/>
      <c r="I86" s="47"/>
      <c r="J86" s="10"/>
      <c r="K86" s="10"/>
      <c r="L86" s="9"/>
    </row>
    <row r="87" spans="1:12" s="4" customFormat="1" ht="30" customHeight="1" x14ac:dyDescent="0.25">
      <c r="A87" s="9"/>
      <c r="B87" s="13" t="e">
        <f>VLOOKUP(Table2456[[#This Row],[Location 
(drop-down)]],'List source'!D$2:E$59,2,FALSE)</f>
        <v>#N/A</v>
      </c>
      <c r="C87" s="25" t="s">
        <v>282</v>
      </c>
      <c r="D87" s="33" t="e">
        <f t="shared" si="2"/>
        <v>#N/A</v>
      </c>
      <c r="E87" s="33" t="e">
        <f>VLOOKUP(Table2456[[#This Row],[Location 
(drop-down)]],Table1[#All],3,FALSE)</f>
        <v>#N/A</v>
      </c>
      <c r="F87" s="47"/>
      <c r="G87" s="47"/>
      <c r="H87" s="47"/>
      <c r="I87" s="47"/>
      <c r="J87" s="10"/>
      <c r="K87" s="10"/>
      <c r="L87" s="10"/>
    </row>
    <row r="88" spans="1:12" s="4" customFormat="1" ht="30" customHeight="1" x14ac:dyDescent="0.25">
      <c r="A88" s="9"/>
      <c r="B88" s="13" t="e">
        <f>VLOOKUP(Table2456[[#This Row],[Location 
(drop-down)]],'List source'!D$2:E$59,2,FALSE)</f>
        <v>#N/A</v>
      </c>
      <c r="C88" s="25" t="s">
        <v>285</v>
      </c>
      <c r="D88" s="33" t="e">
        <f t="shared" si="2"/>
        <v>#N/A</v>
      </c>
      <c r="E88" s="33" t="e">
        <f>VLOOKUP(Table2456[[#This Row],[Location 
(drop-down)]],Table1[#All],3,FALSE)</f>
        <v>#N/A</v>
      </c>
      <c r="F88" s="47"/>
      <c r="G88" s="47"/>
      <c r="H88" s="47"/>
      <c r="I88" s="47"/>
      <c r="J88" s="10"/>
      <c r="K88" s="10"/>
      <c r="L88" s="10"/>
    </row>
    <row r="89" spans="1:12" s="4" customFormat="1" ht="30" customHeight="1" x14ac:dyDescent="0.25">
      <c r="A89" s="9"/>
      <c r="B89" s="13" t="e">
        <f>VLOOKUP(Table2456[[#This Row],[Location 
(drop-down)]],'List source'!D$2:E$59,2,FALSE)</f>
        <v>#N/A</v>
      </c>
      <c r="C89" s="25" t="s">
        <v>288</v>
      </c>
      <c r="D89" s="33" t="e">
        <f t="shared" si="2"/>
        <v>#N/A</v>
      </c>
      <c r="E89" s="33" t="e">
        <f>VLOOKUP(Table2456[[#This Row],[Location 
(drop-down)]],Table1[#All],3,FALSE)</f>
        <v>#N/A</v>
      </c>
      <c r="F89" s="47"/>
      <c r="G89" s="47"/>
      <c r="H89" s="47"/>
      <c r="I89" s="47"/>
      <c r="J89" s="10"/>
      <c r="K89" s="10"/>
      <c r="L89" s="10"/>
    </row>
    <row r="90" spans="1:12" s="4" customFormat="1" ht="30" customHeight="1" x14ac:dyDescent="0.25">
      <c r="A90" s="9"/>
      <c r="B90" s="13" t="e">
        <f>VLOOKUP(Table2456[[#This Row],[Location 
(drop-down)]],'List source'!D$2:E$59,2,FALSE)</f>
        <v>#N/A</v>
      </c>
      <c r="C90" s="25" t="s">
        <v>292</v>
      </c>
      <c r="D90" s="33" t="e">
        <f t="shared" si="2"/>
        <v>#N/A</v>
      </c>
      <c r="E90" s="33" t="e">
        <f>VLOOKUP(Table2456[[#This Row],[Location 
(drop-down)]],Table1[#All],3,FALSE)</f>
        <v>#N/A</v>
      </c>
      <c r="F90" s="65"/>
      <c r="G90" s="65"/>
      <c r="H90" s="65"/>
      <c r="I90" s="65"/>
      <c r="J90" s="10"/>
      <c r="K90" s="10"/>
      <c r="L90" s="10"/>
    </row>
    <row r="91" spans="1:12" s="4" customFormat="1" ht="30" customHeight="1" x14ac:dyDescent="0.25">
      <c r="A91" s="9"/>
      <c r="B91" s="13" t="e">
        <f>VLOOKUP(Table2456[[#This Row],[Location 
(drop-down)]],'List source'!D$2:E$59,2,FALSE)</f>
        <v>#N/A</v>
      </c>
      <c r="C91" s="25" t="s">
        <v>296</v>
      </c>
      <c r="D91" s="33" t="e">
        <f t="shared" si="2"/>
        <v>#N/A</v>
      </c>
      <c r="E91" s="33" t="e">
        <f>VLOOKUP(Table2456[[#This Row],[Location 
(drop-down)]],Table1[#All],3,FALSE)</f>
        <v>#N/A</v>
      </c>
      <c r="F91" s="65"/>
      <c r="G91" s="65"/>
      <c r="H91" s="65"/>
      <c r="I91" s="47"/>
      <c r="J91" s="10"/>
      <c r="K91" s="104"/>
      <c r="L91" s="116"/>
    </row>
    <row r="92" spans="1:12" s="4" customFormat="1" ht="30" customHeight="1" x14ac:dyDescent="0.25">
      <c r="A92" s="9"/>
      <c r="B92" s="13" t="e">
        <f>VLOOKUP(Table2456[[#This Row],[Location 
(drop-down)]],'List source'!D$2:E$59,2,FALSE)</f>
        <v>#N/A</v>
      </c>
      <c r="C92" s="25" t="s">
        <v>297</v>
      </c>
      <c r="D92" s="33" t="e">
        <f t="shared" si="2"/>
        <v>#N/A</v>
      </c>
      <c r="E92" s="33" t="e">
        <f>VLOOKUP(Table2456[[#This Row],[Location 
(drop-down)]],Table1[#All],3,FALSE)</f>
        <v>#N/A</v>
      </c>
      <c r="F92" s="65"/>
      <c r="G92" s="65"/>
      <c r="H92" s="65"/>
      <c r="I92" s="47"/>
      <c r="J92" s="10"/>
      <c r="K92" s="104"/>
      <c r="L92" s="116"/>
    </row>
    <row r="93" spans="1:12" s="4" customFormat="1" ht="30" customHeight="1" x14ac:dyDescent="0.25">
      <c r="A93" s="9"/>
      <c r="B93" s="13" t="e">
        <f>VLOOKUP(Table2456[[#This Row],[Location 
(drop-down)]],'List source'!D$2:E$59,2,FALSE)</f>
        <v>#N/A</v>
      </c>
      <c r="C93" s="25" t="s">
        <v>299</v>
      </c>
      <c r="D93" s="33" t="e">
        <f t="shared" si="2"/>
        <v>#N/A</v>
      </c>
      <c r="E93" s="33" t="e">
        <f>VLOOKUP(Table2456[[#This Row],[Location 
(drop-down)]],Table1[#All],3,FALSE)</f>
        <v>#N/A</v>
      </c>
      <c r="F93" s="65"/>
      <c r="G93" s="65"/>
      <c r="H93" s="65"/>
      <c r="I93" s="47"/>
      <c r="J93" s="10"/>
      <c r="K93" s="10"/>
      <c r="L93" s="9"/>
    </row>
    <row r="94" spans="1:12" s="4" customFormat="1" ht="30" customHeight="1" x14ac:dyDescent="0.25">
      <c r="A94" s="9"/>
      <c r="B94" s="13" t="e">
        <f>VLOOKUP(Table2456[[#This Row],[Location 
(drop-down)]],'List source'!D$2:E$59,2,FALSE)</f>
        <v>#N/A</v>
      </c>
      <c r="C94" s="25" t="s">
        <v>300</v>
      </c>
      <c r="D94" s="33" t="e">
        <f t="shared" si="2"/>
        <v>#N/A</v>
      </c>
      <c r="E94" s="33" t="e">
        <f>VLOOKUP(Table2456[[#This Row],[Location 
(drop-down)]],Table1[#All],3,FALSE)</f>
        <v>#N/A</v>
      </c>
      <c r="F94" s="47"/>
      <c r="G94" s="47"/>
      <c r="H94" s="47"/>
      <c r="I94" s="47"/>
      <c r="J94" s="10"/>
      <c r="K94" s="138"/>
      <c r="L94" s="98"/>
    </row>
    <row r="95" spans="1:12" s="4" customFormat="1" ht="30" customHeight="1" x14ac:dyDescent="0.25">
      <c r="A95" s="9"/>
      <c r="B95" s="13" t="e">
        <f>VLOOKUP(Table2456[[#This Row],[Location 
(drop-down)]],'List source'!D$2:E$59,2,FALSE)</f>
        <v>#N/A</v>
      </c>
      <c r="C95" s="25" t="s">
        <v>302</v>
      </c>
      <c r="D95" s="33" t="e">
        <f t="shared" si="2"/>
        <v>#N/A</v>
      </c>
      <c r="E95" s="33" t="e">
        <f>VLOOKUP(Table2456[[#This Row],[Location 
(drop-down)]],Table1[#All],3,FALSE)</f>
        <v>#N/A</v>
      </c>
      <c r="F95" s="47"/>
      <c r="G95" s="47"/>
      <c r="H95" s="47"/>
      <c r="I95" s="47"/>
      <c r="J95" s="10"/>
      <c r="K95" s="10"/>
      <c r="L95" s="10"/>
    </row>
    <row r="96" spans="1:12" s="4" customFormat="1" ht="30" customHeight="1" x14ac:dyDescent="0.25">
      <c r="A96" s="9"/>
      <c r="B96" s="13" t="e">
        <f>VLOOKUP(Table2456[[#This Row],[Location 
(drop-down)]],'List source'!D$2:E$59,2,FALSE)</f>
        <v>#N/A</v>
      </c>
      <c r="C96" s="25" t="s">
        <v>305</v>
      </c>
      <c r="D96" s="33" t="e">
        <f t="shared" si="2"/>
        <v>#N/A</v>
      </c>
      <c r="E96" s="33" t="e">
        <f>VLOOKUP(Table2456[[#This Row],[Location 
(drop-down)]],Table1[#All],3,FALSE)</f>
        <v>#N/A</v>
      </c>
      <c r="F96" s="47"/>
      <c r="G96" s="47"/>
      <c r="H96" s="47"/>
      <c r="I96" s="47"/>
      <c r="J96" s="10"/>
      <c r="K96" s="10"/>
      <c r="L96" s="10"/>
    </row>
    <row r="97" spans="1:12" s="4" customFormat="1" ht="30" customHeight="1" x14ac:dyDescent="0.25">
      <c r="A97" s="9"/>
      <c r="B97" s="13" t="e">
        <f>VLOOKUP(Table2456[[#This Row],[Location 
(drop-down)]],'List source'!D$2:E$59,2,FALSE)</f>
        <v>#N/A</v>
      </c>
      <c r="C97" s="25" t="s">
        <v>307</v>
      </c>
      <c r="D97" s="33" t="e">
        <f t="shared" si="2"/>
        <v>#N/A</v>
      </c>
      <c r="E97" s="33" t="e">
        <f>VLOOKUP(Table2456[[#This Row],[Location 
(drop-down)]],Table1[#All],3,FALSE)</f>
        <v>#N/A</v>
      </c>
      <c r="F97" s="47"/>
      <c r="G97" s="47"/>
      <c r="H97" s="47"/>
      <c r="I97" s="47"/>
      <c r="J97" s="10"/>
      <c r="K97" s="10"/>
      <c r="L97" s="10"/>
    </row>
    <row r="98" spans="1:12" s="4" customFormat="1" ht="30" customHeight="1" x14ac:dyDescent="0.25">
      <c r="A98" s="9"/>
      <c r="B98" s="13" t="e">
        <f>VLOOKUP(Table2456[[#This Row],[Location 
(drop-down)]],'List source'!D$2:E$59,2,FALSE)</f>
        <v>#N/A</v>
      </c>
      <c r="C98" s="25" t="s">
        <v>311</v>
      </c>
      <c r="D98" s="33" t="e">
        <f t="shared" ref="D98:D129" si="3">"CAF" &amp; C98 &amp; "-" &amp; B98 &amp; "-" &amp; "23"</f>
        <v>#N/A</v>
      </c>
      <c r="E98" s="33" t="e">
        <f>VLOOKUP(Table2456[[#This Row],[Location 
(drop-down)]],Table1[#All],3,FALSE)</f>
        <v>#N/A</v>
      </c>
      <c r="F98" s="47"/>
      <c r="G98" s="47"/>
      <c r="H98" s="47"/>
      <c r="I98" s="47"/>
      <c r="J98" s="10"/>
      <c r="K98" s="10"/>
      <c r="L98" s="10"/>
    </row>
    <row r="99" spans="1:12" s="4" customFormat="1" ht="30" customHeight="1" x14ac:dyDescent="0.25">
      <c r="A99" s="9"/>
      <c r="B99" s="13" t="e">
        <f>VLOOKUP(Table2456[[#This Row],[Location 
(drop-down)]],'List source'!D$2:E$59,2,FALSE)</f>
        <v>#N/A</v>
      </c>
      <c r="C99" s="25" t="s">
        <v>313</v>
      </c>
      <c r="D99" s="33" t="e">
        <f t="shared" si="3"/>
        <v>#N/A</v>
      </c>
      <c r="E99" s="33" t="e">
        <f>VLOOKUP(Table2456[[#This Row],[Location 
(drop-down)]],Table1[#All],3,FALSE)</f>
        <v>#N/A</v>
      </c>
      <c r="F99" s="47"/>
      <c r="G99" s="47"/>
      <c r="H99" s="47"/>
      <c r="I99" s="47"/>
      <c r="J99" s="10"/>
      <c r="K99" s="10"/>
      <c r="L99" s="10"/>
    </row>
    <row r="100" spans="1:12" s="4" customFormat="1" ht="30" customHeight="1" x14ac:dyDescent="0.25">
      <c r="A100" s="9"/>
      <c r="B100" s="13" t="e">
        <f>VLOOKUP(Table2456[[#This Row],[Location 
(drop-down)]],'List source'!D$2:E$59,2,FALSE)</f>
        <v>#N/A</v>
      </c>
      <c r="C100" s="25" t="s">
        <v>314</v>
      </c>
      <c r="D100" s="33" t="e">
        <f t="shared" si="3"/>
        <v>#N/A</v>
      </c>
      <c r="E100" s="33" t="e">
        <f>VLOOKUP(Table2456[[#This Row],[Location 
(drop-down)]],Table1[#All],3,FALSE)</f>
        <v>#N/A</v>
      </c>
      <c r="F100" s="47"/>
      <c r="G100" s="47"/>
      <c r="H100" s="47"/>
      <c r="I100" s="47"/>
      <c r="J100" s="10"/>
      <c r="K100" s="10"/>
      <c r="L100" s="10"/>
    </row>
    <row r="101" spans="1:12" s="4" customFormat="1" ht="30" customHeight="1" x14ac:dyDescent="0.25">
      <c r="A101" s="9"/>
      <c r="B101" s="13" t="e">
        <f>VLOOKUP(Table2456[[#This Row],[Location 
(drop-down)]],'List source'!D$2:E$59,2,FALSE)</f>
        <v>#N/A</v>
      </c>
      <c r="C101" s="25" t="s">
        <v>316</v>
      </c>
      <c r="D101" s="33" t="e">
        <f t="shared" si="3"/>
        <v>#N/A</v>
      </c>
      <c r="E101" s="33" t="e">
        <f>VLOOKUP(Table2456[[#This Row],[Location 
(drop-down)]],Table1[#All],3,FALSE)</f>
        <v>#N/A</v>
      </c>
      <c r="F101" s="47"/>
      <c r="G101" s="47"/>
      <c r="H101" s="47"/>
      <c r="I101" s="47"/>
      <c r="J101" s="10"/>
      <c r="K101" s="10"/>
      <c r="L101" s="10"/>
    </row>
    <row r="102" spans="1:12" s="4" customFormat="1" ht="30" customHeight="1" x14ac:dyDescent="0.25">
      <c r="A102" s="9"/>
      <c r="B102" s="13" t="e">
        <f>VLOOKUP(Table2456[[#This Row],[Location 
(drop-down)]],'List source'!D$2:E$59,2,FALSE)</f>
        <v>#N/A</v>
      </c>
      <c r="C102" s="25" t="s">
        <v>318</v>
      </c>
      <c r="D102" s="33" t="e">
        <f t="shared" si="3"/>
        <v>#N/A</v>
      </c>
      <c r="E102" s="33" t="e">
        <f>VLOOKUP(Table2456[[#This Row],[Location 
(drop-down)]],Table1[#All],3,FALSE)</f>
        <v>#N/A</v>
      </c>
      <c r="F102" s="47"/>
      <c r="G102" s="47"/>
      <c r="H102" s="47"/>
      <c r="I102" s="47"/>
      <c r="J102" s="10"/>
      <c r="K102" s="10"/>
      <c r="L102" s="10"/>
    </row>
    <row r="103" spans="1:12" s="4" customFormat="1" ht="30" customHeight="1" x14ac:dyDescent="0.25">
      <c r="A103" s="9"/>
      <c r="B103" s="13" t="e">
        <f>VLOOKUP(Table2456[[#This Row],[Location 
(drop-down)]],'List source'!D$2:E$59,2,FALSE)</f>
        <v>#N/A</v>
      </c>
      <c r="C103" s="25" t="s">
        <v>320</v>
      </c>
      <c r="D103" s="33" t="e">
        <f t="shared" si="3"/>
        <v>#N/A</v>
      </c>
      <c r="E103" s="33" t="e">
        <f>VLOOKUP(Table2456[[#This Row],[Location 
(drop-down)]],Table1[#All],3,FALSE)</f>
        <v>#N/A</v>
      </c>
      <c r="F103" s="47"/>
      <c r="G103" s="47"/>
      <c r="H103" s="47"/>
      <c r="I103" s="47"/>
      <c r="J103" s="10"/>
      <c r="K103" s="10"/>
      <c r="L103" s="10"/>
    </row>
    <row r="104" spans="1:12" s="4" customFormat="1" ht="30" customHeight="1" x14ac:dyDescent="0.25">
      <c r="A104" s="9"/>
      <c r="B104" s="13" t="e">
        <f>VLOOKUP(Table2456[[#This Row],[Location 
(drop-down)]],'List source'!D$2:E$59,2,FALSE)</f>
        <v>#N/A</v>
      </c>
      <c r="C104" s="25" t="s">
        <v>322</v>
      </c>
      <c r="D104" s="33" t="e">
        <f t="shared" si="3"/>
        <v>#N/A</v>
      </c>
      <c r="E104" s="33" t="e">
        <f>VLOOKUP(Table2456[[#This Row],[Location 
(drop-down)]],Table1[#All],3,FALSE)</f>
        <v>#N/A</v>
      </c>
      <c r="F104" s="47"/>
      <c r="G104" s="47"/>
      <c r="H104" s="47"/>
      <c r="I104" s="47"/>
      <c r="J104" s="10"/>
      <c r="K104" s="10"/>
      <c r="L104" s="10"/>
    </row>
    <row r="105" spans="1:12" s="4" customFormat="1" ht="30" customHeight="1" x14ac:dyDescent="0.25">
      <c r="A105" s="9"/>
      <c r="B105" s="13" t="e">
        <f>VLOOKUP(Table2456[[#This Row],[Location 
(drop-down)]],'List source'!D$2:E$59,2,FALSE)</f>
        <v>#N/A</v>
      </c>
      <c r="C105" s="25" t="s">
        <v>325</v>
      </c>
      <c r="D105" s="33" t="e">
        <f t="shared" si="3"/>
        <v>#N/A</v>
      </c>
      <c r="E105" s="33" t="e">
        <f>VLOOKUP(Table2456[[#This Row],[Location 
(drop-down)]],Table1[#All],3,FALSE)</f>
        <v>#N/A</v>
      </c>
      <c r="F105" s="47"/>
      <c r="G105" s="47"/>
      <c r="H105" s="47"/>
      <c r="I105" s="47"/>
      <c r="J105" s="10"/>
      <c r="K105" s="10"/>
      <c r="L105" s="10"/>
    </row>
    <row r="106" spans="1:12" s="4" customFormat="1" ht="30" customHeight="1" x14ac:dyDescent="0.25">
      <c r="A106" s="9"/>
      <c r="B106" s="13" t="e">
        <f>VLOOKUP(Table2456[[#This Row],[Location 
(drop-down)]],'List source'!D$2:E$59,2,FALSE)</f>
        <v>#N/A</v>
      </c>
      <c r="C106" s="25" t="s">
        <v>327</v>
      </c>
      <c r="D106" s="33" t="e">
        <f t="shared" si="3"/>
        <v>#N/A</v>
      </c>
      <c r="E106" s="33" t="e">
        <f>VLOOKUP(Table2456[[#This Row],[Location 
(drop-down)]],Table1[#All],3,FALSE)</f>
        <v>#N/A</v>
      </c>
      <c r="F106" s="47"/>
      <c r="G106" s="47"/>
      <c r="H106" s="47"/>
      <c r="I106" s="47"/>
      <c r="J106" s="10"/>
      <c r="K106" s="10"/>
      <c r="L106" s="10"/>
    </row>
    <row r="107" spans="1:12" s="4" customFormat="1" ht="30" customHeight="1" x14ac:dyDescent="0.25">
      <c r="A107" s="9"/>
      <c r="B107" s="13" t="e">
        <f>VLOOKUP(Table2456[[#This Row],[Location 
(drop-down)]],'List source'!D$2:E$59,2,FALSE)</f>
        <v>#N/A</v>
      </c>
      <c r="C107" s="25" t="s">
        <v>328</v>
      </c>
      <c r="D107" s="33" t="e">
        <f t="shared" si="3"/>
        <v>#N/A</v>
      </c>
      <c r="E107" s="33" t="e">
        <f>VLOOKUP(Table2456[[#This Row],[Location 
(drop-down)]],Table1[#All],3,FALSE)</f>
        <v>#N/A</v>
      </c>
      <c r="F107" s="47"/>
      <c r="G107" s="47"/>
      <c r="H107" s="47"/>
      <c r="I107" s="47"/>
      <c r="J107" s="10"/>
      <c r="K107" s="10"/>
      <c r="L107" s="10"/>
    </row>
    <row r="108" spans="1:12" s="4" customFormat="1" ht="30" customHeight="1" x14ac:dyDescent="0.25">
      <c r="A108" s="9"/>
      <c r="B108" s="13" t="e">
        <f>VLOOKUP(Table2456[[#This Row],[Location 
(drop-down)]],'List source'!D$2:E$59,2,FALSE)</f>
        <v>#N/A</v>
      </c>
      <c r="C108" s="25" t="s">
        <v>332</v>
      </c>
      <c r="D108" s="33" t="e">
        <f t="shared" si="3"/>
        <v>#N/A</v>
      </c>
      <c r="E108" s="33" t="e">
        <f>VLOOKUP(Table2456[[#This Row],[Location 
(drop-down)]],Table1[#All],3,FALSE)</f>
        <v>#N/A</v>
      </c>
      <c r="F108" s="47"/>
      <c r="G108" s="47"/>
      <c r="H108" s="47"/>
      <c r="I108" s="47"/>
      <c r="J108" s="10"/>
      <c r="K108" s="10"/>
      <c r="L108" s="10"/>
    </row>
    <row r="109" spans="1:12" s="4" customFormat="1" ht="30" customHeight="1" x14ac:dyDescent="0.25">
      <c r="A109" s="9"/>
      <c r="B109" s="13" t="e">
        <f>VLOOKUP(Table2456[[#This Row],[Location 
(drop-down)]],'List source'!D$2:E$59,2,FALSE)</f>
        <v>#N/A</v>
      </c>
      <c r="C109" s="25" t="s">
        <v>335</v>
      </c>
      <c r="D109" s="33" t="e">
        <f t="shared" si="3"/>
        <v>#N/A</v>
      </c>
      <c r="E109" s="33" t="e">
        <f>VLOOKUP(Table2456[[#This Row],[Location 
(drop-down)]],Table1[#All],3,FALSE)</f>
        <v>#N/A</v>
      </c>
      <c r="F109" s="47"/>
      <c r="G109" s="47"/>
      <c r="H109" s="47"/>
      <c r="I109" s="47"/>
      <c r="J109" s="10"/>
      <c r="K109" s="10"/>
      <c r="L109" s="10"/>
    </row>
    <row r="110" spans="1:12" s="4" customFormat="1" ht="30" customHeight="1" x14ac:dyDescent="0.25">
      <c r="A110" s="9"/>
      <c r="B110" s="13" t="e">
        <f>VLOOKUP(Table2456[[#This Row],[Location 
(drop-down)]],'List source'!D$2:E$59,2,FALSE)</f>
        <v>#N/A</v>
      </c>
      <c r="C110" s="25" t="s">
        <v>337</v>
      </c>
      <c r="D110" s="33" t="e">
        <f t="shared" si="3"/>
        <v>#N/A</v>
      </c>
      <c r="E110" s="33" t="e">
        <f>VLOOKUP(Table2456[[#This Row],[Location 
(drop-down)]],Table1[#All],3,FALSE)</f>
        <v>#N/A</v>
      </c>
      <c r="F110" s="47"/>
      <c r="G110" s="47"/>
      <c r="H110" s="47"/>
      <c r="I110" s="47"/>
      <c r="J110" s="10"/>
      <c r="K110" s="10"/>
      <c r="L110" s="10"/>
    </row>
    <row r="111" spans="1:12" s="4" customFormat="1" ht="30" customHeight="1" x14ac:dyDescent="0.25">
      <c r="A111" s="9"/>
      <c r="B111" s="13" t="e">
        <f>VLOOKUP(Table2456[[#This Row],[Location 
(drop-down)]],'List source'!D$2:E$59,2,FALSE)</f>
        <v>#N/A</v>
      </c>
      <c r="C111" s="25" t="s">
        <v>339</v>
      </c>
      <c r="D111" s="33" t="e">
        <f t="shared" si="3"/>
        <v>#N/A</v>
      </c>
      <c r="E111" s="33" t="e">
        <f>VLOOKUP(Table2456[[#This Row],[Location 
(drop-down)]],Table1[#All],3,FALSE)</f>
        <v>#N/A</v>
      </c>
      <c r="F111" s="47"/>
      <c r="G111" s="47"/>
      <c r="H111" s="47"/>
      <c r="I111" s="47"/>
      <c r="J111" s="10"/>
      <c r="K111" s="10"/>
      <c r="L111" s="10"/>
    </row>
    <row r="112" spans="1:12" s="4" customFormat="1" ht="30" customHeight="1" x14ac:dyDescent="0.25">
      <c r="A112" s="9"/>
      <c r="B112" s="13" t="e">
        <f>VLOOKUP(Table2456[[#This Row],[Location 
(drop-down)]],'List source'!D$2:E$59,2,FALSE)</f>
        <v>#N/A</v>
      </c>
      <c r="C112" s="25" t="s">
        <v>341</v>
      </c>
      <c r="D112" s="33" t="e">
        <f t="shared" si="3"/>
        <v>#N/A</v>
      </c>
      <c r="E112" s="33" t="e">
        <f>VLOOKUP(Table2456[[#This Row],[Location 
(drop-down)]],Table1[#All],3,FALSE)</f>
        <v>#N/A</v>
      </c>
      <c r="F112" s="47"/>
      <c r="G112" s="47"/>
      <c r="H112" s="47"/>
      <c r="I112" s="47"/>
      <c r="J112" s="10"/>
      <c r="K112" s="10"/>
      <c r="L112" s="10"/>
    </row>
    <row r="113" spans="1:12" s="4" customFormat="1" ht="30" customHeight="1" x14ac:dyDescent="0.25">
      <c r="A113" s="9"/>
      <c r="B113" s="13" t="e">
        <f>VLOOKUP(Table2456[[#This Row],[Location 
(drop-down)]],'List source'!D$2:E$59,2,FALSE)</f>
        <v>#N/A</v>
      </c>
      <c r="C113" s="25" t="s">
        <v>343</v>
      </c>
      <c r="D113" s="33" t="e">
        <f t="shared" si="3"/>
        <v>#N/A</v>
      </c>
      <c r="E113" s="33" t="e">
        <f>VLOOKUP(Table2456[[#This Row],[Location 
(drop-down)]],Table1[#All],3,FALSE)</f>
        <v>#N/A</v>
      </c>
      <c r="F113" s="47"/>
      <c r="G113" s="47"/>
      <c r="H113" s="47"/>
      <c r="I113" s="47"/>
      <c r="J113" s="10"/>
      <c r="K113" s="10"/>
      <c r="L113" s="10"/>
    </row>
    <row r="114" spans="1:12" s="4" customFormat="1" ht="30" customHeight="1" x14ac:dyDescent="0.25">
      <c r="A114" s="9"/>
      <c r="B114" s="13" t="e">
        <f>VLOOKUP(Table2456[[#This Row],[Location 
(drop-down)]],'List source'!D$2:E$59,2,FALSE)</f>
        <v>#N/A</v>
      </c>
      <c r="C114" s="25" t="s">
        <v>345</v>
      </c>
      <c r="D114" s="33" t="e">
        <f t="shared" si="3"/>
        <v>#N/A</v>
      </c>
      <c r="E114" s="33" t="e">
        <f>VLOOKUP(Table2456[[#This Row],[Location 
(drop-down)]],Table1[#All],3,FALSE)</f>
        <v>#N/A</v>
      </c>
      <c r="F114" s="47"/>
      <c r="G114" s="47"/>
      <c r="H114" s="47"/>
      <c r="I114" s="47"/>
      <c r="J114" s="10"/>
      <c r="K114" s="10"/>
      <c r="L114" s="10"/>
    </row>
    <row r="115" spans="1:12" s="4" customFormat="1" ht="30" customHeight="1" x14ac:dyDescent="0.25">
      <c r="A115" s="9"/>
      <c r="B115" s="13" t="e">
        <f>VLOOKUP(Table2456[[#This Row],[Location 
(drop-down)]],'List source'!D$2:E$59,2,FALSE)</f>
        <v>#N/A</v>
      </c>
      <c r="C115" s="25" t="s">
        <v>347</v>
      </c>
      <c r="D115" s="33" t="e">
        <f t="shared" si="3"/>
        <v>#N/A</v>
      </c>
      <c r="E115" s="33" t="e">
        <f>VLOOKUP(Table2456[[#This Row],[Location 
(drop-down)]],Table1[#All],3,FALSE)</f>
        <v>#N/A</v>
      </c>
      <c r="F115" s="47"/>
      <c r="G115" s="47"/>
      <c r="H115" s="47"/>
      <c r="I115" s="47"/>
      <c r="J115" s="10"/>
      <c r="K115" s="10"/>
      <c r="L115" s="10"/>
    </row>
    <row r="116" spans="1:12" s="4" customFormat="1" ht="30" customHeight="1" x14ac:dyDescent="0.25">
      <c r="A116" s="9"/>
      <c r="B116" s="13" t="e">
        <f>VLOOKUP(Table2456[[#This Row],[Location 
(drop-down)]],'List source'!D$2:E$59,2,FALSE)</f>
        <v>#N/A</v>
      </c>
      <c r="C116" s="25" t="s">
        <v>348</v>
      </c>
      <c r="D116" s="33" t="e">
        <f t="shared" si="3"/>
        <v>#N/A</v>
      </c>
      <c r="E116" s="33" t="e">
        <f>VLOOKUP(Table2456[[#This Row],[Location 
(drop-down)]],Table1[#All],3,FALSE)</f>
        <v>#N/A</v>
      </c>
      <c r="F116" s="47"/>
      <c r="G116" s="47"/>
      <c r="H116" s="47"/>
      <c r="I116" s="47"/>
      <c r="J116" s="10"/>
      <c r="K116" s="10"/>
      <c r="L116" s="10"/>
    </row>
    <row r="117" spans="1:12" s="4" customFormat="1" ht="30" customHeight="1" x14ac:dyDescent="0.25">
      <c r="A117" s="9"/>
      <c r="B117" s="13" t="e">
        <f>VLOOKUP(Table2456[[#This Row],[Location 
(drop-down)]],'List source'!D$2:E$59,2,FALSE)</f>
        <v>#N/A</v>
      </c>
      <c r="C117" s="25" t="s">
        <v>350</v>
      </c>
      <c r="D117" s="33" t="e">
        <f t="shared" si="3"/>
        <v>#N/A</v>
      </c>
      <c r="E117" s="33" t="e">
        <f>VLOOKUP(Table2456[[#This Row],[Location 
(drop-down)]],Table1[#All],3,FALSE)</f>
        <v>#N/A</v>
      </c>
      <c r="F117" s="47"/>
      <c r="G117" s="47"/>
      <c r="H117" s="47"/>
      <c r="I117" s="47"/>
      <c r="J117" s="10"/>
      <c r="K117" s="10"/>
      <c r="L117" s="10"/>
    </row>
    <row r="118" spans="1:12" s="4" customFormat="1" ht="30" customHeight="1" x14ac:dyDescent="0.25">
      <c r="A118" s="9"/>
      <c r="B118" s="13" t="e">
        <f>VLOOKUP(Table2456[[#This Row],[Location 
(drop-down)]],'List source'!D$2:E$59,2,FALSE)</f>
        <v>#N/A</v>
      </c>
      <c r="C118" s="25" t="s">
        <v>352</v>
      </c>
      <c r="D118" s="33" t="e">
        <f t="shared" si="3"/>
        <v>#N/A</v>
      </c>
      <c r="E118" s="33" t="e">
        <f>VLOOKUP(Table2456[[#This Row],[Location 
(drop-down)]],Table1[#All],3,FALSE)</f>
        <v>#N/A</v>
      </c>
      <c r="F118" s="47"/>
      <c r="G118" s="47"/>
      <c r="H118" s="47"/>
      <c r="I118" s="47"/>
      <c r="J118" s="10"/>
      <c r="K118" s="10"/>
      <c r="L118" s="10"/>
    </row>
    <row r="119" spans="1:12" s="4" customFormat="1" ht="30" customHeight="1" x14ac:dyDescent="0.25">
      <c r="A119" s="9"/>
      <c r="B119" s="13" t="e">
        <f>VLOOKUP(Table2456[[#This Row],[Location 
(drop-down)]],'List source'!D$2:E$59,2,FALSE)</f>
        <v>#N/A</v>
      </c>
      <c r="C119" s="25" t="s">
        <v>354</v>
      </c>
      <c r="D119" s="33" t="e">
        <f t="shared" si="3"/>
        <v>#N/A</v>
      </c>
      <c r="E119" s="33" t="e">
        <f>VLOOKUP(Table2456[[#This Row],[Location 
(drop-down)]],Table1[#All],3,FALSE)</f>
        <v>#N/A</v>
      </c>
      <c r="F119" s="47"/>
      <c r="G119" s="47"/>
      <c r="H119" s="47"/>
      <c r="I119" s="47"/>
      <c r="J119" s="10"/>
      <c r="K119" s="10"/>
      <c r="L119" s="10"/>
    </row>
    <row r="120" spans="1:12" s="4" customFormat="1" ht="30" customHeight="1" x14ac:dyDescent="0.25">
      <c r="A120" s="9"/>
      <c r="B120" s="13" t="e">
        <f>VLOOKUP(Table2456[[#This Row],[Location 
(drop-down)]],'List source'!D$2:E$59,2,FALSE)</f>
        <v>#N/A</v>
      </c>
      <c r="C120" s="25" t="s">
        <v>356</v>
      </c>
      <c r="D120" s="33" t="e">
        <f t="shared" si="3"/>
        <v>#N/A</v>
      </c>
      <c r="E120" s="33" t="e">
        <f>VLOOKUP(Table2456[[#This Row],[Location 
(drop-down)]],Table1[#All],3,FALSE)</f>
        <v>#N/A</v>
      </c>
      <c r="F120" s="47"/>
      <c r="G120" s="47"/>
      <c r="H120" s="47"/>
      <c r="I120" s="47"/>
      <c r="J120" s="10"/>
      <c r="K120" s="10"/>
      <c r="L120" s="10"/>
    </row>
    <row r="121" spans="1:12" s="4" customFormat="1" ht="30" customHeight="1" x14ac:dyDescent="0.25">
      <c r="A121" s="9"/>
      <c r="B121" s="13" t="e">
        <f>VLOOKUP(Table2456[[#This Row],[Location 
(drop-down)]],'List source'!D$2:E$59,2,FALSE)</f>
        <v>#N/A</v>
      </c>
      <c r="C121" s="25" t="s">
        <v>358</v>
      </c>
      <c r="D121" s="33" t="e">
        <f t="shared" si="3"/>
        <v>#N/A</v>
      </c>
      <c r="E121" s="33" t="e">
        <f>VLOOKUP(Table2456[[#This Row],[Location 
(drop-down)]],Table1[#All],3,FALSE)</f>
        <v>#N/A</v>
      </c>
      <c r="F121" s="47"/>
      <c r="G121" s="47"/>
      <c r="H121" s="47"/>
      <c r="I121" s="47"/>
      <c r="J121" s="10"/>
      <c r="K121" s="10"/>
      <c r="L121" s="10"/>
    </row>
    <row r="122" spans="1:12" s="4" customFormat="1" ht="30" customHeight="1" x14ac:dyDescent="0.25">
      <c r="A122" s="9"/>
      <c r="B122" s="13" t="e">
        <f>VLOOKUP(Table2456[[#This Row],[Location 
(drop-down)]],'List source'!D$2:E$59,2,FALSE)</f>
        <v>#N/A</v>
      </c>
      <c r="C122" s="25" t="s">
        <v>360</v>
      </c>
      <c r="D122" s="33" t="e">
        <f t="shared" si="3"/>
        <v>#N/A</v>
      </c>
      <c r="E122" s="33" t="e">
        <f>VLOOKUP(Table2456[[#This Row],[Location 
(drop-down)]],Table1[#All],3,FALSE)</f>
        <v>#N/A</v>
      </c>
      <c r="F122" s="47"/>
      <c r="G122" s="47"/>
      <c r="H122" s="47"/>
      <c r="I122" s="47"/>
      <c r="J122" s="10"/>
      <c r="K122" s="10"/>
      <c r="L122" s="10"/>
    </row>
    <row r="123" spans="1:12" s="4" customFormat="1" ht="30" customHeight="1" x14ac:dyDescent="0.25">
      <c r="A123" s="9"/>
      <c r="B123" s="13" t="e">
        <f>VLOOKUP(Table2456[[#This Row],[Location 
(drop-down)]],'List source'!D$2:E$59,2,FALSE)</f>
        <v>#N/A</v>
      </c>
      <c r="C123" s="25" t="s">
        <v>363</v>
      </c>
      <c r="D123" s="33" t="e">
        <f t="shared" si="3"/>
        <v>#N/A</v>
      </c>
      <c r="E123" s="33" t="e">
        <f>VLOOKUP(Table2456[[#This Row],[Location 
(drop-down)]],Table1[#All],3,FALSE)</f>
        <v>#N/A</v>
      </c>
      <c r="F123" s="47"/>
      <c r="G123" s="47"/>
      <c r="H123" s="47"/>
      <c r="I123" s="47"/>
      <c r="J123" s="10"/>
      <c r="K123" s="10"/>
      <c r="L123" s="10"/>
    </row>
    <row r="124" spans="1:12" s="4" customFormat="1" ht="30" customHeight="1" x14ac:dyDescent="0.25">
      <c r="A124" s="9"/>
      <c r="B124" s="13" t="e">
        <f>VLOOKUP(Table2456[[#This Row],[Location 
(drop-down)]],'List source'!D$2:E$59,2,FALSE)</f>
        <v>#N/A</v>
      </c>
      <c r="C124" s="25" t="s">
        <v>365</v>
      </c>
      <c r="D124" s="33" t="e">
        <f t="shared" si="3"/>
        <v>#N/A</v>
      </c>
      <c r="E124" s="33" t="e">
        <f>VLOOKUP(Table2456[[#This Row],[Location 
(drop-down)]],Table1[#All],3,FALSE)</f>
        <v>#N/A</v>
      </c>
      <c r="F124" s="47"/>
      <c r="G124" s="47"/>
      <c r="H124" s="47"/>
      <c r="I124" s="47"/>
      <c r="J124" s="10"/>
      <c r="K124" s="10"/>
      <c r="L124" s="10"/>
    </row>
    <row r="125" spans="1:12" s="4" customFormat="1" ht="30" customHeight="1" x14ac:dyDescent="0.25">
      <c r="A125" s="9"/>
      <c r="B125" s="13" t="e">
        <f>VLOOKUP(Table2456[[#This Row],[Location 
(drop-down)]],'List source'!D$2:E$59,2,FALSE)</f>
        <v>#N/A</v>
      </c>
      <c r="C125" s="25" t="s">
        <v>368</v>
      </c>
      <c r="D125" s="33" t="e">
        <f t="shared" si="3"/>
        <v>#N/A</v>
      </c>
      <c r="E125" s="33" t="e">
        <f>VLOOKUP(Table2456[[#This Row],[Location 
(drop-down)]],Table1[#All],3,FALSE)</f>
        <v>#N/A</v>
      </c>
      <c r="F125" s="47"/>
      <c r="G125" s="47"/>
      <c r="H125" s="47"/>
      <c r="I125" s="47"/>
      <c r="J125" s="10"/>
      <c r="K125" s="10"/>
      <c r="L125" s="10"/>
    </row>
    <row r="126" spans="1:12" s="4" customFormat="1" ht="30" customHeight="1" x14ac:dyDescent="0.25">
      <c r="A126" s="9"/>
      <c r="B126" s="13" t="e">
        <f>VLOOKUP(Table2456[[#This Row],[Location 
(drop-down)]],'List source'!D$2:E$59,2,FALSE)</f>
        <v>#N/A</v>
      </c>
      <c r="C126" s="25" t="s">
        <v>370</v>
      </c>
      <c r="D126" s="33" t="e">
        <f t="shared" si="3"/>
        <v>#N/A</v>
      </c>
      <c r="E126" s="33" t="e">
        <f>VLOOKUP(Table2456[[#This Row],[Location 
(drop-down)]],Table1[#All],3,FALSE)</f>
        <v>#N/A</v>
      </c>
      <c r="F126" s="47"/>
      <c r="G126" s="47"/>
      <c r="H126" s="47"/>
      <c r="I126" s="47"/>
      <c r="J126" s="10"/>
      <c r="K126" s="10"/>
      <c r="L126" s="10"/>
    </row>
    <row r="127" spans="1:12" s="4" customFormat="1" ht="30" customHeight="1" x14ac:dyDescent="0.25">
      <c r="A127" s="9"/>
      <c r="B127" s="13" t="e">
        <f>VLOOKUP(Table2456[[#This Row],[Location 
(drop-down)]],'List source'!D$2:E$59,2,FALSE)</f>
        <v>#N/A</v>
      </c>
      <c r="C127" s="25" t="s">
        <v>372</v>
      </c>
      <c r="D127" s="33" t="e">
        <f t="shared" si="3"/>
        <v>#N/A</v>
      </c>
      <c r="E127" s="33" t="e">
        <f>VLOOKUP(Table2456[[#This Row],[Location 
(drop-down)]],Table1[#All],3,FALSE)</f>
        <v>#N/A</v>
      </c>
      <c r="F127" s="47"/>
      <c r="G127" s="47"/>
      <c r="H127" s="47"/>
      <c r="I127" s="47"/>
      <c r="J127" s="10"/>
      <c r="K127" s="10"/>
      <c r="L127" s="10"/>
    </row>
    <row r="128" spans="1:12" s="4" customFormat="1" ht="30" customHeight="1" x14ac:dyDescent="0.25">
      <c r="A128" s="9"/>
      <c r="B128" s="13" t="e">
        <f>VLOOKUP(Table2456[[#This Row],[Location 
(drop-down)]],'List source'!D$2:E$59,2,FALSE)</f>
        <v>#N/A</v>
      </c>
      <c r="C128" s="25" t="s">
        <v>374</v>
      </c>
      <c r="D128" s="33" t="e">
        <f t="shared" si="3"/>
        <v>#N/A</v>
      </c>
      <c r="E128" s="33" t="e">
        <f>VLOOKUP(Table2456[[#This Row],[Location 
(drop-down)]],Table1[#All],3,FALSE)</f>
        <v>#N/A</v>
      </c>
      <c r="F128" s="47"/>
      <c r="G128" s="47"/>
      <c r="H128" s="47"/>
      <c r="I128" s="47"/>
      <c r="J128" s="10"/>
      <c r="K128" s="10"/>
      <c r="L128" s="10"/>
    </row>
    <row r="129" spans="1:12" s="4" customFormat="1" ht="30" customHeight="1" x14ac:dyDescent="0.25">
      <c r="A129" s="9"/>
      <c r="B129" s="13" t="e">
        <f>VLOOKUP(Table2456[[#This Row],[Location 
(drop-down)]],'List source'!D$2:E$59,2,FALSE)</f>
        <v>#N/A</v>
      </c>
      <c r="C129" s="25" t="s">
        <v>376</v>
      </c>
      <c r="D129" s="33" t="e">
        <f t="shared" si="3"/>
        <v>#N/A</v>
      </c>
      <c r="E129" s="33" t="e">
        <f>VLOOKUP(Table2456[[#This Row],[Location 
(drop-down)]],Table1[#All],3,FALSE)</f>
        <v>#N/A</v>
      </c>
      <c r="F129" s="47"/>
      <c r="G129" s="47"/>
      <c r="H129" s="47"/>
      <c r="I129" s="47"/>
      <c r="J129" s="10"/>
      <c r="K129" s="10"/>
      <c r="L129" s="10"/>
    </row>
    <row r="130" spans="1:12" s="4" customFormat="1" ht="30" customHeight="1" x14ac:dyDescent="0.25">
      <c r="A130" s="9"/>
      <c r="B130" s="13" t="e">
        <f>VLOOKUP(Table2456[[#This Row],[Location 
(drop-down)]],'List source'!D$2:E$59,2,FALSE)</f>
        <v>#N/A</v>
      </c>
      <c r="C130" s="25" t="s">
        <v>379</v>
      </c>
      <c r="D130" s="33" t="e">
        <f t="shared" ref="D130:D151" si="4">"CAF" &amp; C130 &amp; "-" &amp; B130 &amp; "-" &amp; "23"</f>
        <v>#N/A</v>
      </c>
      <c r="E130" s="33" t="e">
        <f>VLOOKUP(Table2456[[#This Row],[Location 
(drop-down)]],Table1[#All],3,FALSE)</f>
        <v>#N/A</v>
      </c>
      <c r="F130" s="47"/>
      <c r="G130" s="47"/>
      <c r="H130" s="47"/>
      <c r="I130" s="47"/>
      <c r="J130" s="10"/>
      <c r="K130" s="10"/>
      <c r="L130" s="10"/>
    </row>
    <row r="131" spans="1:12" s="4" customFormat="1" ht="30" customHeight="1" x14ac:dyDescent="0.25">
      <c r="A131" s="9"/>
      <c r="B131" s="13" t="e">
        <f>VLOOKUP(Table2456[[#This Row],[Location 
(drop-down)]],'List source'!D$2:E$59,2,FALSE)</f>
        <v>#N/A</v>
      </c>
      <c r="C131" s="25" t="s">
        <v>381</v>
      </c>
      <c r="D131" s="33" t="e">
        <f t="shared" si="4"/>
        <v>#N/A</v>
      </c>
      <c r="E131" s="33" t="e">
        <f>VLOOKUP(Table2456[[#This Row],[Location 
(drop-down)]],Table1[#All],3,FALSE)</f>
        <v>#N/A</v>
      </c>
      <c r="F131" s="47"/>
      <c r="G131" s="47"/>
      <c r="H131" s="47"/>
      <c r="I131" s="47"/>
      <c r="J131" s="10"/>
      <c r="K131" s="10"/>
      <c r="L131" s="10"/>
    </row>
    <row r="132" spans="1:12" s="4" customFormat="1" ht="30" customHeight="1" x14ac:dyDescent="0.25">
      <c r="A132" s="9"/>
      <c r="B132" s="13" t="e">
        <f>VLOOKUP(Table2456[[#This Row],[Location 
(drop-down)]],'List source'!D$2:E$59,2,FALSE)</f>
        <v>#N/A</v>
      </c>
      <c r="C132" s="25" t="s">
        <v>384</v>
      </c>
      <c r="D132" s="33" t="e">
        <f t="shared" si="4"/>
        <v>#N/A</v>
      </c>
      <c r="E132" s="33" t="e">
        <f>VLOOKUP(Table2456[[#This Row],[Location 
(drop-down)]],Table1[#All],3,FALSE)</f>
        <v>#N/A</v>
      </c>
      <c r="F132" s="47"/>
      <c r="G132" s="47"/>
      <c r="H132" s="47"/>
      <c r="I132" s="47"/>
      <c r="J132" s="10"/>
      <c r="K132" s="10"/>
      <c r="L132" s="10"/>
    </row>
    <row r="133" spans="1:12" s="4" customFormat="1" ht="30" customHeight="1" x14ac:dyDescent="0.25">
      <c r="A133" s="9"/>
      <c r="B133" s="13" t="e">
        <f>VLOOKUP(Table2456[[#This Row],[Location 
(drop-down)]],'List source'!D$2:E$59,2,FALSE)</f>
        <v>#N/A</v>
      </c>
      <c r="C133" s="25" t="s">
        <v>386</v>
      </c>
      <c r="D133" s="33" t="e">
        <f t="shared" si="4"/>
        <v>#N/A</v>
      </c>
      <c r="E133" s="33" t="e">
        <f>VLOOKUP(Table2456[[#This Row],[Location 
(drop-down)]],Table1[#All],3,FALSE)</f>
        <v>#N/A</v>
      </c>
      <c r="F133" s="47"/>
      <c r="G133" s="47"/>
      <c r="H133" s="47"/>
      <c r="I133" s="47"/>
      <c r="J133" s="10"/>
      <c r="K133" s="10"/>
      <c r="L133" s="10"/>
    </row>
    <row r="134" spans="1:12" s="4" customFormat="1" ht="30" customHeight="1" x14ac:dyDescent="0.25">
      <c r="A134" s="9"/>
      <c r="B134" s="13" t="e">
        <f>VLOOKUP(Table2456[[#This Row],[Location 
(drop-down)]],'List source'!D$2:E$59,2,FALSE)</f>
        <v>#N/A</v>
      </c>
      <c r="C134" s="25" t="s">
        <v>388</v>
      </c>
      <c r="D134" s="33" t="e">
        <f t="shared" si="4"/>
        <v>#N/A</v>
      </c>
      <c r="E134" s="33" t="e">
        <f>VLOOKUP(Table2456[[#This Row],[Location 
(drop-down)]],Table1[#All],3,FALSE)</f>
        <v>#N/A</v>
      </c>
      <c r="F134" s="47"/>
      <c r="G134" s="47"/>
      <c r="H134" s="47"/>
      <c r="I134" s="47"/>
      <c r="J134" s="10"/>
      <c r="K134" s="10"/>
      <c r="L134" s="10"/>
    </row>
    <row r="135" spans="1:12" s="4" customFormat="1" ht="30" customHeight="1" x14ac:dyDescent="0.25">
      <c r="A135" s="9"/>
      <c r="B135" s="13" t="e">
        <f>VLOOKUP(Table2456[[#This Row],[Location 
(drop-down)]],'List source'!D$2:E$59,2,FALSE)</f>
        <v>#N/A</v>
      </c>
      <c r="C135" s="25" t="s">
        <v>390</v>
      </c>
      <c r="D135" s="33" t="e">
        <f t="shared" si="4"/>
        <v>#N/A</v>
      </c>
      <c r="E135" s="33" t="e">
        <f>VLOOKUP(Table2456[[#This Row],[Location 
(drop-down)]],Table1[#All],3,FALSE)</f>
        <v>#N/A</v>
      </c>
      <c r="F135" s="47"/>
      <c r="G135" s="47"/>
      <c r="H135" s="47"/>
      <c r="I135" s="47"/>
      <c r="J135" s="10"/>
      <c r="K135" s="10"/>
      <c r="L135" s="10"/>
    </row>
    <row r="136" spans="1:12" s="4" customFormat="1" ht="30" customHeight="1" x14ac:dyDescent="0.25">
      <c r="A136" s="9"/>
      <c r="B136" s="13" t="e">
        <f>VLOOKUP(Table2456[[#This Row],[Location 
(drop-down)]],'List source'!D$2:E$59,2,FALSE)</f>
        <v>#N/A</v>
      </c>
      <c r="C136" s="25" t="s">
        <v>393</v>
      </c>
      <c r="D136" s="33" t="e">
        <f t="shared" si="4"/>
        <v>#N/A</v>
      </c>
      <c r="E136" s="33" t="e">
        <f>VLOOKUP(Table2456[[#This Row],[Location 
(drop-down)]],Table1[#All],3,FALSE)</f>
        <v>#N/A</v>
      </c>
      <c r="F136" s="47"/>
      <c r="G136" s="47"/>
      <c r="H136" s="47"/>
      <c r="I136" s="47"/>
      <c r="J136" s="10"/>
      <c r="K136" s="10"/>
      <c r="L136" s="10"/>
    </row>
    <row r="137" spans="1:12" s="4" customFormat="1" ht="30" customHeight="1" x14ac:dyDescent="0.25">
      <c r="A137" s="9"/>
      <c r="B137" s="13" t="e">
        <f>VLOOKUP(Table2456[[#This Row],[Location 
(drop-down)]],'List source'!D$2:E$59,2,FALSE)</f>
        <v>#N/A</v>
      </c>
      <c r="C137" s="25" t="s">
        <v>396</v>
      </c>
      <c r="D137" s="33" t="e">
        <f t="shared" si="4"/>
        <v>#N/A</v>
      </c>
      <c r="E137" s="33" t="e">
        <f>VLOOKUP(Table2456[[#This Row],[Location 
(drop-down)]],Table1[#All],3,FALSE)</f>
        <v>#N/A</v>
      </c>
      <c r="F137" s="47"/>
      <c r="G137" s="47"/>
      <c r="H137" s="47"/>
      <c r="I137" s="47"/>
      <c r="J137" s="10"/>
      <c r="K137" s="10"/>
      <c r="L137" s="10"/>
    </row>
    <row r="138" spans="1:12" s="4" customFormat="1" ht="30" customHeight="1" x14ac:dyDescent="0.25">
      <c r="A138" s="9"/>
      <c r="B138" s="13" t="e">
        <f>VLOOKUP(Table2456[[#This Row],[Location 
(drop-down)]],'List source'!D$2:E$59,2,FALSE)</f>
        <v>#N/A</v>
      </c>
      <c r="C138" s="25" t="s">
        <v>398</v>
      </c>
      <c r="D138" s="33" t="e">
        <f t="shared" si="4"/>
        <v>#N/A</v>
      </c>
      <c r="E138" s="33" t="e">
        <f>VLOOKUP(Table2456[[#This Row],[Location 
(drop-down)]],Table1[#All],3,FALSE)</f>
        <v>#N/A</v>
      </c>
      <c r="F138" s="47"/>
      <c r="G138" s="47"/>
      <c r="H138" s="47"/>
      <c r="I138" s="47"/>
      <c r="J138" s="10"/>
      <c r="K138" s="10"/>
      <c r="L138" s="10"/>
    </row>
    <row r="139" spans="1:12" s="4" customFormat="1" ht="30" customHeight="1" x14ac:dyDescent="0.25">
      <c r="A139" s="9"/>
      <c r="B139" s="13" t="e">
        <f>VLOOKUP(Table2456[[#This Row],[Location 
(drop-down)]],'List source'!D$2:E$59,2,FALSE)</f>
        <v>#N/A</v>
      </c>
      <c r="C139" s="25" t="s">
        <v>401</v>
      </c>
      <c r="D139" s="33" t="e">
        <f t="shared" si="4"/>
        <v>#N/A</v>
      </c>
      <c r="E139" s="33" t="e">
        <f>VLOOKUP(Table2456[[#This Row],[Location 
(drop-down)]],Table1[#All],3,FALSE)</f>
        <v>#N/A</v>
      </c>
      <c r="F139" s="47"/>
      <c r="G139" s="47"/>
      <c r="H139" s="47"/>
      <c r="I139" s="47"/>
      <c r="J139" s="10"/>
      <c r="K139" s="10"/>
      <c r="L139" s="10"/>
    </row>
    <row r="140" spans="1:12" s="4" customFormat="1" ht="30" customHeight="1" x14ac:dyDescent="0.25">
      <c r="A140" s="9"/>
      <c r="B140" s="13" t="e">
        <f>VLOOKUP(Table2456[[#This Row],[Location 
(drop-down)]],'List source'!D$2:E$59,2,FALSE)</f>
        <v>#N/A</v>
      </c>
      <c r="C140" s="25" t="s">
        <v>405</v>
      </c>
      <c r="D140" s="33" t="e">
        <f t="shared" si="4"/>
        <v>#N/A</v>
      </c>
      <c r="E140" s="33" t="e">
        <f>VLOOKUP(Table2456[[#This Row],[Location 
(drop-down)]],Table1[#All],3,FALSE)</f>
        <v>#N/A</v>
      </c>
      <c r="F140" s="47"/>
      <c r="G140" s="47"/>
      <c r="H140" s="47"/>
      <c r="I140" s="47"/>
      <c r="J140" s="10"/>
      <c r="K140" s="10"/>
      <c r="L140" s="10"/>
    </row>
    <row r="141" spans="1:12" s="4" customFormat="1" ht="30" customHeight="1" x14ac:dyDescent="0.25">
      <c r="A141" s="9"/>
      <c r="B141" s="13" t="e">
        <f>VLOOKUP(Table2456[[#This Row],[Location 
(drop-down)]],'List source'!D$2:E$59,2,FALSE)</f>
        <v>#N/A</v>
      </c>
      <c r="C141" s="25" t="s">
        <v>406</v>
      </c>
      <c r="D141" s="33" t="e">
        <f t="shared" si="4"/>
        <v>#N/A</v>
      </c>
      <c r="E141" s="33" t="e">
        <f>VLOOKUP(Table2456[[#This Row],[Location 
(drop-down)]],Table1[#All],3,FALSE)</f>
        <v>#N/A</v>
      </c>
      <c r="F141" s="47"/>
      <c r="G141" s="47"/>
      <c r="H141" s="47"/>
      <c r="I141" s="47"/>
      <c r="J141" s="10"/>
      <c r="K141" s="10"/>
      <c r="L141" s="10"/>
    </row>
    <row r="142" spans="1:12" s="4" customFormat="1" ht="30" customHeight="1" x14ac:dyDescent="0.25">
      <c r="A142" s="9"/>
      <c r="B142" s="13" t="e">
        <f>VLOOKUP(Table2456[[#This Row],[Location 
(drop-down)]],'List source'!D$2:E$59,2,FALSE)</f>
        <v>#N/A</v>
      </c>
      <c r="C142" s="25" t="s">
        <v>408</v>
      </c>
      <c r="D142" s="33" t="e">
        <f t="shared" si="4"/>
        <v>#N/A</v>
      </c>
      <c r="E142" s="33" t="e">
        <f>VLOOKUP(Table2456[[#This Row],[Location 
(drop-down)]],Table1[#All],3,FALSE)</f>
        <v>#N/A</v>
      </c>
      <c r="F142" s="47"/>
      <c r="G142" s="47"/>
      <c r="H142" s="47"/>
      <c r="I142" s="47"/>
      <c r="J142" s="10"/>
      <c r="K142" s="10"/>
      <c r="L142" s="10"/>
    </row>
    <row r="143" spans="1:12" s="4" customFormat="1" ht="30" customHeight="1" x14ac:dyDescent="0.25">
      <c r="A143" s="9"/>
      <c r="B143" s="13" t="e">
        <f>VLOOKUP(Table2456[[#This Row],[Location 
(drop-down)]],'List source'!D$2:E$59,2,FALSE)</f>
        <v>#N/A</v>
      </c>
      <c r="C143" s="25" t="s">
        <v>412</v>
      </c>
      <c r="D143" s="33" t="e">
        <f t="shared" si="4"/>
        <v>#N/A</v>
      </c>
      <c r="E143" s="33" t="e">
        <f>VLOOKUP(Table2456[[#This Row],[Location 
(drop-down)]],Table1[#All],3,FALSE)</f>
        <v>#N/A</v>
      </c>
      <c r="F143" s="47"/>
      <c r="G143" s="47"/>
      <c r="H143" s="47"/>
      <c r="I143" s="47"/>
      <c r="J143" s="10"/>
      <c r="K143" s="10"/>
      <c r="L143" s="10"/>
    </row>
    <row r="144" spans="1:12" s="4" customFormat="1" ht="30" customHeight="1" x14ac:dyDescent="0.25">
      <c r="A144" s="9"/>
      <c r="B144" s="13" t="e">
        <f>VLOOKUP(Table2456[[#This Row],[Location 
(drop-down)]],'List source'!D$2:E$59,2,FALSE)</f>
        <v>#N/A</v>
      </c>
      <c r="C144" s="25" t="s">
        <v>414</v>
      </c>
      <c r="D144" s="33" t="e">
        <f t="shared" si="4"/>
        <v>#N/A</v>
      </c>
      <c r="E144" s="33" t="e">
        <f>VLOOKUP(Table2456[[#This Row],[Location 
(drop-down)]],Table1[#All],3,FALSE)</f>
        <v>#N/A</v>
      </c>
      <c r="F144" s="47"/>
      <c r="G144" s="47"/>
      <c r="H144" s="47"/>
      <c r="I144" s="47"/>
      <c r="J144" s="10"/>
      <c r="K144" s="10"/>
      <c r="L144" s="10"/>
    </row>
    <row r="145" spans="1:12" s="4" customFormat="1" ht="30" customHeight="1" x14ac:dyDescent="0.25">
      <c r="A145" s="9"/>
      <c r="B145" s="13" t="e">
        <f>VLOOKUP(Table2456[[#This Row],[Location 
(drop-down)]],'List source'!D$2:E$59,2,FALSE)</f>
        <v>#N/A</v>
      </c>
      <c r="C145" s="25" t="s">
        <v>419</v>
      </c>
      <c r="D145" s="33" t="e">
        <f t="shared" si="4"/>
        <v>#N/A</v>
      </c>
      <c r="E145" s="33" t="e">
        <f>VLOOKUP(Table2456[[#This Row],[Location 
(drop-down)]],Table1[#All],3,FALSE)</f>
        <v>#N/A</v>
      </c>
      <c r="F145" s="47"/>
      <c r="G145" s="47"/>
      <c r="H145" s="47"/>
      <c r="I145" s="47"/>
      <c r="J145" s="10"/>
      <c r="K145" s="10"/>
      <c r="L145" s="10"/>
    </row>
    <row r="146" spans="1:12" s="4" customFormat="1" ht="30" customHeight="1" x14ac:dyDescent="0.25">
      <c r="A146" s="9"/>
      <c r="B146" s="13" t="e">
        <f>VLOOKUP(Table2456[[#This Row],[Location 
(drop-down)]],'List source'!D$2:E$59,2,FALSE)</f>
        <v>#N/A</v>
      </c>
      <c r="C146" s="25" t="s">
        <v>422</v>
      </c>
      <c r="D146" s="33" t="e">
        <f t="shared" si="4"/>
        <v>#N/A</v>
      </c>
      <c r="E146" s="33" t="e">
        <f>VLOOKUP(Table2456[[#This Row],[Location 
(drop-down)]],Table1[#All],3,FALSE)</f>
        <v>#N/A</v>
      </c>
      <c r="F146" s="47"/>
      <c r="G146" s="47"/>
      <c r="H146" s="47"/>
      <c r="I146" s="47"/>
      <c r="J146" s="10"/>
      <c r="K146" s="10"/>
      <c r="L146" s="10"/>
    </row>
    <row r="147" spans="1:12" s="4" customFormat="1" ht="30" customHeight="1" x14ac:dyDescent="0.25">
      <c r="A147" s="9"/>
      <c r="B147" s="13" t="e">
        <f>VLOOKUP(Table2456[[#This Row],[Location 
(drop-down)]],'List source'!D$2:E$59,2,FALSE)</f>
        <v>#N/A</v>
      </c>
      <c r="C147" s="25" t="s">
        <v>426</v>
      </c>
      <c r="D147" s="33" t="e">
        <f t="shared" si="4"/>
        <v>#N/A</v>
      </c>
      <c r="E147" s="33" t="e">
        <f>VLOOKUP(Table2456[[#This Row],[Location 
(drop-down)]],Table1[#All],3,FALSE)</f>
        <v>#N/A</v>
      </c>
      <c r="F147" s="47"/>
      <c r="G147" s="47"/>
      <c r="H147" s="47"/>
      <c r="I147" s="47"/>
      <c r="J147" s="13"/>
      <c r="K147" s="13"/>
      <c r="L147" s="13"/>
    </row>
    <row r="148" spans="1:12" s="4" customFormat="1" ht="30" customHeight="1" x14ac:dyDescent="0.25">
      <c r="A148" s="9"/>
      <c r="B148" s="13" t="e">
        <f>VLOOKUP(Table2456[[#This Row],[Location 
(drop-down)]],'List source'!D$2:E$59,2,FALSE)</f>
        <v>#N/A</v>
      </c>
      <c r="C148" s="25" t="s">
        <v>430</v>
      </c>
      <c r="D148" s="33" t="e">
        <f t="shared" si="4"/>
        <v>#N/A</v>
      </c>
      <c r="E148" s="33" t="e">
        <f>VLOOKUP(Table2456[[#This Row],[Location 
(drop-down)]],Table1[#All],3,FALSE)</f>
        <v>#N/A</v>
      </c>
      <c r="F148" s="47"/>
      <c r="G148" s="47"/>
      <c r="H148" s="47"/>
      <c r="I148" s="47"/>
      <c r="J148" s="47"/>
      <c r="K148" s="47"/>
      <c r="L148" s="47"/>
    </row>
    <row r="149" spans="1:12" s="4" customFormat="1" ht="30" customHeight="1" x14ac:dyDescent="0.25">
      <c r="A149" s="9"/>
      <c r="B149" s="13" t="e">
        <f>VLOOKUP(Table2456[[#This Row],[Location 
(drop-down)]],'List source'!D$2:E$59,2,FALSE)</f>
        <v>#N/A</v>
      </c>
      <c r="C149" s="25" t="s">
        <v>433</v>
      </c>
      <c r="D149" s="33" t="e">
        <f t="shared" si="4"/>
        <v>#N/A</v>
      </c>
      <c r="E149" s="33" t="e">
        <f>VLOOKUP(Table2456[[#This Row],[Location 
(drop-down)]],Table1[#All],3,FALSE)</f>
        <v>#N/A</v>
      </c>
      <c r="F149" s="47"/>
      <c r="G149" s="47"/>
      <c r="H149" s="47"/>
      <c r="I149" s="47"/>
      <c r="J149" s="47"/>
      <c r="K149" s="47"/>
      <c r="L149" s="47"/>
    </row>
    <row r="150" spans="1:12" s="4" customFormat="1" ht="30" customHeight="1" x14ac:dyDescent="0.25">
      <c r="A150" s="9"/>
      <c r="B150" s="13" t="e">
        <f>VLOOKUP(Table2456[[#This Row],[Location 
(drop-down)]],'List source'!D$2:E$59,2,FALSE)</f>
        <v>#N/A</v>
      </c>
      <c r="C150" s="25" t="s">
        <v>438</v>
      </c>
      <c r="D150" s="33" t="e">
        <f t="shared" si="4"/>
        <v>#N/A</v>
      </c>
      <c r="E150" s="33" t="e">
        <f>VLOOKUP(Table2456[[#This Row],[Location 
(drop-down)]],Table1[#All],3,FALSE)</f>
        <v>#N/A</v>
      </c>
      <c r="F150" s="47"/>
      <c r="G150" s="47"/>
      <c r="H150" s="47"/>
      <c r="I150" s="47"/>
      <c r="J150" s="47"/>
      <c r="K150" s="47"/>
      <c r="L150" s="47"/>
    </row>
    <row r="151" spans="1:12" s="4" customFormat="1" ht="30" customHeight="1" x14ac:dyDescent="0.25">
      <c r="A151" s="9"/>
      <c r="B151" s="13" t="e">
        <f>VLOOKUP(Table2456[[#This Row],[Location 
(drop-down)]],'List source'!D$2:E$59,2,FALSE)</f>
        <v>#N/A</v>
      </c>
      <c r="C151" s="25" t="s">
        <v>441</v>
      </c>
      <c r="D151" s="33" t="e">
        <f t="shared" si="4"/>
        <v>#N/A</v>
      </c>
      <c r="E151" s="33" t="e">
        <f>VLOOKUP(Table2456[[#This Row],[Location 
(drop-down)]],Table1[#All],3,FALSE)</f>
        <v>#N/A</v>
      </c>
      <c r="F151" s="47"/>
      <c r="G151" s="47"/>
      <c r="H151" s="47"/>
      <c r="I151" s="47"/>
      <c r="J151" s="13"/>
      <c r="K151" s="13"/>
      <c r="L151" s="13"/>
    </row>
  </sheetData>
  <pageMargins left="0.7" right="0.7" top="0.75" bottom="0.75" header="0.3" footer="0.3"/>
  <pageSetup scale="51"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5957EEC8-8E8B-426A-81A0-3C5A9D80852D}">
          <x14:formula1>
            <xm:f>'List source'!$C$18:$C$23</xm:f>
          </x14:formula1>
          <xm:sqref>J2:J151</xm:sqref>
        </x14:dataValidation>
        <x14:dataValidation type="list" allowBlank="1" showInputMessage="1" showErrorMessage="1" xr:uid="{CF8919E4-1A6B-41C1-ADC8-620CC24FDFEB}">
          <x14:formula1>
            <xm:f>'List source'!$D$2:$D$59</xm:f>
          </x14:formula1>
          <xm:sqref>A2:A151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2"/>
  <sheetViews>
    <sheetView topLeftCell="B1" zoomScaleNormal="100" workbookViewId="0">
      <pane ySplit="1" topLeftCell="A32" activePane="bottomLeft" state="frozen"/>
      <selection activeCell="C1" sqref="C1"/>
      <selection pane="bottomLeft" activeCell="F55" sqref="F55"/>
    </sheetView>
  </sheetViews>
  <sheetFormatPr defaultRowHeight="15" x14ac:dyDescent="0.25"/>
  <cols>
    <col min="1" max="1" width="67.5703125" customWidth="1"/>
    <col min="2" max="2" width="36.28515625" customWidth="1"/>
    <col min="3" max="3" width="18.28515625" customWidth="1"/>
    <col min="4" max="4" width="30.5703125" bestFit="1" customWidth="1"/>
    <col min="5" max="5" width="13.28515625" style="1" customWidth="1"/>
    <col min="6" max="6" width="23" customWidth="1"/>
  </cols>
  <sheetData>
    <row r="1" spans="1:6" ht="15.75" thickBot="1" x14ac:dyDescent="0.3">
      <c r="A1" s="55" t="s">
        <v>2912</v>
      </c>
      <c r="B1" s="56" t="s">
        <v>2913</v>
      </c>
      <c r="C1" s="57" t="s">
        <v>2914</v>
      </c>
      <c r="D1" s="59" t="s">
        <v>2915</v>
      </c>
      <c r="E1" s="60" t="s">
        <v>1</v>
      </c>
      <c r="F1" s="59" t="s">
        <v>811</v>
      </c>
    </row>
    <row r="2" spans="1:6" x14ac:dyDescent="0.25">
      <c r="A2" s="50" t="s">
        <v>903</v>
      </c>
      <c r="B2" s="51" t="s">
        <v>881</v>
      </c>
      <c r="C2" s="52" t="s">
        <v>97</v>
      </c>
      <c r="D2" s="53" t="s">
        <v>1070</v>
      </c>
      <c r="E2" s="54">
        <v>119</v>
      </c>
      <c r="F2" s="70" t="s">
        <v>2916</v>
      </c>
    </row>
    <row r="3" spans="1:6" x14ac:dyDescent="0.25">
      <c r="A3" s="34" t="s">
        <v>914</v>
      </c>
      <c r="B3" s="35" t="s">
        <v>832</v>
      </c>
      <c r="C3" s="39" t="s">
        <v>147</v>
      </c>
      <c r="D3" s="42" t="s">
        <v>2917</v>
      </c>
      <c r="E3" s="41">
        <v>111</v>
      </c>
      <c r="F3" s="70" t="s">
        <v>2918</v>
      </c>
    </row>
    <row r="4" spans="1:6" x14ac:dyDescent="0.25">
      <c r="A4" s="34" t="s">
        <v>15</v>
      </c>
      <c r="B4" s="35" t="s">
        <v>858</v>
      </c>
      <c r="C4" s="39" t="s">
        <v>913</v>
      </c>
      <c r="D4" s="40" t="s">
        <v>226</v>
      </c>
      <c r="E4" s="41">
        <v>110</v>
      </c>
      <c r="F4" s="70" t="s">
        <v>2918</v>
      </c>
    </row>
    <row r="5" spans="1:6" x14ac:dyDescent="0.25">
      <c r="A5" s="34" t="s">
        <v>870</v>
      </c>
      <c r="B5" s="35" t="s">
        <v>837</v>
      </c>
      <c r="C5" s="39" t="s">
        <v>15</v>
      </c>
      <c r="D5" s="40" t="s">
        <v>47</v>
      </c>
      <c r="E5" s="41">
        <v>215</v>
      </c>
      <c r="F5" s="70" t="s">
        <v>2919</v>
      </c>
    </row>
    <row r="6" spans="1:6" x14ac:dyDescent="0.25">
      <c r="A6" s="34" t="s">
        <v>854</v>
      </c>
      <c r="B6" s="36" t="s">
        <v>828</v>
      </c>
      <c r="C6" s="39" t="s">
        <v>50</v>
      </c>
      <c r="D6" s="43" t="s">
        <v>1485</v>
      </c>
      <c r="E6" s="41">
        <v>195</v>
      </c>
      <c r="F6" s="70" t="s">
        <v>2919</v>
      </c>
    </row>
    <row r="7" spans="1:6" x14ac:dyDescent="0.25">
      <c r="A7" s="34" t="s">
        <v>857</v>
      </c>
      <c r="B7" s="35" t="s">
        <v>822</v>
      </c>
      <c r="C7" s="3"/>
      <c r="D7" s="43" t="s">
        <v>873</v>
      </c>
      <c r="E7" s="41">
        <v>190</v>
      </c>
      <c r="F7" s="70" t="s">
        <v>2919</v>
      </c>
    </row>
    <row r="8" spans="1:6" x14ac:dyDescent="0.25">
      <c r="A8" s="34" t="s">
        <v>862</v>
      </c>
      <c r="B8" s="35" t="s">
        <v>910</v>
      </c>
      <c r="C8" s="3"/>
      <c r="D8" s="40" t="s">
        <v>378</v>
      </c>
      <c r="E8" s="41">
        <v>116</v>
      </c>
      <c r="F8" s="70" t="s">
        <v>2919</v>
      </c>
    </row>
    <row r="9" spans="1:6" x14ac:dyDescent="0.25">
      <c r="A9" s="34" t="s">
        <v>50</v>
      </c>
      <c r="B9" s="37" t="s">
        <v>50</v>
      </c>
      <c r="C9" s="38" t="s">
        <v>2920</v>
      </c>
      <c r="D9" s="43" t="s">
        <v>27</v>
      </c>
      <c r="E9" s="41">
        <v>132</v>
      </c>
      <c r="F9" s="70" t="s">
        <v>2921</v>
      </c>
    </row>
    <row r="10" spans="1:6" x14ac:dyDescent="0.25">
      <c r="C10" s="39" t="s">
        <v>97</v>
      </c>
      <c r="D10" s="40" t="s">
        <v>1270</v>
      </c>
      <c r="E10" s="41">
        <v>124</v>
      </c>
      <c r="F10" s="70" t="s">
        <v>2916</v>
      </c>
    </row>
    <row r="11" spans="1:6" x14ac:dyDescent="0.25">
      <c r="C11" s="39" t="s">
        <v>147</v>
      </c>
      <c r="D11" s="40" t="s">
        <v>79</v>
      </c>
      <c r="E11" s="41">
        <v>141</v>
      </c>
      <c r="F11" s="70" t="s">
        <v>2918</v>
      </c>
    </row>
    <row r="12" spans="1:6" x14ac:dyDescent="0.25">
      <c r="C12" s="39" t="s">
        <v>913</v>
      </c>
      <c r="D12" s="40" t="s">
        <v>37</v>
      </c>
      <c r="E12" s="41">
        <v>158</v>
      </c>
      <c r="F12" s="70" t="s">
        <v>2916</v>
      </c>
    </row>
    <row r="13" spans="1:6" x14ac:dyDescent="0.25">
      <c r="A13" s="66" t="s">
        <v>812</v>
      </c>
      <c r="C13" s="39" t="s">
        <v>15</v>
      </c>
      <c r="D13" s="43" t="s">
        <v>52</v>
      </c>
      <c r="E13" s="41">
        <v>127</v>
      </c>
      <c r="F13" s="70" t="s">
        <v>2919</v>
      </c>
    </row>
    <row r="14" spans="1:6" x14ac:dyDescent="0.25">
      <c r="A14" s="67" t="s">
        <v>852</v>
      </c>
      <c r="C14" s="39" t="s">
        <v>50</v>
      </c>
      <c r="D14" s="40" t="s">
        <v>168</v>
      </c>
      <c r="E14" s="41">
        <v>136</v>
      </c>
      <c r="F14" s="70" t="s">
        <v>2919</v>
      </c>
    </row>
    <row r="15" spans="1:6" x14ac:dyDescent="0.25">
      <c r="A15" s="67" t="s">
        <v>159</v>
      </c>
      <c r="C15" s="3"/>
      <c r="D15" s="43" t="s">
        <v>1052</v>
      </c>
      <c r="E15" s="41">
        <v>138</v>
      </c>
      <c r="F15" s="70" t="s">
        <v>2919</v>
      </c>
    </row>
    <row r="16" spans="1:6" x14ac:dyDescent="0.25">
      <c r="A16" s="67" t="s">
        <v>935</v>
      </c>
      <c r="D16" s="43" t="s">
        <v>112</v>
      </c>
      <c r="E16" s="41">
        <v>115</v>
      </c>
      <c r="F16" s="70" t="s">
        <v>2919</v>
      </c>
    </row>
    <row r="17" spans="1:6" x14ac:dyDescent="0.25">
      <c r="A17" s="67" t="s">
        <v>94</v>
      </c>
      <c r="C17" s="83" t="s">
        <v>2922</v>
      </c>
      <c r="D17" s="40" t="s">
        <v>2923</v>
      </c>
      <c r="E17" s="41">
        <v>101</v>
      </c>
      <c r="F17" s="70" t="s">
        <v>2924</v>
      </c>
    </row>
    <row r="18" spans="1:6" x14ac:dyDescent="0.25">
      <c r="A18" s="67" t="s">
        <v>15</v>
      </c>
      <c r="C18" s="84" t="s">
        <v>97</v>
      </c>
      <c r="D18" s="43" t="s">
        <v>57</v>
      </c>
      <c r="E18" s="41">
        <v>155</v>
      </c>
      <c r="F18" s="70" t="s">
        <v>2916</v>
      </c>
    </row>
    <row r="19" spans="1:6" ht="15.75" x14ac:dyDescent="0.3">
      <c r="A19" s="68" t="s">
        <v>269</v>
      </c>
      <c r="C19" s="84" t="s">
        <v>2848</v>
      </c>
      <c r="D19" s="43" t="s">
        <v>1117</v>
      </c>
      <c r="E19" s="41">
        <v>154</v>
      </c>
      <c r="F19" s="70" t="s">
        <v>2916</v>
      </c>
    </row>
    <row r="20" spans="1:6" x14ac:dyDescent="0.25">
      <c r="A20" s="67" t="s">
        <v>50</v>
      </c>
      <c r="C20" s="84" t="s">
        <v>2925</v>
      </c>
      <c r="D20" s="43" t="s">
        <v>1658</v>
      </c>
      <c r="E20" s="41">
        <v>159</v>
      </c>
      <c r="F20" s="70" t="s">
        <v>2916</v>
      </c>
    </row>
    <row r="21" spans="1:6" x14ac:dyDescent="0.25">
      <c r="C21" s="84" t="s">
        <v>2926</v>
      </c>
      <c r="D21" s="43" t="s">
        <v>2927</v>
      </c>
      <c r="E21" s="41">
        <v>147</v>
      </c>
      <c r="F21" s="70" t="s">
        <v>2919</v>
      </c>
    </row>
    <row r="22" spans="1:6" x14ac:dyDescent="0.25">
      <c r="C22" s="84" t="s">
        <v>2928</v>
      </c>
      <c r="D22" s="43" t="s">
        <v>1057</v>
      </c>
      <c r="E22" s="41">
        <v>157</v>
      </c>
      <c r="F22" s="70" t="s">
        <v>2916</v>
      </c>
    </row>
    <row r="23" spans="1:6" x14ac:dyDescent="0.25">
      <c r="C23" s="84" t="s">
        <v>50</v>
      </c>
      <c r="D23" s="40" t="s">
        <v>126</v>
      </c>
      <c r="E23" s="41">
        <v>125</v>
      </c>
      <c r="F23" s="70" t="s">
        <v>2919</v>
      </c>
    </row>
    <row r="24" spans="1:6" x14ac:dyDescent="0.25">
      <c r="A24" s="85" t="s">
        <v>2929</v>
      </c>
      <c r="B24" s="194" t="s">
        <v>2930</v>
      </c>
      <c r="D24" s="42" t="s">
        <v>42</v>
      </c>
      <c r="E24" s="41">
        <v>198</v>
      </c>
      <c r="F24" s="70" t="s">
        <v>2918</v>
      </c>
    </row>
    <row r="25" spans="1:6" x14ac:dyDescent="0.25">
      <c r="A25" s="86" t="s">
        <v>2134</v>
      </c>
      <c r="B25" s="87" t="s">
        <v>2147</v>
      </c>
      <c r="D25" s="42" t="s">
        <v>1094</v>
      </c>
      <c r="E25" s="41">
        <v>189</v>
      </c>
      <c r="F25" s="70" t="s">
        <v>2918</v>
      </c>
    </row>
    <row r="26" spans="1:6" x14ac:dyDescent="0.25">
      <c r="A26" s="86" t="s">
        <v>2146</v>
      </c>
      <c r="B26" s="87" t="s">
        <v>2139</v>
      </c>
      <c r="D26" s="42" t="s">
        <v>1023</v>
      </c>
      <c r="E26" s="41">
        <v>128</v>
      </c>
      <c r="F26" s="70" t="s">
        <v>2916</v>
      </c>
    </row>
    <row r="27" spans="1:6" x14ac:dyDescent="0.25">
      <c r="A27" s="86" t="s">
        <v>2142</v>
      </c>
      <c r="B27" s="87" t="s">
        <v>2135</v>
      </c>
      <c r="D27" s="40" t="s">
        <v>61</v>
      </c>
      <c r="E27" s="41">
        <v>120</v>
      </c>
      <c r="F27" s="70" t="s">
        <v>2916</v>
      </c>
    </row>
    <row r="28" spans="1:6" x14ac:dyDescent="0.25">
      <c r="A28" s="86" t="s">
        <v>2168</v>
      </c>
      <c r="B28" s="87" t="s">
        <v>50</v>
      </c>
      <c r="D28" s="43" t="s">
        <v>1245</v>
      </c>
      <c r="E28" s="41">
        <v>133</v>
      </c>
      <c r="F28" s="70" t="s">
        <v>2921</v>
      </c>
    </row>
    <row r="29" spans="1:6" x14ac:dyDescent="0.25">
      <c r="A29" s="86" t="s">
        <v>50</v>
      </c>
      <c r="D29" s="40" t="s">
        <v>66</v>
      </c>
      <c r="E29" s="41">
        <v>165</v>
      </c>
      <c r="F29" s="70" t="s">
        <v>2916</v>
      </c>
    </row>
    <row r="30" spans="1:6" x14ac:dyDescent="0.25">
      <c r="D30" s="40" t="s">
        <v>1289</v>
      </c>
      <c r="E30" s="41">
        <v>194</v>
      </c>
      <c r="F30" s="70" t="s">
        <v>2918</v>
      </c>
    </row>
    <row r="31" spans="1:6" x14ac:dyDescent="0.25">
      <c r="A31" s="89" t="s">
        <v>2931</v>
      </c>
      <c r="D31" s="40" t="s">
        <v>22</v>
      </c>
      <c r="E31" s="41">
        <v>130</v>
      </c>
      <c r="F31" s="70" t="s">
        <v>2921</v>
      </c>
    </row>
    <row r="32" spans="1:6" x14ac:dyDescent="0.25">
      <c r="A32" s="88" t="s">
        <v>2168</v>
      </c>
      <c r="D32" s="40" t="s">
        <v>886</v>
      </c>
      <c r="E32" s="41">
        <v>179</v>
      </c>
      <c r="F32" s="70" t="s">
        <v>2919</v>
      </c>
    </row>
    <row r="33" spans="1:6" x14ac:dyDescent="0.25">
      <c r="A33" s="88" t="s">
        <v>2142</v>
      </c>
      <c r="D33" s="43" t="s">
        <v>108</v>
      </c>
      <c r="E33" s="41">
        <v>191</v>
      </c>
      <c r="F33" s="70" t="s">
        <v>2919</v>
      </c>
    </row>
    <row r="34" spans="1:6" x14ac:dyDescent="0.25">
      <c r="A34" s="88" t="s">
        <v>2160</v>
      </c>
      <c r="D34" s="42" t="s">
        <v>75</v>
      </c>
      <c r="E34" s="41">
        <v>180</v>
      </c>
      <c r="F34" s="70" t="s">
        <v>2919</v>
      </c>
    </row>
    <row r="35" spans="1:6" x14ac:dyDescent="0.25">
      <c r="A35" s="88" t="s">
        <v>50</v>
      </c>
      <c r="D35" s="40" t="s">
        <v>1390</v>
      </c>
      <c r="E35" s="41">
        <v>135</v>
      </c>
      <c r="F35" s="70" t="s">
        <v>2916</v>
      </c>
    </row>
    <row r="36" spans="1:6" x14ac:dyDescent="0.25">
      <c r="D36" s="40" t="s">
        <v>331</v>
      </c>
      <c r="E36" s="41">
        <v>146</v>
      </c>
      <c r="F36" s="70" t="s">
        <v>2919</v>
      </c>
    </row>
    <row r="37" spans="1:6" x14ac:dyDescent="0.25">
      <c r="D37" s="40" t="s">
        <v>72</v>
      </c>
      <c r="E37" s="41">
        <v>197</v>
      </c>
      <c r="F37" s="70" t="s">
        <v>2918</v>
      </c>
    </row>
    <row r="38" spans="1:6" x14ac:dyDescent="0.25">
      <c r="D38" s="40" t="s">
        <v>826</v>
      </c>
      <c r="E38" s="41">
        <v>145</v>
      </c>
      <c r="F38" s="70" t="s">
        <v>2918</v>
      </c>
    </row>
    <row r="39" spans="1:6" x14ac:dyDescent="0.25">
      <c r="D39" s="40" t="s">
        <v>324</v>
      </c>
      <c r="E39" s="41">
        <v>170</v>
      </c>
      <c r="F39" s="70" t="s">
        <v>2919</v>
      </c>
    </row>
    <row r="40" spans="1:6" x14ac:dyDescent="0.25">
      <c r="D40" s="40" t="s">
        <v>446</v>
      </c>
      <c r="E40" s="41">
        <v>188</v>
      </c>
      <c r="F40" s="70" t="s">
        <v>2918</v>
      </c>
    </row>
    <row r="41" spans="1:6" x14ac:dyDescent="0.25">
      <c r="D41" s="43" t="s">
        <v>233</v>
      </c>
      <c r="E41" s="41">
        <v>156</v>
      </c>
      <c r="F41" s="70" t="s">
        <v>2916</v>
      </c>
    </row>
    <row r="42" spans="1:6" x14ac:dyDescent="0.25">
      <c r="D42" s="40" t="s">
        <v>878</v>
      </c>
      <c r="E42" s="41">
        <v>178</v>
      </c>
      <c r="F42" s="70" t="s">
        <v>2919</v>
      </c>
    </row>
    <row r="43" spans="1:6" x14ac:dyDescent="0.25">
      <c r="D43" s="43" t="s">
        <v>171</v>
      </c>
      <c r="E43" s="41">
        <v>160</v>
      </c>
      <c r="F43" s="70" t="s">
        <v>2916</v>
      </c>
    </row>
    <row r="44" spans="1:6" x14ac:dyDescent="0.25">
      <c r="D44" s="40" t="s">
        <v>208</v>
      </c>
      <c r="E44" s="41">
        <v>142</v>
      </c>
      <c r="F44" s="70" t="s">
        <v>2918</v>
      </c>
    </row>
    <row r="45" spans="1:6" x14ac:dyDescent="0.25">
      <c r="D45" s="43" t="s">
        <v>1508</v>
      </c>
      <c r="E45" s="41">
        <v>140</v>
      </c>
      <c r="F45" s="70" t="s">
        <v>2918</v>
      </c>
    </row>
    <row r="46" spans="1:6" x14ac:dyDescent="0.25">
      <c r="D46" s="43" t="s">
        <v>237</v>
      </c>
      <c r="E46" s="41">
        <v>192</v>
      </c>
      <c r="F46" s="70" t="s">
        <v>2919</v>
      </c>
    </row>
    <row r="47" spans="1:6" x14ac:dyDescent="0.25">
      <c r="D47" s="43" t="s">
        <v>174</v>
      </c>
      <c r="E47" s="41">
        <v>131</v>
      </c>
      <c r="F47" s="70" t="s">
        <v>2921</v>
      </c>
    </row>
    <row r="48" spans="1:6" x14ac:dyDescent="0.25">
      <c r="D48" s="40" t="s">
        <v>924</v>
      </c>
      <c r="E48" s="41">
        <v>144</v>
      </c>
      <c r="F48" s="70" t="s">
        <v>2919</v>
      </c>
    </row>
    <row r="49" spans="4:6" x14ac:dyDescent="0.25">
      <c r="D49" s="43" t="s">
        <v>953</v>
      </c>
      <c r="E49" s="41">
        <v>121</v>
      </c>
      <c r="F49" s="70" t="s">
        <v>2916</v>
      </c>
    </row>
    <row r="50" spans="4:6" x14ac:dyDescent="0.25">
      <c r="D50" s="43" t="s">
        <v>87</v>
      </c>
      <c r="E50" s="41">
        <v>210</v>
      </c>
      <c r="F50" s="70" t="s">
        <v>2919</v>
      </c>
    </row>
    <row r="51" spans="4:6" x14ac:dyDescent="0.25">
      <c r="D51" s="43" t="s">
        <v>1385</v>
      </c>
      <c r="E51" s="41">
        <v>139</v>
      </c>
      <c r="F51" s="198" t="s">
        <v>2919</v>
      </c>
    </row>
    <row r="52" spans="4:6" x14ac:dyDescent="0.25">
      <c r="D52" s="43" t="s">
        <v>1309</v>
      </c>
      <c r="E52" s="41">
        <v>171</v>
      </c>
      <c r="F52" s="70" t="s">
        <v>2919</v>
      </c>
    </row>
    <row r="53" spans="4:6" x14ac:dyDescent="0.25">
      <c r="D53" s="43" t="s">
        <v>1020</v>
      </c>
      <c r="E53" s="41">
        <v>199</v>
      </c>
      <c r="F53" s="70" t="s">
        <v>2918</v>
      </c>
    </row>
    <row r="54" spans="4:6" x14ac:dyDescent="0.25">
      <c r="D54" s="43" t="s">
        <v>1720</v>
      </c>
      <c r="E54" s="41">
        <v>137</v>
      </c>
      <c r="F54" s="70" t="s">
        <v>2921</v>
      </c>
    </row>
    <row r="55" spans="4:6" x14ac:dyDescent="0.25">
      <c r="D55" s="40" t="s">
        <v>13</v>
      </c>
      <c r="E55" s="41">
        <v>126</v>
      </c>
      <c r="F55" s="70" t="s">
        <v>2919</v>
      </c>
    </row>
    <row r="56" spans="4:6" x14ac:dyDescent="0.25">
      <c r="D56" s="40" t="s">
        <v>178</v>
      </c>
      <c r="E56" s="41">
        <v>150</v>
      </c>
      <c r="F56" s="70" t="s">
        <v>2916</v>
      </c>
    </row>
    <row r="57" spans="4:6" x14ac:dyDescent="0.25">
      <c r="D57" s="40" t="s">
        <v>1285</v>
      </c>
      <c r="E57" s="41">
        <v>129</v>
      </c>
      <c r="F57" s="70" t="s">
        <v>2921</v>
      </c>
    </row>
    <row r="58" spans="4:6" x14ac:dyDescent="0.25">
      <c r="D58" s="44" t="s">
        <v>131</v>
      </c>
      <c r="E58" s="45" t="s">
        <v>50</v>
      </c>
      <c r="F58" s="71" t="s">
        <v>50</v>
      </c>
    </row>
    <row r="59" spans="4:6" x14ac:dyDescent="0.25">
      <c r="D59" s="40" t="s">
        <v>411</v>
      </c>
      <c r="E59" s="41">
        <v>185</v>
      </c>
      <c r="F59" s="70" t="s">
        <v>2919</v>
      </c>
    </row>
    <row r="60" spans="4:6" x14ac:dyDescent="0.25">
      <c r="D60" s="4"/>
      <c r="E60"/>
    </row>
    <row r="62" spans="4:6" x14ac:dyDescent="0.25">
      <c r="D62" t="s">
        <v>2932</v>
      </c>
    </row>
    <row r="63" spans="4:6" x14ac:dyDescent="0.25">
      <c r="D63" t="s">
        <v>2933</v>
      </c>
      <c r="E63" s="1">
        <v>102</v>
      </c>
    </row>
    <row r="64" spans="4:6" x14ac:dyDescent="0.25">
      <c r="D64" t="s">
        <v>2934</v>
      </c>
      <c r="E64" s="1">
        <v>122</v>
      </c>
    </row>
    <row r="65" spans="4:5" x14ac:dyDescent="0.25">
      <c r="D65" t="s">
        <v>2935</v>
      </c>
      <c r="E65" s="1">
        <v>123</v>
      </c>
    </row>
    <row r="66" spans="4:5" x14ac:dyDescent="0.25">
      <c r="D66" t="s">
        <v>2936</v>
      </c>
      <c r="E66" s="1">
        <v>134</v>
      </c>
    </row>
    <row r="67" spans="4:5" x14ac:dyDescent="0.25">
      <c r="D67" t="s">
        <v>2937</v>
      </c>
      <c r="E67" s="1">
        <v>154</v>
      </c>
    </row>
    <row r="68" spans="4:5" x14ac:dyDescent="0.25">
      <c r="D68" t="s">
        <v>2938</v>
      </c>
      <c r="E68" s="1">
        <v>166</v>
      </c>
    </row>
    <row r="69" spans="4:5" x14ac:dyDescent="0.25">
      <c r="D69" t="s">
        <v>2939</v>
      </c>
      <c r="E69" s="1">
        <v>169</v>
      </c>
    </row>
    <row r="70" spans="4:5" x14ac:dyDescent="0.25">
      <c r="D70" t="s">
        <v>2940</v>
      </c>
      <c r="E70" s="1">
        <v>172</v>
      </c>
    </row>
    <row r="71" spans="4:5" x14ac:dyDescent="0.25">
      <c r="D71" t="s">
        <v>2941</v>
      </c>
      <c r="E71" s="1">
        <v>187</v>
      </c>
    </row>
    <row r="72" spans="4:5" x14ac:dyDescent="0.25">
      <c r="D72" t="s">
        <v>2942</v>
      </c>
      <c r="E72" s="1">
        <v>196</v>
      </c>
    </row>
  </sheetData>
  <sortState xmlns:xlrd2="http://schemas.microsoft.com/office/spreadsheetml/2017/richdata2" ref="D7:E66">
    <sortCondition ref="D7"/>
  </sortState>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74A6AD65BF9EAF46BCDE1074A69F3580" ma:contentTypeVersion="10" ma:contentTypeDescription="Create a new document." ma:contentTypeScope="" ma:versionID="99319468e78aa794aad993e4c3699c91">
  <xsd:schema xmlns:xsd="http://www.w3.org/2001/XMLSchema" xmlns:xs="http://www.w3.org/2001/XMLSchema" xmlns:p="http://schemas.microsoft.com/office/2006/metadata/properties" xmlns:ns2="afd8d06a-9698-4952-99f3-b656f6d2fda8" xmlns:ns3="0cd52cba-1e1b-45f5-9409-4e2ce17b546f" targetNamespace="http://schemas.microsoft.com/office/2006/metadata/properties" ma:root="true" ma:fieldsID="44cb9243e6b59ab47691a4fbe6682349" ns2:_="" ns3:_="">
    <xsd:import namespace="afd8d06a-9698-4952-99f3-b656f6d2fda8"/>
    <xsd:import namespace="0cd52cba-1e1b-45f5-9409-4e2ce17b54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8d06a-9698-4952-99f3-b656f6d2fd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2fdbb0-a107-45e2-bf17-b198bd7ecb7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cd52cba-1e1b-45f5-9409-4e2ce17b546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94ff1-a9ac-447a-87a8-8b81b435660f}" ma:internalName="TaxCatchAll" ma:showField="CatchAllData" ma:web="0cd52cba-1e1b-45f5-9409-4e2ce17b54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afd8d06a-9698-4952-99f3-b656f6d2fda8">
      <Terms xmlns="http://schemas.microsoft.com/office/infopath/2007/PartnerControls"/>
    </lcf76f155ced4ddcb4097134ff3c332f>
    <TaxCatchAll xmlns="0cd52cba-1e1b-45f5-9409-4e2ce17b546f" xsi:nil="true"/>
  </documentManagement>
</p:properties>
</file>

<file path=customXml/itemProps1.xml><?xml version="1.0" encoding="utf-8"?>
<ds:datastoreItem xmlns:ds="http://schemas.openxmlformats.org/officeDocument/2006/customXml" ds:itemID="{862ABC5B-0831-4929-944D-7B7242EFFE4A}">
  <ds:schemaRefs>
    <ds:schemaRef ds:uri="http://schemas.microsoft.com/DataMashup"/>
  </ds:schemaRefs>
</ds:datastoreItem>
</file>

<file path=customXml/itemProps2.xml><?xml version="1.0" encoding="utf-8"?>
<ds:datastoreItem xmlns:ds="http://schemas.openxmlformats.org/officeDocument/2006/customXml" ds:itemID="{7C3CF643-7201-45E6-9CDA-D345BD51D0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8d06a-9698-4952-99f3-b656f6d2fda8"/>
    <ds:schemaRef ds:uri="0cd52cba-1e1b-45f5-9409-4e2ce17b54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D7F5C0-1621-48DD-BF04-EFDBFDB74781}">
  <ds:schemaRefs>
    <ds:schemaRef ds:uri="http://schemas.microsoft.com/sharepoint/v3/contenttype/forms"/>
  </ds:schemaRefs>
</ds:datastoreItem>
</file>

<file path=customXml/itemProps4.xml><?xml version="1.0" encoding="utf-8"?>
<ds:datastoreItem xmlns:ds="http://schemas.openxmlformats.org/officeDocument/2006/customXml" ds:itemID="{68735331-916F-4097-A819-9EC14473AEFA}">
  <ds:schemaRefs>
    <ds:schemaRef ds:uri="http://schemas.microsoft.com/office/2006/metadata/properties"/>
    <ds:schemaRef ds:uri="http://schemas.microsoft.com/office/infopath/2007/PartnerControls"/>
    <ds:schemaRef ds:uri="afd8d06a-9698-4952-99f3-b656f6d2fda8"/>
    <ds:schemaRef ds:uri="0cd52cba-1e1b-45f5-9409-4e2ce17b54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PAR tracking 2023</vt:lpstr>
      <vt:lpstr>CAR tracking 2023</vt:lpstr>
      <vt:lpstr>Assessment tracking 2023</vt:lpstr>
      <vt:lpstr>PTO tracking</vt:lpstr>
      <vt:lpstr>CAF tracking 2023</vt:lpstr>
      <vt:lpstr>List source</vt:lpstr>
      <vt:lpstr>'Assessment tracking 2023'!Print_Titles</vt:lpstr>
      <vt:lpstr>'CAF tracking 2023'!Print_Titles</vt:lpstr>
      <vt:lpstr>'CAR tracking 2023'!Print_Titles</vt:lpstr>
      <vt:lpstr>'PAR tracking 2023'!Print_Titles</vt:lpstr>
      <vt:lpstr>'PTO tracking'!Print_Titles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AmSpec Group</dc:creator>
  <cp:keywords/>
  <dc:description/>
  <cp:lastModifiedBy>Katie Archambault</cp:lastModifiedBy>
  <cp:revision/>
  <dcterms:created xsi:type="dcterms:W3CDTF">2019-01-08T20:28:04Z</dcterms:created>
  <dcterms:modified xsi:type="dcterms:W3CDTF">2026-02-02T19:12:54Z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0x01010074A6AD65BF9EAF46BCDE1074A69F3580</vt:lpwstr>
  </property>
  <property fmtid="{D5CDD505-2E9C-101B-9397-08002B2CF9AE}" pid="3" name="MSIP_Label_a3a59af8-8950-43c2-9c28-eaff525f5f00_Enabled">
    <vt:lpwstr>true</vt:lpwstr>
  </property>
  <property fmtid="{D5CDD505-2E9C-101B-9397-08002B2CF9AE}" pid="4" name="MSIP_Label_a3a59af8-8950-43c2-9c28-eaff525f5f00_SetDate">
    <vt:lpwstr>2024-02-24T13:01:57Z</vt:lpwstr>
  </property>
  <property fmtid="{D5CDD505-2E9C-101B-9397-08002B2CF9AE}" pid="5" name="MSIP_Label_a3a59af8-8950-43c2-9c28-eaff525f5f00_Method">
    <vt:lpwstr>Standard</vt:lpwstr>
  </property>
  <property fmtid="{D5CDD505-2E9C-101B-9397-08002B2CF9AE}" pid="6" name="MSIP_Label_a3a59af8-8950-43c2-9c28-eaff525f5f00_Name">
    <vt:lpwstr>defa4170-0d19-0005-0004-bc88714345d2</vt:lpwstr>
  </property>
  <property fmtid="{D5CDD505-2E9C-101B-9397-08002B2CF9AE}" pid="7" name="MSIP_Label_a3a59af8-8950-43c2-9c28-eaff525f5f00_SiteId">
    <vt:lpwstr>fddf0fb0-6be4-4e34-ace1-e795bc64c91f</vt:lpwstr>
  </property>
  <property fmtid="{D5CDD505-2E9C-101B-9397-08002B2CF9AE}" pid="8" name="MSIP_Label_a3a59af8-8950-43c2-9c28-eaff525f5f00_ActionId">
    <vt:lpwstr>043b7b4d-4f10-4161-8426-4fc841666f3b</vt:lpwstr>
  </property>
  <property fmtid="{D5CDD505-2E9C-101B-9397-08002B2CF9AE}" pid="9" name="MSIP_Label_a3a59af8-8950-43c2-9c28-eaff525f5f00_ContentBits">
    <vt:lpwstr>0</vt:lpwstr>
  </property>
  <property fmtid="{D5CDD505-2E9C-101B-9397-08002B2CF9AE}" pid="10" name="MediaServiceImageTags">
    <vt:lpwstr/>
  </property>
</Properties>
</file>