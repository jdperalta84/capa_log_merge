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amspecllc.sharepoint.com/sites/QATeam-NAM/Shared Documents/01 - CAPA Management/02 - 2025 CAPA Tracking/"/>
    </mc:Choice>
  </mc:AlternateContent>
  <xr:revisionPtr revIDLastSave="1" documentId="13_ncr:1_{165D63F1-929E-4F92-B80A-AFD76C94753F}" xr6:coauthVersionLast="47" xr6:coauthVersionMax="47" xr10:uidLastSave="{ABFD9938-9321-4750-A474-9BE0BFE52F56}"/>
  <bookViews>
    <workbookView xWindow="-120" yWindow="-120" windowWidth="29040" windowHeight="15720" activeTab="2" xr2:uid="{00000000-000D-0000-FFFF-FFFF00000000}"/>
  </bookViews>
  <sheets>
    <sheet name="Assessment '25" sheetId="11" r:id="rId1"/>
    <sheet name="CAR '25" sheetId="6" r:id="rId2"/>
    <sheet name="PAR '25" sheetId="8" r:id="rId3"/>
    <sheet name="List source" sheetId="2" r:id="rId4"/>
    <sheet name="CAF '25" sheetId="12" r:id="rId5"/>
    <sheet name="PTO '25" sheetId="13" r:id="rId6"/>
    <sheet name="Sheet1" sheetId="14" r:id="rId7"/>
  </sheets>
  <definedNames>
    <definedName name="_xlnm.Print_Area" localSheetId="5">Table27[[#All],[Location 
(drop-down)]:[Notes]]</definedName>
    <definedName name="_xlnm.Print_Titles" localSheetId="0">'Assessment ''25'!$1:$1</definedName>
    <definedName name="_xlnm.Print_Titles" localSheetId="4">'CAF ''25'!$1:$1</definedName>
    <definedName name="_xlnm.Print_Titles" localSheetId="1">'CAR ''25'!$1:$1</definedName>
    <definedName name="_xlnm.Print_Titles" localSheetId="2">'PAR ''25'!$1:$1</definedName>
    <definedName name="_xlnm.Print_Titles" localSheetId="5">'PTO ''25'!$1:$1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2" i="6" l="1"/>
  <c r="D512" i="6" s="1"/>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M933" i="13"/>
  <c r="M934" i="13"/>
  <c r="M935" i="13"/>
  <c r="M936" i="13"/>
  <c r="M937" i="13"/>
  <c r="M938" i="13"/>
  <c r="M939" i="13"/>
  <c r="M940" i="13"/>
  <c r="M941" i="13"/>
  <c r="M942" i="13"/>
  <c r="M943" i="13"/>
  <c r="M944" i="13"/>
  <c r="M945" i="13"/>
  <c r="M946" i="13"/>
  <c r="M947" i="13"/>
  <c r="M948" i="13"/>
  <c r="M949" i="13"/>
  <c r="M950" i="13"/>
  <c r="M951" i="13"/>
  <c r="M952" i="13"/>
  <c r="M953" i="13"/>
  <c r="M954" i="13"/>
  <c r="M955" i="13"/>
  <c r="M956" i="13"/>
  <c r="M957" i="13"/>
  <c r="M958" i="13"/>
  <c r="M959" i="13"/>
  <c r="M960" i="13"/>
  <c r="M961" i="13"/>
  <c r="M962" i="13"/>
  <c r="M963" i="13"/>
  <c r="M964" i="13"/>
  <c r="M965" i="13"/>
  <c r="M966" i="13"/>
  <c r="M967" i="13"/>
  <c r="M968" i="13"/>
  <c r="M969" i="13"/>
  <c r="M970" i="13"/>
  <c r="M971" i="13"/>
  <c r="M972" i="13"/>
  <c r="M973" i="13"/>
  <c r="M974" i="13"/>
  <c r="M975" i="13"/>
  <c r="M976" i="13"/>
  <c r="M977" i="13"/>
  <c r="M978" i="13"/>
  <c r="M979" i="13"/>
  <c r="M980" i="13"/>
  <c r="M981" i="13"/>
  <c r="M982" i="13"/>
  <c r="M983" i="13"/>
  <c r="M984" i="13"/>
  <c r="M985" i="13"/>
  <c r="M986" i="13"/>
  <c r="M987" i="13"/>
  <c r="M988" i="13"/>
  <c r="M989" i="13"/>
  <c r="M990" i="13"/>
  <c r="M991" i="13"/>
  <c r="M992" i="13"/>
  <c r="M993" i="13"/>
  <c r="M994" i="13"/>
  <c r="M995" i="13"/>
  <c r="M996" i="13"/>
  <c r="M997" i="13"/>
  <c r="M998" i="13"/>
  <c r="M999" i="13"/>
  <c r="M1000" i="13"/>
  <c r="M1001" i="13"/>
  <c r="M1002" i="13"/>
  <c r="M1003" i="13"/>
  <c r="M1004" i="13"/>
  <c r="M1005" i="13"/>
  <c r="M1006" i="13"/>
  <c r="M1007" i="13"/>
  <c r="M1008" i="13"/>
  <c r="M1009" i="13"/>
  <c r="M1010" i="13"/>
  <c r="M1011" i="13"/>
  <c r="M1012" i="13"/>
  <c r="M1013" i="13"/>
  <c r="M1014" i="13"/>
  <c r="M1015" i="13"/>
  <c r="M1016" i="13"/>
  <c r="M1017" i="13"/>
  <c r="M1018" i="13"/>
  <c r="M1019" i="13"/>
  <c r="M1020" i="13"/>
  <c r="M1021" i="13"/>
  <c r="M1022" i="13"/>
  <c r="M1023" i="13"/>
  <c r="M1024" i="13"/>
  <c r="M1025" i="13"/>
  <c r="M1026" i="13"/>
  <c r="M1027" i="13"/>
  <c r="M1028" i="13"/>
  <c r="M1029" i="13"/>
  <c r="M1030" i="13"/>
  <c r="M1031" i="13"/>
  <c r="M1032" i="13"/>
  <c r="M1033" i="13"/>
  <c r="M1034" i="13"/>
  <c r="M1035" i="13"/>
  <c r="M1036" i="13"/>
  <c r="M1037" i="13"/>
  <c r="M1038" i="13"/>
  <c r="M1039" i="13"/>
  <c r="M1040" i="13"/>
  <c r="M1041" i="13"/>
  <c r="M1042" i="13"/>
  <c r="M1043" i="13"/>
  <c r="M1044" i="13"/>
  <c r="M1045" i="13"/>
  <c r="M1046" i="13"/>
  <c r="M1047" i="13"/>
  <c r="M1048" i="13"/>
  <c r="M1049" i="13"/>
  <c r="M1050" i="13"/>
  <c r="M1051" i="13"/>
  <c r="M1052" i="13"/>
  <c r="M1053" i="13"/>
  <c r="M1054" i="13"/>
  <c r="M1055" i="13"/>
  <c r="M1056" i="13"/>
  <c r="M1057" i="13"/>
  <c r="M1058" i="13"/>
  <c r="M1059" i="13"/>
  <c r="M1060" i="13"/>
  <c r="M1061" i="13"/>
  <c r="M1062" i="13"/>
  <c r="M1063" i="13"/>
  <c r="M1064" i="13"/>
  <c r="M1065" i="13"/>
  <c r="M1066" i="13"/>
  <c r="M1067" i="13"/>
  <c r="M1068" i="13"/>
  <c r="M1069" i="13"/>
  <c r="M1070" i="13"/>
  <c r="M1071" i="13"/>
  <c r="M1072" i="13"/>
  <c r="M1073" i="13"/>
  <c r="M1074" i="13"/>
  <c r="M1075" i="13"/>
  <c r="M1076" i="13"/>
  <c r="M1077" i="13"/>
  <c r="M1078" i="13"/>
  <c r="M1079" i="13"/>
  <c r="M1080" i="13"/>
  <c r="M1081" i="13"/>
  <c r="M1082" i="13"/>
  <c r="M1083" i="13"/>
  <c r="M1084" i="13"/>
  <c r="M1085" i="13"/>
  <c r="M1086" i="13"/>
  <c r="M1087" i="13"/>
  <c r="M1088" i="13"/>
  <c r="M1089" i="13"/>
  <c r="M1090" i="13"/>
  <c r="M1091" i="13"/>
  <c r="M1092" i="13"/>
  <c r="M1093" i="13"/>
  <c r="M1094" i="13"/>
  <c r="M1095" i="13"/>
  <c r="M1096" i="13"/>
  <c r="M1097" i="13"/>
  <c r="M1098" i="13"/>
  <c r="M1099" i="13"/>
  <c r="M1100" i="13"/>
  <c r="M1101" i="13"/>
  <c r="M1102" i="13"/>
  <c r="M1103" i="13"/>
  <c r="M1104" i="13"/>
  <c r="M1105" i="13"/>
  <c r="M1106" i="13"/>
  <c r="M1107" i="13"/>
  <c r="M1108" i="13"/>
  <c r="M1109" i="13"/>
  <c r="M1110" i="13"/>
  <c r="M1111" i="13"/>
  <c r="M1112" i="13"/>
  <c r="M1113" i="13"/>
  <c r="M1114" i="13"/>
  <c r="M1115" i="13"/>
  <c r="M1116" i="13"/>
  <c r="M1117" i="13"/>
  <c r="M1118" i="13"/>
  <c r="M1119" i="13"/>
  <c r="M1120" i="13"/>
  <c r="M1121" i="13"/>
  <c r="M1122" i="13"/>
  <c r="M1123" i="13"/>
  <c r="M1124" i="13"/>
  <c r="M1125" i="13"/>
  <c r="M1126" i="13"/>
  <c r="M1127" i="13"/>
  <c r="M1128" i="13"/>
  <c r="M1129" i="13"/>
  <c r="M1130" i="13"/>
  <c r="M1131" i="13"/>
  <c r="M1132" i="13"/>
  <c r="M1133" i="13"/>
  <c r="M1134" i="13"/>
  <c r="M1135" i="13"/>
  <c r="M1136" i="13"/>
  <c r="M1137" i="13"/>
  <c r="M1138" i="13"/>
  <c r="M1139" i="13"/>
  <c r="M1140" i="13"/>
  <c r="M1141" i="13"/>
  <c r="M1142" i="13"/>
  <c r="M1143" i="13"/>
  <c r="M1144" i="13"/>
  <c r="M1145" i="13"/>
  <c r="M1146" i="13"/>
  <c r="M1147" i="13"/>
  <c r="M1148" i="13"/>
  <c r="M1149" i="13"/>
  <c r="M1150" i="13"/>
  <c r="M1151" i="13"/>
  <c r="M1152" i="13"/>
  <c r="M1153" i="13"/>
  <c r="M1154" i="13"/>
  <c r="M1155" i="13"/>
  <c r="M1156" i="13"/>
  <c r="M1157" i="13"/>
  <c r="M1158" i="13"/>
  <c r="M1159" i="13"/>
  <c r="M1160" i="13"/>
  <c r="M1161" i="13"/>
  <c r="M1162" i="13"/>
  <c r="M1163" i="13"/>
  <c r="M1164" i="13"/>
  <c r="M1165" i="13"/>
  <c r="M1166" i="13"/>
  <c r="M1167" i="13"/>
  <c r="M1168" i="13"/>
  <c r="M1169" i="13"/>
  <c r="M1170" i="13"/>
  <c r="M1171" i="13"/>
  <c r="M1172" i="13"/>
  <c r="M1173" i="13"/>
  <c r="M1174" i="13"/>
  <c r="M1175" i="13"/>
  <c r="M1176" i="13"/>
  <c r="M1177" i="13"/>
  <c r="M1178" i="13"/>
  <c r="M1179" i="13"/>
  <c r="M1180" i="13"/>
  <c r="M1181" i="13"/>
  <c r="M1182" i="13"/>
  <c r="M1183" i="13"/>
  <c r="M1184" i="13"/>
  <c r="M1185" i="13"/>
  <c r="M1186" i="13"/>
  <c r="M1187" i="13"/>
  <c r="M1188" i="13"/>
  <c r="M1189" i="13"/>
  <c r="M1190" i="13"/>
  <c r="M1191" i="13"/>
  <c r="M1192" i="13"/>
  <c r="M1193" i="13"/>
  <c r="M1194" i="13"/>
  <c r="M1195" i="13"/>
  <c r="M1196" i="13"/>
  <c r="M1197" i="13"/>
  <c r="M1198" i="13"/>
  <c r="M1199" i="13"/>
  <c r="M1200" i="13"/>
  <c r="M1201" i="13"/>
  <c r="M1202" i="13"/>
  <c r="M1203" i="13"/>
  <c r="M1204" i="13"/>
  <c r="M1205" i="13"/>
  <c r="M1206" i="13"/>
  <c r="M1207" i="13"/>
  <c r="M1208" i="13"/>
  <c r="M1209" i="13"/>
  <c r="M1210" i="13"/>
  <c r="M1211" i="13"/>
  <c r="M1212" i="13"/>
  <c r="M1213" i="13"/>
  <c r="M1214" i="13"/>
  <c r="M1215" i="13"/>
  <c r="M1216" i="13"/>
  <c r="M1217" i="13"/>
  <c r="M1218" i="13"/>
  <c r="M1219" i="13"/>
  <c r="M1220" i="13"/>
  <c r="M1221" i="13"/>
  <c r="M1222" i="13"/>
  <c r="M1223" i="13"/>
  <c r="M1224" i="13"/>
  <c r="M1225" i="13"/>
  <c r="M1226" i="13"/>
  <c r="M1227" i="13"/>
  <c r="M1228" i="13"/>
  <c r="M1229" i="13"/>
  <c r="M1230" i="13"/>
  <c r="M1231" i="13"/>
  <c r="M1232" i="13"/>
  <c r="M1233" i="13"/>
  <c r="M1234" i="13"/>
  <c r="M1235" i="13"/>
  <c r="M1236" i="13"/>
  <c r="M1237" i="13"/>
  <c r="M1238" i="13"/>
  <c r="M1239" i="13"/>
  <c r="M1240" i="13"/>
  <c r="M1241" i="13"/>
  <c r="M1242" i="13"/>
  <c r="M1243" i="13"/>
  <c r="M1244" i="13"/>
  <c r="M1245" i="13"/>
  <c r="M1246" i="13"/>
  <c r="M1247" i="13"/>
  <c r="M1248" i="13"/>
  <c r="M1249" i="13"/>
  <c r="M1250" i="13"/>
  <c r="M1251" i="13"/>
  <c r="M1252" i="13"/>
  <c r="M1253" i="13"/>
  <c r="M1254" i="13"/>
  <c r="M1255" i="13"/>
  <c r="M1256" i="13"/>
  <c r="M1257" i="13"/>
  <c r="M1258" i="13"/>
  <c r="M1259" i="13"/>
  <c r="M1260" i="13"/>
  <c r="M1261" i="13"/>
  <c r="M1262" i="13"/>
  <c r="M1263" i="13"/>
  <c r="M1264" i="13"/>
  <c r="M1265" i="13"/>
  <c r="M1266" i="13"/>
  <c r="M1267" i="13"/>
  <c r="M1268" i="13"/>
  <c r="M1269" i="13"/>
  <c r="M1270" i="13"/>
  <c r="M1271" i="13"/>
  <c r="M1272" i="13"/>
  <c r="M1273" i="13"/>
  <c r="M1274" i="13"/>
  <c r="M1275" i="13"/>
  <c r="M1276" i="13"/>
  <c r="M1277" i="13"/>
  <c r="M1278" i="13"/>
  <c r="M1279" i="13"/>
  <c r="M1280" i="13"/>
  <c r="M1281" i="13"/>
  <c r="M1282" i="13"/>
  <c r="M1283" i="13"/>
  <c r="M1284" i="13"/>
  <c r="M1285" i="13"/>
  <c r="M1286" i="13"/>
  <c r="M1287" i="13"/>
  <c r="M1288" i="13"/>
  <c r="M1289" i="13"/>
  <c r="M1290" i="13"/>
  <c r="M1291" i="13"/>
  <c r="M1292" i="13"/>
  <c r="M1293" i="13"/>
  <c r="M1294" i="13"/>
  <c r="M1295" i="13"/>
  <c r="M1296" i="13"/>
  <c r="M1297" i="13"/>
  <c r="M1298" i="13"/>
  <c r="M1299" i="13"/>
  <c r="M1300" i="13"/>
  <c r="M1301" i="13"/>
  <c r="M1302" i="13"/>
  <c r="M1303" i="13"/>
  <c r="M1304" i="13"/>
  <c r="M1305" i="13"/>
  <c r="M1306" i="13"/>
  <c r="M1307" i="13"/>
  <c r="M1308" i="13"/>
  <c r="M1309" i="13"/>
  <c r="M1310" i="13"/>
  <c r="M1311" i="13"/>
  <c r="M1312" i="13"/>
  <c r="M1313" i="13"/>
  <c r="M1314" i="13"/>
  <c r="M1315" i="13"/>
  <c r="M1316" i="13"/>
  <c r="M1317" i="13"/>
  <c r="M1318" i="13"/>
  <c r="M1319" i="13"/>
  <c r="M1320" i="13"/>
  <c r="M1321" i="13"/>
  <c r="M1322" i="13"/>
  <c r="M1323" i="13"/>
  <c r="M1324" i="13"/>
  <c r="M1325" i="13"/>
  <c r="M1326" i="13"/>
  <c r="M1327" i="13"/>
  <c r="M1328" i="13"/>
  <c r="M1329" i="13"/>
  <c r="M1330" i="13"/>
  <c r="M1331" i="13"/>
  <c r="M1332" i="13"/>
  <c r="M1333" i="13"/>
  <c r="M1334" i="13"/>
  <c r="M1335" i="13"/>
  <c r="M1336" i="13"/>
  <c r="M1337" i="13"/>
  <c r="M1338" i="13"/>
  <c r="M1339" i="13"/>
  <c r="M1340" i="13"/>
  <c r="M1341" i="13"/>
  <c r="M1342" i="13"/>
  <c r="M1343" i="13"/>
  <c r="M1344" i="13"/>
  <c r="M1345" i="13"/>
  <c r="M1346" i="13"/>
  <c r="M1347" i="13"/>
  <c r="M1348" i="13"/>
  <c r="M1349" i="13"/>
  <c r="M1350" i="13"/>
  <c r="M1351" i="13"/>
  <c r="M1352" i="13"/>
  <c r="M1353" i="13"/>
  <c r="M1354" i="13"/>
  <c r="M1355" i="13"/>
  <c r="M1356" i="13"/>
  <c r="M1357" i="13"/>
  <c r="M1358" i="13"/>
  <c r="M1359" i="13"/>
  <c r="M1360" i="13"/>
  <c r="M1361" i="13"/>
  <c r="M1362" i="13"/>
  <c r="M1363" i="13"/>
  <c r="M1364" i="13"/>
  <c r="M1365" i="13"/>
  <c r="M1366" i="13"/>
  <c r="M1367" i="13"/>
  <c r="M1368" i="13"/>
  <c r="M1369" i="13"/>
  <c r="M1370" i="13"/>
  <c r="M1371" i="13"/>
  <c r="M1372" i="13"/>
  <c r="M1373" i="13"/>
  <c r="M1374" i="13"/>
  <c r="M1375" i="13"/>
  <c r="M1376" i="13"/>
  <c r="M1377" i="13"/>
  <c r="M1378" i="13"/>
  <c r="M1379" i="13"/>
  <c r="M1380" i="13"/>
  <c r="M1381" i="13"/>
  <c r="M1382" i="13"/>
  <c r="M1383" i="13"/>
  <c r="M1384" i="13"/>
  <c r="M1385" i="13"/>
  <c r="M1386" i="13"/>
  <c r="M1387" i="13"/>
  <c r="M1388" i="13"/>
  <c r="M1389" i="13"/>
  <c r="M1390" i="13"/>
  <c r="M1391" i="13"/>
  <c r="M1392" i="13"/>
  <c r="M1393" i="13"/>
  <c r="M1394" i="13"/>
  <c r="M1395" i="13"/>
  <c r="M1396" i="13"/>
  <c r="M1397" i="13"/>
  <c r="M1398" i="13"/>
  <c r="M1399" i="13"/>
  <c r="M1400" i="13"/>
  <c r="M1401" i="13"/>
  <c r="M1402" i="13"/>
  <c r="M1403" i="13"/>
  <c r="M1404" i="13"/>
  <c r="M1405" i="13"/>
  <c r="M1406" i="13"/>
  <c r="M1407" i="13"/>
  <c r="M1408" i="13"/>
  <c r="M1409" i="13"/>
  <c r="M1410" i="13"/>
  <c r="M1411" i="13"/>
  <c r="M1412" i="13"/>
  <c r="M1413" i="13"/>
  <c r="M1414" i="13"/>
  <c r="M1415" i="13"/>
  <c r="M1416" i="13"/>
  <c r="M1417" i="13"/>
  <c r="M1418" i="13"/>
  <c r="M1419" i="13"/>
  <c r="M1420" i="13"/>
  <c r="M1421" i="13"/>
  <c r="M1422" i="13"/>
  <c r="M1423" i="13"/>
  <c r="M1424" i="13"/>
  <c r="M1425" i="13"/>
  <c r="M1426" i="13"/>
  <c r="M1427" i="13"/>
  <c r="M1428" i="13"/>
  <c r="M1429" i="13"/>
  <c r="M1430" i="13"/>
  <c r="M1431" i="13"/>
  <c r="M1432" i="13"/>
  <c r="M1433" i="13"/>
  <c r="M1434" i="13"/>
  <c r="M1435" i="13"/>
  <c r="M1436" i="13"/>
  <c r="M1437" i="13"/>
  <c r="M1438" i="13"/>
  <c r="M1439" i="13"/>
  <c r="M1440" i="13"/>
  <c r="M1441" i="13"/>
  <c r="M1442" i="13"/>
  <c r="M1443" i="13"/>
  <c r="M1444" i="13"/>
  <c r="M1445" i="13"/>
  <c r="M1446" i="13"/>
  <c r="M1447" i="13"/>
  <c r="M1448" i="13"/>
  <c r="M1449" i="13"/>
  <c r="M1450" i="13"/>
  <c r="M1451" i="13"/>
  <c r="M1452" i="13"/>
  <c r="M1453" i="13"/>
  <c r="M1454" i="13"/>
  <c r="M1455" i="13"/>
  <c r="M1456" i="13"/>
  <c r="M1457" i="13"/>
  <c r="M1458" i="13"/>
  <c r="M1459" i="13"/>
  <c r="M1460" i="13"/>
  <c r="M1461" i="13"/>
  <c r="M1462" i="13"/>
  <c r="M1463" i="13"/>
  <c r="M1464" i="13"/>
  <c r="M1465" i="13"/>
  <c r="M1466" i="13"/>
  <c r="M1467" i="13"/>
  <c r="M1468" i="13"/>
  <c r="M1469" i="13"/>
  <c r="M1470" i="13"/>
  <c r="M1471" i="13"/>
  <c r="M1472" i="13"/>
  <c r="M1473" i="13"/>
  <c r="M1474" i="13"/>
  <c r="M1475" i="13"/>
  <c r="M1476" i="13"/>
  <c r="M1477" i="13"/>
  <c r="M1478" i="13"/>
  <c r="M1479" i="13"/>
  <c r="M1480" i="13"/>
  <c r="M1481" i="13"/>
  <c r="M1482" i="13"/>
  <c r="M1483" i="13"/>
  <c r="M1484" i="13"/>
  <c r="M1485" i="13"/>
  <c r="M1486" i="13"/>
  <c r="M1487" i="13"/>
  <c r="M1488" i="13"/>
  <c r="M1489" i="13"/>
  <c r="M1490" i="13"/>
  <c r="M1491" i="13"/>
  <c r="M1492" i="13"/>
  <c r="M1493" i="13"/>
  <c r="M1494" i="13"/>
  <c r="M1495" i="13"/>
  <c r="M1496" i="13"/>
  <c r="M1497" i="13"/>
  <c r="M1498" i="13"/>
  <c r="M1499" i="13"/>
  <c r="M1500" i="13"/>
  <c r="M1501" i="13"/>
  <c r="M1502" i="13"/>
  <c r="M2" i="13"/>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2" i="6"/>
  <c r="B481" i="6"/>
  <c r="D481" i="6" s="1"/>
  <c r="B45" i="12"/>
  <c r="D45" i="12" s="1"/>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009" i="13"/>
  <c r="B1010" i="13"/>
  <c r="B1011" i="13"/>
  <c r="B1012" i="13"/>
  <c r="B1013" i="13"/>
  <c r="B1014" i="13"/>
  <c r="B1015" i="13"/>
  <c r="B1016" i="13"/>
  <c r="B1017" i="13"/>
  <c r="B1018" i="13"/>
  <c r="B1019" i="13"/>
  <c r="B1020" i="13"/>
  <c r="B1021" i="13"/>
  <c r="B1022" i="13"/>
  <c r="B1023" i="13"/>
  <c r="B1024" i="13"/>
  <c r="B1025" i="13"/>
  <c r="B1026" i="13"/>
  <c r="B1027" i="13"/>
  <c r="B1028" i="13"/>
  <c r="B1029" i="13"/>
  <c r="B1030" i="13"/>
  <c r="B1031" i="13"/>
  <c r="B1032" i="13"/>
  <c r="B1033" i="13"/>
  <c r="B1034" i="13"/>
  <c r="B1035" i="13"/>
  <c r="B1036" i="13"/>
  <c r="B1037" i="13"/>
  <c r="B1038" i="13"/>
  <c r="B1039" i="13"/>
  <c r="B1040" i="13"/>
  <c r="B1041" i="13"/>
  <c r="B1042" i="13"/>
  <c r="B1043" i="13"/>
  <c r="B1044" i="13"/>
  <c r="B1045" i="13"/>
  <c r="B1046" i="13"/>
  <c r="B1047" i="13"/>
  <c r="B1048" i="13"/>
  <c r="B1049" i="13"/>
  <c r="B1050" i="13"/>
  <c r="B1051" i="13"/>
  <c r="B1052" i="13"/>
  <c r="B1053" i="13"/>
  <c r="B1054" i="13"/>
  <c r="B1055" i="13"/>
  <c r="B1056" i="13"/>
  <c r="B1057" i="13"/>
  <c r="B1058" i="13"/>
  <c r="B1059" i="13"/>
  <c r="B1060" i="13"/>
  <c r="B1061" i="13"/>
  <c r="B1062" i="13"/>
  <c r="B1063" i="13"/>
  <c r="B1064" i="13"/>
  <c r="B1065" i="13"/>
  <c r="B1066" i="13"/>
  <c r="B1067" i="13"/>
  <c r="B1068" i="13"/>
  <c r="B1069" i="13"/>
  <c r="B1070" i="13"/>
  <c r="B1071" i="13"/>
  <c r="B1072" i="13"/>
  <c r="B1073" i="13"/>
  <c r="B1074" i="13"/>
  <c r="B1075" i="13"/>
  <c r="B1076" i="13"/>
  <c r="B1077" i="13"/>
  <c r="B1078" i="13"/>
  <c r="B1079" i="13"/>
  <c r="B1080" i="13"/>
  <c r="B1081" i="13"/>
  <c r="B1082" i="13"/>
  <c r="B1083" i="13"/>
  <c r="B1084" i="13"/>
  <c r="B1085" i="13"/>
  <c r="B1086" i="13"/>
  <c r="B1087" i="13"/>
  <c r="B1088" i="13"/>
  <c r="B1089" i="13"/>
  <c r="B1090" i="13"/>
  <c r="B1091" i="13"/>
  <c r="B1092" i="13"/>
  <c r="B1093" i="13"/>
  <c r="B1094" i="13"/>
  <c r="B1095" i="13"/>
  <c r="B1096" i="13"/>
  <c r="B1097" i="13"/>
  <c r="B1098" i="13"/>
  <c r="B1099" i="13"/>
  <c r="B1100" i="13"/>
  <c r="B1101" i="13"/>
  <c r="B1102" i="13"/>
  <c r="B1103"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133"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180" i="13"/>
  <c r="B1181" i="13"/>
  <c r="B1182" i="13"/>
  <c r="B1183" i="13"/>
  <c r="B1184" i="13"/>
  <c r="B1185" i="13"/>
  <c r="B1186" i="13"/>
  <c r="B1187" i="13"/>
  <c r="B1188" i="13"/>
  <c r="B1189" i="13"/>
  <c r="B1190" i="13"/>
  <c r="B1191" i="13"/>
  <c r="B1192" i="13"/>
  <c r="B1193" i="13"/>
  <c r="B1194" i="13"/>
  <c r="B1195" i="13"/>
  <c r="B1196" i="13"/>
  <c r="B1197" i="13"/>
  <c r="B1198" i="13"/>
  <c r="B1199" i="13"/>
  <c r="B1200" i="13"/>
  <c r="B1201" i="13"/>
  <c r="B1202" i="13"/>
  <c r="B1203" i="13"/>
  <c r="B1204" i="13"/>
  <c r="B1205" i="13"/>
  <c r="B1206" i="13"/>
  <c r="B1207" i="13"/>
  <c r="B1208" i="13"/>
  <c r="B1209" i="13"/>
  <c r="B1210" i="13"/>
  <c r="B1211" i="13"/>
  <c r="B1212" i="13"/>
  <c r="B1213" i="13"/>
  <c r="B1214" i="13"/>
  <c r="B1215" i="13"/>
  <c r="B1216" i="13"/>
  <c r="B1217" i="13"/>
  <c r="B1218" i="13"/>
  <c r="B1219" i="13"/>
  <c r="B1220" i="13"/>
  <c r="B1221" i="13"/>
  <c r="B1222" i="13"/>
  <c r="B1223" i="13"/>
  <c r="B1224" i="13"/>
  <c r="B1225" i="13"/>
  <c r="B1226" i="13"/>
  <c r="B1227" i="13"/>
  <c r="B1228" i="13"/>
  <c r="B1229" i="13"/>
  <c r="B1230" i="13"/>
  <c r="B1231" i="13"/>
  <c r="B1232" i="13"/>
  <c r="B1233" i="13"/>
  <c r="B1234" i="13"/>
  <c r="B1235" i="13"/>
  <c r="B1236" i="13"/>
  <c r="B1237" i="13"/>
  <c r="B1238" i="13"/>
  <c r="B1239" i="13"/>
  <c r="B1240" i="13"/>
  <c r="B1241" i="13"/>
  <c r="B1242" i="13"/>
  <c r="B1243" i="13"/>
  <c r="B1244" i="13"/>
  <c r="B1245" i="13"/>
  <c r="B1246" i="13"/>
  <c r="B1247" i="13"/>
  <c r="B1248" i="13"/>
  <c r="B1249" i="13"/>
  <c r="B1250" i="13"/>
  <c r="B1251" i="13"/>
  <c r="B1252" i="13"/>
  <c r="B1253" i="13"/>
  <c r="B1254" i="13"/>
  <c r="B1255" i="13"/>
  <c r="B1256" i="13"/>
  <c r="B1257" i="13"/>
  <c r="B1258" i="13"/>
  <c r="B1259" i="13"/>
  <c r="B1260" i="13"/>
  <c r="B1261" i="13"/>
  <c r="B1262" i="13"/>
  <c r="B1263" i="13"/>
  <c r="B1264" i="13"/>
  <c r="B1265" i="13"/>
  <c r="B1266" i="13"/>
  <c r="B1267" i="13"/>
  <c r="B1268" i="13"/>
  <c r="B1269" i="13"/>
  <c r="B1270" i="13"/>
  <c r="B1271" i="13"/>
  <c r="B1272" i="13"/>
  <c r="B1273" i="13"/>
  <c r="B1274" i="13"/>
  <c r="B1275" i="13"/>
  <c r="B1276" i="13"/>
  <c r="B1277" i="13"/>
  <c r="B1278" i="13"/>
  <c r="B1279" i="13"/>
  <c r="B1280" i="13"/>
  <c r="B1281" i="13"/>
  <c r="B1282" i="13"/>
  <c r="B1283" i="13"/>
  <c r="B1284" i="13"/>
  <c r="B1285" i="13"/>
  <c r="B1286" i="13"/>
  <c r="B1287" i="13"/>
  <c r="B1288" i="13"/>
  <c r="B1289" i="13"/>
  <c r="B1290" i="13"/>
  <c r="B1291" i="13"/>
  <c r="B1292" i="13"/>
  <c r="B1293" i="13"/>
  <c r="B1294" i="13"/>
  <c r="B1295" i="13"/>
  <c r="B1296" i="13"/>
  <c r="B1297" i="13"/>
  <c r="B1298" i="13"/>
  <c r="B1299" i="13"/>
  <c r="B1300" i="13"/>
  <c r="B1301" i="13"/>
  <c r="B1302" i="13"/>
  <c r="B1303" i="13"/>
  <c r="B1304" i="13"/>
  <c r="B1305" i="13"/>
  <c r="B1306" i="13"/>
  <c r="B1307" i="13"/>
  <c r="B1308" i="13"/>
  <c r="B1309" i="13"/>
  <c r="B1310" i="13"/>
  <c r="B1311" i="13"/>
  <c r="B1312" i="13"/>
  <c r="B1313" i="13"/>
  <c r="B1314" i="13"/>
  <c r="B1315" i="13"/>
  <c r="B1316" i="13"/>
  <c r="B1317" i="13"/>
  <c r="B1318" i="13"/>
  <c r="B1319" i="13"/>
  <c r="B1320" i="13"/>
  <c r="B1321" i="13"/>
  <c r="B1322" i="13"/>
  <c r="B1323" i="13"/>
  <c r="B1324" i="13"/>
  <c r="B1325" i="13"/>
  <c r="B1326" i="13"/>
  <c r="B1327" i="13"/>
  <c r="B1328" i="13"/>
  <c r="B1329" i="13"/>
  <c r="B1330" i="13"/>
  <c r="B1331" i="13"/>
  <c r="B1332" i="13"/>
  <c r="B1333" i="13"/>
  <c r="B1334" i="13"/>
  <c r="B1335" i="13"/>
  <c r="B1336" i="13"/>
  <c r="B1337" i="13"/>
  <c r="B1338" i="13"/>
  <c r="B1339" i="13"/>
  <c r="B1340" i="13"/>
  <c r="B1341" i="13"/>
  <c r="B1342" i="13"/>
  <c r="B1343" i="13"/>
  <c r="B1344" i="13"/>
  <c r="B1345" i="13"/>
  <c r="B1346" i="13"/>
  <c r="B1347" i="13"/>
  <c r="B1348" i="13"/>
  <c r="B1349" i="13"/>
  <c r="B1350" i="13"/>
  <c r="B1351" i="13"/>
  <c r="B1352" i="13"/>
  <c r="B1353" i="13"/>
  <c r="B1354" i="13"/>
  <c r="B1355" i="13"/>
  <c r="B1356" i="13"/>
  <c r="B1357" i="13"/>
  <c r="B1358" i="13"/>
  <c r="B1359" i="13"/>
  <c r="B1360" i="13"/>
  <c r="B1361" i="13"/>
  <c r="B1362" i="13"/>
  <c r="B1363" i="13"/>
  <c r="B1364" i="13"/>
  <c r="B1365" i="13"/>
  <c r="B1366" i="13"/>
  <c r="B1367" i="13"/>
  <c r="B1368" i="13"/>
  <c r="B1369" i="13"/>
  <c r="B1370" i="13"/>
  <c r="B1371" i="13"/>
  <c r="B1372" i="13"/>
  <c r="B1373" i="13"/>
  <c r="B1374" i="13"/>
  <c r="B1375" i="13"/>
  <c r="B1376" i="13"/>
  <c r="B1377" i="13"/>
  <c r="B1378" i="13"/>
  <c r="B1379" i="13"/>
  <c r="B1380" i="13"/>
  <c r="B1381" i="13"/>
  <c r="B1382" i="13"/>
  <c r="B1383" i="13"/>
  <c r="B1384" i="13"/>
  <c r="B1385" i="13"/>
  <c r="B1386" i="13"/>
  <c r="B1387" i="13"/>
  <c r="B1388" i="13"/>
  <c r="B1389" i="13"/>
  <c r="B1390" i="13"/>
  <c r="B1391" i="13"/>
  <c r="B1392" i="13"/>
  <c r="B1393" i="13"/>
  <c r="B1394" i="13"/>
  <c r="B1395" i="13"/>
  <c r="B1396" i="13"/>
  <c r="B1397" i="13"/>
  <c r="B1398" i="13"/>
  <c r="B1399" i="13"/>
  <c r="B1400" i="13"/>
  <c r="B1401" i="13"/>
  <c r="B1402" i="13"/>
  <c r="B1403" i="13"/>
  <c r="B1404" i="13"/>
  <c r="B1405" i="13"/>
  <c r="B1406" i="13"/>
  <c r="B1407" i="13"/>
  <c r="B1408" i="13"/>
  <c r="B1409" i="13"/>
  <c r="B1410" i="13"/>
  <c r="B1411" i="13"/>
  <c r="B1412" i="13"/>
  <c r="B1413" i="13"/>
  <c r="B1414" i="13"/>
  <c r="B1415" i="13"/>
  <c r="B1416" i="13"/>
  <c r="B1417" i="13"/>
  <c r="B1418" i="13"/>
  <c r="B1419" i="13"/>
  <c r="B1420" i="13"/>
  <c r="B1421" i="13"/>
  <c r="B1422" i="13"/>
  <c r="B1423" i="13"/>
  <c r="B1424" i="13"/>
  <c r="B1425" i="13"/>
  <c r="B1426" i="13"/>
  <c r="B1427" i="13"/>
  <c r="B1428" i="13"/>
  <c r="B1429" i="13"/>
  <c r="B1430" i="13"/>
  <c r="B1431" i="13"/>
  <c r="B1432" i="13"/>
  <c r="B1433" i="13"/>
  <c r="B1434" i="13"/>
  <c r="B1435" i="13"/>
  <c r="B1436" i="13"/>
  <c r="B1437" i="13"/>
  <c r="B1438" i="13"/>
  <c r="B1439" i="13"/>
  <c r="B1440" i="13"/>
  <c r="B1441" i="13"/>
  <c r="B1442" i="13"/>
  <c r="B1443" i="13"/>
  <c r="B1444" i="13"/>
  <c r="B1445" i="13"/>
  <c r="B1446" i="13"/>
  <c r="B1447" i="13"/>
  <c r="B1448" i="13"/>
  <c r="B1449" i="13"/>
  <c r="B1450" i="13"/>
  <c r="B1451" i="13"/>
  <c r="B1452" i="13"/>
  <c r="B1453" i="13"/>
  <c r="B1454" i="13"/>
  <c r="B1455" i="13"/>
  <c r="B1456" i="13"/>
  <c r="B1457" i="13"/>
  <c r="B1458" i="13"/>
  <c r="B1459" i="13"/>
  <c r="B1460" i="13"/>
  <c r="B1461" i="13"/>
  <c r="B1462" i="13"/>
  <c r="B1463" i="13"/>
  <c r="B1464" i="13"/>
  <c r="B1465" i="13"/>
  <c r="B1466" i="13"/>
  <c r="B1467" i="13"/>
  <c r="B1468" i="13"/>
  <c r="B1469" i="13"/>
  <c r="B1470" i="13"/>
  <c r="B1471" i="13"/>
  <c r="B1472" i="13"/>
  <c r="B1473" i="13"/>
  <c r="B1474" i="13"/>
  <c r="B1475" i="13"/>
  <c r="B1476" i="13"/>
  <c r="B1477" i="13"/>
  <c r="B1478" i="13"/>
  <c r="B1479" i="13"/>
  <c r="B1480" i="13"/>
  <c r="B1481" i="13"/>
  <c r="B1482" i="13"/>
  <c r="B1483" i="13"/>
  <c r="B1484" i="13"/>
  <c r="B1485" i="13"/>
  <c r="B1486" i="13"/>
  <c r="B1487" i="13"/>
  <c r="B1488" i="13"/>
  <c r="B1489" i="13"/>
  <c r="B1490" i="13"/>
  <c r="B1491" i="13"/>
  <c r="B1492" i="13"/>
  <c r="B1493" i="13"/>
  <c r="B1494" i="13"/>
  <c r="B1495" i="13"/>
  <c r="B1496" i="13"/>
  <c r="B1497" i="13"/>
  <c r="B1498" i="13"/>
  <c r="B1499" i="13"/>
  <c r="B1500" i="13"/>
  <c r="B1501" i="13"/>
  <c r="B1502" i="13"/>
  <c r="B2" i="13"/>
  <c r="B2" i="12"/>
  <c r="B2" i="11"/>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D473" i="6" s="1"/>
  <c r="B474" i="6"/>
  <c r="B475" i="6"/>
  <c r="B476" i="6"/>
  <c r="B477" i="6"/>
  <c r="B478" i="6"/>
  <c r="B479" i="6"/>
  <c r="B480"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D123" i="11" s="1"/>
  <c r="B124" i="11"/>
  <c r="B125" i="11"/>
  <c r="B126" i="11"/>
  <c r="B127" i="11"/>
  <c r="B128" i="11"/>
  <c r="B129" i="11"/>
  <c r="B130" i="11"/>
  <c r="B131" i="11"/>
  <c r="B132" i="11"/>
  <c r="B133" i="11"/>
  <c r="B134" i="11"/>
  <c r="B135" i="11"/>
  <c r="B136" i="11"/>
  <c r="B137" i="11"/>
  <c r="B138" i="11"/>
  <c r="B139" i="11"/>
  <c r="B140" i="11"/>
  <c r="B141" i="11"/>
  <c r="B142" i="11"/>
  <c r="B143" i="11"/>
  <c r="B144" i="11"/>
  <c r="B145" i="11"/>
  <c r="D145" i="11" s="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G101" i="13" l="1"/>
  <c r="G1502" i="13"/>
  <c r="D1502" i="13"/>
  <c r="D33" i="8"/>
  <c r="D321" i="6"/>
  <c r="D356" i="6"/>
  <c r="D14" i="14"/>
  <c r="E14" i="14"/>
  <c r="F1502" i="13" a="1"/>
  <c r="F807" i="13" a="1"/>
  <c r="F1502" i="13" l="1"/>
  <c r="F807" i="13"/>
  <c r="D227" i="6"/>
  <c r="D2" i="6"/>
  <c r="D19" i="11"/>
  <c r="D20" i="11"/>
  <c r="D44" i="11"/>
  <c r="D64" i="11"/>
  <c r="D119" i="11"/>
  <c r="D9" i="13"/>
  <c r="D10" i="13"/>
  <c r="D11" i="13"/>
  <c r="D21" i="13"/>
  <c r="D50" i="13"/>
  <c r="D252" i="13"/>
  <c r="D300" i="13"/>
  <c r="D384" i="13"/>
  <c r="D407" i="13"/>
  <c r="D408" i="13"/>
  <c r="D409" i="13"/>
  <c r="D431" i="13"/>
  <c r="D487" i="13"/>
  <c r="D488" i="13"/>
  <c r="D519" i="13"/>
  <c r="D575" i="13"/>
  <c r="D607" i="13"/>
  <c r="D7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D1222" i="13"/>
  <c r="D1223" i="13"/>
  <c r="D1224" i="13"/>
  <c r="D1225" i="13"/>
  <c r="D1226" i="13"/>
  <c r="D1227" i="13"/>
  <c r="D1228" i="13"/>
  <c r="D1229" i="13"/>
  <c r="D1230" i="13"/>
  <c r="D1231" i="13"/>
  <c r="D1232" i="13"/>
  <c r="D1233" i="13"/>
  <c r="D1234" i="13"/>
  <c r="D1235" i="13"/>
  <c r="D1236" i="13"/>
  <c r="D1237" i="13"/>
  <c r="D1238" i="13"/>
  <c r="D1239" i="13"/>
  <c r="D1240" i="13"/>
  <c r="D1241" i="13"/>
  <c r="D1242" i="13"/>
  <c r="D1243" i="13"/>
  <c r="D1244" i="13"/>
  <c r="D1245" i="13"/>
  <c r="D1246" i="13"/>
  <c r="D1247" i="13"/>
  <c r="D1248" i="13"/>
  <c r="D1249" i="13"/>
  <c r="D1250" i="13"/>
  <c r="D1251" i="13"/>
  <c r="D1252" i="13"/>
  <c r="D1253" i="13"/>
  <c r="D1254" i="13"/>
  <c r="D1255" i="13"/>
  <c r="D1256" i="13"/>
  <c r="D1257" i="13"/>
  <c r="D1258" i="13"/>
  <c r="D1259" i="13"/>
  <c r="D1260" i="13"/>
  <c r="D1261" i="13"/>
  <c r="D1262" i="13"/>
  <c r="D1263" i="13"/>
  <c r="D1264" i="13"/>
  <c r="D1265" i="13"/>
  <c r="D1266" i="13"/>
  <c r="D1267" i="13"/>
  <c r="D1268" i="13"/>
  <c r="D1269" i="13"/>
  <c r="D1270" i="13"/>
  <c r="D1271" i="13"/>
  <c r="D1272" i="13"/>
  <c r="D1273" i="13"/>
  <c r="D1274" i="13"/>
  <c r="D1275" i="13"/>
  <c r="D1276" i="13"/>
  <c r="D1277" i="13"/>
  <c r="D1278" i="13"/>
  <c r="D1279" i="13"/>
  <c r="D1280" i="13"/>
  <c r="D1281" i="13"/>
  <c r="D1282" i="13"/>
  <c r="D1283" i="13"/>
  <c r="D1284" i="13"/>
  <c r="D1285" i="13"/>
  <c r="D1286" i="13"/>
  <c r="D1287" i="13"/>
  <c r="D1288" i="13"/>
  <c r="D1289" i="13"/>
  <c r="D1290" i="13"/>
  <c r="D1291" i="13"/>
  <c r="D1292" i="13"/>
  <c r="D1293" i="13"/>
  <c r="D1294" i="13"/>
  <c r="D1295" i="13"/>
  <c r="D1296" i="13"/>
  <c r="D1297" i="13"/>
  <c r="D1298" i="13"/>
  <c r="D1299" i="13"/>
  <c r="D1300" i="13"/>
  <c r="D1301" i="13"/>
  <c r="D1302" i="13"/>
  <c r="D1303" i="13"/>
  <c r="D1304" i="13"/>
  <c r="D1305" i="13"/>
  <c r="D1306" i="13"/>
  <c r="D1307" i="13"/>
  <c r="D1308" i="13"/>
  <c r="D1309" i="13"/>
  <c r="D1310" i="13"/>
  <c r="D1311" i="13"/>
  <c r="D1312" i="13"/>
  <c r="D1313" i="13"/>
  <c r="D1314" i="13"/>
  <c r="D1315" i="13"/>
  <c r="D1316" i="13"/>
  <c r="D1317" i="13"/>
  <c r="D1318" i="13"/>
  <c r="D1319" i="13"/>
  <c r="D1320" i="13"/>
  <c r="D1321" i="13"/>
  <c r="D1322" i="13"/>
  <c r="D1323" i="13"/>
  <c r="D1324" i="13"/>
  <c r="D1325" i="13"/>
  <c r="D1326" i="13"/>
  <c r="D1327" i="13"/>
  <c r="D1328" i="13"/>
  <c r="D1329" i="13"/>
  <c r="D1330" i="13"/>
  <c r="D1331" i="13"/>
  <c r="D1332" i="13"/>
  <c r="D1333" i="13"/>
  <c r="D1334" i="13"/>
  <c r="D1335" i="13"/>
  <c r="D1336" i="13"/>
  <c r="D1337" i="13"/>
  <c r="D1338" i="13"/>
  <c r="D1339" i="13"/>
  <c r="D1340" i="13"/>
  <c r="D1341" i="13"/>
  <c r="D1342" i="13"/>
  <c r="D1343" i="13"/>
  <c r="D1344" i="13"/>
  <c r="D1345" i="13"/>
  <c r="D1346" i="13"/>
  <c r="D1347" i="13"/>
  <c r="D1348" i="13"/>
  <c r="D1349" i="13"/>
  <c r="D1350" i="13"/>
  <c r="D1351" i="13"/>
  <c r="D1352" i="13"/>
  <c r="D1353" i="13"/>
  <c r="D1354" i="13"/>
  <c r="D1355" i="13"/>
  <c r="D1356" i="13"/>
  <c r="D1357" i="13"/>
  <c r="D1358" i="13"/>
  <c r="D1359" i="13"/>
  <c r="D1360" i="13"/>
  <c r="D1361" i="13"/>
  <c r="D1362" i="13"/>
  <c r="D1363" i="13"/>
  <c r="D1364" i="13"/>
  <c r="D1365" i="13"/>
  <c r="D1366" i="13"/>
  <c r="D1367" i="13"/>
  <c r="D1368" i="13"/>
  <c r="D1369" i="13"/>
  <c r="D1370" i="13"/>
  <c r="D1371" i="13"/>
  <c r="D1372" i="13"/>
  <c r="D1373" i="13"/>
  <c r="D1374" i="13"/>
  <c r="D1375" i="13"/>
  <c r="D1376" i="13"/>
  <c r="D1377" i="13"/>
  <c r="D1378" i="13"/>
  <c r="D1379" i="13"/>
  <c r="D1380" i="13"/>
  <c r="D1381" i="13"/>
  <c r="D1382" i="13"/>
  <c r="D1383" i="13"/>
  <c r="D1384" i="13"/>
  <c r="D1385" i="13"/>
  <c r="D1386" i="13"/>
  <c r="D1387" i="13"/>
  <c r="D1388" i="13"/>
  <c r="D1389" i="13"/>
  <c r="D1390" i="13"/>
  <c r="D1391" i="13"/>
  <c r="D1392" i="13"/>
  <c r="D1393" i="13"/>
  <c r="D1394" i="13"/>
  <c r="D1395" i="13"/>
  <c r="D1396" i="13"/>
  <c r="D1397" i="13"/>
  <c r="D1398" i="13"/>
  <c r="D1399" i="13"/>
  <c r="D1400" i="13"/>
  <c r="D1401" i="13"/>
  <c r="D1402" i="13"/>
  <c r="D1403" i="13"/>
  <c r="D1404" i="13"/>
  <c r="D1405" i="13"/>
  <c r="D1406" i="13"/>
  <c r="D1407" i="13"/>
  <c r="D1408" i="13"/>
  <c r="D1409" i="13"/>
  <c r="D1410" i="13"/>
  <c r="D1411" i="13"/>
  <c r="D1412" i="13"/>
  <c r="D1413" i="13"/>
  <c r="D1414" i="13"/>
  <c r="D1415" i="13"/>
  <c r="D1416" i="13"/>
  <c r="D1417" i="13"/>
  <c r="D1418" i="13"/>
  <c r="D1419" i="13"/>
  <c r="D1420" i="13"/>
  <c r="D1421" i="13"/>
  <c r="D1422" i="13"/>
  <c r="D1423" i="13"/>
  <c r="D1424" i="13"/>
  <c r="D1425" i="13"/>
  <c r="D1426" i="13"/>
  <c r="D1427" i="13"/>
  <c r="D1428" i="13"/>
  <c r="D1429" i="13"/>
  <c r="D1430" i="13"/>
  <c r="D1431" i="13"/>
  <c r="D1432" i="13"/>
  <c r="D1433" i="13"/>
  <c r="D1434" i="13"/>
  <c r="D1435" i="13"/>
  <c r="D1436" i="13"/>
  <c r="D1437" i="13"/>
  <c r="D1438" i="13"/>
  <c r="D1439" i="13"/>
  <c r="D1440" i="13"/>
  <c r="D1441" i="13"/>
  <c r="D1442" i="13"/>
  <c r="D1443" i="13"/>
  <c r="D1444" i="13"/>
  <c r="D1445" i="13"/>
  <c r="D1446" i="13"/>
  <c r="D1447" i="13"/>
  <c r="D1448" i="13"/>
  <c r="D1449" i="13"/>
  <c r="D1450" i="13"/>
  <c r="D1451" i="13"/>
  <c r="D1452" i="13"/>
  <c r="D1453" i="13"/>
  <c r="D1454" i="13"/>
  <c r="D1455" i="13"/>
  <c r="D1456" i="13"/>
  <c r="D1457" i="13"/>
  <c r="D1458" i="13"/>
  <c r="D1459" i="13"/>
  <c r="D1460" i="13"/>
  <c r="D1461" i="13"/>
  <c r="D1462" i="13"/>
  <c r="D1463" i="13"/>
  <c r="D1464" i="13"/>
  <c r="D1465" i="13"/>
  <c r="D1466" i="13"/>
  <c r="D1467" i="13"/>
  <c r="D1468" i="13"/>
  <c r="D1469" i="13"/>
  <c r="D1470" i="13"/>
  <c r="D1471" i="13"/>
  <c r="D1472" i="13"/>
  <c r="D1473" i="13"/>
  <c r="D1474" i="13"/>
  <c r="D1475" i="13"/>
  <c r="D1476" i="13"/>
  <c r="D1477" i="13"/>
  <c r="D1478" i="13"/>
  <c r="D1479" i="13"/>
  <c r="D1480" i="13"/>
  <c r="D1481" i="13"/>
  <c r="D1482" i="13"/>
  <c r="D1483" i="13"/>
  <c r="D1484" i="13"/>
  <c r="D1485" i="13"/>
  <c r="D1486" i="13"/>
  <c r="D1487" i="13"/>
  <c r="D1488" i="13"/>
  <c r="D1489" i="13"/>
  <c r="D1490" i="13"/>
  <c r="D1491" i="13"/>
  <c r="D1492" i="13"/>
  <c r="D1493" i="13"/>
  <c r="D1494" i="13"/>
  <c r="D1495" i="13"/>
  <c r="D1496" i="13"/>
  <c r="D1497" i="13"/>
  <c r="D1498" i="13"/>
  <c r="D1499" i="13"/>
  <c r="D1500" i="13"/>
  <c r="D1501" i="13"/>
  <c r="D4" i="8"/>
  <c r="D5" i="8"/>
  <c r="D21" i="8"/>
  <c r="D43" i="8"/>
  <c r="D44" i="8"/>
  <c r="D29" i="12"/>
  <c r="D30" i="12"/>
  <c r="D31" i="12"/>
  <c r="D32" i="12"/>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4" i="6"/>
  <c r="D475" i="6"/>
  <c r="D476" i="6"/>
  <c r="D477" i="6"/>
  <c r="D478" i="6"/>
  <c r="D479" i="6"/>
  <c r="D480"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3" i="6"/>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258" i="13"/>
  <c r="G259" i="13"/>
  <c r="G260" i="13"/>
  <c r="G261" i="13"/>
  <c r="G262" i="13"/>
  <c r="G263" i="13"/>
  <c r="G264" i="13"/>
  <c r="G265" i="13"/>
  <c r="G266" i="13"/>
  <c r="G267" i="13"/>
  <c r="G268" i="13"/>
  <c r="G248" i="13"/>
  <c r="G249" i="13"/>
  <c r="G250" i="13"/>
  <c r="G251" i="13"/>
  <c r="G252" i="13"/>
  <c r="G253" i="13"/>
  <c r="G254" i="13"/>
  <c r="G255" i="13"/>
  <c r="G256" i="13"/>
  <c r="G257" i="13"/>
  <c r="G215" i="13"/>
  <c r="G216" i="13"/>
  <c r="G132" i="13"/>
  <c r="G133" i="13"/>
  <c r="G134" i="13"/>
  <c r="G135" i="13"/>
  <c r="G136" i="13"/>
  <c r="G122" i="13"/>
  <c r="G123" i="13"/>
  <c r="G124" i="13"/>
  <c r="G125" i="13"/>
  <c r="G126" i="13"/>
  <c r="G127" i="13"/>
  <c r="G128" i="13"/>
  <c r="G129" i="13"/>
  <c r="G130" i="13"/>
  <c r="G131" i="13"/>
  <c r="G105" i="13"/>
  <c r="G106" i="13"/>
  <c r="G107" i="13"/>
  <c r="G108" i="13"/>
  <c r="G109" i="13"/>
  <c r="G110" i="13"/>
  <c r="G80" i="13"/>
  <c r="G81" i="13"/>
  <c r="G82" i="13"/>
  <c r="G83" i="13"/>
  <c r="G84" i="13"/>
  <c r="G85" i="13"/>
  <c r="G86" i="13"/>
  <c r="G87" i="13"/>
  <c r="G88" i="13"/>
  <c r="G89" i="13"/>
  <c r="G90" i="13"/>
  <c r="G91" i="13"/>
  <c r="G66" i="13"/>
  <c r="G67" i="13"/>
  <c r="G68" i="13"/>
  <c r="G69" i="13"/>
  <c r="G70" i="13"/>
  <c r="G71" i="13"/>
  <c r="G72" i="13"/>
  <c r="G73" i="13"/>
  <c r="G74" i="13"/>
  <c r="G75" i="13"/>
  <c r="G76" i="13"/>
  <c r="G25" i="13"/>
  <c r="G26" i="13"/>
  <c r="G286" i="13"/>
  <c r="C1503" i="13"/>
  <c r="G48" i="13"/>
  <c r="G2" i="13"/>
  <c r="G3" i="13"/>
  <c r="G4" i="13"/>
  <c r="G5" i="13"/>
  <c r="G6" i="13"/>
  <c r="G7" i="13"/>
  <c r="G8" i="13"/>
  <c r="G9" i="13"/>
  <c r="G10" i="13"/>
  <c r="G11" i="13"/>
  <c r="G12" i="13"/>
  <c r="G13" i="13"/>
  <c r="G14" i="13"/>
  <c r="G15" i="13"/>
  <c r="G16" i="13"/>
  <c r="G17" i="13"/>
  <c r="G18" i="13"/>
  <c r="G19" i="13"/>
  <c r="G20" i="13"/>
  <c r="G21" i="13"/>
  <c r="G22" i="13"/>
  <c r="G23" i="13"/>
  <c r="G24" i="13"/>
  <c r="G27" i="13"/>
  <c r="G28" i="13"/>
  <c r="G29" i="13"/>
  <c r="G30" i="13"/>
  <c r="G31" i="13"/>
  <c r="G32" i="13"/>
  <c r="G33" i="13"/>
  <c r="G34" i="13"/>
  <c r="G35" i="13"/>
  <c r="G36" i="13"/>
  <c r="G37" i="13"/>
  <c r="G38" i="13"/>
  <c r="G39" i="13"/>
  <c r="G40" i="13"/>
  <c r="G41" i="13"/>
  <c r="G42" i="13"/>
  <c r="G43" i="13"/>
  <c r="G44" i="13"/>
  <c r="G45" i="13"/>
  <c r="G46" i="13"/>
  <c r="G47" i="13"/>
  <c r="G49" i="13"/>
  <c r="G50" i="13"/>
  <c r="G51" i="13"/>
  <c r="G52" i="13"/>
  <c r="G53" i="13"/>
  <c r="G54" i="13"/>
  <c r="G55" i="13"/>
  <c r="G56" i="13"/>
  <c r="G57" i="13"/>
  <c r="G58" i="13"/>
  <c r="G59" i="13"/>
  <c r="G60" i="13"/>
  <c r="G61" i="13"/>
  <c r="G62" i="13"/>
  <c r="G63" i="13"/>
  <c r="G64" i="13"/>
  <c r="G65" i="13"/>
  <c r="G77" i="13"/>
  <c r="G78" i="13"/>
  <c r="G79" i="13"/>
  <c r="G92" i="13"/>
  <c r="G93" i="13"/>
  <c r="G94" i="13"/>
  <c r="G95" i="13"/>
  <c r="G96" i="13"/>
  <c r="G97" i="13"/>
  <c r="G99" i="13"/>
  <c r="G100" i="13"/>
  <c r="G111" i="13"/>
  <c r="G112" i="13"/>
  <c r="G113" i="13"/>
  <c r="G114" i="13"/>
  <c r="G115" i="13"/>
  <c r="G116" i="13"/>
  <c r="G117" i="13"/>
  <c r="G118" i="13"/>
  <c r="G119" i="13"/>
  <c r="G120" i="13"/>
  <c r="G121"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7" i="13"/>
  <c r="G269" i="13"/>
  <c r="G270" i="13"/>
  <c r="G271" i="13"/>
  <c r="G272" i="13"/>
  <c r="G273" i="13"/>
  <c r="G274" i="13"/>
  <c r="G275" i="13"/>
  <c r="G276" i="13"/>
  <c r="G277" i="13"/>
  <c r="G278" i="13"/>
  <c r="G279" i="13"/>
  <c r="G280" i="13"/>
  <c r="G281" i="13"/>
  <c r="G282" i="13"/>
  <c r="G283" i="13"/>
  <c r="G284" i="13"/>
  <c r="G285" i="13"/>
  <c r="G287" i="13"/>
  <c r="G288" i="13"/>
  <c r="G289" i="13"/>
  <c r="G290" i="13"/>
  <c r="G291" i="13"/>
  <c r="G292" i="13"/>
  <c r="G293" i="13"/>
  <c r="G294" i="13"/>
  <c r="G295" i="13"/>
  <c r="G296" i="13"/>
  <c r="G297" i="13"/>
  <c r="G298" i="13"/>
  <c r="G299" i="13"/>
  <c r="G300" i="13"/>
  <c r="G301" i="13"/>
  <c r="G302" i="13"/>
  <c r="G303" i="13"/>
  <c r="D185" i="11" l="1"/>
  <c r="D186" i="11"/>
  <c r="D187" i="11"/>
  <c r="D188" i="11"/>
  <c r="D189" i="11"/>
  <c r="D190" i="11"/>
  <c r="D191" i="11"/>
  <c r="D192" i="11"/>
  <c r="D193" i="11"/>
  <c r="D194" i="11"/>
  <c r="D195" i="11"/>
  <c r="D196" i="11"/>
  <c r="D197" i="11"/>
  <c r="D198" i="11"/>
  <c r="D199" i="11"/>
  <c r="D200" i="11"/>
  <c r="D20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200" i="13"/>
  <c r="D118" i="11"/>
  <c r="D152" i="13"/>
  <c r="D821" i="13"/>
  <c r="D820" i="13"/>
  <c r="D819" i="13"/>
  <c r="D818" i="13"/>
  <c r="D817" i="13"/>
  <c r="D816" i="13"/>
  <c r="D815" i="13"/>
  <c r="D814" i="13"/>
  <c r="D813" i="13"/>
  <c r="D812" i="13"/>
  <c r="D811" i="13"/>
  <c r="D810" i="13"/>
  <c r="D809" i="13"/>
  <c r="D808" i="13"/>
  <c r="D807" i="13"/>
  <c r="D806" i="13"/>
  <c r="D805" i="13"/>
  <c r="D804" i="13"/>
  <c r="D803" i="13"/>
  <c r="D802" i="13"/>
  <c r="D801" i="13"/>
  <c r="D800" i="13"/>
  <c r="D799" i="13"/>
  <c r="D798" i="13"/>
  <c r="D797" i="13"/>
  <c r="D796" i="13"/>
  <c r="D795" i="13"/>
  <c r="D794" i="13"/>
  <c r="D793" i="13"/>
  <c r="D792" i="13"/>
  <c r="D791" i="13"/>
  <c r="D790" i="13"/>
  <c r="D789" i="13"/>
  <c r="D788" i="13"/>
  <c r="D787" i="13"/>
  <c r="D786" i="13"/>
  <c r="D785" i="13"/>
  <c r="D784" i="13"/>
  <c r="D783" i="13"/>
  <c r="D782" i="13"/>
  <c r="D781" i="13"/>
  <c r="D780" i="13"/>
  <c r="D779" i="13"/>
  <c r="D778" i="13"/>
  <c r="D777" i="13"/>
  <c r="D776" i="13"/>
  <c r="D775" i="13"/>
  <c r="D774" i="13"/>
  <c r="D773" i="13"/>
  <c r="D772" i="13"/>
  <c r="D771" i="13"/>
  <c r="D770" i="13"/>
  <c r="D769" i="13"/>
  <c r="D768" i="13"/>
  <c r="D767" i="13"/>
  <c r="D766" i="13"/>
  <c r="D765" i="13"/>
  <c r="D764" i="13"/>
  <c r="D763" i="13"/>
  <c r="D762" i="13"/>
  <c r="D761" i="13"/>
  <c r="D760" i="13"/>
  <c r="D759" i="13"/>
  <c r="D758" i="13"/>
  <c r="D757" i="13"/>
  <c r="D756" i="13"/>
  <c r="D755" i="13"/>
  <c r="D754" i="13"/>
  <c r="D753" i="13"/>
  <c r="D752" i="13"/>
  <c r="D751" i="13"/>
  <c r="D750" i="13"/>
  <c r="D749" i="13"/>
  <c r="D748" i="13"/>
  <c r="D747" i="13"/>
  <c r="D746" i="13"/>
  <c r="D745" i="13"/>
  <c r="D744" i="13"/>
  <c r="D743" i="13"/>
  <c r="D742" i="13"/>
  <c r="D741" i="13"/>
  <c r="D740" i="13"/>
  <c r="D739" i="13"/>
  <c r="D738" i="13"/>
  <c r="D737" i="13"/>
  <c r="D736" i="13"/>
  <c r="D735" i="13"/>
  <c r="D734" i="13"/>
  <c r="D733" i="13"/>
  <c r="D732" i="13"/>
  <c r="D731" i="13"/>
  <c r="D730" i="13"/>
  <c r="D729" i="13"/>
  <c r="D728" i="13"/>
  <c r="D727" i="13"/>
  <c r="D726" i="13"/>
  <c r="D725" i="13"/>
  <c r="D724" i="13"/>
  <c r="D723" i="13"/>
  <c r="D722" i="13"/>
  <c r="D720" i="13"/>
  <c r="D719" i="13"/>
  <c r="D718" i="13"/>
  <c r="D717" i="13"/>
  <c r="D716" i="13"/>
  <c r="D715" i="13"/>
  <c r="D714" i="13"/>
  <c r="D713" i="13"/>
  <c r="D712" i="13"/>
  <c r="D711" i="13"/>
  <c r="D710" i="13"/>
  <c r="D709" i="13"/>
  <c r="D708" i="13"/>
  <c r="D707" i="13"/>
  <c r="D706" i="13"/>
  <c r="D705" i="13"/>
  <c r="D704" i="13"/>
  <c r="D703" i="13"/>
  <c r="D702" i="13"/>
  <c r="D701" i="13"/>
  <c r="D700" i="13"/>
  <c r="D699" i="13"/>
  <c r="D698" i="13"/>
  <c r="D697" i="13"/>
  <c r="D696" i="13"/>
  <c r="D695" i="13"/>
  <c r="D694" i="13"/>
  <c r="D693" i="13"/>
  <c r="D692" i="13"/>
  <c r="D691" i="13"/>
  <c r="D690" i="13"/>
  <c r="D689" i="13"/>
  <c r="D688" i="13"/>
  <c r="D687" i="13"/>
  <c r="D686" i="13"/>
  <c r="D685" i="13"/>
  <c r="D684" i="13"/>
  <c r="D683" i="13"/>
  <c r="D682" i="13"/>
  <c r="D681" i="13"/>
  <c r="D680" i="13"/>
  <c r="D679" i="13"/>
  <c r="D678" i="13"/>
  <c r="D677" i="13"/>
  <c r="D676" i="13"/>
  <c r="D675" i="13"/>
  <c r="D674" i="13"/>
  <c r="D673" i="13"/>
  <c r="D672" i="13"/>
  <c r="D671" i="13"/>
  <c r="D670" i="13"/>
  <c r="D669" i="13"/>
  <c r="D668" i="13"/>
  <c r="D667" i="13"/>
  <c r="D666" i="13"/>
  <c r="D665" i="13"/>
  <c r="D664" i="13"/>
  <c r="D663" i="13"/>
  <c r="D662" i="13"/>
  <c r="D661" i="13"/>
  <c r="D660" i="13"/>
  <c r="D659" i="13"/>
  <c r="D658" i="13"/>
  <c r="D657" i="13"/>
  <c r="D656" i="13"/>
  <c r="D655" i="13"/>
  <c r="D654" i="13"/>
  <c r="D653" i="13"/>
  <c r="D652" i="13"/>
  <c r="D651" i="13"/>
  <c r="D650" i="13"/>
  <c r="D649" i="13"/>
  <c r="D648" i="13"/>
  <c r="D647" i="13"/>
  <c r="D646" i="13"/>
  <c r="D645" i="13"/>
  <c r="D644" i="13"/>
  <c r="D643" i="13"/>
  <c r="D642" i="13"/>
  <c r="D641" i="13"/>
  <c r="D640" i="13"/>
  <c r="D639" i="13"/>
  <c r="D638" i="13"/>
  <c r="D637" i="13"/>
  <c r="D636" i="13"/>
  <c r="D635" i="13"/>
  <c r="D634" i="13"/>
  <c r="D633" i="13"/>
  <c r="D632" i="13"/>
  <c r="D631" i="13"/>
  <c r="D630" i="13"/>
  <c r="D629" i="13"/>
  <c r="D628" i="13"/>
  <c r="D627" i="13"/>
  <c r="D626" i="13"/>
  <c r="D625" i="13"/>
  <c r="D624" i="13"/>
  <c r="D623" i="13"/>
  <c r="D622" i="13"/>
  <c r="D621" i="13"/>
  <c r="D620" i="13"/>
  <c r="D619" i="13"/>
  <c r="D618" i="13"/>
  <c r="D617" i="13"/>
  <c r="D616" i="13"/>
  <c r="D615" i="13"/>
  <c r="D614" i="13"/>
  <c r="D613" i="13"/>
  <c r="D612" i="13"/>
  <c r="D611" i="13"/>
  <c r="D610" i="13"/>
  <c r="D609" i="13"/>
  <c r="D608" i="13"/>
  <c r="D606" i="13"/>
  <c r="D605" i="13"/>
  <c r="D604" i="13"/>
  <c r="D603" i="13"/>
  <c r="D602" i="13"/>
  <c r="D601" i="13"/>
  <c r="D600" i="13"/>
  <c r="D599" i="13"/>
  <c r="D598" i="13"/>
  <c r="D597" i="13"/>
  <c r="D596" i="13"/>
  <c r="D595" i="13"/>
  <c r="D594" i="13"/>
  <c r="D593" i="13"/>
  <c r="D592" i="13"/>
  <c r="D591" i="13"/>
  <c r="D590" i="13"/>
  <c r="D589" i="13"/>
  <c r="D588" i="13"/>
  <c r="D587" i="13"/>
  <c r="D586" i="13"/>
  <c r="D585" i="13"/>
  <c r="D584" i="13"/>
  <c r="D583" i="13"/>
  <c r="D582" i="13"/>
  <c r="D581" i="13"/>
  <c r="D580" i="13"/>
  <c r="D579" i="13"/>
  <c r="D578" i="13"/>
  <c r="D577" i="13"/>
  <c r="D576" i="13"/>
  <c r="D574" i="13"/>
  <c r="D573" i="13"/>
  <c r="D572" i="13"/>
  <c r="D571" i="13"/>
  <c r="D570" i="13"/>
  <c r="D569" i="13"/>
  <c r="D568" i="13"/>
  <c r="D567" i="13"/>
  <c r="D566" i="13"/>
  <c r="D565" i="13"/>
  <c r="D564" i="13"/>
  <c r="D563" i="13"/>
  <c r="D562" i="13"/>
  <c r="D561" i="13"/>
  <c r="D560" i="13"/>
  <c r="D559" i="13"/>
  <c r="D558" i="13"/>
  <c r="D557" i="13"/>
  <c r="D556" i="13"/>
  <c r="D555" i="13"/>
  <c r="D554" i="13"/>
  <c r="D553" i="13"/>
  <c r="D552" i="13"/>
  <c r="D551" i="13"/>
  <c r="D550" i="13"/>
  <c r="D549" i="13"/>
  <c r="D548" i="13"/>
  <c r="D547" i="13"/>
  <c r="D546" i="13"/>
  <c r="D545" i="13"/>
  <c r="D544" i="13"/>
  <c r="D543" i="13"/>
  <c r="D542" i="13"/>
  <c r="D541" i="13"/>
  <c r="D540" i="13"/>
  <c r="D539" i="13"/>
  <c r="D538" i="13"/>
  <c r="D537" i="13"/>
  <c r="D536" i="13"/>
  <c r="D535" i="13"/>
  <c r="D534" i="13"/>
  <c r="D533" i="13"/>
  <c r="D532" i="13"/>
  <c r="D531" i="13"/>
  <c r="D530" i="13"/>
  <c r="D529" i="13"/>
  <c r="D528" i="13"/>
  <c r="D527" i="13"/>
  <c r="D526" i="13"/>
  <c r="D525" i="13"/>
  <c r="D524" i="13"/>
  <c r="D523" i="13"/>
  <c r="D522" i="13"/>
  <c r="D521" i="13"/>
  <c r="D520" i="13"/>
  <c r="D518" i="13"/>
  <c r="D517" i="13"/>
  <c r="D516" i="13"/>
  <c r="D515" i="13"/>
  <c r="D514" i="13"/>
  <c r="D513" i="13"/>
  <c r="D512" i="13"/>
  <c r="D511" i="13"/>
  <c r="D510" i="13"/>
  <c r="D509" i="13"/>
  <c r="D508" i="13"/>
  <c r="D507" i="13"/>
  <c r="D506" i="13"/>
  <c r="D505" i="13"/>
  <c r="D504" i="13"/>
  <c r="D503" i="13"/>
  <c r="D502" i="13"/>
  <c r="D501" i="13"/>
  <c r="D500" i="13"/>
  <c r="D499" i="13"/>
  <c r="D498" i="13"/>
  <c r="D497" i="13"/>
  <c r="D496" i="13"/>
  <c r="D495" i="13"/>
  <c r="D494" i="13"/>
  <c r="D493" i="13"/>
  <c r="D492" i="13"/>
  <c r="D491" i="13"/>
  <c r="D490" i="13"/>
  <c r="D489" i="13"/>
  <c r="D486" i="13"/>
  <c r="D485" i="13"/>
  <c r="D484" i="13"/>
  <c r="D483" i="13"/>
  <c r="D482" i="13"/>
  <c r="D481" i="13"/>
  <c r="D480" i="13"/>
  <c r="D479" i="13"/>
  <c r="D478" i="13"/>
  <c r="D477" i="13"/>
  <c r="D476" i="13"/>
  <c r="D475" i="13"/>
  <c r="D474" i="13"/>
  <c r="D473" i="13"/>
  <c r="D472" i="13"/>
  <c r="D471" i="13"/>
  <c r="D470" i="13"/>
  <c r="D469" i="13"/>
  <c r="D468" i="13"/>
  <c r="D467" i="13"/>
  <c r="D466" i="13"/>
  <c r="D465" i="13"/>
  <c r="D464" i="13"/>
  <c r="D463" i="13"/>
  <c r="D462" i="13"/>
  <c r="D461" i="13"/>
  <c r="D460" i="13"/>
  <c r="D459" i="13"/>
  <c r="D458" i="13"/>
  <c r="D457" i="13"/>
  <c r="D456" i="13"/>
  <c r="D455" i="13"/>
  <c r="D454" i="13"/>
  <c r="D453" i="13"/>
  <c r="D452" i="13"/>
  <c r="D451" i="13"/>
  <c r="D450" i="13"/>
  <c r="D449" i="13"/>
  <c r="D448" i="13"/>
  <c r="D447" i="13"/>
  <c r="D446" i="13"/>
  <c r="D445" i="13"/>
  <c r="D444" i="13"/>
  <c r="D443" i="13"/>
  <c r="D442" i="13"/>
  <c r="D441" i="13"/>
  <c r="D440" i="13"/>
  <c r="D439" i="13"/>
  <c r="D438" i="13"/>
  <c r="D437" i="13"/>
  <c r="D436" i="13"/>
  <c r="D435" i="13"/>
  <c r="D434" i="13"/>
  <c r="D433" i="13"/>
  <c r="D432" i="13"/>
  <c r="D430" i="13"/>
  <c r="D429" i="13"/>
  <c r="D428" i="13"/>
  <c r="D427" i="13"/>
  <c r="D426" i="13"/>
  <c r="D425" i="13"/>
  <c r="D424" i="13"/>
  <c r="D423" i="13"/>
  <c r="D422" i="13"/>
  <c r="D421" i="13"/>
  <c r="D420" i="13"/>
  <c r="D419" i="13"/>
  <c r="D418" i="13"/>
  <c r="D417" i="13"/>
  <c r="D416" i="13"/>
  <c r="D415" i="13"/>
  <c r="D414" i="13"/>
  <c r="D413" i="13"/>
  <c r="D412" i="13"/>
  <c r="D411" i="13"/>
  <c r="D410" i="13"/>
  <c r="D406" i="13"/>
  <c r="D405" i="13"/>
  <c r="D404" i="13"/>
  <c r="D403" i="13"/>
  <c r="D402" i="13"/>
  <c r="D401" i="13"/>
  <c r="D400" i="13"/>
  <c r="D399" i="13"/>
  <c r="D398" i="13"/>
  <c r="D397" i="13"/>
  <c r="D396" i="13"/>
  <c r="D395" i="13"/>
  <c r="D394" i="13"/>
  <c r="D393" i="13"/>
  <c r="D392" i="13"/>
  <c r="D391" i="13"/>
  <c r="D390" i="13"/>
  <c r="D389" i="13"/>
  <c r="D388" i="13"/>
  <c r="D387" i="13"/>
  <c r="D386" i="13"/>
  <c r="D385" i="13"/>
  <c r="D383" i="13"/>
  <c r="D382" i="13"/>
  <c r="D381" i="13"/>
  <c r="D380" i="13"/>
  <c r="D379" i="13"/>
  <c r="D378" i="13"/>
  <c r="D377" i="13"/>
  <c r="D376" i="13"/>
  <c r="D375" i="13"/>
  <c r="D374" i="13"/>
  <c r="D373" i="13"/>
  <c r="D372" i="13"/>
  <c r="D371" i="13"/>
  <c r="D370" i="13"/>
  <c r="D369" i="13"/>
  <c r="D368" i="13"/>
  <c r="D367" i="13"/>
  <c r="D366" i="13"/>
  <c r="D365" i="13"/>
  <c r="D364" i="13"/>
  <c r="D363" i="13"/>
  <c r="D362" i="13"/>
  <c r="D361" i="13"/>
  <c r="D360" i="13"/>
  <c r="D359" i="13"/>
  <c r="D358" i="13"/>
  <c r="D357" i="13"/>
  <c r="D356" i="13"/>
  <c r="D355" i="13"/>
  <c r="D354" i="13"/>
  <c r="D353" i="13"/>
  <c r="D352" i="13"/>
  <c r="D351" i="13"/>
  <c r="D350" i="13"/>
  <c r="D349" i="13"/>
  <c r="D348" i="13"/>
  <c r="D347" i="13"/>
  <c r="D346" i="13"/>
  <c r="D345" i="13"/>
  <c r="D344" i="13"/>
  <c r="D343" i="13"/>
  <c r="D342" i="13"/>
  <c r="D341" i="13"/>
  <c r="D340" i="13"/>
  <c r="D339" i="13"/>
  <c r="D338" i="13"/>
  <c r="D337" i="13"/>
  <c r="D336" i="13"/>
  <c r="D335" i="13"/>
  <c r="D334" i="13"/>
  <c r="D333" i="13"/>
  <c r="D332" i="13"/>
  <c r="D331" i="13"/>
  <c r="D330" i="13"/>
  <c r="D329" i="13"/>
  <c r="D328" i="13"/>
  <c r="D327" i="13"/>
  <c r="D326" i="13"/>
  <c r="D325" i="13"/>
  <c r="D324" i="13"/>
  <c r="D323" i="13"/>
  <c r="D322" i="13"/>
  <c r="D321" i="13"/>
  <c r="D320" i="13"/>
  <c r="D319" i="13"/>
  <c r="D318" i="13"/>
  <c r="D317" i="13"/>
  <c r="D316" i="13"/>
  <c r="D315" i="13"/>
  <c r="D314" i="13"/>
  <c r="D313" i="13"/>
  <c r="D312" i="13"/>
  <c r="D311" i="13"/>
  <c r="D310" i="13"/>
  <c r="D309" i="13"/>
  <c r="D308" i="13"/>
  <c r="D307" i="13"/>
  <c r="D306" i="13"/>
  <c r="D305" i="13"/>
  <c r="D304" i="13"/>
  <c r="D303" i="13"/>
  <c r="D302" i="13"/>
  <c r="D301" i="13"/>
  <c r="D299" i="13"/>
  <c r="D298" i="13"/>
  <c r="D297" i="13"/>
  <c r="D296" i="13"/>
  <c r="D295" i="13"/>
  <c r="D294" i="13"/>
  <c r="D293" i="13"/>
  <c r="D292" i="13"/>
  <c r="D291" i="13"/>
  <c r="D290" i="13"/>
  <c r="D289" i="13"/>
  <c r="D288" i="13"/>
  <c r="D287" i="13"/>
  <c r="D286" i="13"/>
  <c r="D285" i="13"/>
  <c r="D284" i="13"/>
  <c r="D283" i="13"/>
  <c r="D282" i="13"/>
  <c r="D281" i="13"/>
  <c r="D280" i="13"/>
  <c r="D279" i="13"/>
  <c r="D278" i="13"/>
  <c r="D277" i="13"/>
  <c r="D276" i="13"/>
  <c r="D275" i="13"/>
  <c r="D274" i="13"/>
  <c r="D273" i="13"/>
  <c r="D272" i="13"/>
  <c r="D271" i="13"/>
  <c r="D270" i="13"/>
  <c r="D269" i="13"/>
  <c r="D268" i="13"/>
  <c r="D267" i="13"/>
  <c r="D266" i="13"/>
  <c r="D265" i="13"/>
  <c r="D264" i="13"/>
  <c r="D263" i="13"/>
  <c r="D262" i="13"/>
  <c r="D261" i="13"/>
  <c r="D260" i="13"/>
  <c r="D259" i="13"/>
  <c r="D258" i="13"/>
  <c r="D257" i="13"/>
  <c r="D256" i="13"/>
  <c r="D255" i="13"/>
  <c r="D254" i="13"/>
  <c r="D253" i="13"/>
  <c r="D251" i="13"/>
  <c r="D250" i="13"/>
  <c r="D249" i="13"/>
  <c r="D248" i="13"/>
  <c r="D247" i="13"/>
  <c r="D246" i="13"/>
  <c r="D245" i="13"/>
  <c r="D244" i="13"/>
  <c r="D243" i="13"/>
  <c r="D242" i="13"/>
  <c r="D241" i="13"/>
  <c r="D240" i="13"/>
  <c r="D239" i="13"/>
  <c r="D238" i="13"/>
  <c r="D237" i="13"/>
  <c r="D236" i="13"/>
  <c r="D235" i="13"/>
  <c r="D234" i="13"/>
  <c r="D233" i="13"/>
  <c r="D232" i="13"/>
  <c r="D231" i="13"/>
  <c r="D230" i="13"/>
  <c r="D229" i="13"/>
  <c r="D228" i="13"/>
  <c r="D227" i="13"/>
  <c r="D226" i="13"/>
  <c r="D225" i="13"/>
  <c r="D224" i="13"/>
  <c r="D223" i="13"/>
  <c r="D222" i="13"/>
  <c r="D221" i="13"/>
  <c r="D220" i="13"/>
  <c r="D219" i="13"/>
  <c r="D218" i="13"/>
  <c r="D217" i="13"/>
  <c r="D216" i="13"/>
  <c r="D215" i="13"/>
  <c r="D214" i="13"/>
  <c r="D213" i="13"/>
  <c r="D212" i="13"/>
  <c r="D211" i="13"/>
  <c r="D210" i="13"/>
  <c r="D209" i="13"/>
  <c r="D208" i="13"/>
  <c r="D207" i="13"/>
  <c r="D206" i="13"/>
  <c r="D205" i="13"/>
  <c r="D204" i="13"/>
  <c r="D203" i="13"/>
  <c r="D202" i="13"/>
  <c r="D201" i="13"/>
  <c r="D199" i="13"/>
  <c r="D198" i="13"/>
  <c r="D197" i="13"/>
  <c r="D196" i="13"/>
  <c r="D195" i="13"/>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0" i="13"/>
  <c r="D19" i="13"/>
  <c r="D18" i="13"/>
  <c r="D17" i="13"/>
  <c r="D16" i="13"/>
  <c r="D15" i="13"/>
  <c r="D14" i="13"/>
  <c r="D13" i="13"/>
  <c r="D12" i="13"/>
  <c r="D8" i="13"/>
  <c r="D7" i="13"/>
  <c r="D6" i="13"/>
  <c r="D5" i="13"/>
  <c r="D4" i="13"/>
  <c r="D3" i="13"/>
  <c r="D2" i="13"/>
  <c r="D9" i="11"/>
  <c r="D61" i="11"/>
  <c r="D62" i="11"/>
  <c r="D127" i="11"/>
  <c r="D124" i="11"/>
  <c r="D35" i="8"/>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4" i="12"/>
  <c r="D43" i="12"/>
  <c r="D42" i="12"/>
  <c r="D41" i="12"/>
  <c r="D40" i="12"/>
  <c r="D39" i="12"/>
  <c r="D38" i="12"/>
  <c r="D37" i="12"/>
  <c r="D36" i="12"/>
  <c r="D35" i="12"/>
  <c r="D34" i="12"/>
  <c r="D33"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169" i="8"/>
  <c r="D170" i="8"/>
  <c r="D171" i="8"/>
  <c r="D172" i="8"/>
  <c r="D173" i="8"/>
  <c r="D174" i="8"/>
  <c r="D175" i="8"/>
  <c r="D176" i="8"/>
  <c r="D177" i="8"/>
  <c r="D178" i="8"/>
  <c r="D179" i="8"/>
  <c r="D2" i="8"/>
  <c r="D3" i="8"/>
  <c r="D6" i="8"/>
  <c r="D7" i="8"/>
  <c r="D8" i="8"/>
  <c r="D9" i="8"/>
  <c r="D10" i="8"/>
  <c r="D11" i="8"/>
  <c r="D12" i="8"/>
  <c r="D13" i="8"/>
  <c r="D14" i="8"/>
  <c r="D15" i="8"/>
  <c r="D16" i="8"/>
  <c r="D17" i="8"/>
  <c r="D18" i="8"/>
  <c r="D19" i="8"/>
  <c r="D20" i="8"/>
  <c r="D22" i="8"/>
  <c r="D23" i="8"/>
  <c r="D24" i="8"/>
  <c r="D25" i="8"/>
  <c r="D26" i="8"/>
  <c r="D27" i="8"/>
  <c r="D28" i="8"/>
  <c r="D29" i="8"/>
  <c r="D30" i="8"/>
  <c r="D31" i="8"/>
  <c r="D32" i="8"/>
  <c r="D34" i="8"/>
  <c r="D36" i="8"/>
  <c r="D37" i="8"/>
  <c r="D38" i="8"/>
  <c r="D39" i="8"/>
  <c r="D40" i="8"/>
  <c r="D41" i="8"/>
  <c r="D42"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2" i="11" l="1"/>
  <c r="D151" i="11" l="1"/>
  <c r="D150" i="11"/>
  <c r="D149" i="11"/>
  <c r="D148" i="11"/>
  <c r="D147" i="11"/>
  <c r="D146" i="11"/>
  <c r="D144" i="11"/>
  <c r="D143" i="11"/>
  <c r="D142" i="11"/>
  <c r="D141" i="11"/>
  <c r="D140" i="11"/>
  <c r="D139" i="11"/>
  <c r="D138" i="11"/>
  <c r="D137" i="11"/>
  <c r="D136" i="11"/>
  <c r="D135" i="11"/>
  <c r="D134" i="11"/>
  <c r="D133" i="11"/>
  <c r="D132" i="11"/>
  <c r="D131" i="11"/>
  <c r="D130" i="11"/>
  <c r="D129" i="11"/>
  <c r="D128" i="11"/>
  <c r="D126" i="11"/>
  <c r="D125" i="11"/>
  <c r="D122" i="11"/>
  <c r="D121" i="11"/>
  <c r="D120"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3" i="11"/>
  <c r="D60" i="11"/>
  <c r="D59" i="11"/>
  <c r="D58" i="11"/>
  <c r="D57" i="11"/>
  <c r="D56" i="11"/>
  <c r="D55" i="11"/>
  <c r="D54" i="11"/>
  <c r="D53" i="11"/>
  <c r="D52" i="11"/>
  <c r="D51" i="11"/>
  <c r="D50" i="11"/>
  <c r="D49" i="11"/>
  <c r="D48" i="11"/>
  <c r="D47" i="11"/>
  <c r="D46" i="11"/>
  <c r="D45" i="11"/>
  <c r="D43" i="11"/>
  <c r="D42" i="11"/>
  <c r="D41" i="11"/>
  <c r="D40" i="11"/>
  <c r="D39" i="11"/>
  <c r="D38" i="11"/>
  <c r="D37" i="11"/>
  <c r="D36" i="11"/>
  <c r="D35" i="11"/>
  <c r="D34" i="11"/>
  <c r="D33" i="11"/>
  <c r="D32" i="11"/>
  <c r="D31" i="11"/>
  <c r="D30" i="11"/>
  <c r="D29" i="11"/>
  <c r="D28" i="11"/>
  <c r="D27" i="11"/>
  <c r="D26" i="11"/>
  <c r="D25" i="11"/>
  <c r="D24" i="11"/>
  <c r="D23" i="11"/>
  <c r="D22" i="11"/>
  <c r="D21" i="11"/>
  <c r="D18" i="11"/>
  <c r="D17" i="11"/>
  <c r="D16" i="11"/>
  <c r="D15" i="11"/>
  <c r="D14" i="11"/>
  <c r="D13" i="11"/>
  <c r="D12" i="11"/>
  <c r="D11" i="11"/>
  <c r="D10" i="11"/>
  <c r="D8" i="11"/>
  <c r="D7" i="11"/>
  <c r="D6" i="11"/>
  <c r="D5" i="11"/>
  <c r="D4" i="11"/>
  <c r="D3" i="11"/>
  <c r="D251" i="8" l="1"/>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180" i="8" l="1"/>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F489" i="13" a="1"/>
  <c r="F623" i="13" a="1"/>
  <c r="F291" i="13" a="1"/>
  <c r="F237" i="13" a="1"/>
  <c r="F1232" i="13" a="1"/>
  <c r="F45" i="13" a="1"/>
  <c r="F642" i="13" a="1"/>
  <c r="F573" i="13" a="1"/>
  <c r="F1248" i="13" a="1"/>
  <c r="F240" i="13" a="1"/>
  <c r="F647" i="13" a="1"/>
  <c r="F1322" i="13" a="1"/>
  <c r="F625" i="13" a="1"/>
  <c r="F757" i="13" a="1"/>
  <c r="F1305" i="13" a="1"/>
  <c r="F859" i="13" a="1"/>
  <c r="F1352" i="13" a="1"/>
  <c r="F511" i="13" a="1"/>
  <c r="F1035" i="13" a="1"/>
  <c r="F319" i="13" a="1"/>
  <c r="F1245" i="13" a="1"/>
  <c r="F1270" i="13" a="1"/>
  <c r="F306" i="13" a="1"/>
  <c r="F940" i="13" a="1"/>
  <c r="F860" i="13" a="1"/>
  <c r="F856" i="13" a="1"/>
  <c r="F173" i="13" a="1"/>
  <c r="F1284" i="13" a="1"/>
  <c r="F1363" i="13" a="1"/>
  <c r="F1344" i="13" a="1"/>
  <c r="F557" i="13" a="1"/>
  <c r="F1054" i="13" a="1"/>
  <c r="F821" i="13" a="1"/>
  <c r="F521" i="13" a="1"/>
  <c r="F177" i="13" a="1"/>
  <c r="F750" i="13" a="1"/>
  <c r="F269" i="13" a="1"/>
  <c r="F314" i="13" a="1"/>
  <c r="F1339" i="13" a="1"/>
  <c r="F106" i="13" a="1"/>
  <c r="F1334" i="13" a="1"/>
  <c r="F1087" i="13" a="1"/>
  <c r="F1331" i="13" a="1"/>
  <c r="F594" i="13" a="1"/>
  <c r="F1319" i="13" a="1"/>
  <c r="F1189" i="13" a="1"/>
  <c r="F50" i="13" a="1"/>
  <c r="F153" i="13" a="1"/>
  <c r="F75" i="13" a="1"/>
  <c r="F634" i="13" a="1"/>
  <c r="F234" i="13" a="1"/>
  <c r="F948" i="13" a="1"/>
  <c r="F1474" i="13" a="1"/>
  <c r="F580" i="13" a="1"/>
  <c r="F1225" i="13" a="1"/>
  <c r="F77" i="13" a="1"/>
  <c r="F773" i="13" a="1"/>
  <c r="F1028" i="13" a="1"/>
  <c r="F296" i="13" a="1"/>
  <c r="F282" i="13" a="1"/>
  <c r="F1397" i="13" a="1"/>
  <c r="F1279" i="13" a="1"/>
  <c r="F1306" i="13" a="1"/>
  <c r="F819" i="13" a="1"/>
  <c r="F1381" i="13" a="1"/>
  <c r="F939" i="13" a="1"/>
  <c r="F1215" i="13" a="1"/>
  <c r="F775" i="13" a="1"/>
  <c r="F94" i="13" a="1"/>
  <c r="F770" i="13" a="1"/>
  <c r="F1271" i="13" a="1"/>
  <c r="F1399" i="13" a="1"/>
  <c r="F1116" i="13" a="1"/>
  <c r="F187" i="13" a="1"/>
  <c r="F1336" i="13" a="1"/>
  <c r="F474" i="13" a="1"/>
  <c r="F1197" i="13" a="1"/>
  <c r="F218" i="13" a="1"/>
  <c r="F1058" i="13" a="1"/>
  <c r="F373" i="13" a="1"/>
  <c r="F1398" i="13" a="1"/>
  <c r="F627" i="13" a="1"/>
  <c r="F1332" i="13" a="1"/>
  <c r="F933" i="13" a="1"/>
  <c r="F1389" i="13" a="1"/>
  <c r="F144" i="13" a="1"/>
  <c r="F455" i="13" a="1"/>
  <c r="F783" i="13" a="1"/>
  <c r="F47" i="13" a="1"/>
  <c r="F204" i="13" a="1"/>
  <c r="F746" i="13" a="1"/>
  <c r="F1448" i="13" a="1"/>
  <c r="F1368" i="13" a="1"/>
  <c r="F1341" i="13" a="1"/>
  <c r="F1487" i="13" a="1"/>
  <c r="F644" i="13" a="1"/>
  <c r="F506" i="13" a="1"/>
  <c r="F1057" i="13" a="1"/>
  <c r="F401" i="13" a="1"/>
  <c r="F614" i="13" a="1"/>
  <c r="F751" i="13" a="1"/>
  <c r="F390" i="13" a="1"/>
  <c r="F1385" i="13" a="1"/>
  <c r="F729" i="13" a="1"/>
  <c r="F786" i="13" a="1"/>
  <c r="F38" i="13" a="1"/>
  <c r="F677" i="13" a="1"/>
  <c r="F1275" i="13" a="1"/>
  <c r="F1491" i="13" a="1"/>
  <c r="F1485" i="13" a="1"/>
  <c r="F620" i="13" a="1"/>
  <c r="F308" i="13" a="1"/>
  <c r="F470" i="13" a="1"/>
  <c r="F1310" i="13" a="1"/>
  <c r="F1287" i="13" a="1"/>
  <c r="F1186" i="13" a="1"/>
  <c r="F639" i="13" a="1"/>
  <c r="F1276" i="13" a="1"/>
  <c r="F46" i="13" a="1"/>
  <c r="F403" i="13" a="1"/>
  <c r="F371" i="13" a="1"/>
  <c r="F19" i="13" a="1"/>
  <c r="F1482" i="13" a="1"/>
  <c r="F74" i="13" a="1"/>
  <c r="F1277" i="13" a="1"/>
  <c r="F1265" i="13" a="1"/>
  <c r="F1015" i="13" a="1"/>
  <c r="F946" i="13" a="1"/>
  <c r="F676" i="13" a="1"/>
  <c r="F660" i="13" a="1"/>
  <c r="F570" i="13" a="1"/>
  <c r="F1129" i="13" a="1"/>
  <c r="F1301" i="13" a="1"/>
  <c r="F1500" i="13" a="1"/>
  <c r="F1027" i="13" a="1"/>
  <c r="F1372" i="13" a="1"/>
  <c r="F1458" i="13" a="1"/>
  <c r="F289" i="13" a="1"/>
  <c r="F1052" i="13" a="1"/>
  <c r="F1353" i="13" a="1"/>
  <c r="F936" i="13" a="1"/>
  <c r="F503" i="13" a="1"/>
  <c r="F1217" i="13" a="1"/>
  <c r="F1426" i="13" a="1"/>
  <c r="F310" i="13" a="1"/>
  <c r="F1208" i="13" a="1"/>
  <c r="F1181" i="13" a="1"/>
  <c r="F1342" i="13" a="1"/>
  <c r="F79" i="13" a="1"/>
  <c r="F942" i="13" a="1"/>
  <c r="F1099" i="13" a="1"/>
  <c r="F518" i="13" a="1"/>
  <c r="F297" i="13" a="1"/>
  <c r="F735" i="13" a="1"/>
  <c r="F727" i="13" a="1"/>
  <c r="F239" i="13" a="1"/>
  <c r="F226" i="13" a="1"/>
  <c r="F850" i="13" a="1"/>
  <c r="F22" i="13" a="1"/>
  <c r="F323" i="13" a="1"/>
  <c r="F1246" i="13" a="1"/>
  <c r="F987" i="13" a="1"/>
  <c r="F1040" i="13" a="1"/>
  <c r="F1466" i="13" a="1"/>
  <c r="F674" i="13" a="1"/>
  <c r="F829" i="13" a="1"/>
  <c r="F76" i="13" a="1"/>
  <c r="F1084" i="13" a="1"/>
  <c r="F1171" i="13" a="1"/>
  <c r="F1495" i="13" a="1"/>
  <c r="F1434" i="13" a="1"/>
  <c r="F951" i="13" a="1"/>
  <c r="F1324" i="13" a="1"/>
  <c r="F787" i="13" a="1"/>
  <c r="F812" i="13" a="1"/>
  <c r="F1395" i="13" a="1"/>
  <c r="F83" i="13" a="1"/>
  <c r="F1362" i="13" a="1"/>
  <c r="F1050" i="13" a="1"/>
  <c r="F479" i="13" a="1"/>
  <c r="F1168" i="13" a="1"/>
  <c r="F127" i="13" a="1"/>
  <c r="F865" i="13" a="1"/>
  <c r="F322" i="13" a="1"/>
  <c r="F499" i="13" a="1"/>
  <c r="F206" i="13" a="1"/>
  <c r="F866" i="13" a="1"/>
  <c r="F1187" i="13" a="1"/>
  <c r="F1449" i="13" a="1"/>
  <c r="F635" i="13" a="1"/>
  <c r="F515" i="13" a="1"/>
  <c r="F220" i="13" a="1"/>
  <c r="F808" i="13" a="1"/>
  <c r="F476" i="13" a="1"/>
  <c r="F1347" i="13" a="1"/>
  <c r="F976" i="13" a="1"/>
  <c r="F1030" i="13" a="1"/>
  <c r="F1293" i="13" a="1"/>
  <c r="F483" i="13" a="1"/>
  <c r="F1285" i="13" a="1"/>
  <c r="F1202" i="13" a="1"/>
  <c r="F388" i="13" a="1"/>
  <c r="F1445" i="13" a="1"/>
  <c r="F1228" i="13" a="1"/>
  <c r="F283" i="13" a="1"/>
  <c r="F43" i="13" a="1"/>
  <c r="F80" i="13" a="1"/>
  <c r="F20" i="13" a="1"/>
  <c r="F68" i="13" a="1"/>
  <c r="F293" i="13" a="1"/>
  <c r="F989" i="13" a="1"/>
  <c r="F975" i="13" a="1"/>
  <c r="F160" i="13" a="1"/>
  <c r="F1337" i="13" a="1"/>
  <c r="F816" i="13" a="1"/>
  <c r="F128" i="13" a="1"/>
  <c r="F1311" i="13" a="1"/>
  <c r="F1128" i="13" a="1"/>
  <c r="F670" i="13" a="1"/>
  <c r="F395" i="13" a="1"/>
  <c r="F17" i="13" a="1"/>
  <c r="F1212" i="13" a="1"/>
  <c r="F1461" i="13" a="1"/>
  <c r="F583" i="13" a="1"/>
  <c r="F738" i="13" a="1"/>
  <c r="F27" i="13" a="1"/>
  <c r="F1102" i="13" a="1"/>
  <c r="F1114" i="13" a="1"/>
  <c r="F54" i="13" a="1"/>
  <c r="F986" i="13" a="1"/>
  <c r="F475" i="13" a="1"/>
  <c r="F1014" i="13" a="1"/>
  <c r="F520" i="13" a="1"/>
  <c r="F467" i="13" a="1"/>
  <c r="F789" i="13" a="1"/>
  <c r="F1036" i="13" a="1"/>
  <c r="F1494" i="13" a="1"/>
  <c r="F1481" i="13" a="1"/>
  <c r="F1292" i="13" a="1"/>
  <c r="F1070" i="13" a="1"/>
  <c r="F1069" i="13" a="1"/>
  <c r="F61" i="13" a="1"/>
  <c r="F26" i="13" a="1"/>
  <c r="F1038" i="13" a="1"/>
  <c r="F37" i="13" a="1"/>
  <c r="F733" i="13" a="1"/>
  <c r="F270" i="13" a="1"/>
  <c r="F1002" i="13" a="1"/>
  <c r="F272" i="13" a="1"/>
  <c r="F973" i="13" a="1"/>
  <c r="F103" i="13" a="1"/>
  <c r="F1350" i="13" a="1"/>
  <c r="F59" i="13" a="1"/>
  <c r="F1492" i="13" a="1"/>
  <c r="F307" i="13" a="1"/>
  <c r="F1455" i="13" a="1"/>
  <c r="F980" i="13" a="1"/>
  <c r="F1484" i="13" a="1"/>
  <c r="F1163" i="13" a="1"/>
  <c r="F1174" i="13" a="1"/>
  <c r="F193" i="13" a="1"/>
  <c r="F1023" i="13" a="1"/>
  <c r="F1417" i="13" a="1"/>
  <c r="F1261" i="13" a="1"/>
  <c r="F1230" i="13" a="1"/>
  <c r="F997" i="13" a="1"/>
  <c r="F107" i="13" a="1"/>
  <c r="F632" i="13" a="1"/>
  <c r="F934" i="13" a="1"/>
  <c r="F1159" i="13" a="1"/>
  <c r="F1360" i="13" a="1"/>
  <c r="F771" i="13" a="1"/>
  <c r="F236" i="13" a="1"/>
  <c r="F82" i="13" a="1"/>
  <c r="F278" i="13" a="1"/>
  <c r="F485" i="13" a="1"/>
  <c r="F586" i="13" a="1"/>
  <c r="F853" i="13" a="1"/>
  <c r="F1316" i="13" a="1"/>
  <c r="F509" i="13" a="1"/>
  <c r="F1340" i="13" a="1"/>
  <c r="F1025" i="13" a="1"/>
  <c r="F87" i="13" a="1"/>
  <c r="F132" i="13" a="1"/>
  <c r="F429" i="13" a="1"/>
  <c r="F1175" i="13" a="1"/>
  <c r="F466" i="13" a="1"/>
  <c r="F1097" i="13" a="1"/>
  <c r="F1032" i="13" a="1"/>
  <c r="F941" i="13" a="1"/>
  <c r="F238" i="13" a="1"/>
  <c r="F752" i="13" a="1"/>
  <c r="F1483" i="13" a="1"/>
  <c r="F316" i="13" a="1"/>
  <c r="F370" i="13" a="1"/>
  <c r="F817" i="13" a="1"/>
  <c r="F464" i="13" a="1"/>
  <c r="F1312" i="13" a="1"/>
  <c r="F566" i="13" a="1"/>
  <c r="F1166" i="13" a="1"/>
  <c r="F1092" i="13" a="1"/>
  <c r="F1117" i="13" a="1"/>
  <c r="F585" i="13" a="1"/>
  <c r="F1162" i="13" a="1"/>
  <c r="F290" i="13" a="1"/>
  <c r="F139" i="13" a="1"/>
  <c r="F588" i="13" a="1"/>
  <c r="F500" i="13" a="1"/>
  <c r="F776" i="13" a="1"/>
  <c r="F279" i="13" a="1"/>
  <c r="F1272" i="13" a="1"/>
  <c r="F1066" i="13" a="1"/>
  <c r="F1422" i="13" a="1"/>
  <c r="F1214" i="13" a="1"/>
  <c r="F640" i="13" a="1"/>
  <c r="F188" i="13" a="1"/>
  <c r="F749" i="13" a="1"/>
  <c r="F1343" i="13" a="1"/>
  <c r="F1043" i="13" a="1"/>
  <c r="F433" i="13" a="1"/>
  <c r="F1105" i="13" a="1"/>
  <c r="F1269" i="13" a="1"/>
  <c r="F449" i="13" a="1"/>
  <c r="F956" i="13" a="1"/>
  <c r="F1365" i="13" a="1"/>
  <c r="F288" i="13" a="1"/>
  <c r="F1216" i="13" a="1"/>
  <c r="F131" i="13" a="1"/>
  <c r="F604" i="13" a="1"/>
  <c r="F1233" i="13" a="1"/>
  <c r="F1391" i="13" a="1"/>
  <c r="F788" i="13" a="1"/>
  <c r="F998" i="13" a="1"/>
  <c r="F393" i="13" a="1"/>
  <c r="F435" i="13" a="1"/>
  <c r="F372" i="13" a="1"/>
  <c r="F619" i="13" a="1"/>
  <c r="F1378" i="13" a="1"/>
  <c r="F459" i="13" a="1"/>
  <c r="F720" i="13" a="1"/>
  <c r="F1450" i="13" a="1"/>
  <c r="F931" i="13" a="1"/>
  <c r="F1273" i="13" a="1"/>
  <c r="F1288" i="13" a="1"/>
  <c r="F39" i="13" a="1"/>
  <c r="F1477" i="13" a="1"/>
  <c r="F842" i="13" a="1"/>
  <c r="F1444" i="13" a="1"/>
  <c r="F595" i="13" a="1"/>
  <c r="F209" i="13" a="1"/>
  <c r="F375" i="13" a="1"/>
  <c r="F1498" i="13" a="1"/>
  <c r="F1107" i="13" a="1"/>
  <c r="F1290" i="13" a="1"/>
  <c r="F564" i="13" a="1"/>
  <c r="F616" i="13" a="1"/>
  <c r="F201" i="13" a="1"/>
  <c r="F299" i="13" a="1"/>
  <c r="F276" i="13" a="1"/>
  <c r="F450" i="13" a="1"/>
  <c r="F777" i="13" a="1"/>
  <c r="F1123" i="13" a="1"/>
  <c r="F1349" i="13" a="1"/>
  <c r="F183" i="13" a="1"/>
  <c r="F1314" i="13" a="1"/>
  <c r="F811" i="13" a="1"/>
  <c r="F629" i="13" a="1"/>
  <c r="F519" i="13" a="1"/>
  <c r="F1470" i="13" a="1"/>
  <c r="F610" i="13" a="1"/>
  <c r="F1048" i="13" a="1"/>
  <c r="F1359" i="13" a="1"/>
  <c r="F1194" i="13" a="1"/>
  <c r="F1219" i="13" a="1"/>
  <c r="F1098" i="13" a="1"/>
  <c r="F461" i="13" a="1"/>
  <c r="F1249" i="13" a="1"/>
  <c r="F1432" i="13" a="1"/>
  <c r="F1255" i="13" a="1"/>
  <c r="F844" i="13" a="1"/>
  <c r="F469" i="13" a="1"/>
  <c r="F195" i="13" a="1"/>
  <c r="F608" i="13" a="1"/>
  <c r="F508" i="13" a="1"/>
  <c r="F1478" i="13" a="1"/>
  <c r="F1420" i="13" a="1"/>
  <c r="F1384" i="13" a="1"/>
  <c r="F517" i="13" a="1"/>
  <c r="F1108" i="13" a="1"/>
  <c r="F831" i="13" a="1"/>
  <c r="F1195" i="13" a="1"/>
  <c r="F1022" i="13" a="1"/>
  <c r="F857" i="13" a="1"/>
  <c r="F42" i="13" a="1"/>
  <c r="F425" i="13" a="1"/>
  <c r="F522" i="13" a="1"/>
  <c r="F241" i="13" a="1"/>
  <c r="F135" i="13" a="1"/>
  <c r="F1317" i="13" a="1"/>
  <c r="F1296" i="13" a="1"/>
  <c r="F1330" i="13" a="1"/>
  <c r="F1258" i="13" a="1"/>
  <c r="F23" i="13" a="1"/>
  <c r="F1369" i="13" a="1"/>
  <c r="F104" i="13" a="1"/>
  <c r="F569" i="13" a="1"/>
  <c r="F611" i="13" a="1"/>
  <c r="F1095" i="13" a="1"/>
  <c r="F86" i="13" a="1"/>
  <c r="F448" i="13" a="1"/>
  <c r="F571" i="13" a="1"/>
  <c r="F1223" i="13" a="1"/>
  <c r="F643" i="13" a="1"/>
  <c r="F754" i="13" a="1"/>
  <c r="F1111" i="13" a="1"/>
  <c r="F1180" i="13" a="1"/>
  <c r="F1327" i="13" a="1"/>
  <c r="F1303" i="13" a="1"/>
  <c r="F1433" i="13" a="1"/>
  <c r="F275" i="13" a="1"/>
  <c r="F1366" i="13" a="1"/>
  <c r="F1167" i="13" a="1"/>
  <c r="F983" i="13" a="1"/>
  <c r="F1203" i="13" a="1"/>
  <c r="F745" i="13" a="1"/>
  <c r="F953" i="13" a="1"/>
  <c r="F1045" i="13" a="1"/>
  <c r="F1060" i="13" a="1"/>
  <c r="F1282" i="13" a="1"/>
  <c r="F1428" i="13" a="1"/>
  <c r="F200" i="13" a="1"/>
  <c r="F182" i="13" a="1"/>
  <c r="F813" i="13" a="1"/>
  <c r="F389" i="13" a="1"/>
  <c r="F32" i="13" a="1"/>
  <c r="F392" i="13" a="1"/>
  <c r="F1431" i="13" a="1"/>
  <c r="F1207" i="13" a="1"/>
  <c r="F1127" i="13" a="1"/>
  <c r="F1361" i="13" a="1"/>
  <c r="F430" i="13" a="1"/>
  <c r="F404" i="13" a="1"/>
  <c r="F487" i="13" a="1"/>
  <c r="F324" i="13" a="1"/>
  <c r="F854" i="13" a="1"/>
  <c r="F1191" i="13" a="1"/>
  <c r="F1409" i="13" a="1"/>
  <c r="F376" i="13" a="1"/>
  <c r="F1318" i="13" a="1"/>
  <c r="F205" i="13" a="1"/>
  <c r="F742" i="13" a="1"/>
  <c r="F268" i="13" a="1"/>
  <c r="F600" i="13" a="1"/>
  <c r="F101" i="13" a="1"/>
  <c r="F732" i="13" a="1"/>
  <c r="F846" i="13" a="1"/>
  <c r="F731" i="13" a="1"/>
  <c r="F151" i="13" a="1"/>
  <c r="F1430" i="13" a="1"/>
  <c r="F1267" i="13" a="1"/>
  <c r="F210" i="13" a="1"/>
  <c r="F1201" i="13" a="1"/>
  <c r="F603" i="13" a="1"/>
  <c r="F1209" i="13" a="1"/>
  <c r="F1109" i="13" a="1"/>
  <c r="F72" i="13" a="1"/>
  <c r="F1192" i="13" a="1"/>
  <c r="F1096" i="13" a="1"/>
  <c r="F377" i="13" a="1"/>
  <c r="F1358" i="13" a="1"/>
  <c r="F839" i="13" a="1"/>
  <c r="F1037" i="13" a="1"/>
  <c r="F285" i="13" a="1"/>
  <c r="F421" i="13" a="1"/>
  <c r="F471" i="13" a="1"/>
  <c r="F1200" i="13" a="1"/>
  <c r="F601" i="13" a="1"/>
  <c r="F805" i="13" a="1"/>
  <c r="F855" i="13" a="1"/>
  <c r="F149" i="13" a="1"/>
  <c r="F628" i="13" a="1"/>
  <c r="F753" i="13" a="1"/>
  <c r="F1321" i="13" a="1"/>
  <c r="F1210" i="13" a="1"/>
  <c r="F563" i="13" a="1"/>
  <c r="F851" i="13" a="1"/>
  <c r="F1055" i="13" a="1"/>
  <c r="F1033" i="13" a="1"/>
  <c r="F176" i="13" a="1"/>
  <c r="F843" i="13" a="1"/>
  <c r="F988" i="13" a="1"/>
  <c r="F318" i="13" a="1"/>
  <c r="F405" i="13" a="1"/>
  <c r="F1206" i="13" a="1"/>
  <c r="F1313" i="13" a="1"/>
  <c r="F172" i="13" a="1"/>
  <c r="F554" i="13" a="1"/>
  <c r="F1355" i="13" a="1"/>
  <c r="F1083" i="13" a="1"/>
  <c r="F1068" i="13" a="1"/>
  <c r="F394" i="13" a="1"/>
  <c r="F1488" i="13" a="1"/>
  <c r="F1001" i="13" a="1"/>
  <c r="F1250" i="13" a="1"/>
  <c r="F1298" i="13" a="1"/>
  <c r="F945" i="13" a="1"/>
  <c r="F230" i="13" a="1"/>
  <c r="F65" i="13" a="1"/>
  <c r="F154" i="13" a="1"/>
  <c r="F63" i="13" a="1"/>
  <c r="F31" i="13" a="1"/>
  <c r="F420" i="13" a="1"/>
  <c r="F453" i="13" a="1"/>
  <c r="F725" i="13" a="1"/>
  <c r="F1178" i="13" a="1"/>
  <c r="F728" i="13" a="1"/>
  <c r="F58" i="13" a="1"/>
  <c r="F100" i="13" a="1"/>
  <c r="F633" i="13" a="1"/>
  <c r="F384" i="13" a="1"/>
  <c r="F1394" i="13" a="1"/>
  <c r="F179" i="13" a="1"/>
  <c r="F1400" i="13" a="1"/>
  <c r="F582" i="13" a="1"/>
  <c r="F36" i="13" a="1"/>
  <c r="F208" i="13" a="1"/>
  <c r="F294" i="13" a="1"/>
  <c r="F1093" i="13" a="1"/>
  <c r="F1190" i="13" a="1"/>
  <c r="F93" i="13" a="1"/>
  <c r="F1499" i="13" a="1"/>
  <c r="F217" i="13" a="1"/>
  <c r="F468" i="13" a="1"/>
  <c r="F555" i="13" a="1"/>
  <c r="F828" i="13" a="1"/>
  <c r="F1059" i="13" a="1"/>
  <c r="F443" i="13" a="1"/>
  <c r="F1090" i="13" a="1"/>
  <c r="F744" i="13" a="1"/>
  <c r="F954" i="13" a="1"/>
  <c r="F454" i="13" a="1"/>
  <c r="F1064" i="13" a="1"/>
  <c r="F281" i="13" a="1"/>
  <c r="F286" i="13" a="1"/>
  <c r="F1479" i="13" a="1"/>
  <c r="F1125" i="13" a="1"/>
  <c r="F309" i="13" a="1"/>
  <c r="F213" i="13" a="1"/>
  <c r="F184" i="13" a="1"/>
  <c r="F1089" i="13" a="1"/>
  <c r="F992" i="13" a="1"/>
  <c r="F432" i="13" a="1"/>
  <c r="F507" i="13" a="1"/>
  <c r="F88" i="13" a="1"/>
  <c r="F167" i="13" a="1"/>
  <c r="F1236" i="13" a="1"/>
  <c r="F1338" i="13" a="1"/>
  <c r="F1211" i="13" a="1"/>
  <c r="F1465" i="13" a="1"/>
  <c r="F501" i="13" a="1"/>
  <c r="F381" i="13" a="1"/>
  <c r="F838" i="13" a="1"/>
  <c r="F1039" i="13" a="1"/>
  <c r="F852" i="13" a="1"/>
  <c r="F391" i="13" a="1"/>
  <c r="F631" i="13" a="1"/>
  <c r="F1184" i="13" a="1"/>
  <c r="F456" i="13" a="1"/>
  <c r="F1396" i="13" a="1"/>
  <c r="F1063" i="13" a="1"/>
  <c r="F277" i="13" a="1"/>
  <c r="F191" i="13" a="1"/>
  <c r="F1229" i="13" a="1"/>
  <c r="F1416" i="13" a="1"/>
  <c r="F1016" i="13" a="1"/>
  <c r="F1405" i="13" a="1"/>
  <c r="F1024" i="13" a="1"/>
  <c r="F1170" i="13" a="1"/>
  <c r="F1346" i="13" a="1"/>
  <c r="F108" i="13" a="1"/>
  <c r="F1242" i="13" a="1"/>
  <c r="F129" i="13" a="1"/>
  <c r="F970" i="13" a="1"/>
  <c r="F57" i="13" a="1"/>
  <c r="F949" i="13" a="1"/>
  <c r="F938" i="13" a="1"/>
  <c r="F426" i="13" a="1"/>
  <c r="F437" i="13" a="1"/>
  <c r="F49" i="13" a="1"/>
  <c r="F152" i="13" a="1"/>
  <c r="F747" i="13" a="1"/>
  <c r="F1254" i="13" a="1"/>
  <c r="F465" i="13" a="1"/>
  <c r="F1118" i="13" a="1"/>
  <c r="F1386" i="13" a="1"/>
  <c r="F29" i="13" a="1"/>
  <c r="F525" i="13" a="1"/>
  <c r="F1106" i="13" a="1"/>
  <c r="F70" i="13" a="1"/>
  <c r="F1413" i="13" a="1"/>
  <c r="F312" i="13" a="1"/>
  <c r="F1304" i="13" a="1"/>
  <c r="F44" i="13" a="1"/>
  <c r="F740" i="13" a="1"/>
  <c r="F1213" i="13" a="1"/>
  <c r="F1286" i="13" a="1"/>
  <c r="F1427" i="13" a="1"/>
  <c r="F1085" i="13" a="1"/>
  <c r="F581" i="13" a="1"/>
  <c r="F1380" i="13" a="1"/>
  <c r="F1240" i="13" a="1"/>
  <c r="F1441" i="13" a="1"/>
  <c r="F840" i="13" a="1"/>
  <c r="F637" i="13" a="1"/>
  <c r="F971" i="13" a="1"/>
  <c r="F321" i="13" a="1"/>
  <c r="F636" i="13" a="1"/>
  <c r="F804" i="13" a="1"/>
  <c r="F825" i="13" a="1"/>
  <c r="F1176" i="13" a="1"/>
  <c r="F264" i="13" a="1"/>
  <c r="F477" i="13" a="1"/>
  <c r="F1115" i="13" a="1"/>
  <c r="F67" i="13" a="1"/>
  <c r="F166" i="13" a="1"/>
  <c r="F181" i="13" a="1"/>
  <c r="F1053" i="13" a="1"/>
  <c r="F774" i="13" a="1"/>
  <c r="F974" i="13" a="1"/>
  <c r="F1467" i="13" a="1"/>
  <c r="F207" i="13" a="1"/>
  <c r="F1438" i="13" a="1"/>
  <c r="F436" i="13" a="1"/>
  <c r="F140" i="13" a="1"/>
  <c r="F1403" i="13" a="1"/>
  <c r="F1404" i="13" a="1"/>
  <c r="F422" i="13" a="1"/>
  <c r="F232" i="13" a="1"/>
  <c r="F613" i="13" a="1"/>
  <c r="F91" i="13" a="1"/>
  <c r="F382" i="13" a="1"/>
  <c r="F488" i="13" a="1"/>
  <c r="F427" i="13" a="1"/>
  <c r="F512" i="13" a="1"/>
  <c r="F1183" i="13" a="1"/>
  <c r="F1411" i="13" a="1"/>
  <c r="F1237" i="13" a="1"/>
  <c r="F848" i="13" a="1"/>
  <c r="F214" i="13" a="1"/>
  <c r="F274" i="13" a="1"/>
  <c r="F1501" i="13" a="1"/>
  <c r="F397" i="13" a="1"/>
  <c r="F994" i="13" a="1"/>
  <c r="F444" i="13" a="1"/>
  <c r="F748" i="13" a="1"/>
  <c r="F1309" i="13" a="1"/>
  <c r="F1401" i="13" a="1"/>
  <c r="F73" i="13" a="1"/>
  <c r="F174" i="13" a="1"/>
  <c r="F112" i="13" a="1"/>
  <c r="F514" i="13" a="1"/>
  <c r="F584" i="13" a="1"/>
  <c r="F1383" i="13" a="1"/>
  <c r="F30" i="13" a="1"/>
  <c r="F1323" i="13" a="1"/>
  <c r="F442" i="13" a="1"/>
  <c r="F96" i="13" a="1"/>
  <c r="F809" i="13" a="1"/>
  <c r="F977" i="13" a="1"/>
  <c r="F434" i="13" a="1"/>
  <c r="F824" i="13" a="1"/>
  <c r="F1021" i="13" a="1"/>
  <c r="F1371" i="13" a="1"/>
  <c r="F768" i="13" a="1"/>
  <c r="F463" i="13" a="1"/>
  <c r="F1308" i="13" a="1"/>
  <c r="F967" i="13" a="1"/>
  <c r="F1278" i="13" a="1"/>
  <c r="F1315" i="13" a="1"/>
  <c r="F978" i="13" a="1"/>
  <c r="F302" i="13" a="1"/>
  <c r="F1374" i="13" a="1"/>
  <c r="F62" i="13" a="1"/>
  <c r="F671" i="13" a="1"/>
  <c r="F1268" i="13" a="1"/>
  <c r="F1088" i="13" a="1"/>
  <c r="F1377" i="13" a="1"/>
  <c r="F606" i="13" a="1"/>
  <c r="F1418" i="13" a="1"/>
  <c r="F1480" i="13" a="1"/>
  <c r="F440" i="13" a="1"/>
  <c r="F1408" i="13" a="1"/>
  <c r="F235" i="13" a="1"/>
  <c r="F1193" i="13" a="1"/>
  <c r="F1462" i="13" a="1"/>
  <c r="F719" i="13" a="1"/>
  <c r="F280" i="13" a="1"/>
  <c r="F451" i="13" a="1"/>
  <c r="F947" i="13" a="1"/>
  <c r="F313" i="13" a="1"/>
  <c r="F524" i="13" a="1"/>
  <c r="F1253" i="13" a="1"/>
  <c r="F1446" i="13" a="1"/>
  <c r="F1251" i="13" a="1"/>
  <c r="F1172" i="13" a="1"/>
  <c r="F374" i="13" a="1"/>
  <c r="F1231" i="13" a="1"/>
  <c r="F822" i="13" a="1"/>
  <c r="F1472" i="13" a="1"/>
  <c r="F612" i="13" a="1"/>
  <c r="F498" i="13" a="1"/>
  <c r="F590" i="13" a="1"/>
  <c r="F1356" i="13" a="1"/>
  <c r="F162" i="13" a="1"/>
  <c r="F295" i="13" a="1"/>
  <c r="F383" i="13" a="1"/>
  <c r="F271" i="13" a="1"/>
  <c r="F1393" i="13" a="1"/>
  <c r="F861" i="13" a="1"/>
  <c r="F1179" i="13" a="1"/>
  <c r="F225" i="13" a="1"/>
  <c r="F90" i="13" a="1"/>
  <c r="F1067" i="13" a="1"/>
  <c r="F18" i="13" a="1"/>
  <c r="F1222" i="13" a="1"/>
  <c r="F1291" i="13" a="1"/>
  <c r="F849" i="13" a="1"/>
  <c r="F743" i="13" a="1"/>
  <c r="F216" i="13" a="1"/>
  <c r="F81" i="13" a="1"/>
  <c r="F1375" i="13" a="1"/>
  <c r="F999" i="13" a="1"/>
  <c r="F1252" i="13" a="1"/>
  <c r="F287" i="13" a="1"/>
  <c r="F1026" i="13" a="1"/>
  <c r="F298" i="13" a="1"/>
  <c r="F266" i="13" a="1"/>
  <c r="F198" i="13" a="1"/>
  <c r="F1464" i="13" a="1"/>
  <c r="F423" i="13" a="1"/>
  <c r="F399" i="13" a="1"/>
  <c r="F480" i="13" a="1"/>
  <c r="F462" i="13" a="1"/>
  <c r="F320" i="13" a="1"/>
  <c r="F935" i="13" a="1"/>
  <c r="F1457" i="13" a="1"/>
  <c r="F1012" i="13" a="1"/>
  <c r="F504" i="13" a="1"/>
  <c r="F937" i="13" a="1"/>
  <c r="F678" i="13" a="1"/>
  <c r="F815" i="13" a="1"/>
  <c r="F736" i="13" a="1"/>
  <c r="F558" i="13" a="1"/>
  <c r="F130" i="13" a="1"/>
  <c r="F1113" i="13" a="1"/>
  <c r="F826" i="13" a="1"/>
  <c r="F159" i="13" a="1"/>
  <c r="F1376" i="13" a="1"/>
  <c r="F1160" i="13" a="1"/>
  <c r="F1031" i="13" a="1"/>
  <c r="F111" i="13" a="1"/>
  <c r="F979" i="13" a="1"/>
  <c r="F1000" i="13" a="1"/>
  <c r="F1326" i="13" a="1"/>
  <c r="F593" i="13" a="1"/>
  <c r="F215" i="13" a="1"/>
  <c r="F109" i="13" a="1"/>
  <c r="F721" i="13" a="1"/>
  <c r="F16" i="13" a="1"/>
  <c r="F723" i="13" a="1"/>
  <c r="F304" i="13" a="1"/>
  <c r="F284" i="13" a="1"/>
  <c r="F1424" i="13" a="1"/>
  <c r="F930" i="13" a="1"/>
  <c r="F1281" i="13" a="1"/>
  <c r="F95" i="13" a="1"/>
  <c r="F1329" i="13" a="1"/>
  <c r="F1165" i="13" a="1"/>
  <c r="F1460" i="13" a="1"/>
  <c r="F621" i="13" a="1"/>
  <c r="F1497" i="13" a="1"/>
  <c r="F1459" i="13" a="1"/>
  <c r="F950" i="13" a="1"/>
  <c r="F41" i="13" a="1"/>
  <c r="F505" i="13" a="1"/>
  <c r="F66" i="13" a="1"/>
  <c r="F1407" i="13" a="1"/>
  <c r="F202" i="13" a="1"/>
  <c r="F486" i="13" a="1"/>
  <c r="F424" i="13" a="1"/>
  <c r="F1110" i="13" a="1"/>
  <c r="F772" i="13" a="1"/>
  <c r="F1262" i="13" a="1"/>
  <c r="F779" i="13" a="1"/>
  <c r="F968" i="13" a="1"/>
  <c r="F502" i="13" a="1"/>
  <c r="F665" i="13" a="1"/>
  <c r="F734" i="13" a="1"/>
  <c r="F1421" i="13" a="1"/>
  <c r="F1274" i="13" a="1"/>
  <c r="F724" i="13" a="1"/>
  <c r="F1161" i="13" a="1"/>
  <c r="F155" i="13" a="1"/>
  <c r="F739" i="13" a="1"/>
  <c r="F1294" i="13" a="1"/>
  <c r="F1436" i="13" a="1"/>
  <c r="F675" i="13" a="1"/>
  <c r="F1018" i="13" a="1"/>
  <c r="F818" i="13" a="1"/>
  <c r="F778" i="13" a="1"/>
  <c r="F447" i="13" a="1"/>
  <c r="F1103" i="13" a="1"/>
  <c r="F1130" i="13" a="1"/>
  <c r="F615" i="13" a="1"/>
  <c r="F14" i="13" a="1"/>
  <c r="F1297" i="13" a="1"/>
  <c r="F567" i="13" a="1"/>
  <c r="F1017" i="13" a="1"/>
  <c r="F496" i="13" a="1"/>
  <c r="F1044" i="13" a="1"/>
  <c r="F1205" i="13" a="1"/>
  <c r="F211" i="13" a="1"/>
  <c r="F1280" i="13" a="1"/>
  <c r="F1188" i="13" a="1"/>
  <c r="F1243" i="13" a="1"/>
  <c r="F1302" i="13" a="1"/>
  <c r="F228" i="13" a="1"/>
  <c r="F1471" i="13" a="1"/>
  <c r="F969" i="13" a="1"/>
  <c r="F1335" i="13" a="1"/>
  <c r="F92" i="13" a="1"/>
  <c r="F1051" i="13" a="1"/>
  <c r="F1439" i="13" a="1"/>
  <c r="F110" i="13" a="1"/>
  <c r="F1122" i="13" a="1"/>
  <c r="F1019" i="13" a="1"/>
  <c r="F1042" i="13" a="1"/>
  <c r="F624" i="13" a="1"/>
  <c r="F1218" i="13" a="1"/>
  <c r="F1185" i="13" a="1"/>
  <c r="F473" i="13" a="1"/>
  <c r="F1226" i="13" a="1"/>
  <c r="F326" i="13" a="1"/>
  <c r="F1456" i="13" a="1"/>
  <c r="F227" i="13" a="1"/>
  <c r="F13" i="13" a="1"/>
  <c r="F223" i="13" a="1"/>
  <c r="F1406" i="13" a="1"/>
  <c r="F1410" i="13" a="1"/>
  <c r="F984" i="13" a="1"/>
  <c r="F78" i="13" a="1"/>
  <c r="F190" i="13" a="1"/>
  <c r="F157" i="13" a="1"/>
  <c r="F197" i="13" a="1"/>
  <c r="F602" i="13" a="1"/>
  <c r="F638" i="13" a="1"/>
  <c r="F203" i="13" a="1"/>
  <c r="F672" i="13" a="1"/>
  <c r="F1086" i="13" a="1"/>
  <c r="F1354" i="13" a="1"/>
  <c r="F1443" i="13" a="1"/>
  <c r="F317" i="13" a="1"/>
  <c r="F955" i="13" a="1"/>
  <c r="F834" i="13" a="1"/>
  <c r="F1182" i="13" a="1"/>
  <c r="F1486" i="13" a="1"/>
  <c r="F229" i="13" a="1"/>
  <c r="F1320" i="13" a="1"/>
  <c r="F756" i="13" a="1"/>
  <c r="F56" i="13" a="1"/>
  <c r="F231" i="13" a="1"/>
  <c r="F1493" i="13" a="1"/>
  <c r="F1177" i="13" a="1"/>
  <c r="F1169" i="13" a="1"/>
  <c r="F1244" i="13" a="1"/>
  <c r="F385" i="13" a="1"/>
  <c r="F516" i="13" a="1"/>
  <c r="F441" i="13" a="1"/>
  <c r="F219" i="13" a="1"/>
  <c r="F481" i="13" a="1"/>
  <c r="F1440" i="13" a="1"/>
  <c r="F148" i="13" a="1"/>
  <c r="F52" i="13" a="1"/>
  <c r="F1364" i="13" a="1"/>
  <c r="F136" i="13" a="1"/>
  <c r="F105" i="13" a="1"/>
  <c r="F25" i="13" a="1"/>
  <c r="F1260" i="13" a="1"/>
  <c r="F53" i="13" a="1"/>
  <c r="F1357" i="13" a="1"/>
  <c r="F1429" i="13" a="1"/>
  <c r="F133" i="13" a="1"/>
  <c r="F185" i="13" a="1"/>
  <c r="F1425" i="13" a="1"/>
  <c r="F457" i="13" a="1"/>
  <c r="F1496" i="13" a="1"/>
  <c r="F1199" i="13" a="1"/>
  <c r="F84" i="13" a="1"/>
  <c r="F64" i="13" a="1"/>
  <c r="F1367" i="13" a="1"/>
  <c r="F1238" i="13" a="1"/>
  <c r="F1164" i="13" a="1"/>
  <c r="F982" i="13" a="1"/>
  <c r="F572" i="13" a="1"/>
  <c r="F1348" i="13" a="1"/>
  <c r="F1437" i="13" a="1"/>
  <c r="F137" i="13" a="1"/>
  <c r="F1402" i="13" a="1"/>
  <c r="F622" i="13" a="1"/>
  <c r="F439" i="13" a="1"/>
  <c r="F1300" i="13" a="1"/>
  <c r="F1373" i="13" a="1"/>
  <c r="F755" i="13" a="1"/>
  <c r="F233" i="13" a="1"/>
  <c r="F292" i="13" a="1"/>
  <c r="F597" i="13" a="1"/>
  <c r="F1104" i="13" a="1"/>
  <c r="F626" i="13" a="1"/>
  <c r="F325" i="13" a="1"/>
  <c r="F175" i="13" a="1"/>
  <c r="F596" i="13" a="1"/>
  <c r="F1379" i="13" a="1"/>
  <c r="F51" i="13" a="1"/>
  <c r="F1351" i="13" a="1"/>
  <c r="F396" i="13" a="1"/>
  <c r="F1489" i="13" a="1"/>
  <c r="F1131" i="13" a="1"/>
  <c r="F841" i="13" a="1"/>
  <c r="F305" i="13" a="1"/>
  <c r="F995" i="13" a="1"/>
  <c r="F1442" i="13" a="1"/>
  <c r="F147" i="13" a="1"/>
  <c r="F561" i="13" a="1"/>
  <c r="F1091" i="13" a="1"/>
  <c r="F589" i="13" a="1"/>
  <c r="F327" i="13" a="1"/>
  <c r="F1235" i="13" a="1"/>
  <c r="F192" i="13" a="1"/>
  <c r="F1387" i="13" a="1"/>
  <c r="F138" i="13" a="1"/>
  <c r="F497" i="13" a="1"/>
  <c r="F617" i="13" a="1"/>
  <c r="F1198" i="13" a="1"/>
  <c r="F1266" i="13" a="1"/>
  <c r="F641" i="13" a="1"/>
  <c r="F224" i="13" a="1"/>
  <c r="F301" i="13" a="1"/>
  <c r="F1283" i="13" a="1"/>
  <c r="F1415" i="13" a="1"/>
  <c r="F782" i="13" a="1"/>
  <c r="F664" i="13" a="1"/>
  <c r="F48" i="13" a="1"/>
  <c r="F1435" i="13" a="1"/>
  <c r="F458" i="13" a="1"/>
  <c r="F28" i="13" a="1"/>
  <c r="F199" i="13" a="1"/>
  <c r="F1046" i="13" a="1"/>
  <c r="F143" i="13" a="1"/>
  <c r="F431" i="13" a="1"/>
  <c r="F452" i="13" a="1"/>
  <c r="F55" i="13" a="1"/>
  <c r="F996" i="13" a="1"/>
  <c r="F379" i="13" a="1"/>
  <c r="F1196" i="13" a="1"/>
  <c r="F847" i="13" a="1"/>
  <c r="F34" i="13" a="1"/>
  <c r="F460" i="13" a="1"/>
  <c r="F85" i="13" a="1"/>
  <c r="F438" i="13" a="1"/>
  <c r="F386" i="13" a="1"/>
  <c r="F1299" i="13" a="1"/>
  <c r="F1473" i="13" a="1"/>
  <c r="F102" i="13" a="1"/>
  <c r="F769" i="13" a="1"/>
  <c r="F300" i="13" a="1"/>
  <c r="F663" i="13" a="1"/>
  <c r="F145" i="13" a="1"/>
  <c r="F180" i="13" a="1"/>
  <c r="F1234" i="13" a="1"/>
  <c r="F513" i="13" a="1"/>
  <c r="F568" i="13" a="1"/>
  <c r="F630" i="13" a="1"/>
  <c r="F1049" i="13" a="1"/>
  <c r="F141" i="13" a="1"/>
  <c r="F609" i="13" a="1"/>
  <c r="F428" i="13" a="1"/>
  <c r="F1227" i="13" a="1"/>
  <c r="F820" i="13" a="1"/>
  <c r="F1307" i="13" a="1"/>
  <c r="F565" i="13" a="1"/>
  <c r="F523" i="13" a="1"/>
  <c r="F726" i="13" a="1"/>
  <c r="F993" i="13" a="1"/>
  <c r="F562" i="13" a="1"/>
  <c r="F767" i="13" a="1"/>
  <c r="F21" i="13" a="1"/>
  <c r="F1390" i="13" a="1"/>
  <c r="F169" i="13" a="1"/>
  <c r="F1121" i="13" a="1"/>
  <c r="F380" i="13" a="1"/>
  <c r="F150" i="13" a="1"/>
  <c r="F780" i="13" a="1"/>
  <c r="F952" i="13" a="1"/>
  <c r="F858" i="13" a="1"/>
  <c r="F814" i="13" a="1"/>
  <c r="F806" i="13" a="1"/>
  <c r="F1423" i="13" a="1"/>
  <c r="F661" i="13" a="1"/>
  <c r="F1469" i="13" a="1"/>
  <c r="F134" i="13" a="1"/>
  <c r="F758" i="13" a="1"/>
  <c r="F862" i="13" a="1"/>
  <c r="F845" i="13" a="1"/>
  <c r="F1204" i="13" a="1"/>
  <c r="F1221" i="13" a="1"/>
  <c r="F1020" i="13" a="1"/>
  <c r="F607" i="13" a="1"/>
  <c r="F730" i="13" a="1"/>
  <c r="F1370" i="13" a="1"/>
  <c r="F1392" i="13" a="1"/>
  <c r="F196" i="13" a="1"/>
  <c r="F402" i="13" a="1"/>
  <c r="F478" i="13" a="1"/>
  <c r="F943" i="13" a="1"/>
  <c r="F556" i="13" a="1"/>
  <c r="F1414" i="13" a="1"/>
  <c r="F810" i="13" a="1"/>
  <c r="F170" i="13" a="1"/>
  <c r="F1220" i="13" a="1"/>
  <c r="F1056" i="13" a="1"/>
  <c r="F1241" i="13" a="1"/>
  <c r="F387" i="13" a="1"/>
  <c r="F1259" i="13" a="1"/>
  <c r="F991" i="13" a="1"/>
  <c r="F929" i="13" a="1"/>
  <c r="F400" i="13" a="1"/>
  <c r="F864" i="13" a="1"/>
  <c r="F484" i="13" a="1"/>
  <c r="F1468" i="13" a="1"/>
  <c r="F445" i="13" a="1"/>
  <c r="F1345" i="13" a="1"/>
  <c r="F1013" i="13" a="1"/>
  <c r="F267" i="13" a="1"/>
  <c r="F60" i="13" a="1"/>
  <c r="F1029" i="13" a="1"/>
  <c r="F510" i="13" a="1"/>
  <c r="F89" i="13" a="1"/>
  <c r="F1112" i="13" a="1"/>
  <c r="F785" i="13" a="1"/>
  <c r="F1061" i="13" a="1"/>
  <c r="F823" i="13" a="1"/>
  <c r="F741" i="13" a="1"/>
  <c r="F303" i="13" a="1"/>
  <c r="F587" i="13" a="1"/>
  <c r="F972" i="13" a="1"/>
  <c r="F1065" i="13" a="1"/>
  <c r="F1454" i="13" a="1"/>
  <c r="F1034" i="13" a="1"/>
  <c r="F398" i="13" a="1"/>
  <c r="F1126" i="13" a="1"/>
  <c r="F146" i="13" a="1"/>
  <c r="F265" i="13" a="1"/>
  <c r="F243" i="13" a="1"/>
  <c r="F71" i="13" a="1"/>
  <c r="F1447" i="13" a="1"/>
  <c r="F142" i="13" a="1"/>
  <c r="F1325" i="13" a="1"/>
  <c r="F944" i="13" a="1"/>
  <c r="F69" i="13" a="1"/>
  <c r="F591" i="13" a="1"/>
  <c r="F171" i="13" a="1"/>
  <c r="F33" i="13" a="1"/>
  <c r="F97" i="13" a="1"/>
  <c r="F1256" i="13" a="1"/>
  <c r="F1452" i="13" a="1"/>
  <c r="F985" i="13" a="1"/>
  <c r="F830" i="13" a="1"/>
  <c r="F559" i="13" a="1"/>
  <c r="F1047" i="13" a="1"/>
  <c r="F1412" i="13" a="1"/>
  <c r="F311" i="13" a="1"/>
  <c r="F178" i="13" a="1"/>
  <c r="F1463" i="13" a="1"/>
  <c r="F722" i="13" a="1"/>
  <c r="F592" i="13" a="1"/>
  <c r="F315" i="13" a="1"/>
  <c r="F15" i="13" a="1"/>
  <c r="F1475" i="13" a="1"/>
  <c r="F737" i="13" a="1"/>
  <c r="F1289" i="13" a="1"/>
  <c r="F1333" i="13" a="1"/>
  <c r="F560" i="13" a="1"/>
  <c r="F1451" i="13" a="1"/>
  <c r="F1490" i="13" a="1"/>
  <c r="F932" i="13" a="1"/>
  <c r="F168" i="13" a="1"/>
  <c r="F781" i="13" a="1"/>
  <c r="F981" i="13" a="1"/>
  <c r="F419" i="13" a="1"/>
  <c r="F1264" i="13" a="1"/>
  <c r="F1295" i="13" a="1"/>
  <c r="F1224" i="13" a="1"/>
  <c r="F1062" i="13" a="1"/>
  <c r="F482" i="13" a="1"/>
  <c r="F194" i="13" a="1"/>
  <c r="F990" i="13" a="1"/>
  <c r="F1072" i="13" a="1"/>
  <c r="F35" i="13" a="1"/>
  <c r="F1041" i="13" a="1"/>
  <c r="F98" i="13" a="1"/>
  <c r="F378" i="13" a="1"/>
  <c r="F273" i="13" a="1"/>
  <c r="F673" i="13" a="1"/>
  <c r="F1247" i="13" a="1"/>
  <c r="F827" i="13" a="1"/>
  <c r="F472" i="13" a="1"/>
  <c r="F186" i="13" a="1"/>
  <c r="F99" i="13" a="1"/>
  <c r="F1263" i="13" a="1"/>
  <c r="F242" i="13" a="1"/>
  <c r="F1419" i="13" a="1"/>
  <c r="F1173" i="13" a="1"/>
  <c r="F189" i="13" a="1"/>
  <c r="F212" i="13" a="1"/>
  <c r="F1328" i="13" a="1"/>
  <c r="F1094" i="13" a="1"/>
  <c r="F662" i="13" a="1"/>
  <c r="F40" i="13" a="1"/>
  <c r="F1239" i="13" a="1"/>
  <c r="F618" i="13" a="1"/>
  <c r="F1476" i="13" a="1"/>
  <c r="F1453" i="13" a="1"/>
  <c r="F605" i="13" a="1"/>
  <c r="F863" i="13" a="1"/>
  <c r="F158" i="13" a="1"/>
  <c r="F784" i="13" a="1"/>
  <c r="F599" i="13" a="1"/>
  <c r="F1257" i="13" a="1"/>
  <c r="F1388" i="13" a="1"/>
  <c r="F598" i="13" a="1"/>
  <c r="F1124" i="13" a="1"/>
  <c r="F1382" i="13" a="1"/>
  <c r="F68" i="13" l="1"/>
  <c r="F1475" i="13"/>
  <c r="F1211" i="13"/>
  <c r="F1126" i="13"/>
  <c r="F1387" i="13"/>
  <c r="F1280" i="13"/>
  <c r="F822" i="13"/>
  <c r="F640" i="13"/>
  <c r="F1125" i="13"/>
  <c r="F983" i="13"/>
  <c r="F1162" i="13"/>
  <c r="F499" i="13"/>
  <c r="F131" i="13"/>
  <c r="F1456" i="13"/>
  <c r="F110" i="13"/>
  <c r="F398" i="13"/>
  <c r="F192" i="13"/>
  <c r="F211" i="13"/>
  <c r="F1231" i="13"/>
  <c r="F1030" i="13"/>
  <c r="F1479" i="13"/>
  <c r="F1167" i="13"/>
  <c r="F585" i="13"/>
  <c r="F322" i="13"/>
  <c r="F743" i="13"/>
  <c r="F1196" i="13"/>
  <c r="F749" i="13"/>
  <c r="F1034" i="13"/>
  <c r="F1235" i="13"/>
  <c r="F1205" i="13"/>
  <c r="F374" i="13"/>
  <c r="F167" i="13"/>
  <c r="F286" i="13"/>
  <c r="F1366" i="13"/>
  <c r="F1117" i="13"/>
  <c r="F865" i="13"/>
  <c r="F742" i="13"/>
  <c r="F205" i="13"/>
  <c r="F40" i="13"/>
  <c r="F1454" i="13"/>
  <c r="F327" i="13"/>
  <c r="F1044" i="13"/>
  <c r="F1172" i="13"/>
  <c r="F32" i="13"/>
  <c r="F281" i="13"/>
  <c r="F275" i="13"/>
  <c r="F1092" i="13"/>
  <c r="F127" i="13"/>
  <c r="F847" i="13"/>
  <c r="F1216" i="13"/>
  <c r="F1393" i="13"/>
  <c r="F1065" i="13"/>
  <c r="F589" i="13"/>
  <c r="F496" i="13"/>
  <c r="F1251" i="13"/>
  <c r="F1214" i="13"/>
  <c r="F1064" i="13"/>
  <c r="F1433" i="13"/>
  <c r="F1166" i="13"/>
  <c r="F1168" i="13"/>
  <c r="F1382" i="13"/>
  <c r="F849" i="13"/>
  <c r="F483" i="13"/>
  <c r="F972" i="13"/>
  <c r="F1091" i="13"/>
  <c r="F1017" i="13"/>
  <c r="F1446" i="13"/>
  <c r="F976" i="13"/>
  <c r="F454" i="13"/>
  <c r="F1303" i="13"/>
  <c r="F566" i="13"/>
  <c r="F479" i="13"/>
  <c r="F204" i="13"/>
  <c r="F1124" i="13"/>
  <c r="F1431" i="13"/>
  <c r="F587" i="13"/>
  <c r="F561" i="13"/>
  <c r="F567" i="13"/>
  <c r="F1253" i="13"/>
  <c r="F389" i="13"/>
  <c r="F954" i="13"/>
  <c r="F1327" i="13"/>
  <c r="F1312" i="13"/>
  <c r="F1050" i="13"/>
  <c r="F47" i="13"/>
  <c r="F20" i="13"/>
  <c r="F1256" i="13"/>
  <c r="F303" i="13"/>
  <c r="F147" i="13"/>
  <c r="F1297" i="13"/>
  <c r="F524" i="13"/>
  <c r="F88" i="13"/>
  <c r="F744" i="13"/>
  <c r="F1180" i="13"/>
  <c r="F464" i="13"/>
  <c r="F1362" i="13"/>
  <c r="F783" i="13"/>
  <c r="F15" i="13"/>
  <c r="F782" i="13"/>
  <c r="F741" i="13"/>
  <c r="F1442" i="13"/>
  <c r="F14" i="13"/>
  <c r="F313" i="13"/>
  <c r="F1347" i="13"/>
  <c r="F1090" i="13"/>
  <c r="F1111" i="13"/>
  <c r="F817" i="13"/>
  <c r="F83" i="13"/>
  <c r="F455" i="13"/>
  <c r="F379" i="13"/>
  <c r="F1338" i="13"/>
  <c r="F823" i="13"/>
  <c r="F995" i="13"/>
  <c r="F615" i="13"/>
  <c r="F947" i="13"/>
  <c r="F1422" i="13"/>
  <c r="F443" i="13"/>
  <c r="F754" i="13"/>
  <c r="F370" i="13"/>
  <c r="F1395" i="13"/>
  <c r="F144" i="13"/>
  <c r="F1318" i="13"/>
  <c r="F188" i="13"/>
  <c r="F1061" i="13"/>
  <c r="F305" i="13"/>
  <c r="F1130" i="13"/>
  <c r="F451" i="13"/>
  <c r="F813" i="13"/>
  <c r="F1059" i="13"/>
  <c r="F643" i="13"/>
  <c r="F316" i="13"/>
  <c r="F812" i="13"/>
  <c r="F1389" i="13"/>
  <c r="F326" i="13"/>
  <c r="F1439" i="13"/>
  <c r="F785" i="13"/>
  <c r="F841" i="13"/>
  <c r="F1103" i="13"/>
  <c r="F280" i="13"/>
  <c r="F507" i="13"/>
  <c r="F828" i="13"/>
  <c r="F1223" i="13"/>
  <c r="F1483" i="13"/>
  <c r="F787" i="13"/>
  <c r="F933" i="13"/>
  <c r="F838" i="13"/>
  <c r="F662" i="13"/>
  <c r="F1112" i="13"/>
  <c r="F1131" i="13"/>
  <c r="F447" i="13"/>
  <c r="F719" i="13"/>
  <c r="F476" i="13"/>
  <c r="F555" i="13"/>
  <c r="F571" i="13"/>
  <c r="F752" i="13"/>
  <c r="F1324" i="13"/>
  <c r="F1332" i="13"/>
  <c r="F598" i="13"/>
  <c r="F1293" i="13"/>
  <c r="F89" i="13"/>
  <c r="F1489" i="13"/>
  <c r="F778" i="13"/>
  <c r="F1462" i="13"/>
  <c r="F1066" i="13"/>
  <c r="F468" i="13"/>
  <c r="F448" i="13"/>
  <c r="F238" i="13"/>
  <c r="F951" i="13"/>
  <c r="F627" i="13"/>
  <c r="F1291" i="13"/>
  <c r="F271" i="13"/>
  <c r="F510" i="13"/>
  <c r="F396" i="13"/>
  <c r="F818" i="13"/>
  <c r="F1193" i="13"/>
  <c r="F182" i="13"/>
  <c r="F217" i="13"/>
  <c r="F86" i="13"/>
  <c r="F941" i="13"/>
  <c r="F1434" i="13"/>
  <c r="F1398" i="13"/>
  <c r="F288" i="13"/>
  <c r="F97" i="13"/>
  <c r="F1029" i="13"/>
  <c r="F1351" i="13"/>
  <c r="F1018" i="13"/>
  <c r="F235" i="13"/>
  <c r="F432" i="13"/>
  <c r="F1499" i="13"/>
  <c r="F1095" i="13"/>
  <c r="F1032" i="13"/>
  <c r="F1495" i="13"/>
  <c r="F373" i="13"/>
  <c r="F315" i="13"/>
  <c r="F1415" i="13"/>
  <c r="F60" i="13"/>
  <c r="F51" i="13"/>
  <c r="F675" i="13"/>
  <c r="F1408" i="13"/>
  <c r="F808" i="13"/>
  <c r="F93" i="13"/>
  <c r="F611" i="13"/>
  <c r="F1097" i="13"/>
  <c r="F1171" i="13"/>
  <c r="F1058" i="13"/>
  <c r="F996" i="13"/>
  <c r="F1236" i="13"/>
  <c r="F267" i="13"/>
  <c r="F1379" i="13"/>
  <c r="F1436" i="13"/>
  <c r="F440" i="13"/>
  <c r="F1272" i="13"/>
  <c r="F1190" i="13"/>
  <c r="F569" i="13"/>
  <c r="F466" i="13"/>
  <c r="F1084" i="13"/>
  <c r="F218" i="13"/>
  <c r="F80" i="13"/>
  <c r="F392" i="13"/>
  <c r="F1013" i="13"/>
  <c r="F596" i="13"/>
  <c r="F1294" i="13"/>
  <c r="F1480" i="13"/>
  <c r="F200" i="13"/>
  <c r="F1093" i="13"/>
  <c r="F104" i="13"/>
  <c r="F1175" i="13"/>
  <c r="F76" i="13"/>
  <c r="F1197" i="13"/>
  <c r="F376" i="13"/>
  <c r="F1051" i="13"/>
  <c r="F1345" i="13"/>
  <c r="F175" i="13"/>
  <c r="F739" i="13"/>
  <c r="F1418" i="13"/>
  <c r="F992" i="13"/>
  <c r="F294" i="13"/>
  <c r="F1369" i="13"/>
  <c r="F429" i="13"/>
  <c r="F829" i="13"/>
  <c r="F474" i="13"/>
  <c r="F1226" i="13"/>
  <c r="F33" i="13"/>
  <c r="F445" i="13"/>
  <c r="F325" i="13"/>
  <c r="F155" i="13"/>
  <c r="F606" i="13"/>
  <c r="F220" i="13"/>
  <c r="F208" i="13"/>
  <c r="F23" i="13"/>
  <c r="F132" i="13"/>
  <c r="F674" i="13"/>
  <c r="F1336" i="13"/>
  <c r="F592" i="13"/>
  <c r="F1283" i="13"/>
  <c r="F1468" i="13"/>
  <c r="F626" i="13"/>
  <c r="F1161" i="13"/>
  <c r="F1377" i="13"/>
  <c r="F1428" i="13"/>
  <c r="F36" i="13"/>
  <c r="F1258" i="13"/>
  <c r="F87" i="13"/>
  <c r="F1466" i="13"/>
  <c r="F187" i="13"/>
  <c r="F1388" i="13"/>
  <c r="F1094" i="13"/>
  <c r="F484" i="13"/>
  <c r="F1104" i="13"/>
  <c r="F724" i="13"/>
  <c r="F1088" i="13"/>
  <c r="F279" i="13"/>
  <c r="F582" i="13"/>
  <c r="F1330" i="13"/>
  <c r="F1025" i="13"/>
  <c r="F1040" i="13"/>
  <c r="F1116" i="13"/>
  <c r="F55" i="13"/>
  <c r="F383" i="13"/>
  <c r="F864" i="13"/>
  <c r="F597" i="13"/>
  <c r="F1274" i="13"/>
  <c r="F1268" i="13"/>
  <c r="F1089" i="13"/>
  <c r="F1400" i="13"/>
  <c r="F1296" i="13"/>
  <c r="F1340" i="13"/>
  <c r="F987" i="13"/>
  <c r="F1399" i="13"/>
  <c r="F1222" i="13"/>
  <c r="F171" i="13"/>
  <c r="F400" i="13"/>
  <c r="F292" i="13"/>
  <c r="F1421" i="13"/>
  <c r="F671" i="13"/>
  <c r="F1282" i="13"/>
  <c r="F179" i="13"/>
  <c r="F1317" i="13"/>
  <c r="F509" i="13"/>
  <c r="F1246" i="13"/>
  <c r="F1271" i="13"/>
  <c r="F1365" i="13"/>
  <c r="F301" i="13"/>
  <c r="F929" i="13"/>
  <c r="F233" i="13"/>
  <c r="F734" i="13"/>
  <c r="F62" i="13"/>
  <c r="F515" i="13"/>
  <c r="F1394" i="13"/>
  <c r="F135" i="13"/>
  <c r="F1316" i="13"/>
  <c r="F323" i="13"/>
  <c r="F770" i="13"/>
  <c r="F1409" i="13"/>
  <c r="F92" i="13"/>
  <c r="F991" i="13"/>
  <c r="F755" i="13"/>
  <c r="F665" i="13"/>
  <c r="F1374" i="13"/>
  <c r="F776" i="13"/>
  <c r="F384" i="13"/>
  <c r="F241" i="13"/>
  <c r="F853" i="13"/>
  <c r="F22" i="13"/>
  <c r="F94" i="13"/>
  <c r="F43" i="13"/>
  <c r="F1328" i="13"/>
  <c r="F1259" i="13"/>
  <c r="F1373" i="13"/>
  <c r="F502" i="13"/>
  <c r="F302" i="13"/>
  <c r="F184" i="13"/>
  <c r="F633" i="13"/>
  <c r="F522" i="13"/>
  <c r="F586" i="13"/>
  <c r="F850" i="13"/>
  <c r="F775" i="13"/>
  <c r="F722" i="13"/>
  <c r="F295" i="13"/>
  <c r="F387" i="13"/>
  <c r="F1300" i="13"/>
  <c r="F968" i="13"/>
  <c r="F978" i="13"/>
  <c r="F1060" i="13"/>
  <c r="F100" i="13"/>
  <c r="F425" i="13"/>
  <c r="F485" i="13"/>
  <c r="F226" i="13"/>
  <c r="F1215" i="13"/>
  <c r="F1257" i="13"/>
  <c r="F591" i="13"/>
  <c r="F1241" i="13"/>
  <c r="F439" i="13"/>
  <c r="F779" i="13"/>
  <c r="F1315" i="13"/>
  <c r="F635" i="13"/>
  <c r="F58" i="13"/>
  <c r="F42" i="13"/>
  <c r="F278" i="13"/>
  <c r="F239" i="13"/>
  <c r="F939" i="13"/>
  <c r="F473" i="13"/>
  <c r="F224" i="13"/>
  <c r="F1056" i="13"/>
  <c r="F622" i="13"/>
  <c r="F1262" i="13"/>
  <c r="F1278" i="13"/>
  <c r="F500" i="13"/>
  <c r="F728" i="13"/>
  <c r="F857" i="13"/>
  <c r="F82" i="13"/>
  <c r="F727" i="13"/>
  <c r="F1381" i="13"/>
  <c r="F452" i="13"/>
  <c r="F212" i="13"/>
  <c r="F1220" i="13"/>
  <c r="F1402" i="13"/>
  <c r="F772" i="13"/>
  <c r="F967" i="13"/>
  <c r="F213" i="13"/>
  <c r="F1178" i="13"/>
  <c r="F1022" i="13"/>
  <c r="F236" i="13"/>
  <c r="F735" i="13"/>
  <c r="F819" i="13"/>
  <c r="F1191" i="13"/>
  <c r="F1335" i="13"/>
  <c r="F170" i="13"/>
  <c r="F137" i="13"/>
  <c r="F1110" i="13"/>
  <c r="F1308" i="13"/>
  <c r="F1045" i="13"/>
  <c r="F725" i="13"/>
  <c r="F1195" i="13"/>
  <c r="F771" i="13"/>
  <c r="F297" i="13"/>
  <c r="F1306" i="13"/>
  <c r="F381" i="13"/>
  <c r="F69" i="13"/>
  <c r="F810" i="13"/>
  <c r="F1437" i="13"/>
  <c r="F424" i="13"/>
  <c r="F463" i="13"/>
  <c r="F1449" i="13"/>
  <c r="F453" i="13"/>
  <c r="F831" i="13"/>
  <c r="F1360" i="13"/>
  <c r="F518" i="13"/>
  <c r="F1279" i="13"/>
  <c r="F956" i="13"/>
  <c r="F162" i="13"/>
  <c r="F1414" i="13"/>
  <c r="F1348" i="13"/>
  <c r="F486" i="13"/>
  <c r="F768" i="13"/>
  <c r="F588" i="13"/>
  <c r="F420" i="13"/>
  <c r="F1108" i="13"/>
  <c r="F1159" i="13"/>
  <c r="F1099" i="13"/>
  <c r="F1397" i="13"/>
  <c r="F18" i="13"/>
  <c r="F641" i="13"/>
  <c r="F556" i="13"/>
  <c r="F572" i="13"/>
  <c r="F202" i="13"/>
  <c r="F1371" i="13"/>
  <c r="F1187" i="13"/>
  <c r="F31" i="13"/>
  <c r="F517" i="13"/>
  <c r="F934" i="13"/>
  <c r="F942" i="13"/>
  <c r="F282" i="13"/>
  <c r="F1463" i="13"/>
  <c r="F189" i="13"/>
  <c r="F943" i="13"/>
  <c r="F982" i="13"/>
  <c r="F1407" i="13"/>
  <c r="F1021" i="13"/>
  <c r="F953" i="13"/>
  <c r="F63" i="13"/>
  <c r="F1384" i="13"/>
  <c r="F632" i="13"/>
  <c r="F79" i="13"/>
  <c r="F296" i="13"/>
  <c r="F599" i="13"/>
  <c r="F944" i="13"/>
  <c r="F478" i="13"/>
  <c r="F1164" i="13"/>
  <c r="F66" i="13"/>
  <c r="F824" i="13"/>
  <c r="F139" i="13"/>
  <c r="F154" i="13"/>
  <c r="F1420" i="13"/>
  <c r="F107" i="13"/>
  <c r="F1342" i="13"/>
  <c r="F1028" i="13"/>
  <c r="F283" i="13"/>
  <c r="F969" i="13"/>
  <c r="F402" i="13"/>
  <c r="F1238" i="13"/>
  <c r="F505" i="13"/>
  <c r="F434" i="13"/>
  <c r="F866" i="13"/>
  <c r="F65" i="13"/>
  <c r="F1478" i="13"/>
  <c r="F997" i="13"/>
  <c r="F1181" i="13"/>
  <c r="F773" i="13"/>
  <c r="F854" i="13"/>
  <c r="F1266" i="13"/>
  <c r="F196" i="13"/>
  <c r="F1367" i="13"/>
  <c r="F41" i="13"/>
  <c r="F977" i="13"/>
  <c r="F745" i="13"/>
  <c r="F230" i="13"/>
  <c r="F508" i="13"/>
  <c r="F1230" i="13"/>
  <c r="F1208" i="13"/>
  <c r="F77" i="13"/>
  <c r="F431" i="13"/>
  <c r="F1356" i="13"/>
  <c r="F1392" i="13"/>
  <c r="F64" i="13"/>
  <c r="F950" i="13"/>
  <c r="F809" i="13"/>
  <c r="F206" i="13"/>
  <c r="F945" i="13"/>
  <c r="F608" i="13"/>
  <c r="F1261" i="13"/>
  <c r="F310" i="13"/>
  <c r="F1225" i="13"/>
  <c r="F1185" i="13"/>
  <c r="F1325" i="13"/>
  <c r="F1370" i="13"/>
  <c r="F84" i="13"/>
  <c r="F1459" i="13"/>
  <c r="F96" i="13"/>
  <c r="F290" i="13"/>
  <c r="F1298" i="13"/>
  <c r="F195" i="13"/>
  <c r="F1417" i="13"/>
  <c r="F1426" i="13"/>
  <c r="F580" i="13"/>
  <c r="F178" i="13"/>
  <c r="F1173" i="13"/>
  <c r="F730" i="13"/>
  <c r="F1199" i="13"/>
  <c r="F1497" i="13"/>
  <c r="F442" i="13"/>
  <c r="F309" i="13"/>
  <c r="F1250" i="13"/>
  <c r="F469" i="13"/>
  <c r="F1023" i="13"/>
  <c r="F1217" i="13"/>
  <c r="F1474" i="13"/>
  <c r="F449" i="13"/>
  <c r="F1471" i="13"/>
  <c r="F607" i="13"/>
  <c r="F1496" i="13"/>
  <c r="F621" i="13"/>
  <c r="F1323" i="13"/>
  <c r="F1203" i="13"/>
  <c r="F1001" i="13"/>
  <c r="F844" i="13"/>
  <c r="F193" i="13"/>
  <c r="F503" i="13"/>
  <c r="F948" i="13"/>
  <c r="F784" i="13"/>
  <c r="F1198" i="13"/>
  <c r="F1020" i="13"/>
  <c r="F457" i="13"/>
  <c r="F1460" i="13"/>
  <c r="F30" i="13"/>
  <c r="F840" i="13"/>
  <c r="F1488" i="13"/>
  <c r="F1255" i="13"/>
  <c r="F1174" i="13"/>
  <c r="F936" i="13"/>
  <c r="F234" i="13"/>
  <c r="F1067" i="13"/>
  <c r="F142" i="13"/>
  <c r="F1221" i="13"/>
  <c r="F1425" i="13"/>
  <c r="F1165" i="13"/>
  <c r="F1383" i="13"/>
  <c r="F1441" i="13"/>
  <c r="F394" i="13"/>
  <c r="F1432" i="13"/>
  <c r="F1163" i="13"/>
  <c r="F1353" i="13"/>
  <c r="F634" i="13"/>
  <c r="F324" i="13"/>
  <c r="F1419" i="13"/>
  <c r="F1204" i="13"/>
  <c r="F185" i="13"/>
  <c r="F1329" i="13"/>
  <c r="F584" i="13"/>
  <c r="F1240" i="13"/>
  <c r="F1068" i="13"/>
  <c r="F1249" i="13"/>
  <c r="F1484" i="13"/>
  <c r="F1052" i="13"/>
  <c r="F75" i="13"/>
  <c r="F143" i="13"/>
  <c r="F590" i="13"/>
  <c r="F845" i="13"/>
  <c r="F133" i="13"/>
  <c r="F95" i="13"/>
  <c r="F514" i="13"/>
  <c r="F1380" i="13"/>
  <c r="F1083" i="13"/>
  <c r="F461" i="13"/>
  <c r="F980" i="13"/>
  <c r="F289" i="13"/>
  <c r="F153" i="13"/>
  <c r="F1228" i="13"/>
  <c r="F228" i="13"/>
  <c r="F862" i="13"/>
  <c r="F1429" i="13"/>
  <c r="F1281" i="13"/>
  <c r="F112" i="13"/>
  <c r="F581" i="13"/>
  <c r="F1355" i="13"/>
  <c r="F1098" i="13"/>
  <c r="F1455" i="13"/>
  <c r="F1458" i="13"/>
  <c r="F50" i="13"/>
  <c r="F311" i="13"/>
  <c r="F617" i="13"/>
  <c r="F758" i="13"/>
  <c r="F1357" i="13"/>
  <c r="F930" i="13"/>
  <c r="F174" i="13"/>
  <c r="F1085" i="13"/>
  <c r="F554" i="13"/>
  <c r="F1219" i="13"/>
  <c r="F307" i="13"/>
  <c r="F1372" i="13"/>
  <c r="F1189" i="13"/>
  <c r="F1218" i="13"/>
  <c r="F1447" i="13"/>
  <c r="F134" i="13"/>
  <c r="F53" i="13"/>
  <c r="F1424" i="13"/>
  <c r="F73" i="13"/>
  <c r="F1427" i="13"/>
  <c r="F172" i="13"/>
  <c r="F1194" i="13"/>
  <c r="F1492" i="13"/>
  <c r="F1027" i="13"/>
  <c r="F1319" i="13"/>
  <c r="F158" i="13"/>
  <c r="F242" i="13"/>
  <c r="F1469" i="13"/>
  <c r="F1260" i="13"/>
  <c r="F284" i="13"/>
  <c r="F1401" i="13"/>
  <c r="F1286" i="13"/>
  <c r="F1313" i="13"/>
  <c r="F1359" i="13"/>
  <c r="F59" i="13"/>
  <c r="F1500" i="13"/>
  <c r="F594" i="13"/>
  <c r="F1269" i="13"/>
  <c r="F498" i="13"/>
  <c r="F661" i="13"/>
  <c r="F25" i="13"/>
  <c r="F304" i="13"/>
  <c r="F1309" i="13"/>
  <c r="F1213" i="13"/>
  <c r="F1206" i="13"/>
  <c r="F1048" i="13"/>
  <c r="F1350" i="13"/>
  <c r="F1301" i="13"/>
  <c r="F1331" i="13"/>
  <c r="F487" i="13"/>
  <c r="F1302" i="13"/>
  <c r="F1423" i="13"/>
  <c r="F105" i="13"/>
  <c r="F723" i="13"/>
  <c r="F748" i="13"/>
  <c r="F740" i="13"/>
  <c r="F405" i="13"/>
  <c r="F610" i="13"/>
  <c r="F103" i="13"/>
  <c r="F1129" i="13"/>
  <c r="F1087" i="13"/>
  <c r="F501" i="13"/>
  <c r="F71" i="13"/>
  <c r="F806" i="13"/>
  <c r="F136" i="13"/>
  <c r="F16" i="13"/>
  <c r="F444" i="13"/>
  <c r="F44" i="13"/>
  <c r="F318" i="13"/>
  <c r="F1470" i="13"/>
  <c r="F973" i="13"/>
  <c r="F570" i="13"/>
  <c r="F1334" i="13"/>
  <c r="F90" i="13"/>
  <c r="F497" i="13"/>
  <c r="F814" i="13"/>
  <c r="F1364" i="13"/>
  <c r="F721" i="13"/>
  <c r="F994" i="13"/>
  <c r="F1304" i="13"/>
  <c r="F988" i="13"/>
  <c r="F519" i="13"/>
  <c r="F272" i="13"/>
  <c r="F660" i="13"/>
  <c r="F106" i="13"/>
  <c r="F1046" i="13"/>
  <c r="F1263" i="13"/>
  <c r="F858" i="13"/>
  <c r="F52" i="13"/>
  <c r="F109" i="13"/>
  <c r="F397" i="13"/>
  <c r="F312" i="13"/>
  <c r="F843" i="13"/>
  <c r="F629" i="13"/>
  <c r="F1002" i="13"/>
  <c r="F676" i="13"/>
  <c r="F1339" i="13"/>
  <c r="F1412" i="13"/>
  <c r="F243" i="13"/>
  <c r="F952" i="13"/>
  <c r="F148" i="13"/>
  <c r="F215" i="13"/>
  <c r="F1501" i="13"/>
  <c r="F1413" i="13"/>
  <c r="F176" i="13"/>
  <c r="F811" i="13"/>
  <c r="F270" i="13"/>
  <c r="F946" i="13"/>
  <c r="F314" i="13"/>
  <c r="F1445" i="13"/>
  <c r="F612" i="13"/>
  <c r="F780" i="13"/>
  <c r="F1440" i="13"/>
  <c r="F593" i="13"/>
  <c r="F274" i="13"/>
  <c r="F70" i="13"/>
  <c r="F1033" i="13"/>
  <c r="F1314" i="13"/>
  <c r="F733" i="13"/>
  <c r="F1015" i="13"/>
  <c r="F269" i="13"/>
  <c r="F863" i="13"/>
  <c r="F1243" i="13"/>
  <c r="F150" i="13"/>
  <c r="F481" i="13"/>
  <c r="F1326" i="13"/>
  <c r="F214" i="13"/>
  <c r="F1106" i="13"/>
  <c r="F1055" i="13"/>
  <c r="F183" i="13"/>
  <c r="F37" i="13"/>
  <c r="F1265" i="13"/>
  <c r="F750" i="13"/>
  <c r="F624" i="13"/>
  <c r="F99" i="13"/>
  <c r="F380" i="13"/>
  <c r="F219" i="13"/>
  <c r="F1000" i="13"/>
  <c r="F848" i="13"/>
  <c r="F525" i="13"/>
  <c r="F851" i="13"/>
  <c r="F1349" i="13"/>
  <c r="F1038" i="13"/>
  <c r="F1277" i="13"/>
  <c r="F177" i="13"/>
  <c r="F404" i="13"/>
  <c r="F265" i="13"/>
  <c r="F1121" i="13"/>
  <c r="F441" i="13"/>
  <c r="F979" i="13"/>
  <c r="F1237" i="13"/>
  <c r="F29" i="13"/>
  <c r="F563" i="13"/>
  <c r="F1123" i="13"/>
  <c r="F26" i="13"/>
  <c r="F74" i="13"/>
  <c r="F521" i="13"/>
  <c r="F1105" i="13"/>
  <c r="F186" i="13"/>
  <c r="F169" i="13"/>
  <c r="F516" i="13"/>
  <c r="F111" i="13"/>
  <c r="F1411" i="13"/>
  <c r="F1386" i="13"/>
  <c r="F1210" i="13"/>
  <c r="F777" i="13"/>
  <c r="F61" i="13"/>
  <c r="F1482" i="13"/>
  <c r="F821" i="13"/>
  <c r="F1047" i="13"/>
  <c r="F472" i="13"/>
  <c r="F1390" i="13"/>
  <c r="F385" i="13"/>
  <c r="F1031" i="13"/>
  <c r="F1183" i="13"/>
  <c r="F1118" i="13"/>
  <c r="F1321" i="13"/>
  <c r="F450" i="13"/>
  <c r="F1069" i="13"/>
  <c r="F19" i="13"/>
  <c r="F1054" i="13"/>
  <c r="F199" i="13"/>
  <c r="F827" i="13"/>
  <c r="F21" i="13"/>
  <c r="F1244" i="13"/>
  <c r="F1160" i="13"/>
  <c r="F512" i="13"/>
  <c r="F465" i="13"/>
  <c r="F753" i="13"/>
  <c r="F276" i="13"/>
  <c r="F1070" i="13"/>
  <c r="F371" i="13"/>
  <c r="F557" i="13"/>
  <c r="F605" i="13"/>
  <c r="F1247" i="13"/>
  <c r="F767" i="13"/>
  <c r="F1169" i="13"/>
  <c r="F1376" i="13"/>
  <c r="F427" i="13"/>
  <c r="F1254" i="13"/>
  <c r="F628" i="13"/>
  <c r="F299" i="13"/>
  <c r="F1292" i="13"/>
  <c r="F403" i="13"/>
  <c r="F1344" i="13"/>
  <c r="F225" i="13"/>
  <c r="F146" i="13"/>
  <c r="F562" i="13"/>
  <c r="F1177" i="13"/>
  <c r="F159" i="13"/>
  <c r="F488" i="13"/>
  <c r="F747" i="13"/>
  <c r="F149" i="13"/>
  <c r="F201" i="13"/>
  <c r="F1481" i="13"/>
  <c r="F46" i="13"/>
  <c r="F1363" i="13"/>
  <c r="F388" i="13"/>
  <c r="F1472" i="13"/>
  <c r="F993" i="13"/>
  <c r="F1493" i="13"/>
  <c r="F826" i="13"/>
  <c r="F382" i="13"/>
  <c r="F152" i="13"/>
  <c r="F855" i="13"/>
  <c r="F616" i="13"/>
  <c r="F1494" i="13"/>
  <c r="F1276" i="13"/>
  <c r="F1284" i="13"/>
  <c r="F1042" i="13"/>
  <c r="F1188" i="13"/>
  <c r="F726" i="13"/>
  <c r="F231" i="13"/>
  <c r="F1113" i="13"/>
  <c r="F91" i="13"/>
  <c r="F49" i="13"/>
  <c r="F805" i="13"/>
  <c r="F564" i="13"/>
  <c r="F1036" i="13"/>
  <c r="F639" i="13"/>
  <c r="F173" i="13"/>
  <c r="F430" i="13"/>
  <c r="F138" i="13"/>
  <c r="F523" i="13"/>
  <c r="F56" i="13"/>
  <c r="F130" i="13"/>
  <c r="F613" i="13"/>
  <c r="F437" i="13"/>
  <c r="F601" i="13"/>
  <c r="F1290" i="13"/>
  <c r="F789" i="13"/>
  <c r="F1186" i="13"/>
  <c r="F856" i="13"/>
  <c r="F559" i="13"/>
  <c r="F673" i="13"/>
  <c r="F565" i="13"/>
  <c r="F756" i="13"/>
  <c r="F558" i="13"/>
  <c r="F232" i="13"/>
  <c r="F426" i="13"/>
  <c r="F1200" i="13"/>
  <c r="F1107" i="13"/>
  <c r="F467" i="13"/>
  <c r="F1287" i="13"/>
  <c r="F860" i="13"/>
  <c r="F28" i="13"/>
  <c r="F273" i="13"/>
  <c r="F1307" i="13"/>
  <c r="F1320" i="13"/>
  <c r="F736" i="13"/>
  <c r="F422" i="13"/>
  <c r="F938" i="13"/>
  <c r="F471" i="13"/>
  <c r="F1498" i="13"/>
  <c r="F520" i="13"/>
  <c r="F1310" i="13"/>
  <c r="F940" i="13"/>
  <c r="F1453" i="13"/>
  <c r="F378" i="13"/>
  <c r="F820" i="13"/>
  <c r="F229" i="13"/>
  <c r="F815" i="13"/>
  <c r="F1404" i="13"/>
  <c r="F949" i="13"/>
  <c r="F421" i="13"/>
  <c r="F375" i="13"/>
  <c r="F1014" i="13"/>
  <c r="F470" i="13"/>
  <c r="F306" i="13"/>
  <c r="F433" i="13"/>
  <c r="F98" i="13"/>
  <c r="F1227" i="13"/>
  <c r="F1486" i="13"/>
  <c r="F678" i="13"/>
  <c r="F1403" i="13"/>
  <c r="F57" i="13"/>
  <c r="F285" i="13"/>
  <c r="F209" i="13"/>
  <c r="F475" i="13"/>
  <c r="F308" i="13"/>
  <c r="F1270" i="13"/>
  <c r="F1179" i="13"/>
  <c r="F1041" i="13"/>
  <c r="F428" i="13"/>
  <c r="F1182" i="13"/>
  <c r="F937" i="13"/>
  <c r="F140" i="13"/>
  <c r="F970" i="13"/>
  <c r="F1037" i="13"/>
  <c r="F595" i="13"/>
  <c r="F986" i="13"/>
  <c r="F620" i="13"/>
  <c r="F1245" i="13"/>
  <c r="F1361" i="13"/>
  <c r="F35" i="13"/>
  <c r="F609" i="13"/>
  <c r="F834" i="13"/>
  <c r="F504" i="13"/>
  <c r="F436" i="13"/>
  <c r="F129" i="13"/>
  <c r="F839" i="13"/>
  <c r="F1444" i="13"/>
  <c r="F54" i="13"/>
  <c r="F1485" i="13"/>
  <c r="F319" i="13"/>
  <c r="F1202" i="13"/>
  <c r="F1072" i="13"/>
  <c r="F141" i="13"/>
  <c r="F955" i="13"/>
  <c r="F1012" i="13"/>
  <c r="F1438" i="13"/>
  <c r="F1242" i="13"/>
  <c r="F1358" i="13"/>
  <c r="F842" i="13"/>
  <c r="F1114" i="13"/>
  <c r="F1491" i="13"/>
  <c r="F1035" i="13"/>
  <c r="F830" i="13"/>
  <c r="F990" i="13"/>
  <c r="F1049" i="13"/>
  <c r="F317" i="13"/>
  <c r="F1457" i="13"/>
  <c r="F207" i="13"/>
  <c r="F108" i="13"/>
  <c r="F377" i="13"/>
  <c r="F1477" i="13"/>
  <c r="F1102" i="13"/>
  <c r="F1275" i="13"/>
  <c r="F511" i="13"/>
  <c r="F1019" i="13"/>
  <c r="F194" i="13"/>
  <c r="F630" i="13"/>
  <c r="F1443" i="13"/>
  <c r="F935" i="13"/>
  <c r="F1467" i="13"/>
  <c r="F1346" i="13"/>
  <c r="F1096" i="13"/>
  <c r="F39" i="13"/>
  <c r="F27" i="13"/>
  <c r="F677" i="13"/>
  <c r="F1352" i="13"/>
  <c r="F458" i="13"/>
  <c r="F482" i="13"/>
  <c r="F568" i="13"/>
  <c r="F1354" i="13"/>
  <c r="F320" i="13"/>
  <c r="F974" i="13"/>
  <c r="F1170" i="13"/>
  <c r="F1192" i="13"/>
  <c r="F1288" i="13"/>
  <c r="F738" i="13"/>
  <c r="F38" i="13"/>
  <c r="F859" i="13"/>
  <c r="F1476" i="13"/>
  <c r="F1062" i="13"/>
  <c r="F513" i="13"/>
  <c r="F1086" i="13"/>
  <c r="F462" i="13"/>
  <c r="F774" i="13"/>
  <c r="F1024" i="13"/>
  <c r="F72" i="13"/>
  <c r="F1273" i="13"/>
  <c r="F583" i="13"/>
  <c r="F786" i="13"/>
  <c r="F1305" i="13"/>
  <c r="F1127" i="13"/>
  <c r="F1224" i="13"/>
  <c r="F1234" i="13"/>
  <c r="F672" i="13"/>
  <c r="F480" i="13"/>
  <c r="F1053" i="13"/>
  <c r="F1405" i="13"/>
  <c r="F1109" i="13"/>
  <c r="F931" i="13"/>
  <c r="F1461" i="13"/>
  <c r="F729" i="13"/>
  <c r="F757" i="13"/>
  <c r="F1043" i="13"/>
  <c r="F1295" i="13"/>
  <c r="F180" i="13"/>
  <c r="F203" i="13"/>
  <c r="F399" i="13"/>
  <c r="F181" i="13"/>
  <c r="F1016" i="13"/>
  <c r="F1209" i="13"/>
  <c r="F1450" i="13"/>
  <c r="F1212" i="13"/>
  <c r="F1385" i="13"/>
  <c r="F625" i="13"/>
  <c r="F861" i="13"/>
  <c r="F1264" i="13"/>
  <c r="F145" i="13"/>
  <c r="F638" i="13"/>
  <c r="F423" i="13"/>
  <c r="F166" i="13"/>
  <c r="F1416" i="13"/>
  <c r="F603" i="13"/>
  <c r="F720" i="13"/>
  <c r="F17" i="13"/>
  <c r="F390" i="13"/>
  <c r="F1322" i="13"/>
  <c r="F1285" i="13"/>
  <c r="F419" i="13"/>
  <c r="F663" i="13"/>
  <c r="F602" i="13"/>
  <c r="F1464" i="13"/>
  <c r="F67" i="13"/>
  <c r="F1229" i="13"/>
  <c r="F1201" i="13"/>
  <c r="F459" i="13"/>
  <c r="F395" i="13"/>
  <c r="F751" i="13"/>
  <c r="F647" i="13"/>
  <c r="F985" i="13"/>
  <c r="F981" i="13"/>
  <c r="F300" i="13"/>
  <c r="F197" i="13"/>
  <c r="F198" i="13"/>
  <c r="F1115" i="13"/>
  <c r="F191" i="13"/>
  <c r="F210" i="13"/>
  <c r="F1378" i="13"/>
  <c r="F670" i="13"/>
  <c r="F614" i="13"/>
  <c r="F240" i="13"/>
  <c r="F1435" i="13"/>
  <c r="F781" i="13"/>
  <c r="F769" i="13"/>
  <c r="F157" i="13"/>
  <c r="F266" i="13"/>
  <c r="F477" i="13"/>
  <c r="F277" i="13"/>
  <c r="F1267" i="13"/>
  <c r="F619" i="13"/>
  <c r="F1128" i="13"/>
  <c r="F401" i="13"/>
  <c r="F1248" i="13"/>
  <c r="F618" i="13"/>
  <c r="F168" i="13"/>
  <c r="F102" i="13"/>
  <c r="F190" i="13"/>
  <c r="F298" i="13"/>
  <c r="F264" i="13"/>
  <c r="F1063" i="13"/>
  <c r="F1430" i="13"/>
  <c r="F372" i="13"/>
  <c r="F1311" i="13"/>
  <c r="F1057" i="13"/>
  <c r="F573" i="13"/>
  <c r="F1207" i="13"/>
  <c r="F932" i="13"/>
  <c r="F1473" i="13"/>
  <c r="F78" i="13"/>
  <c r="F1026" i="13"/>
  <c r="F1176" i="13"/>
  <c r="F1396" i="13"/>
  <c r="F151" i="13"/>
  <c r="F435" i="13"/>
  <c r="F128" i="13"/>
  <c r="F506" i="13"/>
  <c r="F642" i="13"/>
  <c r="F1452" i="13"/>
  <c r="F1490" i="13"/>
  <c r="F1299" i="13"/>
  <c r="F984" i="13"/>
  <c r="F287" i="13"/>
  <c r="F825" i="13"/>
  <c r="F456" i="13"/>
  <c r="F731" i="13"/>
  <c r="F393" i="13"/>
  <c r="F816" i="13"/>
  <c r="F644" i="13"/>
  <c r="F45" i="13"/>
  <c r="F48" i="13"/>
  <c r="F1451" i="13"/>
  <c r="F386" i="13"/>
  <c r="F1410" i="13"/>
  <c r="F1252" i="13"/>
  <c r="F804" i="13"/>
  <c r="F1184" i="13"/>
  <c r="F846" i="13"/>
  <c r="F998" i="13"/>
  <c r="F1337" i="13"/>
  <c r="F1487" i="13"/>
  <c r="F1232" i="13"/>
  <c r="F664" i="13"/>
  <c r="F560" i="13"/>
  <c r="F438" i="13"/>
  <c r="F1406" i="13"/>
  <c r="F999" i="13"/>
  <c r="F636" i="13"/>
  <c r="F631" i="13"/>
  <c r="F732" i="13"/>
  <c r="F788" i="13"/>
  <c r="F160" i="13"/>
  <c r="F1341" i="13"/>
  <c r="F237" i="13"/>
  <c r="F1343" i="13"/>
  <c r="F1333" i="13"/>
  <c r="F85" i="13"/>
  <c r="F223" i="13"/>
  <c r="F1375" i="13"/>
  <c r="F321" i="13"/>
  <c r="F391" i="13"/>
  <c r="F101" i="13"/>
  <c r="F1391" i="13"/>
  <c r="F975" i="13"/>
  <c r="F1368" i="13"/>
  <c r="F291" i="13"/>
  <c r="F1122" i="13"/>
  <c r="F1289" i="13"/>
  <c r="F460" i="13"/>
  <c r="F13" i="13"/>
  <c r="F81" i="13"/>
  <c r="F971" i="13"/>
  <c r="F852" i="13"/>
  <c r="F600" i="13"/>
  <c r="F1233" i="13"/>
  <c r="F989" i="13"/>
  <c r="F1448" i="13"/>
  <c r="F623" i="13"/>
  <c r="F1465" i="13"/>
  <c r="F737" i="13"/>
  <c r="F34" i="13"/>
  <c r="F227" i="13"/>
  <c r="F216" i="13"/>
  <c r="F637" i="13"/>
  <c r="F1039" i="13"/>
  <c r="F268" i="13"/>
  <c r="F604" i="13"/>
  <c r="F293" i="13"/>
  <c r="F746" i="13"/>
  <c r="F489" i="13"/>
  <c r="F123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tc={ADBDAC12-CB2A-449C-A444-D29A92522636}</author>
    <author>tc={8F0E87D0-9A11-49A7-8A22-454A4BB38C1A}</author>
    <author>tc={B59257E5-D171-436C-9AEB-ACB11C0FAFEF}</author>
    <author>tc={4CBC259F-CA8F-430E-9EF0-B2CC484286BF}</author>
    <author>tc={EB439913-3F92-4138-B015-48BEFA0624DF}</author>
  </authors>
  <commentList>
    <comment ref="A1" authorId="0" shapeId="0" xr:uid="{ADBDAC12-CB2A-449C-A444-D29A92522636}">
      <text>
        <t>[Threaded comment]
Your version of Excel allows you to read this threaded comment; however, any edits to it will get removed if the file is opened in a newer version of Excel. Learn more: https://go.microsoft.com/fwlink/?linkid=870924
Comment:
    Removed for 2024 log</t>
      </text>
    </comment>
    <comment ref="B1" authorId="1" shapeId="0" xr:uid="{8F0E87D0-9A11-49A7-8A22-454A4BB38C1A}">
      <text>
        <t>[Threaded comment]
Your version of Excel allows you to read this threaded comment; however, any edits to it will get removed if the file is opened in a newer version of Excel. Learn more: https://go.microsoft.com/fwlink/?linkid=870924
Comment:
    Removed for 2024 log</t>
      </text>
    </comment>
    <comment ref="E6" authorId="2"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'old - 120A until 12/18/20</t>
      </text>
    </comment>
    <comment ref="B11" authorId="3" shapeId="0" xr:uid="{4CBC259F-CA8F-430E-9EF0-B2CC484286BF}">
      <text>
        <t xml:space="preserve">[Threaded comment]
Your version of Excel allows you to read this threaded comment; however, any edits to it will get removed if the file is opened in a newer version of Excel. Learn more: https://go.microsoft.com/fwlink/?linkid=870924
Comment:
    Added 06.2025
</t>
      </text>
    </comment>
    <comment ref="E37" authorId="4" shapeId="0" xr:uid="{EB439913-3F92-4138-B015-48BEFA0624DF}">
      <text>
        <t>[Threaded comment]
Your version of Excel allows you to read this threaded comment; however, any edits to it will get removed if the file is opened in a newer version of Excel. Learn more: https://go.microsoft.com/fwlink/?linkid=870924
Comment:
    'formerly 197L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<sst xmlns="http://schemas.openxmlformats.org/spreadsheetml/2006/main" count="13362" uniqueCount="5135">
  <si>
    <t>Cushing, OK</t>
  </si>
  <si>
    <t>Location ID</t>
  </si>
  <si>
    <t>#</t>
  </si>
  <si>
    <t>Assessment #</t>
  </si>
  <si>
    <t>Start Date</t>
  </si>
  <si>
    <t>End Date</t>
  </si>
  <si>
    <t>Report Issued</t>
  </si>
  <si>
    <r>
      <t xml:space="preserve">Type of Assessment 
</t>
    </r>
    <r>
      <rPr>
        <i/>
        <sz val="11"/>
        <color theme="1"/>
        <rFont val="Calibri"/>
        <family val="2"/>
        <scheme val="minor"/>
      </rPr>
      <t>(drop-down)</t>
    </r>
  </si>
  <si>
    <r>
      <t xml:space="preserve">Scope of Assessment
</t>
    </r>
    <r>
      <rPr>
        <i/>
        <sz val="11"/>
        <color theme="1"/>
        <rFont val="Calibri"/>
        <family val="2"/>
        <scheme val="minor"/>
      </rPr>
      <t>(drop-down)</t>
    </r>
  </si>
  <si>
    <t>QA In Charge 
(Get a copy of assessment report or summary)</t>
  </si>
  <si>
    <t>Assessor(s) / Auditor(s) name(s)</t>
  </si>
  <si>
    <t>Assessor's company</t>
  </si>
  <si>
    <r>
      <t xml:space="preserve">Agency Type 
(Regulatory / certification / accreditation agency)
</t>
    </r>
    <r>
      <rPr>
        <i/>
        <sz val="11"/>
        <rFont val="Calibri"/>
        <family val="2"/>
        <scheme val="minor"/>
      </rPr>
      <t>(drop-down)</t>
    </r>
  </si>
  <si>
    <t>Brief description of assessment scope</t>
  </si>
  <si>
    <t>San Francisco (Concord), CA</t>
  </si>
  <si>
    <t>001</t>
  </si>
  <si>
    <t xml:space="preserve">Internal  </t>
  </si>
  <si>
    <t>Inspection &amp; Laboratory</t>
  </si>
  <si>
    <t>ECu</t>
  </si>
  <si>
    <t>ECu / KA</t>
  </si>
  <si>
    <t>AmSpec</t>
  </si>
  <si>
    <t>Annual internal quality systems assessment (ISO 9001)</t>
  </si>
  <si>
    <t>002</t>
  </si>
  <si>
    <t>Annual internal quality systems assessment (ISO 17025)</t>
  </si>
  <si>
    <t>Annual internal quality systems assessment  (ISO 17025)</t>
  </si>
  <si>
    <t>Brownsville, TX</t>
  </si>
  <si>
    <t>003</t>
  </si>
  <si>
    <t>AH</t>
  </si>
  <si>
    <t>AH / HB</t>
  </si>
  <si>
    <t>Annual internal quality systems assessment  (BQ-9000)</t>
  </si>
  <si>
    <t>004</t>
  </si>
  <si>
    <t>Laboratory</t>
  </si>
  <si>
    <t>A2LA renewal assessment (ISO 17025)</t>
  </si>
  <si>
    <t>Mont Belvieu, TX</t>
  </si>
  <si>
    <t>005</t>
  </si>
  <si>
    <t>MT</t>
  </si>
  <si>
    <t>BQ9000 Renewal Accreditation</t>
  </si>
  <si>
    <t>St Croix, USVI</t>
  </si>
  <si>
    <t>006</t>
  </si>
  <si>
    <t>Certifications</t>
  </si>
  <si>
    <t>M. Cahill</t>
  </si>
  <si>
    <t>A2LA</t>
  </si>
  <si>
    <t>A2LA Initial Assessment</t>
  </si>
  <si>
    <t>USCBP Triennial audit</t>
  </si>
  <si>
    <t>Yorktown (Norfolk), VA</t>
  </si>
  <si>
    <t>007</t>
  </si>
  <si>
    <t>Corpus Christi, TX</t>
  </si>
  <si>
    <t>008</t>
  </si>
  <si>
    <t>KA</t>
  </si>
  <si>
    <t>KA / ECu</t>
  </si>
  <si>
    <t>009</t>
  </si>
  <si>
    <t>St Louis, MO</t>
  </si>
  <si>
    <t>010</t>
  </si>
  <si>
    <t>Annual internal quality systems assessment 
(ISO 9001)</t>
  </si>
  <si>
    <t>HOFTI / Channelview, TX</t>
  </si>
  <si>
    <t>011</t>
  </si>
  <si>
    <t xml:space="preserve">AH </t>
  </si>
  <si>
    <t>AH / ECu</t>
  </si>
  <si>
    <t>Mobile, AL</t>
  </si>
  <si>
    <t>012</t>
  </si>
  <si>
    <t>L. DeWitt</t>
  </si>
  <si>
    <t>A2LA renewal assessment</t>
  </si>
  <si>
    <t>Pittsburgh, PA</t>
  </si>
  <si>
    <t>013</t>
  </si>
  <si>
    <t>Albany, NY</t>
  </si>
  <si>
    <t>014</t>
  </si>
  <si>
    <t>Inspection</t>
  </si>
  <si>
    <t>Cincinnati (Erlanger), OH</t>
  </si>
  <si>
    <t>015</t>
  </si>
  <si>
    <t>Boston (Everett), MA</t>
  </si>
  <si>
    <t>016</t>
  </si>
  <si>
    <t>Cape Canaveral, FL</t>
  </si>
  <si>
    <t>017</t>
  </si>
  <si>
    <t>Portland, ME</t>
  </si>
  <si>
    <t>018</t>
  </si>
  <si>
    <t>Annual internal quality systems assessment
(ISO 9001)</t>
  </si>
  <si>
    <t>Freeport, TX</t>
  </si>
  <si>
    <t>019</t>
  </si>
  <si>
    <t>ECu / AH</t>
  </si>
  <si>
    <t>Port Arthur (Beaumont), TX</t>
  </si>
  <si>
    <t>020</t>
  </si>
  <si>
    <t>Customer</t>
  </si>
  <si>
    <t>HB</t>
  </si>
  <si>
    <t>Maria Fernandez</t>
  </si>
  <si>
    <t>Citgo</t>
  </si>
  <si>
    <t>Audit on Octanes D2699 and D2700 only</t>
  </si>
  <si>
    <t>Texas City, TX</t>
  </si>
  <si>
    <t>021</t>
  </si>
  <si>
    <t>Ecu / KA</t>
  </si>
  <si>
    <t>022</t>
  </si>
  <si>
    <t>Ecu /KA</t>
  </si>
  <si>
    <t>Baton Rouge (Gonzales), LA</t>
  </si>
  <si>
    <t>023</t>
  </si>
  <si>
    <t>024</t>
  </si>
  <si>
    <t xml:space="preserve">Houston (HTC), TX </t>
  </si>
  <si>
    <t>025</t>
  </si>
  <si>
    <t>Robert Japikse</t>
  </si>
  <si>
    <t>Clean Fuels</t>
  </si>
  <si>
    <t>12 month BQ9000 surveillance (C116 + C117-120-25)</t>
  </si>
  <si>
    <t>Halifax (Dartmouth), NS</t>
  </si>
  <si>
    <t>026</t>
  </si>
  <si>
    <t>GF</t>
  </si>
  <si>
    <t>Kerry Costain</t>
  </si>
  <si>
    <t>Irving Oil</t>
  </si>
  <si>
    <t>Annual laboratory audit</t>
  </si>
  <si>
    <t>Bahamas (Freeport), GBI</t>
  </si>
  <si>
    <t>027</t>
  </si>
  <si>
    <t>New Orleans (Destrehan), LA</t>
  </si>
  <si>
    <t>028</t>
  </si>
  <si>
    <t>DA</t>
  </si>
  <si>
    <t>Yossias Yohannes</t>
  </si>
  <si>
    <t>Chevron</t>
  </si>
  <si>
    <t>Lab/Ops/Safety Audit</t>
  </si>
  <si>
    <t>029</t>
  </si>
  <si>
    <t>030</t>
  </si>
  <si>
    <t>Monty Fox</t>
  </si>
  <si>
    <t>12 month BQ9000 surveillance audit</t>
  </si>
  <si>
    <t>Ft Lauderdale (Davie), FL</t>
  </si>
  <si>
    <t>031</t>
  </si>
  <si>
    <t>032</t>
  </si>
  <si>
    <t>033</t>
  </si>
  <si>
    <t>034</t>
  </si>
  <si>
    <t>Annual internal quality systems assessment (BQ 9000)</t>
  </si>
  <si>
    <t>Puerto Rico</t>
  </si>
  <si>
    <t>035</t>
  </si>
  <si>
    <t>MT / AH</t>
  </si>
  <si>
    <t>036</t>
  </si>
  <si>
    <t>Regulatory</t>
  </si>
  <si>
    <t>Andrea McMullin</t>
  </si>
  <si>
    <t>Contractor for Irving Oil</t>
  </si>
  <si>
    <t>Annual compliance for gasoline audit</t>
  </si>
  <si>
    <t>New Haven, CT</t>
  </si>
  <si>
    <t>037</t>
  </si>
  <si>
    <t>Levis (Quebec City), Quebec</t>
  </si>
  <si>
    <t>038</t>
  </si>
  <si>
    <t>Ecu</t>
  </si>
  <si>
    <t>Annual internal quality systems assessment
 (ISO 9001)</t>
  </si>
  <si>
    <t>039</t>
  </si>
  <si>
    <t>Annual internal quality systems assessment
(ISO 17025)</t>
  </si>
  <si>
    <t>AGRI (HTC)</t>
  </si>
  <si>
    <t>040</t>
  </si>
  <si>
    <t xml:space="preserve">Lake Charles (Sulfur), LA  </t>
  </si>
  <si>
    <t>041</t>
  </si>
  <si>
    <t>042</t>
  </si>
  <si>
    <t>043</t>
  </si>
  <si>
    <t>Yatish Patel</t>
  </si>
  <si>
    <t>DNV</t>
  </si>
  <si>
    <t>ISO 9001 2025 certification audit</t>
  </si>
  <si>
    <t>044</t>
  </si>
  <si>
    <t>045</t>
  </si>
  <si>
    <t>046</t>
  </si>
  <si>
    <t>Collins (Purvis), MS</t>
  </si>
  <si>
    <t>047</t>
  </si>
  <si>
    <t>Avenel (NYH), NJ</t>
  </si>
  <si>
    <t>048</t>
  </si>
  <si>
    <t>049</t>
  </si>
  <si>
    <t>Los Angeles (Signal Hill), CA</t>
  </si>
  <si>
    <t>050</t>
  </si>
  <si>
    <t>Ecu / VV</t>
  </si>
  <si>
    <t>051</t>
  </si>
  <si>
    <t>Annual internal quality systems assessment
 (BQ 9000)</t>
  </si>
  <si>
    <t>052</t>
  </si>
  <si>
    <t>Annual internal quality systems assessment
 (ISO 17025)</t>
  </si>
  <si>
    <t>053</t>
  </si>
  <si>
    <t>AH/KA/HB</t>
  </si>
  <si>
    <t>054</t>
  </si>
  <si>
    <t>055</t>
  </si>
  <si>
    <t>HM</t>
  </si>
  <si>
    <t>D. Gibson, A. Markins, C. List, E.B., J. Y., E. W.</t>
  </si>
  <si>
    <t>Marathon</t>
  </si>
  <si>
    <t>Thourough review of procedures, documentation and practices.</t>
  </si>
  <si>
    <t>056</t>
  </si>
  <si>
    <t>Port Arthur (Sabine Blending Lab), TX</t>
  </si>
  <si>
    <t>057</t>
  </si>
  <si>
    <t>MT/HB</t>
  </si>
  <si>
    <t>Pecos (West Texas), TX</t>
  </si>
  <si>
    <t>058</t>
  </si>
  <si>
    <t>Tampa, FL</t>
  </si>
  <si>
    <t>059</t>
  </si>
  <si>
    <t>Hamilton (Burlington), ON</t>
  </si>
  <si>
    <t>060</t>
  </si>
  <si>
    <t>Accredited agency</t>
  </si>
  <si>
    <t>A2LA surveillance assessment</t>
  </si>
  <si>
    <t>061</t>
  </si>
  <si>
    <t>C. RIBERAS</t>
  </si>
  <si>
    <t>USCBP</t>
  </si>
  <si>
    <t>Chicago, IL</t>
  </si>
  <si>
    <t>062</t>
  </si>
  <si>
    <t>063</t>
  </si>
  <si>
    <t>JP</t>
  </si>
  <si>
    <t>Arlene M. Badillo</t>
  </si>
  <si>
    <t>USCBP Reaccreditation</t>
  </si>
  <si>
    <t>064</t>
  </si>
  <si>
    <t>Brandon J. Gray</t>
  </si>
  <si>
    <t>CHESM</t>
  </si>
  <si>
    <t>WIP audit</t>
  </si>
  <si>
    <t>065</t>
  </si>
  <si>
    <t>AH / ECu / KA / VV</t>
  </si>
  <si>
    <t>066</t>
  </si>
  <si>
    <t>067</t>
  </si>
  <si>
    <t>068</t>
  </si>
  <si>
    <t>VV</t>
  </si>
  <si>
    <t>VV / MT</t>
  </si>
  <si>
    <t>Providence, RI</t>
  </si>
  <si>
    <t>069</t>
  </si>
  <si>
    <t>070</t>
  </si>
  <si>
    <t>S. Lerman</t>
  </si>
  <si>
    <t>071</t>
  </si>
  <si>
    <t>Tacoma, WA</t>
  </si>
  <si>
    <t>072</t>
  </si>
  <si>
    <t>KA / VV</t>
  </si>
  <si>
    <t>Bellingham (Ferndale), WA</t>
  </si>
  <si>
    <t>073</t>
  </si>
  <si>
    <t>074</t>
  </si>
  <si>
    <t>075</t>
  </si>
  <si>
    <t>076</t>
  </si>
  <si>
    <t>M. Fernandez, D. Grzywacz</t>
  </si>
  <si>
    <t>Unannounced on site lab assessment</t>
  </si>
  <si>
    <t>Seabrook (Chemicals), TX</t>
  </si>
  <si>
    <t>077</t>
  </si>
  <si>
    <t>Montreal, QC</t>
  </si>
  <si>
    <t>078</t>
  </si>
  <si>
    <t>AH/VV</t>
  </si>
  <si>
    <t>079</t>
  </si>
  <si>
    <t>080</t>
  </si>
  <si>
    <t>Annual internal quality systems assessment
(ISO 9001) - remote</t>
  </si>
  <si>
    <t>081</t>
  </si>
  <si>
    <t>082</t>
  </si>
  <si>
    <t>C. Riberas</t>
  </si>
  <si>
    <t>USCBP triennial recertification</t>
  </si>
  <si>
    <t>083</t>
  </si>
  <si>
    <t>Alex Markins
Casey Boquet</t>
  </si>
  <si>
    <t>Motiva</t>
  </si>
  <si>
    <t>084</t>
  </si>
  <si>
    <t>Mya Hardee, Wajid Zahidi</t>
  </si>
  <si>
    <t>TCEQ</t>
  </si>
  <si>
    <t>Compliance to applicable requirements for industrial solid waste</t>
  </si>
  <si>
    <t>St James, LA</t>
  </si>
  <si>
    <t>085</t>
  </si>
  <si>
    <t>BP</t>
  </si>
  <si>
    <t>086</t>
  </si>
  <si>
    <t>Prepas</t>
  </si>
  <si>
    <t>087</t>
  </si>
  <si>
    <t>Ranji Kuruvilla</t>
  </si>
  <si>
    <t>Buckeye</t>
  </si>
  <si>
    <t>088</t>
  </si>
  <si>
    <t>Newfoundland (Arnold's Cove)</t>
  </si>
  <si>
    <t>089</t>
  </si>
  <si>
    <t>Amspec</t>
  </si>
  <si>
    <t>St John, NB</t>
  </si>
  <si>
    <t>090</t>
  </si>
  <si>
    <t>091</t>
  </si>
  <si>
    <t>Eco</t>
  </si>
  <si>
    <t>Casey B, Alex M, Andy R</t>
  </si>
  <si>
    <t>Kenai, AK</t>
  </si>
  <si>
    <t>092</t>
  </si>
  <si>
    <t>CS</t>
  </si>
  <si>
    <t>Savannah, GA / Charleston, SC</t>
  </si>
  <si>
    <t>093</t>
  </si>
  <si>
    <t>094</t>
  </si>
  <si>
    <t>Jacob Mizelle</t>
  </si>
  <si>
    <t>095</t>
  </si>
  <si>
    <t>Follow up assessment to evaluate progress since Jan 2025 internal assessment</t>
  </si>
  <si>
    <t>096</t>
  </si>
  <si>
    <t>Scott Anthony</t>
  </si>
  <si>
    <t>Shell</t>
  </si>
  <si>
    <t>097</t>
  </si>
  <si>
    <t>Follow-Up to A063-210-25</t>
  </si>
  <si>
    <t>Bostco, TX</t>
  </si>
  <si>
    <t>098</t>
  </si>
  <si>
    <t>EC</t>
  </si>
  <si>
    <t>099</t>
  </si>
  <si>
    <t>Camille Bonjean</t>
  </si>
  <si>
    <t>100</t>
  </si>
  <si>
    <t>101</t>
  </si>
  <si>
    <t>102</t>
  </si>
  <si>
    <t>A. Howarth</t>
  </si>
  <si>
    <t>Valero</t>
  </si>
  <si>
    <t>HST Weights &amp; Measures</t>
  </si>
  <si>
    <t>103</t>
  </si>
  <si>
    <t>ISO 17025 Gap Assessment</t>
  </si>
  <si>
    <t>Valdez, AK</t>
  </si>
  <si>
    <t>104</t>
  </si>
  <si>
    <t>105</t>
  </si>
  <si>
    <t>Chad List</t>
  </si>
  <si>
    <t>106</t>
  </si>
  <si>
    <t>Andrew O’Toole
Rob Lavigne
John Clark</t>
  </si>
  <si>
    <t xml:space="preserve">Mickleton (Philly), NJ </t>
  </si>
  <si>
    <t>107</t>
  </si>
  <si>
    <t>KA / AH</t>
  </si>
  <si>
    <t>108</t>
  </si>
  <si>
    <t>109</t>
  </si>
  <si>
    <t>Rob Lavigne and Andrew O'Toole</t>
  </si>
  <si>
    <t>Annual audit of operations</t>
  </si>
  <si>
    <t>110</t>
  </si>
  <si>
    <t>R Lavigne &amp; A O'Toole</t>
  </si>
  <si>
    <t>Annual audit of opertions</t>
  </si>
  <si>
    <t>111</t>
  </si>
  <si>
    <t>R Lavigne and A O'Toole</t>
  </si>
  <si>
    <t>112</t>
  </si>
  <si>
    <t>113</t>
  </si>
  <si>
    <t>114</t>
  </si>
  <si>
    <t>MT/JP</t>
  </si>
  <si>
    <t>115</t>
  </si>
  <si>
    <t>116</t>
  </si>
  <si>
    <t>117</t>
  </si>
  <si>
    <t>118</t>
  </si>
  <si>
    <t>119</t>
  </si>
  <si>
    <t>Chevron Phillips</t>
  </si>
  <si>
    <t>120</t>
  </si>
  <si>
    <t>Decatur, AL</t>
  </si>
  <si>
    <t>121</t>
  </si>
  <si>
    <t>122</t>
  </si>
  <si>
    <t>R Lavigne, J Clark, &amp; A O'Toole</t>
  </si>
  <si>
    <t>123</t>
  </si>
  <si>
    <t>AH/ECu</t>
  </si>
  <si>
    <t>124</t>
  </si>
  <si>
    <t>Annual internal quality systems assessment
(BQ-9000)</t>
  </si>
  <si>
    <t>125</t>
  </si>
  <si>
    <t>S. Anthony, C. Hoaglin</t>
  </si>
  <si>
    <t>126</t>
  </si>
  <si>
    <t>127</t>
  </si>
  <si>
    <t>128</t>
  </si>
  <si>
    <t>K. Sutton and H. Mcconnell</t>
  </si>
  <si>
    <t>129</t>
  </si>
  <si>
    <t>Ingleside, TX</t>
  </si>
  <si>
    <t>130</t>
  </si>
  <si>
    <t>131</t>
  </si>
  <si>
    <t>AH / HM</t>
  </si>
  <si>
    <t>NBAC/BQ</t>
  </si>
  <si>
    <t>A&amp;B Labs - Nederland, TX</t>
  </si>
  <si>
    <t>132</t>
  </si>
  <si>
    <t>AH / KA</t>
  </si>
  <si>
    <t>Initial assessment of Lab facility &amp; operations</t>
  </si>
  <si>
    <t>A&amp;B Labs - Baton Rouge, LA</t>
  </si>
  <si>
    <t>133</t>
  </si>
  <si>
    <t>A&amp;B Labs - Houston, TX</t>
  </si>
  <si>
    <t>134</t>
  </si>
  <si>
    <t>Memphis, TN</t>
  </si>
  <si>
    <t>135</t>
  </si>
  <si>
    <t>136</t>
  </si>
  <si>
    <t>Minot, ND</t>
  </si>
  <si>
    <t>137</t>
  </si>
  <si>
    <t xml:space="preserve">MT </t>
  </si>
  <si>
    <t>138</t>
  </si>
  <si>
    <t>Steben Frato</t>
  </si>
  <si>
    <t>Bureau of X-Ray Compliance, NJ</t>
  </si>
  <si>
    <t>State X-Ray Compliance</t>
  </si>
  <si>
    <t>139</t>
  </si>
  <si>
    <t>140</t>
  </si>
  <si>
    <t>ISO 9001 scope extension</t>
  </si>
  <si>
    <t>Baltimore (Glen Burnie), MD</t>
  </si>
  <si>
    <t>141</t>
  </si>
  <si>
    <t>142</t>
  </si>
  <si>
    <t>143</t>
  </si>
  <si>
    <t>144</t>
  </si>
  <si>
    <t>Shawn Sullivan, Daniel Carter, Yieng Wong, Joseph Laryea</t>
  </si>
  <si>
    <t xml:space="preserve">Test witnessing, review of instrument/training </t>
  </si>
  <si>
    <t>145</t>
  </si>
  <si>
    <t>UNG, Thay A</t>
  </si>
  <si>
    <t>Audit initially scheduled 11/6 but got postponed until 11/20/2024</t>
  </si>
  <si>
    <t>Belle Chasse, LA</t>
  </si>
  <si>
    <t>146</t>
  </si>
  <si>
    <t>147</t>
  </si>
  <si>
    <t>A&amp;B Labs - Tempe, AZ</t>
  </si>
  <si>
    <t>148</t>
  </si>
  <si>
    <t>149</t>
  </si>
  <si>
    <t>150</t>
  </si>
  <si>
    <t>151</t>
  </si>
  <si>
    <t>152</t>
  </si>
  <si>
    <t>153</t>
  </si>
  <si>
    <t>Jason Hobbs</t>
  </si>
  <si>
    <t>Glencore</t>
  </si>
  <si>
    <t>154</t>
  </si>
  <si>
    <t>155</t>
  </si>
  <si>
    <t>AH/HM</t>
  </si>
  <si>
    <t>Linda DeWitt</t>
  </si>
  <si>
    <t>Certification</t>
  </si>
  <si>
    <t>156</t>
  </si>
  <si>
    <t>157</t>
  </si>
  <si>
    <t>158</t>
  </si>
  <si>
    <t>Marcus Hook, PA</t>
  </si>
  <si>
    <t>159</t>
  </si>
  <si>
    <t>160</t>
  </si>
  <si>
    <t>Pat Delong
Gary Delong</t>
  </si>
  <si>
    <t>BQ 9000 surveillance</t>
  </si>
  <si>
    <t>161</t>
  </si>
  <si>
    <t>ECu/JP</t>
  </si>
  <si>
    <t>Michael Cahill</t>
  </si>
  <si>
    <t>Baytown, TX</t>
  </si>
  <si>
    <t>162</t>
  </si>
  <si>
    <t>Ecu / JP</t>
  </si>
  <si>
    <t>163</t>
  </si>
  <si>
    <t>164</t>
  </si>
  <si>
    <t>AH/KA</t>
  </si>
  <si>
    <t>165</t>
  </si>
  <si>
    <t>Mariah Bowie</t>
  </si>
  <si>
    <t>AASHTO</t>
  </si>
  <si>
    <t>166</t>
  </si>
  <si>
    <t>Raymond Garcia</t>
  </si>
  <si>
    <t>Energy Transfer</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</si>
  <si>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</si>
  <si>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</si>
  <si>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</si>
  <si>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</si>
  <si>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</si>
  <si>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</si>
  <si>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</si>
  <si>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</si>
  <si>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</si>
  <si>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</si>
  <si>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</si>
  <si>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</si>
  <si>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</si>
  <si>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</si>
  <si>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</si>
  <si>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</si>
  <si>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</si>
  <si>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</si>
  <si>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</si>
  <si>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</si>
  <si>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</si>
  <si>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</si>
  <si>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</si>
  <si>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</si>
  <si>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</si>
  <si>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</si>
  <si>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</si>
  <si>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</si>
  <si>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</si>
  <si>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</si>
  <si>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</si>
  <si>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</si>
  <si>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</si>
  <si>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</si>
  <si>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Location 
(drop-down)</t>
  </si>
  <si>
    <t>CAR #</t>
  </si>
  <si>
    <t>CAR Type</t>
  </si>
  <si>
    <t>ASSOCIATED ORGANIZATION
(required for Complaints, Customer audits/alerts, 
3rd party audits)</t>
  </si>
  <si>
    <r>
      <t xml:space="preserve">BRIEF DESCRIPTION OF NC
</t>
    </r>
    <r>
      <rPr>
        <i/>
        <sz val="11"/>
        <color theme="1"/>
        <rFont val="Calibri"/>
        <family val="2"/>
        <scheme val="minor"/>
      </rPr>
      <t>if VOID:  "VOID, Location, type, 
details (initials, date)"</t>
    </r>
  </si>
  <si>
    <r>
      <t xml:space="preserve">Area 
(Lab, Ops, Misc.)
</t>
    </r>
    <r>
      <rPr>
        <i/>
        <sz val="11"/>
        <color theme="1"/>
        <rFont val="Calibri"/>
        <family val="2"/>
        <scheme val="minor"/>
      </rPr>
      <t>(drop-down)</t>
    </r>
  </si>
  <si>
    <t>QA team member initials</t>
  </si>
  <si>
    <t>CAR initialized date</t>
  </si>
  <si>
    <t>Action Plan submitted by due date? (Yes/No)</t>
  </si>
  <si>
    <t>Corrective Action Completion Date</t>
  </si>
  <si>
    <t>Complete corrective actions (Approved Date)</t>
  </si>
  <si>
    <t>Agreed Actions completed by due date?  (Yes/No)</t>
  </si>
  <si>
    <t>Effectiveness Review (Closed Date)</t>
  </si>
  <si>
    <t>Effective? (Yes/No)</t>
  </si>
  <si>
    <t>Notes</t>
  </si>
  <si>
    <t>Cause
(for Assessments only)</t>
  </si>
  <si>
    <t>Days open if not closed</t>
  </si>
  <si>
    <t>Complaint</t>
  </si>
  <si>
    <t>ATA</t>
  </si>
  <si>
    <t>Transcription error on D1160</t>
  </si>
  <si>
    <t>Lab</t>
  </si>
  <si>
    <t>PBF</t>
  </si>
  <si>
    <t>The client was not informed of the vessel's short loading due to draft restrictions</t>
  </si>
  <si>
    <t>Operations</t>
  </si>
  <si>
    <t xml:space="preserve">The CAR form was closed on 1/14/25 and revised based on the client's recommendation, then closed again on 1/21/25 </t>
  </si>
  <si>
    <t>Other (QC, customer alert, improper procedure)</t>
  </si>
  <si>
    <t>CQI reporting</t>
  </si>
  <si>
    <t>CQI Reporting</t>
  </si>
  <si>
    <t>Irving</t>
  </si>
  <si>
    <t>Failing to send email to correct distribution</t>
  </si>
  <si>
    <t>Customer audit   </t>
  </si>
  <si>
    <t>D6299: Chilling of the Toluene Standard Fuel</t>
  </si>
  <si>
    <t>People (miscommunication, complacency, competency)</t>
  </si>
  <si>
    <t>D445: Incorrect Determinability</t>
  </si>
  <si>
    <t>D3948: QA chart  failing TPI.</t>
  </si>
  <si>
    <t>D445: Inconsistent Bath Temperature</t>
  </si>
  <si>
    <t>Equipment (malfunction, maintenance, calibration/verification, incorrect setting)</t>
  </si>
  <si>
    <t>Internal assessment (9001 &amp; 17025)</t>
  </si>
  <si>
    <t>Technical Record</t>
  </si>
  <si>
    <t>TMA</t>
  </si>
  <si>
    <t>SQC</t>
  </si>
  <si>
    <t>CORPORATE, NJ</t>
  </si>
  <si>
    <t>Methanex</t>
  </si>
  <si>
    <t>Delay in investigating PT outlier</t>
  </si>
  <si>
    <t>Cal certs for field inspection equipment not reviewed</t>
  </si>
  <si>
    <t>ISO 17025 Clause 7.2.1 Test witnessing</t>
  </si>
  <si>
    <t>ISO 17025 Clause 7.5 Technical records</t>
  </si>
  <si>
    <t>ISO 17025 Clause 7.8 Reporting results</t>
  </si>
  <si>
    <t>ISO 17025 Clause 8.2, 8.3 Document control</t>
  </si>
  <si>
    <t>Management (Lack of accountability, inadequate risk assessment)</t>
  </si>
  <si>
    <t>ISO 17025 Clause 6.4 Solutions prep records</t>
  </si>
  <si>
    <t>ISO 17025 Clause 6.2 Training records</t>
  </si>
  <si>
    <t>CAR and PTO are not closed in timely manner</t>
  </si>
  <si>
    <t xml:space="preserve">The API used for volumetric calculations in the final report was incorrect </t>
  </si>
  <si>
    <t>Customer Recheck Request for D2624 Result on Job #132-24-01470 (Sample-072) Due to Discrepancy in Conductivity Test</t>
  </si>
  <si>
    <t>Irving - using additives not registered with EPA</t>
  </si>
  <si>
    <t>Technical Bulletin Review</t>
  </si>
  <si>
    <t>Inspector Training Records</t>
  </si>
  <si>
    <t>Job File Review</t>
  </si>
  <si>
    <t>Lab &amp; Ops</t>
  </si>
  <si>
    <t>Incomplete / missing MOCs</t>
  </si>
  <si>
    <t>Chemical inventory</t>
  </si>
  <si>
    <t>ISO 17025 Clause 6.2.5 Training records</t>
  </si>
  <si>
    <t>ISO 17025 Clause 6.4 Equipment Records</t>
  </si>
  <si>
    <t>ISO 17025 Clause 6.4.9 and 7.10  Deviation</t>
  </si>
  <si>
    <t>ISO 17025 Clause 6.5.1 Metrological Traceability</t>
  </si>
  <si>
    <t>ISO 17025 Clause 6.6.2c Ext. Products</t>
  </si>
  <si>
    <t>ISO 17025 Clause 7.1 Contract Review</t>
  </si>
  <si>
    <t>Yes</t>
  </si>
  <si>
    <t>CAR completed - pending effectiveness review 07.25</t>
  </si>
  <si>
    <t>ISO 17025 Clause 7.7.1 Validity of Results</t>
  </si>
  <si>
    <t>No</t>
  </si>
  <si>
    <t>repeating issue, see C351</t>
  </si>
  <si>
    <t>ISO 17025 Clause 8.3 Document control</t>
  </si>
  <si>
    <t xml:space="preserve"> Inspector compiling/providing an incorrect VEF</t>
  </si>
  <si>
    <t>repeating issue, see C315</t>
  </si>
  <si>
    <t>Purchase Order</t>
  </si>
  <si>
    <t>Inspection Raw Data</t>
  </si>
  <si>
    <t>Inspection Equipment</t>
  </si>
  <si>
    <t>Lab Equipment</t>
  </si>
  <si>
    <t>Test Witnessing</t>
  </si>
  <si>
    <t>File Review</t>
  </si>
  <si>
    <t>Inspection Equipment / Records</t>
  </si>
  <si>
    <t>Training Records</t>
  </si>
  <si>
    <t>3rd party audit (DNV, A2LA, AASHTO…)</t>
  </si>
  <si>
    <t>A2LA: ISO 17025 Clause 7.2.1.1</t>
  </si>
  <si>
    <t>A2LA: ISO 17025 Clause 6.4.5</t>
  </si>
  <si>
    <t>A2LA: ISO 17025 Clause 6.4.1</t>
  </si>
  <si>
    <t>A2LA: ISO 17025 Clause 7.8.3.1 / 7.8.3.1.e</t>
  </si>
  <si>
    <t>IA: No record of FL 103 weekly waste checklist being completed</t>
  </si>
  <si>
    <t>IA: File review</t>
  </si>
  <si>
    <t>ISO 9001: Lab equipment status</t>
  </si>
  <si>
    <t>ISO 9001: Master thermometer not within expiry dates during last verification period</t>
  </si>
  <si>
    <t>ISO 9001: Lab training records</t>
  </si>
  <si>
    <t>ISO 9001: Test witnessing</t>
  </si>
  <si>
    <t>Methods (Inadequate / Deviation from Procedures)</t>
  </si>
  <si>
    <t>ISO 9001: Solutions prep + records</t>
  </si>
  <si>
    <t>ISO 9001: No maintenance records for D6463 pH probe</t>
  </si>
  <si>
    <t>ISO 9001: Job file review</t>
  </si>
  <si>
    <t>IA: Daily probe check records</t>
  </si>
  <si>
    <t>IA: Chemical/Reference stds inventory lists</t>
  </si>
  <si>
    <t>IA: Clause 5.7.a</t>
  </si>
  <si>
    <t>IA: Clause 6.2.3</t>
  </si>
  <si>
    <t>IA: Clause 6.2.5</t>
  </si>
  <si>
    <t>IA: Clause 6.4.9, 6.4.10, 6.4.13.a</t>
  </si>
  <si>
    <t>IA: Clause 6.5.2.a, b</t>
  </si>
  <si>
    <t>IA: Clause 7.1.5</t>
  </si>
  <si>
    <t>IA: Clause 7.5</t>
  </si>
  <si>
    <t>IA: Clause 7.7.1</t>
  </si>
  <si>
    <t>IA: Clause 7.8, 7.8.3.1.e</t>
  </si>
  <si>
    <t>IA: Clause 8.3</t>
  </si>
  <si>
    <t>IA: Clause 8.7.1.a</t>
  </si>
  <si>
    <t>INSCAL forms not being used according to QSM requirements</t>
  </si>
  <si>
    <t>Assigned to James Armstrong per email from MT on 02.19.25</t>
  </si>
  <si>
    <t>IA: Incomplete / missing MOCs</t>
  </si>
  <si>
    <t>IA: QCs</t>
  </si>
  <si>
    <t>IA: Lab training records</t>
  </si>
  <si>
    <t>IA: Certificates not being signed / dated for review</t>
  </si>
  <si>
    <t>Repeating NC from 2024 (C090-157-24)</t>
  </si>
  <si>
    <t>IA: Lab equipment</t>
  </si>
  <si>
    <t>Citgo - Equipment/Probe Checks and In-Transit Difference Comparisons.</t>
  </si>
  <si>
    <t xml:space="preserve">Inspectors sampler tape and tube fell into vessels tank. </t>
  </si>
  <si>
    <t>Verified corrective actions effective with no recurrences .</t>
  </si>
  <si>
    <t>ISO 9001: Inspector field equipment records</t>
  </si>
  <si>
    <t>ISO 9001: Inspector training records</t>
  </si>
  <si>
    <t>ISO 9001: Calibration certs not reviewed by lab staff</t>
  </si>
  <si>
    <t>ISO 9001: Quality control + charts</t>
  </si>
  <si>
    <t>ISO 9001: Lab equipment</t>
  </si>
  <si>
    <t>ISO 9001: Technical / Quality Bulletins</t>
  </si>
  <si>
    <t>ISO 9001: MOC / Equipment management</t>
  </si>
  <si>
    <t>ISO 9001: Document control</t>
  </si>
  <si>
    <t>D613 - Lab did not follow nonconformance policy when rechecking results.</t>
  </si>
  <si>
    <t>CQI - Failed to meet TMA two consecutive years &amp; PT asphalt not reported</t>
  </si>
  <si>
    <t>Inspector TRB</t>
  </si>
  <si>
    <t>Inspection raw data</t>
  </si>
  <si>
    <t>lab raw data</t>
  </si>
  <si>
    <t>Training Records for Lab staff</t>
  </si>
  <si>
    <t>KA / LJ</t>
  </si>
  <si>
    <t>Insufficient training records found during pre-audit assessment by LJ</t>
  </si>
  <si>
    <t>Citgo findings for D2699 and D2700</t>
  </si>
  <si>
    <t>IA: D445 bath temp record on LW</t>
  </si>
  <si>
    <t>IA: Inspector draft marks and safety quizzes</t>
  </si>
  <si>
    <t>IA: H2S cylinder expired</t>
  </si>
  <si>
    <t>IA: Flash unit FL 15.3 - no record of thermometer</t>
  </si>
  <si>
    <t>IA: D5453 training records</t>
  </si>
  <si>
    <t>IA: No record of review of locally controlled docs</t>
  </si>
  <si>
    <t>IA: D5501 RTs changed without verification</t>
  </si>
  <si>
    <t>IA: QCs - D5501 chart OOC, delays in data entry</t>
  </si>
  <si>
    <t>BQ 9000</t>
  </si>
  <si>
    <t>BQ 9000: Data and Record Management</t>
  </si>
  <si>
    <t>Audit No: A025-120-25</t>
  </si>
  <si>
    <t>BQ 9000: Outsourcing of Tests</t>
  </si>
  <si>
    <t xml:space="preserve">D5191- Equipment log for in/out of service was not filled in for most recent unit taken out of service. </t>
  </si>
  <si>
    <t>Audit No. A026-198-25</t>
  </si>
  <si>
    <t xml:space="preserve">Thermometer verification - document had improper value for calibrated thermometer temperature on  one of the rows. </t>
  </si>
  <si>
    <t>NOLA SimDist bias result for heavy crude oil.</t>
  </si>
  <si>
    <t>CAF007-170-25</t>
  </si>
  <si>
    <t>Inspection equipment and TRB</t>
  </si>
  <si>
    <t>Job files</t>
  </si>
  <si>
    <t>Ops not review TB/QB</t>
  </si>
  <si>
    <t>Clause 7.4.1 Sample management</t>
  </si>
  <si>
    <t>Clause 6.5 Metrological traceability</t>
  </si>
  <si>
    <t>Clause 7.2.1.7 Method Deviations</t>
  </si>
  <si>
    <t>Clause 7.5 Technical Records</t>
  </si>
  <si>
    <t>Clause 7.7.1 Validity Check</t>
  </si>
  <si>
    <t>Clause 7.8 Reporting</t>
  </si>
  <si>
    <t xml:space="preserve">Clause 8.3 Document Control </t>
  </si>
  <si>
    <t>Lotte</t>
  </si>
  <si>
    <t>Gauging - improper procedure</t>
  </si>
  <si>
    <t>Inspection equipment</t>
  </si>
  <si>
    <t>Document Control</t>
  </si>
  <si>
    <t>Test Methods</t>
  </si>
  <si>
    <t>Laboratory Equipment</t>
  </si>
  <si>
    <t>QC</t>
  </si>
  <si>
    <t>P66</t>
  </si>
  <si>
    <t>Web 331; Web 351 - barges overloaded</t>
  </si>
  <si>
    <t>Unipec/ATMI/Aramco</t>
  </si>
  <si>
    <t>LD descripencies</t>
  </si>
  <si>
    <t>Unipec/ATMI</t>
  </si>
  <si>
    <t>ILS Documentation</t>
  </si>
  <si>
    <t>ISO 9001: Job File review</t>
  </si>
  <si>
    <t>IA: TMA schedule</t>
  </si>
  <si>
    <t>IA: QC charts (delays in entries)</t>
  </si>
  <si>
    <t>IA: file review</t>
  </si>
  <si>
    <t>Corrective actions deemed ineffective at A158-215-25. CAR was closed and new CAR# C504-215-25  was issued.</t>
  </si>
  <si>
    <t>IA: equipment (D4815 &amp; D86)</t>
  </si>
  <si>
    <t>IA: File Review</t>
  </si>
  <si>
    <t>IA: Inspector TRBs</t>
  </si>
  <si>
    <t>IA: Clause  6.4.5</t>
  </si>
  <si>
    <t>IA: Clause 6.5.3</t>
  </si>
  <si>
    <t>IA: Clause 7.2.1.7</t>
  </si>
  <si>
    <t>IA: Clause 7.5.1</t>
  </si>
  <si>
    <t>IA: Clause 7.8.1 and 7.8.2</t>
  </si>
  <si>
    <t>IA: Clause 8.3.2</t>
  </si>
  <si>
    <t>IA: Clause 8.7 and 8.8.2</t>
  </si>
  <si>
    <t>Delay in requesting the initiation of CARs</t>
  </si>
  <si>
    <t xml:space="preserve">Incorrect S&amp;W results </t>
  </si>
  <si>
    <t>Revised on 9.17.2025 per client request</t>
  </si>
  <si>
    <t xml:space="preserve"> Incorrect tube used on two separate loads from the Webb Moffett.</t>
  </si>
  <si>
    <t>Follow up in 90 days for effectiveness review</t>
  </si>
  <si>
    <t>Transcription error on metal result</t>
  </si>
  <si>
    <t>originally assigned to EM complaint, changed to PAR</t>
  </si>
  <si>
    <t>PO</t>
  </si>
  <si>
    <t>Misc</t>
  </si>
  <si>
    <t>Reports</t>
  </si>
  <si>
    <t>D4052 method deviation.</t>
  </si>
  <si>
    <t>IA: Chemicals</t>
  </si>
  <si>
    <t>IA: D6079 QC</t>
  </si>
  <si>
    <t>IA: Clause 6.4.1 and 6.4.5</t>
  </si>
  <si>
    <t>IA: Clause 6.5.2</t>
  </si>
  <si>
    <t>IA: Cluase 7.4</t>
  </si>
  <si>
    <t>Oxygenates samples tested using out of service equipment</t>
  </si>
  <si>
    <t>Originally initiated as a PAR Feb 2025 per M. Bailey / K. Briggs</t>
  </si>
  <si>
    <t>IA: Clause 6.2 Personnel + Training</t>
  </si>
  <si>
    <t>IA: Clause 6.4 Lab Equipment</t>
  </si>
  <si>
    <t>IA: Clause 6.5 Metrological traceability</t>
  </si>
  <si>
    <t>IA: Clause 6.6 Externally provided products + services</t>
  </si>
  <si>
    <t>IA: Clause 7.2.1.7 Test witnessing</t>
  </si>
  <si>
    <t>IA: Clause 7.5 Technical records</t>
  </si>
  <si>
    <t>IA: Clause 7.7 Validity of results</t>
  </si>
  <si>
    <t>IA: Clause 7.8 Reporting of results</t>
  </si>
  <si>
    <t>VOIDED ASSMT/CAR/PAR NO</t>
  </si>
  <si>
    <t>VOID</t>
  </si>
  <si>
    <t>VOID: duplicate of C205 (AH, 4/25/25)</t>
  </si>
  <si>
    <t>VOID: duplicate of C206 (AH, 4/25/25)</t>
  </si>
  <si>
    <t>VOID: duplicate of C207 (AH, 4/25/25)</t>
  </si>
  <si>
    <t>Irving -not gauging to nearestmm</t>
  </si>
  <si>
    <t>Pilot</t>
  </si>
  <si>
    <t>Pilot - D5453 Non confirming test results</t>
  </si>
  <si>
    <t>Inspection equipment and inspector TRB</t>
  </si>
  <si>
    <t>Technical and Quality Bulletins</t>
  </si>
  <si>
    <t>Sample Management</t>
  </si>
  <si>
    <t>Lab Equipment/Reagent status</t>
  </si>
  <si>
    <t>Lab equipment calibration and verification</t>
  </si>
  <si>
    <t>Lab reporting</t>
  </si>
  <si>
    <t>Lab raw data</t>
  </si>
  <si>
    <t>Test witnessing</t>
  </si>
  <si>
    <t>201</t>
  </si>
  <si>
    <t>MOC</t>
  </si>
  <si>
    <t>202</t>
  </si>
  <si>
    <t>Miscellaneous</t>
  </si>
  <si>
    <t>203</t>
  </si>
  <si>
    <t>PBF - Not notify product contamination and wrong sample</t>
  </si>
  <si>
    <t>CAF018-180-25</t>
  </si>
  <si>
    <t>204</t>
  </si>
  <si>
    <t>D7754 - The laboratory control sample must be prepared like regular samples.</t>
  </si>
  <si>
    <t>205</t>
  </si>
  <si>
    <t>H2S Cylinder</t>
  </si>
  <si>
    <t>206</t>
  </si>
  <si>
    <t>Audit No: A040-119-25</t>
  </si>
  <si>
    <t>207</t>
  </si>
  <si>
    <t>Job file review</t>
  </si>
  <si>
    <t>208</t>
  </si>
  <si>
    <t>209</t>
  </si>
  <si>
    <t>210</t>
  </si>
  <si>
    <t>211</t>
  </si>
  <si>
    <t>212</t>
  </si>
  <si>
    <t>IA: Clause 6.4.5 and 6.4.13</t>
  </si>
  <si>
    <t>213</t>
  </si>
  <si>
    <t>214</t>
  </si>
  <si>
    <t>IA: Clause 6.6.2</t>
  </si>
  <si>
    <t>215</t>
  </si>
  <si>
    <t>216</t>
  </si>
  <si>
    <t>IA: Cluase 7.5.1</t>
  </si>
  <si>
    <t>217</t>
  </si>
  <si>
    <t>IA: Clause 7.5.2</t>
  </si>
  <si>
    <t>218</t>
  </si>
  <si>
    <t>219</t>
  </si>
  <si>
    <t>IA: Clause 7.81.2 and 7.8.2</t>
  </si>
  <si>
    <t>220</t>
  </si>
  <si>
    <t>IA: Biodiesel Equipment</t>
  </si>
  <si>
    <t>221</t>
  </si>
  <si>
    <t>IA: Biodiesel Test  Witnessing</t>
  </si>
  <si>
    <t>222</t>
  </si>
  <si>
    <t>IA: Biodiesel Training Records</t>
  </si>
  <si>
    <t>223</t>
  </si>
  <si>
    <t>Tricon</t>
  </si>
  <si>
    <t>Tricon - sampling issue</t>
  </si>
  <si>
    <t>224</t>
  </si>
  <si>
    <t>Valero - Reported off spec drivability index without notifying the client.</t>
  </si>
  <si>
    <t>225</t>
  </si>
  <si>
    <t xml:space="preserve">USCBP - #4: 19 CFR §151.12 (f)(3)(iv)(A)-Equipment </t>
  </si>
  <si>
    <t>Audit No: A063-210-25</t>
  </si>
  <si>
    <t>226</t>
  </si>
  <si>
    <t xml:space="preserve">USCBP - #1: 19 CFR §151.13 (h)(2)(iv)-Gauging records 
</t>
  </si>
  <si>
    <t>227</t>
  </si>
  <si>
    <t>228</t>
  </si>
  <si>
    <t>Lab Reporting</t>
  </si>
  <si>
    <t>229</t>
  </si>
  <si>
    <t xml:space="preserve"> Lab Equipment</t>
  </si>
  <si>
    <t>230</t>
  </si>
  <si>
    <t>Lab Witnessing</t>
  </si>
  <si>
    <t>231</t>
  </si>
  <si>
    <t xml:space="preserve">QC Chart </t>
  </si>
  <si>
    <t>Pending HB visit</t>
  </si>
  <si>
    <t>232</t>
  </si>
  <si>
    <t>IA: Ops file review</t>
  </si>
  <si>
    <t>233</t>
  </si>
  <si>
    <t>IA: Clause 6.2.5c</t>
  </si>
  <si>
    <t>234</t>
  </si>
  <si>
    <t>IA: Clause 6.4.1 / 6.4.4</t>
  </si>
  <si>
    <t>235</t>
  </si>
  <si>
    <t>IA: Clause 6.4.8</t>
  </si>
  <si>
    <t>236</t>
  </si>
  <si>
    <t>IA: Clause 6.5.1 / 6.5.3a</t>
  </si>
  <si>
    <t>237</t>
  </si>
  <si>
    <t>238</t>
  </si>
  <si>
    <t>239</t>
  </si>
  <si>
    <t>IA: Clause 7.8.1.2 / 7.8.2.1</t>
  </si>
  <si>
    <t>240</t>
  </si>
  <si>
    <t>IA: Clause 7.10.1b</t>
  </si>
  <si>
    <t>241</t>
  </si>
  <si>
    <t>Valero - Jet fuel flash point off spec and recheck was on spec</t>
  </si>
  <si>
    <t>CAF021-120-25</t>
  </si>
  <si>
    <t>242</t>
  </si>
  <si>
    <t>243</t>
  </si>
  <si>
    <t>Clause 6.2 Lab Training records</t>
  </si>
  <si>
    <t>244</t>
  </si>
  <si>
    <t>Clause 6.4 Lab Equipment</t>
  </si>
  <si>
    <t>245</t>
  </si>
  <si>
    <t>Clause 7.2.1.7 Test witnessing</t>
  </si>
  <si>
    <t>246</t>
  </si>
  <si>
    <t>Clause 7.5 Technical records</t>
  </si>
  <si>
    <t>247</t>
  </si>
  <si>
    <t>Clause 7.7 Validity of results</t>
  </si>
  <si>
    <t>248</t>
  </si>
  <si>
    <t>QB/TBs not reviewed within 30 days</t>
  </si>
  <si>
    <t>249</t>
  </si>
  <si>
    <t>Lab Equipment - Cal/Ver/Main</t>
  </si>
  <si>
    <t>250</t>
  </si>
  <si>
    <t>In-house solutions and prep records</t>
  </si>
  <si>
    <t>251</t>
  </si>
  <si>
    <t>QC + Control Charts</t>
  </si>
  <si>
    <t>252</t>
  </si>
  <si>
    <t>Inspector training binders</t>
  </si>
  <si>
    <t>253</t>
  </si>
  <si>
    <t>CHESM - Inspection field equipment</t>
  </si>
  <si>
    <t>Audit No.: A064-146-25</t>
  </si>
  <si>
    <t>254</t>
  </si>
  <si>
    <t>CHESM - Inspector safety equipment</t>
  </si>
  <si>
    <t>255</t>
  </si>
  <si>
    <t>USCBP- signatory list</t>
  </si>
  <si>
    <t>A061-150-25</t>
  </si>
  <si>
    <t>256</t>
  </si>
  <si>
    <t>MPC- Job File Review - Raw data do not match reports.</t>
  </si>
  <si>
    <t>MPC A055-130-25</t>
  </si>
  <si>
    <t>257</t>
  </si>
  <si>
    <t>MPC- D4530, Test witnessing .The technician did not visually check the nitrogen flow on instrument</t>
  </si>
  <si>
    <t>258</t>
  </si>
  <si>
    <t>During an external assessment of PBMS related requirements, it was observed that QC chart maintenance and response practices did not fully align with the expectations and best practices outlined in AmSpec LQSM Section 16, ASTM D6299 or 40 CFR Part 1090.</t>
  </si>
  <si>
    <t>259</t>
  </si>
  <si>
    <t>260</t>
  </si>
  <si>
    <t>Inspector did not witness lab testing as required</t>
  </si>
  <si>
    <t xml:space="preserve">To review in 30 days to ensure correctrive action effective. Completed Sept. 3 2025. Deemed effective. </t>
  </si>
  <si>
    <t>261</t>
  </si>
  <si>
    <t>Inspector did not take sufficient temperatures on a stratified shore tank</t>
  </si>
  <si>
    <t>262</t>
  </si>
  <si>
    <t>Clause 6.5.2: D1319 - ISO 17034 accreditation missing from steel ruler</t>
  </si>
  <si>
    <t>263</t>
  </si>
  <si>
    <t>Communication and Reporting - QSM Section 13, 15, 20 and C454-189-24 REPEAT</t>
  </si>
  <si>
    <t xml:space="preserve">To review April 1, 2026 to ensure corrective actions continue to be being implemented. </t>
  </si>
  <si>
    <t>264</t>
  </si>
  <si>
    <t xml:space="preserve">Field Data Control - QSM Section 15, 20 </t>
  </si>
  <si>
    <t>To be reviewed Aprol 1 2026 to ensure corrective actions continue to be implemented</t>
  </si>
  <si>
    <t>265</t>
  </si>
  <si>
    <t xml:space="preserve">Report Requirements Lab - QSM Section 15, 20 and LQSM Section 14, 17 </t>
  </si>
  <si>
    <t>266</t>
  </si>
  <si>
    <t xml:space="preserve">Lab Data Control - QSM Section 20 and LQSM Section 7, 17 </t>
  </si>
  <si>
    <t>267</t>
  </si>
  <si>
    <t>Sample Cradle to Grave – QSM Section 15 and LQSM Section 7</t>
  </si>
  <si>
    <t>268</t>
  </si>
  <si>
    <t>D130 – QSM Section 16, 18 and LQSM Section 14, 15</t>
  </si>
  <si>
    <t>269</t>
  </si>
  <si>
    <t>CITGO</t>
  </si>
  <si>
    <t>Clause 6.1.4.1 - D5191 QC test result of 4-19-25 Unit CHI-056 was not input in the sqc</t>
  </si>
  <si>
    <t>Audit No: A076-136-25</t>
  </si>
  <si>
    <t>270</t>
  </si>
  <si>
    <t>Clause 6.1.4.7.1 - SQC violations for D5599 + D5191 not addressed</t>
  </si>
  <si>
    <t>271</t>
  </si>
  <si>
    <t>USCBP - #2: 19 CFR §151.13 (h) (2)-Recordkeeping requirements</t>
  </si>
  <si>
    <t>272</t>
  </si>
  <si>
    <t>USCBP - #5: 19 CFR §151.12 (f)(3)(iii)- Determination of competence</t>
  </si>
  <si>
    <t>273</t>
  </si>
  <si>
    <t>274</t>
  </si>
  <si>
    <t>IA: Test Witnessing</t>
  </si>
  <si>
    <t>275</t>
  </si>
  <si>
    <t>IA: Expired Chemicals / Reagents</t>
  </si>
  <si>
    <t>276</t>
  </si>
  <si>
    <t>USCBP - #3: 19 CFR §151.12(j)(3)-Recordkeeping requirements</t>
  </si>
  <si>
    <t>277</t>
  </si>
  <si>
    <t xml:space="preserve">USCBP - #6: 19 CFR §151.12 (j)(3)(iv)-Laboratory analysis records </t>
  </si>
  <si>
    <t>278</t>
  </si>
  <si>
    <t>Communication and Reporting: Nom, acceptance, and records of communication missing.</t>
  </si>
  <si>
    <t>279</t>
  </si>
  <si>
    <t xml:space="preserve">Field Data Control: Only one temp taken, data writeovers, no UTI ID, initials and date on raw data. </t>
  </si>
  <si>
    <t>280</t>
  </si>
  <si>
    <t>Clause 6.4.13a Equipment software and Firmware versions</t>
  </si>
  <si>
    <t>281</t>
  </si>
  <si>
    <t>IA: No review of QBs by Ops</t>
  </si>
  <si>
    <t>282</t>
  </si>
  <si>
    <t>283</t>
  </si>
  <si>
    <t>284</t>
  </si>
  <si>
    <t>VOID: IA: Clause 6.2.5</t>
  </si>
  <si>
    <t>AOC -  based on the definitions of risks on GQSM Work Instruction for Managing Non-conformity</t>
  </si>
  <si>
    <t>285</t>
  </si>
  <si>
    <t>IA: Clause 7.1.1</t>
  </si>
  <si>
    <t>286</t>
  </si>
  <si>
    <t>VOID - IA: Clauses 7.8.1.2 and 7.8.2.1</t>
  </si>
  <si>
    <t>low risk -  based on the definitions of risks on GQSM Work Instruction for Managing Non-conformity</t>
  </si>
  <si>
    <t>287</t>
  </si>
  <si>
    <t>VOID - IA: Clause 7.10.1b</t>
  </si>
  <si>
    <t>288</t>
  </si>
  <si>
    <t>IA: Clause 6.4.5</t>
  </si>
  <si>
    <t>289</t>
  </si>
  <si>
    <t>VOID - IA: Clause 6.4.10</t>
  </si>
  <si>
    <t>290</t>
  </si>
  <si>
    <t>291</t>
  </si>
  <si>
    <t>292</t>
  </si>
  <si>
    <t>Inspector gauged the wrong shore tank</t>
  </si>
  <si>
    <t>293</t>
  </si>
  <si>
    <t>IA: CARs from 2023 and 2024 IA not completed</t>
  </si>
  <si>
    <t>294</t>
  </si>
  <si>
    <t>IA: MOC not completed</t>
  </si>
  <si>
    <t>295</t>
  </si>
  <si>
    <t>IA: TMAs not completed, no schedule</t>
  </si>
  <si>
    <t>296</t>
  </si>
  <si>
    <t>297</t>
  </si>
  <si>
    <t>IA: Equipment calibrations / verifications</t>
  </si>
  <si>
    <t>298</t>
  </si>
  <si>
    <t xml:space="preserve">IA: Expired chemical  </t>
  </si>
  <si>
    <t>299</t>
  </si>
  <si>
    <t>IA: D445 wrong constant used</t>
  </si>
  <si>
    <t>300</t>
  </si>
  <si>
    <t>IA: QC charts not done (D5453 &amp; D93)</t>
  </si>
  <si>
    <t>301</t>
  </si>
  <si>
    <t xml:space="preserve">IA:Ops POs no quality statement </t>
  </si>
  <si>
    <t>302</t>
  </si>
  <si>
    <t>IA: Daily probe check sheets not being completed</t>
  </si>
  <si>
    <t>303</t>
  </si>
  <si>
    <t>304</t>
  </si>
  <si>
    <t>305</t>
  </si>
  <si>
    <t>306</t>
  </si>
  <si>
    <t>IA: Clause 6.4.9, 6.4.10</t>
  </si>
  <si>
    <t>307</t>
  </si>
  <si>
    <t>IA: Clause 6.4.13e, g</t>
  </si>
  <si>
    <t>Audit No: A074-132-25</t>
  </si>
  <si>
    <t>308</t>
  </si>
  <si>
    <t>IA: Clause 6.5</t>
  </si>
  <si>
    <t>309</t>
  </si>
  <si>
    <t>310</t>
  </si>
  <si>
    <t>IA: Clause 7.10.1</t>
  </si>
  <si>
    <t>311</t>
  </si>
  <si>
    <t>use of closed system sampling on barges equipped with non-slotted standpipes resulted in incorrect sulfur result</t>
  </si>
  <si>
    <t>312</t>
  </si>
  <si>
    <t>19 CFR 151.13 (d) - Field equipment</t>
  </si>
  <si>
    <t>Audit No.: A082-146-25</t>
  </si>
  <si>
    <t>313</t>
  </si>
  <si>
    <t>19 CFR 151.13 (h) - Equipment serial numbers</t>
  </si>
  <si>
    <t>314</t>
  </si>
  <si>
    <t>19 CFR 151.12 (f) - Qualified lab analyst</t>
  </si>
  <si>
    <t>315</t>
  </si>
  <si>
    <t>Inspector compiling/providing an incorrect VEF.</t>
  </si>
  <si>
    <t>yes</t>
  </si>
  <si>
    <t xml:space="preserve"> CAF027. This CAR is also related to C040-130-25 and addresses a recurring issue</t>
  </si>
  <si>
    <t>316</t>
  </si>
  <si>
    <t>No data, date, and initials records for ASTM D445, and ASTM D4807 analysis completed at aother lab.</t>
  </si>
  <si>
    <t>A100-157-25</t>
  </si>
  <si>
    <t>317</t>
  </si>
  <si>
    <t>D4007 method  is  not  part  of  HTC  Customs Accreditation. No instrument record available during the audit.</t>
  </si>
  <si>
    <t>318</t>
  </si>
  <si>
    <t>No Custom statement is available in each original CoA report.</t>
  </si>
  <si>
    <t>319</t>
  </si>
  <si>
    <t>The field inspectors failure to gauge and quantify the volumes received into the ROT tank(s)
-The operations group failure to catch the missing ~500 bbls prior to releasing the report</t>
  </si>
  <si>
    <t>320</t>
  </si>
  <si>
    <t>numerous “after discharge” COA’s revisions due to incorrect tagging by inspector</t>
  </si>
  <si>
    <t>321</t>
  </si>
  <si>
    <t xml:space="preserve">Eric Doan has less than 2 years of experience in an analytical laboratory </t>
  </si>
  <si>
    <t>322</t>
  </si>
  <si>
    <t>Signatory discrepancy</t>
  </si>
  <si>
    <t>323</t>
  </si>
  <si>
    <t>Signatory for Estela Reyes</t>
  </si>
  <si>
    <t>324</t>
  </si>
  <si>
    <t>Antilles Trading Company</t>
  </si>
  <si>
    <t xml:space="preserve">Loss of confidence in analytical results after multiple amendments to same job. Octane and RVP results had to be amended after rechecks and raw data review. </t>
  </si>
  <si>
    <t>follow up 9/26</t>
  </si>
  <si>
    <t>325</t>
  </si>
  <si>
    <t>Audit No: A081-155-25</t>
  </si>
  <si>
    <t>326</t>
  </si>
  <si>
    <t>P66 - Discrepancy in Barge composite results: after load in SF vs before discharge in LA.</t>
  </si>
  <si>
    <t>CAF030-131-25</t>
  </si>
  <si>
    <t>327</t>
  </si>
  <si>
    <t>Clause 6.4 Lab equipment</t>
  </si>
  <si>
    <t>328</t>
  </si>
  <si>
    <t>329</t>
  </si>
  <si>
    <t>330</t>
  </si>
  <si>
    <t>331</t>
  </si>
  <si>
    <t>332</t>
  </si>
  <si>
    <t>Clause 7.10 Nonconforming results</t>
  </si>
  <si>
    <t>333</t>
  </si>
  <si>
    <t>Clause 8.5 Management review</t>
  </si>
  <si>
    <t>334</t>
  </si>
  <si>
    <t>A2LA Policy P102</t>
  </si>
  <si>
    <t>335</t>
  </si>
  <si>
    <t>Job file - Raw data missinf, SR1 defiecencie and job acceptancwe confirmation missing</t>
  </si>
  <si>
    <t>336</t>
  </si>
  <si>
    <t>Lab training records no raw data available</t>
  </si>
  <si>
    <t>337</t>
  </si>
  <si>
    <t>ASTM D5002 - Air water checks not being completed / documented weekly as per Appendux 16A</t>
  </si>
  <si>
    <t>338</t>
  </si>
  <si>
    <t xml:space="preserve">ASTM D4807 - Unable to maintain hot plate temperature as per method. </t>
  </si>
  <si>
    <t>339</t>
  </si>
  <si>
    <t>No work station binders in use</t>
  </si>
  <si>
    <t>340</t>
  </si>
  <si>
    <t>Vendor in use is not approved for the QAVL</t>
  </si>
  <si>
    <t>341</t>
  </si>
  <si>
    <t>Laboratory Training records not properly documented</t>
  </si>
  <si>
    <t>342</t>
  </si>
  <si>
    <t>343</t>
  </si>
  <si>
    <t>Valero - Inspection Communication</t>
  </si>
  <si>
    <t>CAF-031-110-25 (effectiveness follow up 10.31.2025)</t>
  </si>
  <si>
    <t>344</t>
  </si>
  <si>
    <t>Valero - Sampling</t>
  </si>
  <si>
    <t>345</t>
  </si>
  <si>
    <t>XOM</t>
  </si>
  <si>
    <t xml:space="preserve">Crude Assay </t>
  </si>
  <si>
    <t>Effectiveness follow up 10/31/2025</t>
  </si>
  <si>
    <t>346</t>
  </si>
  <si>
    <t>MEGlobal</t>
  </si>
  <si>
    <t>MEGlobal - Wall wash using incorrect medium</t>
  </si>
  <si>
    <t>CAF-032-157-25 (effectiveness follow up 10.31.2025)</t>
  </si>
  <si>
    <t>347</t>
  </si>
  <si>
    <t>IA: D3831 reporting</t>
  </si>
  <si>
    <t>Follow up CAR from Jan 2025 IA - C026-131-25</t>
  </si>
  <si>
    <t>348</t>
  </si>
  <si>
    <t>IA: S. Sahron initial training for D3231</t>
  </si>
  <si>
    <t>Follow up CAR from Jan 2025 IA - C029-131-25</t>
  </si>
  <si>
    <t>349</t>
  </si>
  <si>
    <t>IA: No prep records for D3231 solutions</t>
  </si>
  <si>
    <t>Follow up CAR from Jan 2025 IA - C030-131-25</t>
  </si>
  <si>
    <t>350</t>
  </si>
  <si>
    <t>IA: Test witnessing - D5191 volume verification step</t>
  </si>
  <si>
    <t>Follow up CAR from Jan 2025 IA - C032-131-25</t>
  </si>
  <si>
    <t>351</t>
  </si>
  <si>
    <t>IA: D6079 and IP501 reporting on COA</t>
  </si>
  <si>
    <t>Follow up CAR from Jan 2025 IA - C038-131-25</t>
  </si>
  <si>
    <t>352</t>
  </si>
  <si>
    <t>Quality and Technical bulleting not porperly reviewed</t>
  </si>
  <si>
    <t>353</t>
  </si>
  <si>
    <t>SRI BOL not completed</t>
  </si>
  <si>
    <t>354</t>
  </si>
  <si>
    <t>The Shore Tank analysis was performed using an incorrect test method</t>
  </si>
  <si>
    <t>LAb</t>
  </si>
  <si>
    <t>CAF033-160-25</t>
  </si>
  <si>
    <t>355</t>
  </si>
  <si>
    <t>Clause 7.5.1 - No evidence of intermediate reference material preparation for D5863, D5185. No evidence of pipettes recorded in worksbooks for D3237, D3831</t>
  </si>
  <si>
    <t>Audit No: A088-170-25</t>
  </si>
  <si>
    <t>356</t>
  </si>
  <si>
    <t>Clause 8.3 and 8.3.2 - No objective evidence of periodic review of local controlled documents</t>
  </si>
  <si>
    <t>357</t>
  </si>
  <si>
    <t>IA: AMCS not on QAVL</t>
  </si>
  <si>
    <t>358</t>
  </si>
  <si>
    <t>IA: Traning records for D. Drew not properly documented</t>
  </si>
  <si>
    <t>359</t>
  </si>
  <si>
    <t>360</t>
  </si>
  <si>
    <t>361</t>
  </si>
  <si>
    <t>IA: Lab Equipment</t>
  </si>
  <si>
    <t>362</t>
  </si>
  <si>
    <t>363</t>
  </si>
  <si>
    <t>IA: Test witnessing (D2622, D6423)</t>
  </si>
  <si>
    <t>364</t>
  </si>
  <si>
    <t>365</t>
  </si>
  <si>
    <t>IA: Lab equipment records</t>
  </si>
  <si>
    <t>366</t>
  </si>
  <si>
    <t>IA: Amended COAs</t>
  </si>
  <si>
    <t>367</t>
  </si>
  <si>
    <t>368</t>
  </si>
  <si>
    <t>IA: Job file review</t>
  </si>
  <si>
    <t>369</t>
  </si>
  <si>
    <t>Grounding system, emetgency lighting and evacuation plan</t>
  </si>
  <si>
    <t>370</t>
  </si>
  <si>
    <t xml:space="preserve">IA: Clause 6.2.2 and 6.2.5 </t>
  </si>
  <si>
    <t>371</t>
  </si>
  <si>
    <t>IA: Clause 7.6</t>
  </si>
  <si>
    <t>372</t>
  </si>
  <si>
    <t>IA: Clause 7.7.2a</t>
  </si>
  <si>
    <t>373</t>
  </si>
  <si>
    <t>IA: Clause 7.8.2</t>
  </si>
  <si>
    <t>374</t>
  </si>
  <si>
    <t>IA: Clause 8.9.2</t>
  </si>
  <si>
    <t>Audit No: A103-120W-25</t>
  </si>
  <si>
    <t>375</t>
  </si>
  <si>
    <t>A2LA: Clause 6.4.4</t>
  </si>
  <si>
    <t>Audit No: A101-197-25</t>
  </si>
  <si>
    <t>376</t>
  </si>
  <si>
    <t>A2LA: Clause 7.7.1</t>
  </si>
  <si>
    <t>377</t>
  </si>
  <si>
    <t xml:space="preserve">File Number: 160-25-04202-001,002,003,013 ST 150-1 Seal # 0014414
Running compliance (NSTOP) sample on uncontrolled instrument and reporting results off that instrument
</t>
  </si>
  <si>
    <t>378</t>
  </si>
  <si>
    <t>Use expired gauge tape</t>
  </si>
  <si>
    <t>CAF034-165-25</t>
  </si>
  <si>
    <t>379</t>
  </si>
  <si>
    <t>ExxonMobil</t>
  </si>
  <si>
    <t>ExxonMobil - Baytown, Chem 3247 was overloaded by 3,999 bbls due to incorrect job orders</t>
  </si>
  <si>
    <t>CAF035-161-25</t>
  </si>
  <si>
    <t>380</t>
  </si>
  <si>
    <t>PBF - IP501 - Significant discrepancy in Al+Si results reported for CSO tank. 117mg/kg  vs. 198 mg/kg</t>
  </si>
  <si>
    <t>CAF036-130-25</t>
  </si>
  <si>
    <t>381</t>
  </si>
  <si>
    <t>Potential NC - D1319 Nitrogen not flowing</t>
  </si>
  <si>
    <t>382</t>
  </si>
  <si>
    <t>Incorrect gauge tape SN recorded</t>
  </si>
  <si>
    <t>Audit No: A114-210-25</t>
  </si>
  <si>
    <t>383</t>
  </si>
  <si>
    <t>Clause 7.1.1 Contract - no details of method</t>
  </si>
  <si>
    <t>384</t>
  </si>
  <si>
    <t xml:space="preserve">Clause 7.2.1.7 Method Deviation </t>
  </si>
  <si>
    <t>385</t>
  </si>
  <si>
    <t>Audit No: A112-165-25</t>
  </si>
  <si>
    <t>386</t>
  </si>
  <si>
    <t>Clause 7.11.2</t>
  </si>
  <si>
    <t>387</t>
  </si>
  <si>
    <t>PBF-D56 discrepancy in reported flash point. Composite vs. individual compartments.</t>
  </si>
  <si>
    <t>388</t>
  </si>
  <si>
    <t xml:space="preserve"> Job 120-25-04562-Mexico Gasoline received with 
13% MTBE.  Sulfur reported using neat calibration curve 
without correcting for oxygen.  This will generate artificially 
low values (D2622 section 12). Test witnessing finding.</t>
  </si>
  <si>
    <t>389</t>
  </si>
  <si>
    <t>Inspectors using arrival temperatures on ROB survey instead of 60°F per API</t>
  </si>
  <si>
    <t>Audit No: A122-142-25</t>
  </si>
  <si>
    <t>390</t>
  </si>
  <si>
    <t>Departure temperatures mirrored arrival temperatures on tanks that did not discharge - departure temps not performed</t>
  </si>
  <si>
    <t>391</t>
  </si>
  <si>
    <t xml:space="preserve">IA: No record of review of QB-00027, -00028, -00029, -00029a, -00030 and TB-00114 (gauging). </t>
  </si>
  <si>
    <t>Ka</t>
  </si>
  <si>
    <t>392</t>
  </si>
  <si>
    <t>IA: Standard not being recorded on gauge tickets for probe check</t>
  </si>
  <si>
    <t>393</t>
  </si>
  <si>
    <t>IA: Branch using obsolete versions of forms</t>
  </si>
  <si>
    <t>394</t>
  </si>
  <si>
    <t>IA: Clauses 6.4.6, 6.4.7, 6.4.11 - Lab Equipment</t>
  </si>
  <si>
    <t>395</t>
  </si>
  <si>
    <t>396</t>
  </si>
  <si>
    <t>Reporting - Criteria: QSM S15 Part 4; LQSM S13 Part 3</t>
  </si>
  <si>
    <t>397</t>
  </si>
  <si>
    <t>Review - Criteria: QSM S17 Part 5</t>
  </si>
  <si>
    <t>398</t>
  </si>
  <si>
    <t>Criteria: LQSM S7 Part 7</t>
  </si>
  <si>
    <t>399</t>
  </si>
  <si>
    <t>Citgo - Inspector late arrival resulting in reschedule of vessel pilot for departure</t>
  </si>
  <si>
    <t>CAF 038-165-25</t>
  </si>
  <si>
    <t>400</t>
  </si>
  <si>
    <t>IA: Lab Eqt - Appendix 15B, Clauses 6.4.4, 6.4.6</t>
  </si>
  <si>
    <t>Audit No: A107-180-25 / A108-180-25</t>
  </si>
  <si>
    <t>401</t>
  </si>
  <si>
    <t>IA: Clause 7.5.1 and LQSM Sec 8.8</t>
  </si>
  <si>
    <t>402</t>
  </si>
  <si>
    <t>IA: File review (Ops eqt S/Ns on raw data do not match final reports)</t>
  </si>
  <si>
    <t>403</t>
  </si>
  <si>
    <t>Ineos</t>
  </si>
  <si>
    <t>INEOS -160-25-04525; Port Arthur sent 4 brand new cylinders to HTC lab to be prepped by method QA3-MT-16 for residue testing but cylinders not cleaned properly.</t>
  </si>
  <si>
    <t>CAF039-120-25</t>
  </si>
  <si>
    <t>404</t>
  </si>
  <si>
    <t>Valero nomination stated "Additive: In-Line Blend ~68 Gallons of CorrPro PHE @ 40ppm." Amspec Additives was not copied on the original nomination.</t>
  </si>
  <si>
    <t>CAF040-150-25</t>
  </si>
  <si>
    <t>405</t>
  </si>
  <si>
    <t>Job File review</t>
  </si>
  <si>
    <t>MPC audit A055-130-25 (Ops and Lab findings were recorded under a single CAR (C256) but now been split for reporting purpose. (C256 Ops, C405 Lab)</t>
  </si>
  <si>
    <t>406</t>
  </si>
  <si>
    <t>Off spec lubricity result due to improper sampling.</t>
  </si>
  <si>
    <t>407</t>
  </si>
  <si>
    <t xml:space="preserve">Nonconformity #1: 19 CFR 151.13(h)(2)(v): Gauging reports &amp; 19 CFR 151.12(j)(3)(v): Laboratory analysis reports </t>
  </si>
  <si>
    <t>Audit No: A097-210-25</t>
  </si>
  <si>
    <t>408</t>
  </si>
  <si>
    <t>Nonconformity #2: 19 CFR 151.13(b)(6): Notification</t>
  </si>
  <si>
    <t>409</t>
  </si>
  <si>
    <t>Nonconformity #3: 19 CFR §151.12(j)(3)(ii)-Major equipment records</t>
  </si>
  <si>
    <t>410</t>
  </si>
  <si>
    <t xml:space="preserve">Nonconformity #4: 19 CFR §151.12(f)(3)(iv)(A)-Equipment </t>
  </si>
  <si>
    <t>411</t>
  </si>
  <si>
    <t xml:space="preserve">Shell </t>
  </si>
  <si>
    <t xml:space="preserve">Job File Review: D86 time to 5% below threshold </t>
  </si>
  <si>
    <t>Audit No: A125-145-25</t>
  </si>
  <si>
    <t>412</t>
  </si>
  <si>
    <t>Test Witnessing: D5769 aliquot volume &lt; 10 mL</t>
  </si>
  <si>
    <t>413</t>
  </si>
  <si>
    <t>Audit No: A126-140-25</t>
  </si>
  <si>
    <t>414</t>
  </si>
  <si>
    <t>Wrist/finger (X-ray) monitoring equipment not provided</t>
  </si>
  <si>
    <t>415</t>
  </si>
  <si>
    <t>IA: QSM Section 15 - MFDB not signed / inspector writeovers</t>
  </si>
  <si>
    <t>416</t>
  </si>
  <si>
    <t>IA: QSM Section 7 - SR-1s do not include unique sample ID / not signed for deposit of samples</t>
  </si>
  <si>
    <t>417</t>
  </si>
  <si>
    <t>IA: LQSM Section 14 - Method Deviations</t>
  </si>
  <si>
    <t>418</t>
  </si>
  <si>
    <t>IA: LQSM Section 16 - QCs</t>
  </si>
  <si>
    <t>419</t>
  </si>
  <si>
    <t xml:space="preserve">Inspector did not properly measure and document material in a slop tank on the vessel. </t>
  </si>
  <si>
    <t>420</t>
  </si>
  <si>
    <t>Amended Reports</t>
  </si>
  <si>
    <t>421</t>
  </si>
  <si>
    <t>422</t>
  </si>
  <si>
    <t>D5191 - nonconformance to D6299.</t>
  </si>
  <si>
    <t>A142-160-25</t>
  </si>
  <si>
    <t>423</t>
  </si>
  <si>
    <t>D5453 -  laboratory quality control sample analysis lacked traceability to the material lot.</t>
  </si>
  <si>
    <t>424</t>
  </si>
  <si>
    <t>Equipment Traceability</t>
  </si>
  <si>
    <t>A143-141-25</t>
  </si>
  <si>
    <t>425</t>
  </si>
  <si>
    <t>Vessel gauging</t>
  </si>
  <si>
    <t>426</t>
  </si>
  <si>
    <t>Musket</t>
  </si>
  <si>
    <t>Poor operations communication and lab turnaround time</t>
  </si>
  <si>
    <t>427</t>
  </si>
  <si>
    <t>VOID - Lab Manager performed analysis and signed off on COA as signatory</t>
  </si>
  <si>
    <t>Audit No: A120-142-25.
Voided per email from USCBP 01.28.2026</t>
  </si>
  <si>
    <t>428</t>
  </si>
  <si>
    <t>Tally book missing information / is incorrect</t>
  </si>
  <si>
    <t>Audit No: A120-142-25</t>
  </si>
  <si>
    <t>429</t>
  </si>
  <si>
    <t>Ullage report not signed by coordinator</t>
  </si>
  <si>
    <t>430</t>
  </si>
  <si>
    <t>QC data not being evaluated in a timely manner</t>
  </si>
  <si>
    <t>431</t>
  </si>
  <si>
    <t>Use of appropriate QC control chart techniques can be improved.</t>
  </si>
  <si>
    <t>432</t>
  </si>
  <si>
    <t>Data Release Process failed to identify incorrect data on at least 3 Shell jobs.</t>
  </si>
  <si>
    <t>433</t>
  </si>
  <si>
    <t>Vitol</t>
  </si>
  <si>
    <t>Off spec asphalt due to sampling</t>
  </si>
  <si>
    <t>CAF044-155-25</t>
  </si>
  <si>
    <t>434</t>
  </si>
  <si>
    <t>Dispatching error - no sampler assigned for Webb Moffett Vessel</t>
  </si>
  <si>
    <t>CAF045-130-25 (CAR revised per customer request on 12/15/2025)</t>
  </si>
  <si>
    <t>435</t>
  </si>
  <si>
    <t>No manual gauge obtained on Barge after discharge - Webb Moffett</t>
  </si>
  <si>
    <t>CAF046-131-25</t>
  </si>
  <si>
    <t>436</t>
  </si>
  <si>
    <t>IA: QSM Section 15 - MFDB not signed / inspector writeovers, JSA not completed</t>
  </si>
  <si>
    <t>437</t>
  </si>
  <si>
    <t>IA: QSM Section 28 - RFA not completed</t>
  </si>
  <si>
    <t>438</t>
  </si>
  <si>
    <t>IA: LQSM Section 14 and 17</t>
  </si>
  <si>
    <t>439</t>
  </si>
  <si>
    <t>IA: Clause: 6.4.4</t>
  </si>
  <si>
    <t>440</t>
  </si>
  <si>
    <t>IA: Clause 7.4.1 and 7.4.2</t>
  </si>
  <si>
    <t>441</t>
  </si>
  <si>
    <t>442</t>
  </si>
  <si>
    <t>IA: Clause 7.5.2 and 7.8.8</t>
  </si>
  <si>
    <t>443</t>
  </si>
  <si>
    <t>444</t>
  </si>
  <si>
    <t>IA: Clause 7.8.1.2</t>
  </si>
  <si>
    <t>445</t>
  </si>
  <si>
    <t>Missing Sample ID and incomplete job file</t>
  </si>
  <si>
    <t>446</t>
  </si>
  <si>
    <t>Samples not tagged, no FL 103</t>
  </si>
  <si>
    <t>447</t>
  </si>
  <si>
    <t>No review of QB and TB</t>
  </si>
  <si>
    <t>448</t>
  </si>
  <si>
    <t>Non equipmnety MOC, FL15.1 not updated</t>
  </si>
  <si>
    <t>449</t>
  </si>
  <si>
    <t>Test method deviation</t>
  </si>
  <si>
    <t>450</t>
  </si>
  <si>
    <t>451</t>
  </si>
  <si>
    <t>Checmical expired, no expiration date</t>
  </si>
  <si>
    <t>lab</t>
  </si>
  <si>
    <t>452</t>
  </si>
  <si>
    <t>453</t>
  </si>
  <si>
    <t>454</t>
  </si>
  <si>
    <t>Lab Training</t>
  </si>
  <si>
    <t>455</t>
  </si>
  <si>
    <t>RVP Equipment missing status tag (green/yellow/red)</t>
  </si>
  <si>
    <t>456</t>
  </si>
  <si>
    <t xml:space="preserve">Failure to gauge to nearest mm
</t>
  </si>
  <si>
    <t>Audit No: A152-110-25</t>
  </si>
  <si>
    <t>457</t>
  </si>
  <si>
    <t>Improper recording of observed gauge heights</t>
  </si>
  <si>
    <t>ECU</t>
  </si>
  <si>
    <t>458</t>
  </si>
  <si>
    <t>459</t>
  </si>
  <si>
    <t>IA: LQSM Section 15 - Equipment Calibrations</t>
  </si>
  <si>
    <t>460</t>
  </si>
  <si>
    <t>IA: LQSM Section 17 - Reference Material Traceability</t>
  </si>
  <si>
    <t>461</t>
  </si>
  <si>
    <t>462</t>
  </si>
  <si>
    <t>Voided</t>
  </si>
  <si>
    <t>463</t>
  </si>
  <si>
    <t>ASTM Method D6079 section 10.2 - Ssamples were performed on days in between the 2 fluids checks</t>
  </si>
  <si>
    <t>Audit No: A155-130-25</t>
  </si>
  <si>
    <t>464</t>
  </si>
  <si>
    <t>Clause 7.8.1.2 - Report  included designation (*, !) and
outdated version numbers with no footnotes.</t>
  </si>
  <si>
    <t>465</t>
  </si>
  <si>
    <t>Clause 7.5.1 There was no objective evidence of
records associated with method ASTM D5863</t>
  </si>
  <si>
    <t>466</t>
  </si>
  <si>
    <t>A2LA P102 T3 Reference Materials when possible - no
evidence of accredited CRM for the most recent calibration for D4815</t>
  </si>
  <si>
    <t>467</t>
  </si>
  <si>
    <t>Clause 7.10, No evidence a nonconformance evaluation was performed after balance CA323 was adjusted during re-calibration.</t>
  </si>
  <si>
    <t>468</t>
  </si>
  <si>
    <t>Clause 7.5.2 - Inappropriate data corrections</t>
  </si>
  <si>
    <t>Audit No: A139-180-25</t>
  </si>
  <si>
    <t>469</t>
  </si>
  <si>
    <t>Clause 7.4.4 and 7.5.1 - D1319, D5599/D5769, D3241, D3237</t>
  </si>
  <si>
    <t>470</t>
  </si>
  <si>
    <t>Test Witnessing: Technician did not mix sample for D1840</t>
  </si>
  <si>
    <t>Audit No: A150-141-25</t>
  </si>
  <si>
    <t>471</t>
  </si>
  <si>
    <t>A2LA Policy R103 Section PT8 - No evidencec of a corrective action developed for the D1500 result in DF22506 program (0.28% agree)</t>
  </si>
  <si>
    <t>Audit No: A157-132-25</t>
  </si>
  <si>
    <t>472</t>
  </si>
  <si>
    <t>Clause 7.5.1 - No evidence of technical records for Time specifications and temperature (D6560, D3279, D381, D1319, D4815, D5580)</t>
  </si>
  <si>
    <t>473</t>
  </si>
  <si>
    <t>Clause 7.8.3.1 - Report do not include procedure used for D86</t>
  </si>
  <si>
    <t>474</t>
  </si>
  <si>
    <t>Clause 6.5.2 - D6550 Reference material used was not accredited</t>
  </si>
  <si>
    <t>475</t>
  </si>
  <si>
    <t>Clause 6.4.4 - D93 temperature probe was expired</t>
  </si>
  <si>
    <t>476</t>
  </si>
  <si>
    <t xml:space="preserve">INC Nautical, who represented Chevron, noted the AmSpec inspector gauging the EMS 363 &amp; 372 with a UTI that didn’t have a grounding cable attached. (UTI SN# G21577)
</t>
  </si>
  <si>
    <t>CAF047-120-25</t>
  </si>
  <si>
    <t>477</t>
  </si>
  <si>
    <t>Inspector failed to confirm if the railcar numbers at the loading rack matched Marathon’s nomination prior to sampling</t>
  </si>
  <si>
    <t>CAF048-120-25</t>
  </si>
  <si>
    <t>478</t>
  </si>
  <si>
    <t>Non-compliance with 19 CFR 151.12(j)(3)(v) and 151.12(f)(3)(iv)(C): Laboratory report signed and testing performed by personnel not on approved signatory list and lacking required qualifications.</t>
  </si>
  <si>
    <t>Audit No: A145-130-25</t>
  </si>
  <si>
    <t>479</t>
  </si>
  <si>
    <t>IA: Appendix 15B balance verifications</t>
  </si>
  <si>
    <t>480</t>
  </si>
  <si>
    <t>IA: LQSM S17 - raw data records</t>
  </si>
  <si>
    <t>481</t>
  </si>
  <si>
    <t>IA: LQSM S14 - Test method deviations</t>
  </si>
  <si>
    <t>482</t>
  </si>
  <si>
    <t>IA: LQSM S16 - QC and QC charts</t>
  </si>
  <si>
    <t>483</t>
  </si>
  <si>
    <t>IA: LQSM S13 - training for D2699/D2700</t>
  </si>
  <si>
    <t>484</t>
  </si>
  <si>
    <t xml:space="preserve">IA: QSM S15 - file review </t>
  </si>
  <si>
    <t>485</t>
  </si>
  <si>
    <t>Non-compliance with 19 CFR 151.12(f)(3)(iv)( C): Laboratory testing performed by personnel not on approved signatory list and lacking required qualifications.</t>
  </si>
  <si>
    <t>486</t>
  </si>
  <si>
    <t>IA: Gap in daily probe check thermometer calibration</t>
  </si>
  <si>
    <t>487</t>
  </si>
  <si>
    <t>IA: Inspector does not have FIT test</t>
  </si>
  <si>
    <t>488</t>
  </si>
  <si>
    <t>IA: S/Ns for probes listed on tally books do not match final reports</t>
  </si>
  <si>
    <t>489</t>
  </si>
  <si>
    <t>IA: UOP163 test witnessing</t>
  </si>
  <si>
    <t>490</t>
  </si>
  <si>
    <t>IA: Lab training binders</t>
  </si>
  <si>
    <t>491</t>
  </si>
  <si>
    <t>492</t>
  </si>
  <si>
    <t>IA: Expired checmical</t>
  </si>
  <si>
    <t>493</t>
  </si>
  <si>
    <t>IA: D473 thimble</t>
  </si>
  <si>
    <t>494</t>
  </si>
  <si>
    <t>IA: QSM Section 15 Writeovers and no review of QBs</t>
  </si>
  <si>
    <t>495</t>
  </si>
  <si>
    <t>IA: QSM Section 27 Inspection Equipment</t>
  </si>
  <si>
    <t>496</t>
  </si>
  <si>
    <t>IA: QSM Section 28 Inspector TRBs</t>
  </si>
  <si>
    <t>497</t>
  </si>
  <si>
    <t>Shell - investigate discrepancy between initial and recheck of octane results. D2699/D2700</t>
  </si>
  <si>
    <t>498</t>
  </si>
  <si>
    <t>Delay in investigating EPA Outliers</t>
  </si>
  <si>
    <t>499</t>
  </si>
  <si>
    <t xml:space="preserve">PBF D97 - Discrepancy in load port Barge results vs. barge result at arrival in Los Angeles </t>
  </si>
  <si>
    <t>500</t>
  </si>
  <si>
    <t>IA: QSM Section 14 Purchase Orders missing quality statement</t>
  </si>
  <si>
    <t>501</t>
  </si>
  <si>
    <t>IA: QSM Section 15 Ops ranscription errors and writeovers</t>
  </si>
  <si>
    <t>502</t>
  </si>
  <si>
    <t>IA: LQSM Section 14 TMAs</t>
  </si>
  <si>
    <t>503</t>
  </si>
  <si>
    <t>IA: LQSM Section 18 LSOP-1 not signed, Section 13 Training Records</t>
  </si>
  <si>
    <t>504</t>
  </si>
  <si>
    <t>IA: LQSM Section 17 Reference material / raw data traceability</t>
  </si>
  <si>
    <t>505</t>
  </si>
  <si>
    <t>IA: LQSM Section 10 NCR Procedure</t>
  </si>
  <si>
    <t>506</t>
  </si>
  <si>
    <t>IA: QSM Section 27 Inspection equipment</t>
  </si>
  <si>
    <t>507</t>
  </si>
  <si>
    <t>IA: LQSM Section 15 Calibrations / Veriifications</t>
  </si>
  <si>
    <t>508</t>
  </si>
  <si>
    <t>IA: LQSM Section 14 Method Deviations</t>
  </si>
  <si>
    <t>509</t>
  </si>
  <si>
    <t>IA: LQSM Section 16 SQCs</t>
  </si>
  <si>
    <t>510</t>
  </si>
  <si>
    <t>IA: Method Deviation ASTM D1838</t>
  </si>
  <si>
    <t>511</t>
  </si>
  <si>
    <t>IA: QSM Section 15 Reporting</t>
  </si>
  <si>
    <t>512</t>
  </si>
  <si>
    <t xml:space="preserve">Precision - Instrument Reproducibility - failed GPA 2177-24 reproducibility </t>
  </si>
  <si>
    <t>513</t>
  </si>
  <si>
    <t xml:space="preserve">Precision - Instrument Repeatability - FID passed, TCD failed repeatability. </t>
  </si>
  <si>
    <t>514</t>
  </si>
  <si>
    <t xml:space="preserve">Method Noncompliance - Procedure - does not run GPA 2177 before running GPA 2186 method. </t>
  </si>
  <si>
    <t>515</t>
  </si>
  <si>
    <t>Method noncompliance - Calibration - does not have proper calibration standards for the method.</t>
  </si>
  <si>
    <t>516</t>
  </si>
  <si>
    <t>IA: Method deviation ASTM D6667</t>
  </si>
  <si>
    <t>517</t>
  </si>
  <si>
    <t>IA: LQSM Section 15 Lab equipment calibration records</t>
  </si>
  <si>
    <t>518</t>
  </si>
  <si>
    <t>IA: LQSM Section 7 Sample Management (FL 104)</t>
  </si>
  <si>
    <t>519</t>
  </si>
  <si>
    <t>IA: Quality Bulletin QB-00028 (INSCAL-06 Rev 4.5)</t>
  </si>
  <si>
    <t>520</t>
  </si>
  <si>
    <t>IA: QSM Section 27 Inspection Equipment (H2S Cylinder)</t>
  </si>
  <si>
    <t>521</t>
  </si>
  <si>
    <t>IA: QSM Section 28 Inspector training records</t>
  </si>
  <si>
    <t>522</t>
  </si>
  <si>
    <t>IA: APP-NAM-015A AmSpec SPC QC schedule</t>
  </si>
  <si>
    <t>523</t>
  </si>
  <si>
    <t>IA: LQSM Section 16 QC violations</t>
  </si>
  <si>
    <t>524</t>
  </si>
  <si>
    <t>525</t>
  </si>
  <si>
    <t>IA: Controlled documents</t>
  </si>
  <si>
    <t>526</t>
  </si>
  <si>
    <t>IA: Test method witnessing for D5191</t>
  </si>
  <si>
    <t>527</t>
  </si>
  <si>
    <t>IA: QC charts</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</si>
  <si>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</si>
  <si>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</si>
  <si>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</si>
  <si>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</si>
  <si>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</si>
  <si>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</si>
  <si>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</si>
  <si>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</si>
  <si>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</si>
  <si>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</si>
  <si>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</si>
  <si>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</si>
  <si>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</si>
  <si>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</si>
  <si>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</si>
  <si>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</si>
  <si>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</si>
  <si>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</si>
  <si>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</si>
  <si>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</si>
  <si>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</si>
  <si>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</si>
  <si>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</si>
  <si>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</si>
  <si>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</si>
  <si>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</si>
  <si>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</si>
  <si>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</si>
  <si>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</si>
  <si>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</si>
  <si>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</si>
  <si>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</si>
  <si>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</si>
  <si>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</si>
  <si>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</si>
  <si>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</si>
  <si>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</si>
  <si>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</si>
  <si>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</si>
  <si>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</si>
  <si>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</si>
  <si>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</si>
  <si>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</si>
  <si>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</si>
  <si>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</si>
  <si>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</si>
  <si>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</si>
  <si>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</si>
  <si>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</si>
  <si>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</si>
  <si>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</si>
  <si>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</si>
  <si>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</si>
  <si>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</si>
  <si>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</si>
  <si>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</si>
  <si>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</si>
  <si>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</si>
  <si>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</si>
  <si>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</si>
  <si>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</si>
  <si>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</si>
  <si>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</si>
  <si>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</si>
  <si>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</si>
  <si>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</si>
  <si>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</si>
  <si>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</si>
  <si>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</si>
  <si>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</si>
  <si>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</si>
  <si>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</si>
  <si>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</si>
  <si>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</si>
  <si>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</si>
  <si>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</si>
  <si>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</si>
  <si>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</si>
  <si>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</si>
  <si>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</si>
  <si>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</si>
  <si>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</si>
  <si>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</si>
  <si>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</si>
  <si>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</si>
  <si>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</si>
  <si>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</si>
  <si>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</si>
  <si>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</si>
  <si>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</si>
  <si>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</si>
  <si>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</si>
  <si>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</si>
  <si>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</si>
  <si>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</si>
  <si>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</si>
  <si>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</si>
  <si>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</si>
  <si>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</si>
  <si>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</si>
  <si>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</si>
  <si>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</si>
  <si>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</si>
  <si>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</si>
  <si>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</si>
  <si>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</si>
  <si>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</si>
  <si>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</si>
  <si>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</si>
  <si>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</si>
  <si>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</si>
  <si>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</si>
  <si>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</si>
  <si>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</si>
  <si>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</si>
  <si>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</si>
  <si>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</si>
  <si>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</si>
  <si>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</si>
  <si>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</si>
  <si>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</si>
  <si>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</si>
  <si>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</si>
  <si>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</si>
  <si>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</si>
  <si>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</si>
  <si>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</si>
  <si>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</si>
  <si>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</si>
  <si>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</si>
  <si>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</si>
  <si>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</si>
  <si>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</si>
  <si>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</si>
  <si>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</si>
  <si>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</si>
  <si>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</si>
  <si>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</si>
  <si>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</si>
  <si>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</si>
  <si>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</si>
  <si>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</si>
  <si>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</si>
  <si>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</si>
  <si>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</si>
  <si>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</si>
  <si>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</si>
  <si>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</si>
  <si>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</si>
  <si>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</si>
  <si>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</si>
  <si>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</si>
  <si>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</si>
  <si>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</si>
  <si>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</si>
  <si>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</si>
  <si>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</si>
  <si>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</si>
  <si>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</si>
  <si>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</si>
  <si>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</si>
  <si>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</si>
  <si>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</si>
  <si>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</si>
  <si>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</si>
  <si>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</si>
  <si>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</si>
  <si>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</si>
  <si>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</si>
  <si>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</si>
  <si>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</si>
  <si>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</si>
  <si>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</si>
  <si>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</si>
  <si>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</si>
  <si>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</si>
  <si>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</si>
  <si>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</si>
  <si>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</si>
  <si>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</si>
  <si>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</si>
  <si>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</si>
  <si>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</si>
  <si>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</si>
  <si>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</si>
  <si>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</si>
  <si>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</si>
  <si>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</si>
  <si>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</si>
  <si>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</si>
  <si>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</si>
  <si>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</si>
  <si>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</si>
  <si>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</si>
  <si>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</si>
  <si>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</si>
  <si>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</si>
  <si>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</si>
  <si>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</si>
  <si>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</si>
  <si>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</si>
  <si>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</si>
  <si>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</si>
  <si>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</si>
  <si>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</si>
  <si>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</si>
  <si>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</si>
  <si>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</si>
  <si>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</si>
  <si>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</si>
  <si>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</si>
  <si>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</si>
  <si>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</si>
  <si>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</si>
  <si>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</si>
  <si>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</si>
  <si>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</si>
  <si>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</si>
  <si>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</si>
  <si>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</si>
  <si>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</si>
  <si>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</si>
  <si>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</si>
  <si>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</si>
  <si>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</si>
  <si>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</si>
  <si>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</si>
  <si>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</si>
  <si>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</si>
  <si>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</si>
  <si>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</si>
  <si>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</si>
  <si>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</si>
  <si>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</si>
  <si>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</si>
  <si>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</si>
  <si>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</si>
  <si>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</si>
  <si>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</si>
  <si>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</si>
  <si>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</si>
  <si>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</si>
  <si>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</si>
  <si>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</si>
  <si>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</si>
  <si>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</si>
  <si>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</si>
  <si>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</si>
  <si>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</si>
  <si>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</si>
  <si>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</si>
  <si>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</si>
  <si>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</si>
  <si>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</si>
  <si>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</si>
  <si>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</si>
  <si>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</si>
  <si>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</si>
  <si>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</si>
  <si>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</si>
  <si>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</si>
  <si>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</si>
  <si>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</si>
  <si>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</si>
  <si>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</si>
  <si>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</si>
  <si>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</si>
  <si>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</si>
  <si>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</si>
  <si>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</si>
  <si>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</si>
  <si>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</si>
  <si>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</si>
  <si>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</si>
  <si>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</si>
  <si>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</si>
  <si>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</si>
  <si>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</si>
  <si>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</si>
  <si>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</si>
  <si>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</si>
  <si>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</si>
  <si>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</si>
  <si>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</si>
  <si>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</si>
  <si>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</si>
  <si>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</si>
  <si>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</si>
  <si>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</si>
  <si>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</si>
  <si>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</si>
  <si>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</si>
  <si>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</si>
  <si>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</si>
  <si>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</si>
  <si>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</si>
  <si>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</si>
  <si>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</si>
  <si>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</si>
  <si>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</si>
  <si>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</si>
  <si>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</si>
  <si>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</si>
  <si>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</si>
  <si>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</si>
  <si>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</si>
  <si>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</si>
  <si>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</si>
  <si>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</si>
  <si>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</si>
  <si>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</si>
  <si>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</si>
  <si>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</si>
  <si>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</si>
  <si>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</si>
  <si>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</si>
  <si>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</si>
  <si>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</si>
  <si>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</si>
  <si>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</si>
  <si>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</si>
  <si>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</si>
  <si>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</si>
  <si>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</si>
  <si>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</si>
  <si>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</si>
  <si>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</si>
  <si>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</si>
  <si>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</si>
  <si>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</si>
  <si>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</si>
  <si>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</si>
  <si>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</si>
  <si>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</si>
  <si>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</si>
  <si>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</si>
  <si>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</si>
  <si>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</si>
  <si>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</si>
  <si>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</si>
  <si>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</si>
  <si>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</si>
  <si>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</si>
  <si>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</si>
  <si>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</si>
  <si>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</si>
  <si>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</si>
  <si>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</si>
  <si>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</si>
  <si>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</si>
  <si>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</si>
  <si>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</si>
  <si>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</si>
  <si>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</si>
  <si>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</si>
  <si>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</si>
  <si>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</si>
  <si>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</si>
  <si>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</si>
  <si>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</si>
  <si>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</si>
  <si>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</si>
  <si>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</si>
  <si>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</si>
  <si>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</si>
  <si>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</si>
  <si>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</si>
  <si>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</si>
  <si>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</si>
  <si>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</si>
  <si>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</si>
  <si>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</si>
  <si>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</si>
  <si>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</si>
  <si>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</si>
  <si>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</si>
  <si>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</si>
  <si>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</si>
  <si>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</si>
  <si>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</si>
  <si>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</si>
  <si>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</si>
  <si>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</si>
  <si>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</si>
  <si>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</si>
  <si>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</si>
  <si>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</si>
  <si>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</si>
  <si>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</si>
  <si>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</si>
  <si>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</si>
  <si>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</si>
  <si>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</si>
  <si>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</si>
  <si>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</si>
  <si>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</si>
  <si>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</si>
  <si>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</si>
  <si>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</si>
  <si>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</si>
  <si>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</si>
  <si>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</si>
  <si>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</si>
  <si>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</si>
  <si>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</si>
  <si>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</si>
  <si>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</si>
  <si>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</si>
  <si>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</si>
  <si>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</si>
  <si>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</si>
  <si>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</si>
  <si>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</si>
  <si>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</si>
  <si>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</si>
  <si>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</si>
  <si>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</si>
  <si>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</si>
  <si>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</si>
  <si>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</si>
  <si>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</si>
  <si>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</si>
  <si>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</si>
  <si>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</si>
  <si>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</si>
  <si>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</si>
  <si>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</si>
  <si>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</si>
  <si>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</si>
  <si>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</si>
  <si>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</si>
  <si>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</si>
  <si>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</si>
  <si>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</si>
  <si>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</si>
  <si>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</si>
  <si>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</si>
  <si>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</si>
  <si>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</si>
  <si>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</si>
  <si>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</si>
  <si>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</si>
  <si>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</si>
  <si>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</si>
  <si>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</si>
  <si>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</si>
  <si>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</si>
  <si>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</si>
  <si>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</si>
  <si>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</si>
  <si>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</si>
  <si>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</si>
  <si>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</si>
  <si>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</si>
  <si>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</si>
  <si>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</si>
  <si>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</si>
  <si>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</si>
  <si>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</si>
  <si>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</si>
  <si>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</si>
  <si>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</si>
  <si>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</si>
  <si>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</si>
  <si>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</si>
  <si>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</si>
  <si>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</si>
  <si>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</si>
  <si>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</si>
  <si>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</si>
  <si>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</si>
  <si>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PAR #</t>
  </si>
  <si>
    <t>PAR type</t>
  </si>
  <si>
    <r>
      <t xml:space="preserve">BRIEF DESCRIPTION OF PAR
</t>
    </r>
    <r>
      <rPr>
        <i/>
        <sz val="11"/>
        <color theme="1"/>
        <rFont val="Calibri"/>
        <family val="2"/>
        <scheme val="minor"/>
      </rPr>
      <t>if VOID:  Location, type, details (initials, date)</t>
    </r>
  </si>
  <si>
    <t>PAR initialized date</t>
  </si>
  <si>
    <t>Date closed</t>
  </si>
  <si>
    <t>Area (Ops, Lab, Misc.)
(drop-down)</t>
  </si>
  <si>
    <t>Suggest utilizing new tools for better maintenance, monitoring, and traceability on the D2966 Research Engine.</t>
  </si>
  <si>
    <t xml:space="preserve">Relating to requirement 6.4.8 - Witnessed that at ASTM D5002 workstation, lab’s green internal ID label w/ cal-related info had this Anton Paar instrument for use as (only) as D4052 instrument (though it’s capable of both method). </t>
  </si>
  <si>
    <t xml:space="preserve">Relating to requirement 7.5.1 - Observation 2 a &amp; b – a) At ASTM D445 Kinematic Viscosity workstation witnessed technician documenting results to scrap paper (to later be transferred to bench data sheet), lacking specifics of task, e.g., method number, time and date reading were made. b) – at ASTM D1298 and D287 workstations acting bench sheet is a sticky note, tech said info (w/ equip serial num and result) from there is THEN transferred to laptop. It’s understood that this was not the normal SOP, but was a work around for the assessment’s non-actual samples.  </t>
  </si>
  <si>
    <t xml:space="preserve">Be careful not to accumulate uncontrolled, not-dated, irrelevant labels such as at this instrument such as was found at the OptiDist instrument at method D86 workstation </t>
  </si>
  <si>
    <t>D445-The local logbook will be updated, and the lab will use different viscometers for duplicate analysis.</t>
  </si>
  <si>
    <t>Update the calibration/verification schedule with necessary activities for each instrument. Recalibrate instruments before use (e.g., tachometer, flow meter), replace thermometer with faded IDs, and address AOC items 11, 14, 15, 17, 18, 19, and 20 from the ISO 9001 IA report.</t>
  </si>
  <si>
    <t>Instrument binders still utilizing 10 tab system. Uncontroled methods (obsolete revision) observed in the binders. AOC item # 6 &amp; 7. ISO 9001 IA report.</t>
  </si>
  <si>
    <t>Method specific TMAs are not being utilized.</t>
  </si>
  <si>
    <t>Incomplete inspector binders. Item# 5 and 13 ISO 9001 IA report.</t>
  </si>
  <si>
    <t>Not reporting PT on 17025 scope; has capabilities, but was not reported (response to A2LA assessor discussion)</t>
  </si>
  <si>
    <t>Improve communication of external audit findings</t>
  </si>
  <si>
    <t>VOID: Mickleton, 2024 PBMS Attest Prep (AH, 04/23/2025)</t>
  </si>
  <si>
    <t>PAR initiated Feb 2025, upgraded to CAR Apr 2025. See C179-180-25</t>
  </si>
  <si>
    <t>Regularly reviewing and updating company controlled documents</t>
  </si>
  <si>
    <t>Implementing new safety training programs for lab staff</t>
  </si>
  <si>
    <t>Training Record</t>
  </si>
  <si>
    <t>No PAR issued</t>
  </si>
  <si>
    <t>TMA schedule</t>
  </si>
  <si>
    <t>Sampling questions</t>
  </si>
  <si>
    <t>CAF011-161-25</t>
  </si>
  <si>
    <t>ATA claim on Approximate volumes</t>
  </si>
  <si>
    <t>CAF014-120-25</t>
  </si>
  <si>
    <t>ATA - Iron/Org Chloride reporting and rounding results</t>
  </si>
  <si>
    <t>Equipment - Calibrations / Documentation</t>
  </si>
  <si>
    <t>Chevron - D4294 Instrument to be adjusted to only perform one single reading instead of triplicates per run.</t>
  </si>
  <si>
    <t>Chevron - D4294  Record investigation on SQC chart violations (comments)</t>
  </si>
  <si>
    <t>Chevron - D5002 No laboratory control sample (LCS) for crude oil.</t>
  </si>
  <si>
    <t xml:space="preserve">Inspector used vessels equipment without following Exxon Baytown’s procedures in notifying the marine supervisor’s permission to gauge </t>
  </si>
  <si>
    <t>Thermometer in use (12F SN: 4274) lacked initial calibration certificates as required; nonconformance with ISO/IEC 17025:2017 clauses 6.4.4 and 6.5.1.</t>
  </si>
  <si>
    <t>MPC - Building evacuation plans were not adequately displayed (new admin area)</t>
  </si>
  <si>
    <t>MPC - Inspector has expired PET and H2S bump test not completed monthly.</t>
  </si>
  <si>
    <t>MPC - D7169 Lack of maintenance record and consider additional ventilation when handling CS2.</t>
  </si>
  <si>
    <t>Chevron Pascagoula - H2S Bump Test records</t>
  </si>
  <si>
    <t>Audit No.: A094-146-25</t>
  </si>
  <si>
    <t>Sample Management - Lab composite samples were not recorded on SR-1s and AIMS labels are placed over inspector raw data.</t>
  </si>
  <si>
    <t>Lab Training - Ethics  and Data Integrity training for 2025 still pending for some lab staff. Several FL13.1a and FL13.1b missing approval initial and date.</t>
  </si>
  <si>
    <t>New revision of LC 101 not updated for local phosphorus calibration</t>
  </si>
  <si>
    <t>Requested by K. Briggs Aug 13</t>
  </si>
  <si>
    <t>Several items from the audit A090-199-25  under the heading Opportunities for Improvement and Areas of Concern</t>
  </si>
  <si>
    <t>OFIs from audit #A068-189-25</t>
  </si>
  <si>
    <t>AOCs from audit #A068-189-25</t>
  </si>
  <si>
    <t>Recommend inspectors keep DOT box to transport samples in their vehicle</t>
  </si>
  <si>
    <t>Marathon Audit A091-185-25</t>
  </si>
  <si>
    <t>Recommend properly sealing octane reference fuel dispensing lines to avoid
contamination</t>
  </si>
  <si>
    <t xml:space="preserve">Recommend evaluation of direct analyst population of the control chart or establishing a management system to ensure acceptance criteria on the hardcopy sheet remain current.  
</t>
  </si>
  <si>
    <t xml:space="preserve">MPC requests that all records be retained for a total of five years in accordance with company expectations and alignment to Section 7.5 of ASTM D6792.   </t>
  </si>
  <si>
    <t>Request that all subcontracted samples to another facility, including other AmSpec locations, be communicated to MPC to ensure proper vetting of the alternative location is in place prior to any work being performed.</t>
  </si>
  <si>
    <t>For Arear of Concers and Opportunities for Improvement for A089-188-25</t>
  </si>
  <si>
    <t>Audit No.: A089-188-25</t>
  </si>
  <si>
    <t>Uncontrolled documents. Item# 2, 5, and 16 on ISO 17025 audit report</t>
  </si>
  <si>
    <t>Delay in entering QCs into QC+ and snapshot lot# and comment details could use improvement</t>
  </si>
  <si>
    <t>No CoA available for D1319 reagent dye gel, no evidence torque wrench used for engine maintenance has ISO 17025 calibration</t>
  </si>
  <si>
    <t>FL 15.3 not completed with all information item#6, 7,9, 10, 15 on ISO 17025 audit report</t>
  </si>
  <si>
    <t>Engine maintenance records (octane and cetane). Item #6 and 7 on ISO 17025 audit report</t>
  </si>
  <si>
    <t xml:space="preserve"> D2500/D97 Label each thermometer individually with acceptance range.  
</t>
  </si>
  <si>
    <t>D4294 - The cell was punctured to prevent bowing of the film, but the method does not specify this
requirement.</t>
  </si>
  <si>
    <t xml:space="preserve"> Lab training for S. Trinh for D5453 - raw data confirms matrix but ran with 4 replicates instead of 3.
and item 5 from ISO 17025 IA report.</t>
  </si>
  <si>
    <t xml:space="preserve">Form used locally for documenting D473 Sediment by Extraction, should be controlled.
</t>
  </si>
  <si>
    <t xml:space="preserve">Homogenizer validation (ASTM D5854) has not been completed but should be considered as it is
referenced in D4928.
</t>
  </si>
  <si>
    <t xml:space="preserve">“Autosampler Performance Report” (AmSp-form ASPR V3-rev 1, 07/21) used at this location should
be validated since it was difficult to determine the validity of the calculations.
</t>
  </si>
  <si>
    <t>FL103- Inspection performed by and Manager approval are both done K’Ylon Green.</t>
  </si>
  <si>
    <t>Audit No.: A081-171-24</t>
  </si>
  <si>
    <t>Flash Printout noted as invalid</t>
  </si>
  <si>
    <t>Open dates not recorded on all standard / chemical bottles</t>
  </si>
  <si>
    <t>D2622 mylar film lot not recorded</t>
  </si>
  <si>
    <t xml:space="preserve"> Blank worksheets provided for methods on the scope did not include all data required for traceability.</t>
  </si>
  <si>
    <t>DNV - finding #YATPAT-0002-2950413, Management Review -  consideration may be given to include clear trends of inputs, enabling the identification of opportunities for improvement and focused analysis on areas that require enhancement.</t>
  </si>
  <si>
    <t>From 2025 DNV report PRJC-75345-2008-MSC-USA</t>
  </si>
  <si>
    <t>Types of Deficiency</t>
  </si>
  <si>
    <t>Types of Root Cause</t>
  </si>
  <si>
    <t>CAR  / PAR Area</t>
  </si>
  <si>
    <t>Location</t>
  </si>
  <si>
    <t>Area</t>
  </si>
  <si>
    <t>Equipment &amp; Reagent status</t>
  </si>
  <si>
    <t>Communication</t>
  </si>
  <si>
    <t>A&amp;B-BR</t>
  </si>
  <si>
    <t>Management (CQI, Quality Policy posting, PO, AVL, CAR/PAR)</t>
  </si>
  <si>
    <t>Equipment/ calibration</t>
  </si>
  <si>
    <t>A&amp;B-HOU</t>
  </si>
  <si>
    <t>PT</t>
  </si>
  <si>
    <t>Ineffective/ Lack system/ procedure</t>
  </si>
  <si>
    <t>A&amp;B-NED</t>
  </si>
  <si>
    <t>Safety</t>
  </si>
  <si>
    <t>Negligence (typo, no review)</t>
  </si>
  <si>
    <t>A&amp;B-TEM</t>
  </si>
  <si>
    <t>Technical (Calibration/ Verification/ Maintenance/ PT/ method deviation)</t>
  </si>
  <si>
    <t>Normal statistics variance - no CA</t>
  </si>
  <si>
    <t>USGC</t>
  </si>
  <si>
    <t>Traceability and records (SR-1, raw data)</t>
  </si>
  <si>
    <t>Training/ competency</t>
  </si>
  <si>
    <t>USNE, USMW &amp; Canada</t>
  </si>
  <si>
    <t>Training (include quality, safety, ethics)</t>
  </si>
  <si>
    <t>Unmanaged risks</t>
  </si>
  <si>
    <t>SE &amp; Caribbean</t>
  </si>
  <si>
    <t>Cause of NC</t>
  </si>
  <si>
    <t>USWC</t>
  </si>
  <si>
    <t>Environment (Poor housekeeping, insufficient space, clutter)</t>
  </si>
  <si>
    <t>CAF Area</t>
  </si>
  <si>
    <t>Ops</t>
  </si>
  <si>
    <t>Scope (assessment tracking)</t>
  </si>
  <si>
    <t>Admin</t>
  </si>
  <si>
    <t>Other</t>
  </si>
  <si>
    <t>Corporate</t>
  </si>
  <si>
    <t>Type of Assessment (Assessment tracking)</t>
  </si>
  <si>
    <t>Corpus Christi, TX (CITGO Lab)</t>
  </si>
  <si>
    <t>Agency type (Assessment Tracking)</t>
  </si>
  <si>
    <t>120W</t>
  </si>
  <si>
    <t>Calibration</t>
  </si>
  <si>
    <t>155A</t>
  </si>
  <si>
    <t>Midland, TX</t>
  </si>
  <si>
    <t>120a</t>
  </si>
  <si>
    <t>Phoenix, AZ</t>
  </si>
  <si>
    <t>160A</t>
  </si>
  <si>
    <t>Port Lavaca, TX</t>
  </si>
  <si>
    <t>Extras</t>
  </si>
  <si>
    <t>Warehouse</t>
  </si>
  <si>
    <t>Additives East Coast</t>
  </si>
  <si>
    <t>Additives Gulf Coast</t>
  </si>
  <si>
    <t>Utah</t>
  </si>
  <si>
    <t>Cameron LNG</t>
  </si>
  <si>
    <t>Specialty</t>
  </si>
  <si>
    <t>Kenner, LA</t>
  </si>
  <si>
    <t>Santurce, Puerto Rico</t>
  </si>
  <si>
    <t>Boucherville, QC</t>
  </si>
  <si>
    <t>CAF#</t>
  </si>
  <si>
    <t>Date initiated</t>
  </si>
  <si>
    <t>Date shared w/ customer</t>
  </si>
  <si>
    <t>Corrective Action completed, CAR approved.</t>
  </si>
  <si>
    <t>Brief description of complaint</t>
  </si>
  <si>
    <r>
      <t xml:space="preserve">Area (Lab, Ops, Lab &amp; Ops, Admin, Other, Void)
</t>
    </r>
    <r>
      <rPr>
        <i/>
        <sz val="11"/>
        <rFont val="Calibri"/>
        <family val="2"/>
        <scheme val="minor"/>
      </rPr>
      <t>(drop-down)</t>
    </r>
  </si>
  <si>
    <t>CAR / PAR # (if applicable)</t>
  </si>
  <si>
    <t>PBF - The client was not informed of the vessel's short loading due to draft restrictions</t>
  </si>
  <si>
    <t>C001-132-25</t>
  </si>
  <si>
    <t>Irving - Repeatedly failing to send emails to Irving with the correct email distribution</t>
  </si>
  <si>
    <t>C004-141-25</t>
  </si>
  <si>
    <t>Irving - Using additives not registered with EPA.</t>
  </si>
  <si>
    <t>C023-110-25</t>
  </si>
  <si>
    <t>C086-147-25</t>
  </si>
  <si>
    <t xml:space="preserve">Irving Oil - Inspectors sampler tape and tube fell into vessels tank. </t>
  </si>
  <si>
    <t>C087-101-25</t>
  </si>
  <si>
    <t>Valero - Cetane Engine Fluctuating Readings and Lack of Action Leading to Client Request for Recheck on Two Samples</t>
  </si>
  <si>
    <t>C099-131-25</t>
  </si>
  <si>
    <t>PBF - SimDIst bias result for heavy crude oil.</t>
  </si>
  <si>
    <t>C120-170-25</t>
  </si>
  <si>
    <t>PBF - Inspector compiling/providing an incorrect VEF</t>
  </si>
  <si>
    <t>C040-130-25</t>
  </si>
  <si>
    <t>P66 - Web 331; Web 351 - barges overloaded</t>
  </si>
  <si>
    <t>C140-157-25</t>
  </si>
  <si>
    <t>PBF - Failure to Communicate and Investigate Discrepancies Before Preliminary Submission.</t>
  </si>
  <si>
    <t>C160-131-25 &amp; C161-131-25</t>
  </si>
  <si>
    <t>Follow up in 90 Days</t>
  </si>
  <si>
    <t>ExxonMobil - Baytown, customer question sampling point.</t>
  </si>
  <si>
    <t>P019-161-25</t>
  </si>
  <si>
    <t>ATA - Metal Transcription Error</t>
  </si>
  <si>
    <t>C163-160-25</t>
  </si>
  <si>
    <t>ATA - D1160  Transcription Error</t>
  </si>
  <si>
    <t>C164-160-25</t>
  </si>
  <si>
    <t>P020-120-25</t>
  </si>
  <si>
    <t>Irving - not gauging to nearest mm</t>
  </si>
  <si>
    <t>C191-155-25</t>
  </si>
  <si>
    <t>Pilot - D5453  Non confirming test result</t>
  </si>
  <si>
    <t>C192-130-25</t>
  </si>
  <si>
    <t>C203-180-25</t>
  </si>
  <si>
    <t>C223-150-25</t>
  </si>
  <si>
    <t>C241-120-25</t>
  </si>
  <si>
    <t>Irving - Inspector did not witness lab testing as required</t>
  </si>
  <si>
    <t>C260-199-25</t>
  </si>
  <si>
    <t>Irving - Inspector did not take sufficient temperatires on a stratified shore tank</t>
  </si>
  <si>
    <t>C261-199-25</t>
  </si>
  <si>
    <t>Irving - Inspector gauged the wrong shore tank</t>
  </si>
  <si>
    <t>C292-199-25</t>
  </si>
  <si>
    <t>PBF - use of closed system sampling on barges equipped with non-slotted standpipes resulted in incorrrect Sulfur result being reported.</t>
  </si>
  <si>
    <t>C311-170-25</t>
  </si>
  <si>
    <t>Antilles Trading Company - Client expressed loss of confidence after delayed RVP correction and CoA amendment five days post-analysis and post-transfer. Cited prior unresolved complaints and paused service for one month.</t>
  </si>
  <si>
    <t>C324-210-25</t>
  </si>
  <si>
    <t>PBF - Inspector compiling/providing an incorrect VEF.</t>
  </si>
  <si>
    <t xml:space="preserve">C315-130-25 </t>
  </si>
  <si>
    <t>This CAF is related to CAF008-130-25 and addresses a recurring issue</t>
  </si>
  <si>
    <t>Irving - The field inspectors failure to gauge and quantify the volumes received into the ROT tank(s)
-The operations group failure to catch the missing ~500 bbls prior to releasing the report</t>
  </si>
  <si>
    <t>C319-141-25</t>
  </si>
  <si>
    <t>Irving - numerous “after discharge” COA’s revisions</t>
  </si>
  <si>
    <t>C320-141-25</t>
  </si>
  <si>
    <t>P66 - Discrepancy in Barge composite results: SF vs LA Arrival Samples.</t>
  </si>
  <si>
    <t>C326-131-25</t>
  </si>
  <si>
    <t>Valero - Ops communication and sampling</t>
  </si>
  <si>
    <t>C343-110-25 &amp; C344-110-25</t>
  </si>
  <si>
    <t>C346-157-25</t>
  </si>
  <si>
    <t>Location 161 Baytown / J. Banuelos</t>
  </si>
  <si>
    <t>ATA - The Shore Tank analysis was performed using an incorrect test method</t>
  </si>
  <si>
    <t>C354-160-25</t>
  </si>
  <si>
    <t>Citgo - Use expired gauged tape</t>
  </si>
  <si>
    <t>C378-165-25</t>
  </si>
  <si>
    <t>C379-161-25</t>
  </si>
  <si>
    <t>C380-130-25</t>
  </si>
  <si>
    <t>PBF - D56 - discrepancy in reported flash point result. Composite vs. individual compartments.</t>
  </si>
  <si>
    <t>C387-131-25</t>
  </si>
  <si>
    <t>Citgo - Inspector late arrival resulted in reschedule of the vessel pilot for departure.</t>
  </si>
  <si>
    <t>C399-165-25</t>
  </si>
  <si>
    <t>C403-120-25</t>
  </si>
  <si>
    <t>C404-150-25</t>
  </si>
  <si>
    <t>PBF - Off spec lubricity result due to imprper sampling</t>
  </si>
  <si>
    <t>C406-170-25</t>
  </si>
  <si>
    <t xml:space="preserve">Irving - Inspector did not properly measure and document material in the slop tank on a vessel. </t>
  </si>
  <si>
    <t>C419-199-25</t>
  </si>
  <si>
    <t>Musket Customer - Ops poor communication and lab turnaround time</t>
  </si>
  <si>
    <t>Off spec asphalt</t>
  </si>
  <si>
    <t>C433-155-25</t>
  </si>
  <si>
    <t>PBF - Dispatching error - no sampler assigned for Webb Moffett Vessel</t>
  </si>
  <si>
    <t>C434-130-25</t>
  </si>
  <si>
    <t>PBF - No manual gauge obtained on Barge after discharge - Webb Moffett</t>
  </si>
  <si>
    <t>C435-130-25</t>
  </si>
  <si>
    <t>C476-120-25</t>
  </si>
  <si>
    <t>Marathon - Inspector failed to confirm if the railcar numbers at the loading rack matched Marathon’s nomination prior to sampling</t>
  </si>
  <si>
    <t>C477-120-25</t>
  </si>
  <si>
    <t>C497-130-25</t>
  </si>
  <si>
    <t>C499-130-25</t>
  </si>
  <si>
    <t>PTO #</t>
  </si>
  <si>
    <r>
      <t xml:space="preserve">BRIEF DESCRIPTION OF NC
</t>
    </r>
    <r>
      <rPr>
        <i/>
        <sz val="11"/>
        <color theme="1"/>
        <rFont val="Calibri"/>
        <family val="2"/>
        <scheme val="minor"/>
      </rPr>
      <t>if VOID:  "VOID, Location,  
details (initials, date)"</t>
    </r>
  </si>
  <si>
    <t>PT Program</t>
  </si>
  <si>
    <t>Parameter (s)</t>
  </si>
  <si>
    <t>Z-score (s)</t>
  </si>
  <si>
    <t>PTO initialized date</t>
  </si>
  <si>
    <t>Effectiveness Review &amp; date deemed effective</t>
  </si>
  <si>
    <t>0001</t>
  </si>
  <si>
    <t>PT: iis24C04; E346 -  carbonizable Pt/Co, Z-Score = 3.09</t>
  </si>
  <si>
    <t>IIS - MEOH</t>
  </si>
  <si>
    <t>0002</t>
  </si>
  <si>
    <t>PT: iis24C04; E394 - Iron, Z-Score = -3.53</t>
  </si>
  <si>
    <t>0003</t>
  </si>
  <si>
    <t>PT: iis24CO4; E1064 -  Water, Z-Score = 4.75</t>
  </si>
  <si>
    <t>0004</t>
  </si>
  <si>
    <t>PT: DF22410; D4629 - Nitrogen, by Chemiluminescence, Z-Score = 2.73</t>
  </si>
  <si>
    <t>DF2</t>
  </si>
  <si>
    <t>0005</t>
  </si>
  <si>
    <t>PT: DF22410; D6468 - Stability, High Temp, 90 min. aging, Z-Score = -2.10</t>
  </si>
  <si>
    <t>0006</t>
  </si>
  <si>
    <t>PT: CE524; D2699 - Octane Number, Research, Z-Score = -2.35</t>
  </si>
  <si>
    <t>GLRE</t>
  </si>
  <si>
    <t>-2.35</t>
  </si>
  <si>
    <t>0007</t>
  </si>
  <si>
    <t>PT: CE523; D5769 - GCMS, Benzene</t>
  </si>
  <si>
    <t>JN</t>
  </si>
  <si>
    <t xml:space="preserve">Meets both the precision performance and reproducibility criteria. </t>
  </si>
  <si>
    <t>0008</t>
  </si>
  <si>
    <t>PT: CE524; D2700 - Octane Number, Motor, Z-Score = -2.28</t>
  </si>
  <si>
    <t>-2.28</t>
  </si>
  <si>
    <t>Confirmed Transcription Error.</t>
  </si>
  <si>
    <t>0009</t>
  </si>
  <si>
    <t>PT: CE524; D2622 - Sulfur, by WDXRF</t>
  </si>
  <si>
    <t>-2.15</t>
  </si>
  <si>
    <t>0010</t>
  </si>
  <si>
    <t>PT: CE524; D86 - Distillation, 70%</t>
  </si>
  <si>
    <t>-2.67</t>
  </si>
  <si>
    <t>0011</t>
  </si>
  <si>
    <t>PT: CE524; D1319 - HC Type, Saturates, Aromatics, &amp; Olefins, Oxy-Free, Z-Scores = -77.76, -10.39, &amp; 151.56</t>
  </si>
  <si>
    <t>-77.76, -10.39, &amp; 151.56</t>
  </si>
  <si>
    <t>0012</t>
  </si>
  <si>
    <t>PT: BIOD2408; D6584 - Diglyceride, by GC</t>
  </si>
  <si>
    <t>-2.21</t>
  </si>
  <si>
    <t>0013</t>
  </si>
  <si>
    <t>PT: BIOD2408; D1160 - Distillation, 1.3kPa, Auto, IBP, Z-Score = -2.50</t>
  </si>
  <si>
    <t>-2.50</t>
  </si>
  <si>
    <t>0014</t>
  </si>
  <si>
    <t>PT: BIOD2408; D6584 - Triglyceride, by GC, Z-Score = 5.53</t>
  </si>
  <si>
    <t>0015</t>
  </si>
  <si>
    <t>PT: BIOD2408; EN 15751 - Oxidation Stability, Z-Score = 2.58</t>
  </si>
  <si>
    <t>0016</t>
  </si>
  <si>
    <t>PT: BIOD2408; D2500 - Cloud Point, biodiesel, Z-Score = 2.10</t>
  </si>
  <si>
    <t>0017</t>
  </si>
  <si>
    <t>PT: BIOD2408; EN 14538 - Elements, Na + K, by ICP/OES</t>
  </si>
  <si>
    <t>0018</t>
  </si>
  <si>
    <t>PT: BIOD2408; D7039 - Sulfur, by MWDXRF</t>
  </si>
  <si>
    <t>0019</t>
  </si>
  <si>
    <t>PT: BIOD2408; D445 - Viscosity, Kinematic, 40 °C, Z-Score = -2.02</t>
  </si>
  <si>
    <t>-2.02</t>
  </si>
  <si>
    <t>0020</t>
  </si>
  <si>
    <t>PT: BIOD2408; D7042 - Viscosity, Stabinger, Kin, 40 °C, Z-Score = -2.30</t>
  </si>
  <si>
    <t>-2.30</t>
  </si>
  <si>
    <t>0021</t>
  </si>
  <si>
    <t>PT: BIOD2408; D5773 - Cloud Point, Constant Cool</t>
  </si>
  <si>
    <t>0022</t>
  </si>
  <si>
    <t>PT: RFG2411; D1319 - HC Type, Saturates, Oxy-Free, Z-Score = -2.13</t>
  </si>
  <si>
    <t>-2.13</t>
  </si>
  <si>
    <t>0023</t>
  </si>
  <si>
    <t>PT: DF22410; D5186 - HC Type, by SFC, Mono Aromatics</t>
  </si>
  <si>
    <t>-2.36</t>
  </si>
  <si>
    <t>0024</t>
  </si>
  <si>
    <t>PT: MG2408; D86 - Distillation, Auto, 95%, °F (EPA)</t>
  </si>
  <si>
    <t>0025</t>
  </si>
  <si>
    <t>PT: MG2408; D5769 - Toluene, by GC/MS</t>
  </si>
  <si>
    <t>0026</t>
  </si>
  <si>
    <t>PT: MG2408; D86 - Distillation, Auto, 90%, °F (EPA) &amp; % Resid</t>
  </si>
  <si>
    <t>2.19 &amp; 2.36</t>
  </si>
  <si>
    <t>0027</t>
  </si>
  <si>
    <t>PT: MG2408; D4052 - Density, Digital, 15 °C</t>
  </si>
  <si>
    <t>0028</t>
  </si>
  <si>
    <t>PT: MG2408; D86 - Distillation, Auto, FBP, °F (EPA)</t>
  </si>
  <si>
    <t>0029</t>
  </si>
  <si>
    <t>PT: MG2408; D4052 - API Gravity, Digital, 15 °C</t>
  </si>
  <si>
    <t>0030</t>
  </si>
  <si>
    <t>PT: MG2408; D5580 - C9+ Aromatics, by GC</t>
  </si>
  <si>
    <t>0031</t>
  </si>
  <si>
    <t>PT: MG2408; D86 - Distillation, Auto, 90% &amp; 90%, °F (EPA)</t>
  </si>
  <si>
    <t>-2.32 &amp; -2.80</t>
  </si>
  <si>
    <t>0032</t>
  </si>
  <si>
    <t>PT: iis24F01; D445 - Kinematic Viscosity, at 100oC</t>
  </si>
  <si>
    <t>0033</t>
  </si>
  <si>
    <t>PT: iis24F01; D93 - Flash Point, Procedure B</t>
  </si>
  <si>
    <t>-2.23</t>
  </si>
  <si>
    <t>0034</t>
  </si>
  <si>
    <t>PT: RFG2411; D86 - Distillation, Auto, E200 °F, % (EPA)</t>
  </si>
  <si>
    <t>0035</t>
  </si>
  <si>
    <t>PT: RFG2411; D86 - Distillation, Auto, 60% - FBP</t>
  </si>
  <si>
    <t xml:space="preserve">Multiple </t>
  </si>
  <si>
    <t>0036</t>
  </si>
  <si>
    <t>PT: RFG2411; D5769 - Benzene, by GC/MS</t>
  </si>
  <si>
    <t>0037</t>
  </si>
  <si>
    <t>PT: RFG2411; D86 - Distillation, Auto, FBP</t>
  </si>
  <si>
    <t>0038</t>
  </si>
  <si>
    <t>PT: RFG2411; D86 - Distillation, Auto, % Evap (EPA)</t>
  </si>
  <si>
    <t>0039</t>
  </si>
  <si>
    <t>PT: MG2408; D5453 - Sulfur, by UVF, Z-Score = 2.31</t>
  </si>
  <si>
    <t>0040</t>
  </si>
  <si>
    <t>PT: MG2408; D5769 - Aromatics, Total, by GC/MS &amp; (EPA), Z-Scores = 7.44 &amp; 7.51</t>
  </si>
  <si>
    <t>7.44 &amp; 7.51</t>
  </si>
  <si>
    <t>0041</t>
  </si>
  <si>
    <t>PT: MG2408; D86 - Distillation, Auto, 90%, Z-Score = -12.06</t>
  </si>
  <si>
    <t>-12.06</t>
  </si>
  <si>
    <t>0042</t>
  </si>
  <si>
    <t>PT: MG2408; D5453 - Sulfur, by UVF, Z-Score = 2.52</t>
  </si>
  <si>
    <t>0043</t>
  </si>
  <si>
    <t>PT: MG2408; D3231 - Element, Phosphorus, by combusition/colorometric, Z-Score = 3.76</t>
  </si>
  <si>
    <t>0044</t>
  </si>
  <si>
    <t>PT: MG2408; D3227 - Mercaptan Sulfur, Potentiometric, Z-Score = 22665.07</t>
  </si>
  <si>
    <t>0045</t>
  </si>
  <si>
    <t>PT: CET2410; D4052 - Density, Digital, 15 °C, Z-Score = 2.02</t>
  </si>
  <si>
    <t>0046</t>
  </si>
  <si>
    <t>PT: CET2410; D86 - Distillation, Auto, % Loss &amp; % Recov, Z-Scores = 2.57, -2.18</t>
  </si>
  <si>
    <t>2.57 &amp; -2.18</t>
  </si>
  <si>
    <t>0047</t>
  </si>
  <si>
    <t>PT: CET2410; D613 - Cetane Number, Sample Compression Pressure, Z-Score = -2.30</t>
  </si>
  <si>
    <t>0048</t>
  </si>
  <si>
    <t>PT: CET2410; D86 - Distillation, Auto, IBP, 70%, 80%, &amp; 90%, Z-Scores = -2.03, -2.38, -2.10, &amp; -2.01</t>
  </si>
  <si>
    <t>-2.03, -2.38, -2.10, &amp; -2.01</t>
  </si>
  <si>
    <t>0049</t>
  </si>
  <si>
    <t>PT: RFG2502; D86 - Distillation, Auto, 50%, °F (EPA), Z-Score = 3.05</t>
  </si>
  <si>
    <t>0050</t>
  </si>
  <si>
    <t>PT: JF2411; D4052 - Density, Digital, 15 °C, Z-Score = -2.09</t>
  </si>
  <si>
    <t>-2.09</t>
  </si>
  <si>
    <t>0051</t>
  </si>
  <si>
    <t>PT: JF2411; D2622 - Sulfur by WDXRF, Z-Score = -2.67</t>
  </si>
  <si>
    <t>0052</t>
  </si>
  <si>
    <t>PT: JF2411; D86 - Distillation, Auto, % Resid, Z-Score = -2.21</t>
  </si>
  <si>
    <t>0053</t>
  </si>
  <si>
    <t>PT: CO2411; D7900 - HC Type, n-butane, Z-Score = -2.02</t>
  </si>
  <si>
    <t>0054</t>
  </si>
  <si>
    <t>PT: CO2411; D445 - Viscosity, Kinematic, 40 °C, Z-Score = -2.44</t>
  </si>
  <si>
    <t>-2.44</t>
  </si>
  <si>
    <t>0055</t>
  </si>
  <si>
    <t>PT: CO2411; D7900 - HC Type, n-butane &amp; n-Heptane, Z-Scores = -2.02 &amp; -2.04</t>
  </si>
  <si>
    <t>-2.02 &amp; -2.04</t>
  </si>
  <si>
    <t>0056</t>
  </si>
  <si>
    <t>PT: CET2410; D4052 - Density, Digital, 15 °C, Z-Score = -4.34</t>
  </si>
  <si>
    <t>-4.34</t>
  </si>
  <si>
    <t>0057</t>
  </si>
  <si>
    <t>PT: CET2410; D613 - Cetane Number, Z-Score = -2.16</t>
  </si>
  <si>
    <t>-2.16</t>
  </si>
  <si>
    <t>0058</t>
  </si>
  <si>
    <t>PT: CET2410; D445 - Viscosity, Kinematic, 40 °C, Z-Score = 2.16</t>
  </si>
  <si>
    <t>0059</t>
  </si>
  <si>
    <t>PT: CET2410; D445 - Viscosity, Kinematic, 40 °C, Z-Score = -3.32</t>
  </si>
  <si>
    <t>-3.32</t>
  </si>
  <si>
    <t>0060</t>
  </si>
  <si>
    <t>PT: JF2411; D1319 - HC Type, Aromatics &amp; Saturates, Oxy-Free, Z-Scores = -2.21 &amp; 2.24</t>
  </si>
  <si>
    <t>-2.21 &amp; 2.24</t>
  </si>
  <si>
    <t>0061</t>
  </si>
  <si>
    <t>PT: JF2411; D4294 - Sulfur, by EDXRF, Z-Score = 18.70</t>
  </si>
  <si>
    <t>Reported mass% instead of mg/kg</t>
  </si>
  <si>
    <t>0062</t>
  </si>
  <si>
    <t>PT: JF2411; D56 - Flash Point, TAG, Corrected, Z-Score = 48.81</t>
  </si>
  <si>
    <t>48.81</t>
  </si>
  <si>
    <t>0063</t>
  </si>
  <si>
    <t>PT: JF2411; D1319 - HC Type, Olefins, Oxy-Free, Z-Score = 2.35</t>
  </si>
  <si>
    <t>0064</t>
  </si>
  <si>
    <t>PT: JF2411; D3338 - Net Heat of Combustion, Z-Score = 2.07</t>
  </si>
  <si>
    <t>0065</t>
  </si>
  <si>
    <t>PT: JF2411; D445 - Viscosity, Kinematic, -20 °C, Z-Score = -2.55</t>
  </si>
  <si>
    <t>-2.55</t>
  </si>
  <si>
    <t>0066</t>
  </si>
  <si>
    <t>PT: JF2411; D4052 - API Gravity &amp; Density, Digital, 15 °C, Z-Scores = -4.33 &amp; 8.52</t>
  </si>
  <si>
    <t>-4.33 &amp; 8.52</t>
  </si>
  <si>
    <t>0067</t>
  </si>
  <si>
    <t>PT: JF2411; D86 - Distillation, Auto, IBP, 5%, 10%, &amp; Others, Z-Scores = 3.27, 3.50, 3.84, &amp; Others</t>
  </si>
  <si>
    <t>3.27, 3.50, &amp; 3.84</t>
  </si>
  <si>
    <t>0068</t>
  </si>
  <si>
    <t>PT: JF2411; D56 - Flash Point, TAG, Corrected, Z-Score = 3.80</t>
  </si>
  <si>
    <t>0069</t>
  </si>
  <si>
    <t>PT: JF2411; D5972 - Freeze Point, Auto Phase Trans, Z-Score = -10.12</t>
  </si>
  <si>
    <t>-10.12</t>
  </si>
  <si>
    <t>0070</t>
  </si>
  <si>
    <t>PT: JF2411; D3338 - Net Heat of Combustion, Z-Score = 52.56</t>
  </si>
  <si>
    <t>0071</t>
  </si>
  <si>
    <t>PT: JF2411; D5001 - Lubricity, BOCLE, Proc B, auto, Z-Score = -2.18</t>
  </si>
  <si>
    <t>-2.18</t>
  </si>
  <si>
    <t>0072</t>
  </si>
  <si>
    <t>PT: JF2411; D3338 - Net Heat of Combustion, Z-Score = -50.68</t>
  </si>
  <si>
    <t>-50.68</t>
  </si>
  <si>
    <t>0073</t>
  </si>
  <si>
    <t>PT: JF2411; D4294 - Sulfur, by EDXRF, Z-Score = 7.90</t>
  </si>
  <si>
    <t>0074</t>
  </si>
  <si>
    <t>PT: MG2408; D5769 - Aromatics, Total, by GC/MS (EPA), Z-Score = -2.11</t>
  </si>
  <si>
    <t>-2.11</t>
  </si>
  <si>
    <t>0075</t>
  </si>
  <si>
    <t>PT: MG2408; D86 - Distillation, Auto, FBP, Z-Score = 2.46</t>
  </si>
  <si>
    <t>0076</t>
  </si>
  <si>
    <t>PT: MG2408; D6730 - HC Type, C8 Aromatics, C8 Naphthenes, &amp; C9 Paraffins, by pCHR-GC, Z-Scores = -27.49, 34.94, &amp; 4.85</t>
  </si>
  <si>
    <t>-27.49, 34.94, &amp; 4.85</t>
  </si>
  <si>
    <t>0077</t>
  </si>
  <si>
    <t>PT: MG2408; D6730 - HC Type, Isoparaffins, Total, by pCHR-GC, Z-Score = -5.96</t>
  </si>
  <si>
    <t>-5.96</t>
  </si>
  <si>
    <t>0078</t>
  </si>
  <si>
    <t>PT: CO2411; D3230 - Salts, Z-Score = 2.77</t>
  </si>
  <si>
    <t>0079</t>
  </si>
  <si>
    <t>PT: CO2411; D6377 - Vapor Pressure, Crude Oil, Expansion Method, Z-Score = -4.40</t>
  </si>
  <si>
    <t>-4.40</t>
  </si>
  <si>
    <t>0080</t>
  </si>
  <si>
    <t>PT: CO2411; D287 - API Gravity, hydrometer at 60 °F, Z-Score = 2.60</t>
  </si>
  <si>
    <t>0081</t>
  </si>
  <si>
    <t>PT: CO2411; D5708 - Element, Nickel, ICPAES, Method A, Z-Score = -5.59</t>
  </si>
  <si>
    <t>-5.59</t>
  </si>
  <si>
    <t>0082</t>
  </si>
  <si>
    <t>PT: CO2411; D8252 - Element, Nickel, XRF, Z-Score = -12.66</t>
  </si>
  <si>
    <t>-12.66</t>
  </si>
  <si>
    <t>0083</t>
  </si>
  <si>
    <t>PT: CO2411; D3230 - Salts, Z-Score = 2.56</t>
  </si>
  <si>
    <t>0084</t>
  </si>
  <si>
    <t>PT: CO2411; D4928 - Water, Coulometric KF, Z-Score = -2.23</t>
  </si>
  <si>
    <t>0085</t>
  </si>
  <si>
    <t>PT: CO2411; D5002 - Density, digital, 15 °C, Z-Score = 22.53</t>
  </si>
  <si>
    <t>0086</t>
  </si>
  <si>
    <t>PT: CET2502; D93 - Flash Point, PMCC, Proc A, corrected, Z-Score = -2.48</t>
  </si>
  <si>
    <t>-2.48</t>
  </si>
  <si>
    <t>0087</t>
  </si>
  <si>
    <t>PT: CET2502; D613 - Cetane Number, Sample Hand Wheel, Z-Score = -2.28</t>
  </si>
  <si>
    <t>0088</t>
  </si>
  <si>
    <t>PT: CET2502; D86 - Distillation, Auto, % Resid, Z-Score = -3.15</t>
  </si>
  <si>
    <t>-3.15</t>
  </si>
  <si>
    <t>0089</t>
  </si>
  <si>
    <t>PT: CET2502; D2622 - Sulfur by WDXRF, Z-Score = 2.11</t>
  </si>
  <si>
    <t>0090</t>
  </si>
  <si>
    <t>PT: CET2502; D5453 - Sulfur, by UVF, Z-Score = -2.22</t>
  </si>
  <si>
    <t>-2.22</t>
  </si>
  <si>
    <t>0091</t>
  </si>
  <si>
    <t>PT: CET2502; D86 - Distillation, Auto, 90% &amp; 95%, Z-Scores = 235.97 &amp; -2.40</t>
  </si>
  <si>
    <t>235.97 &amp; -2.4</t>
  </si>
  <si>
    <t>Confirmed Transcription Errors.</t>
  </si>
  <si>
    <t>0092</t>
  </si>
  <si>
    <t>PT: CET2502; D2622 - Sulfur by WDXRF, Z-Score = 5.36</t>
  </si>
  <si>
    <t>0093</t>
  </si>
  <si>
    <t>PT: MG2408; D3237 - Element, Lead, by AAS</t>
  </si>
  <si>
    <t>0094</t>
  </si>
  <si>
    <t>PT: MG2408; D1319 - HC Type, Olefins, Corrected, Z-Score = 2.02</t>
  </si>
  <si>
    <t>0095</t>
  </si>
  <si>
    <t>PT: MG2408; D2622 - Sulfur, by WDXRF, Z-Score = -2.30</t>
  </si>
  <si>
    <t>0096</t>
  </si>
  <si>
    <t>PT: MG2408; D5191 - Vapor Pressure, DVPE, 1L &amp; (EPA), Z-Scores = 3.37 &amp; 2.04</t>
  </si>
  <si>
    <t>3.37 &amp; 2.04</t>
  </si>
  <si>
    <t>0097</t>
  </si>
  <si>
    <t>PT: MG2408 &amp; MG2412; D5580 - C9+ Aromatics, Total Aromatics, Benzene, &amp; Toluene, by GC, Z-Scores = -19.78, 3.37 -18.84, -6.89, &amp; -8.19</t>
  </si>
  <si>
    <t>D5580 - Aromatic Type</t>
  </si>
  <si>
    <t>-19.78, 3.37 -18.84, -6.89, &amp; -8.19</t>
  </si>
  <si>
    <t>0098</t>
  </si>
  <si>
    <t>PT: MG2408; D1319 - HC Type, Olefins, Oxy-Free, Z-Score = 2.58</t>
  </si>
  <si>
    <t>0099</t>
  </si>
  <si>
    <t>PT: MG2408; D2622 - Sulfur, by WDXRF, Z-Score = -2.06</t>
  </si>
  <si>
    <t>-2.06</t>
  </si>
  <si>
    <t>0100</t>
  </si>
  <si>
    <t>PT: MG2408; D1319 - HC Type, Aromatics, Corrected, Oxy-Free &amp; (EPA), Z-Scores = 2.36, 2.45, &amp; 2.23</t>
  </si>
  <si>
    <t>2.36, 2.45, &amp; 2.23</t>
  </si>
  <si>
    <t>0101</t>
  </si>
  <si>
    <t>PT: MG2408 &amp; MG2412; D3231 - Element, Phosphorus, by combusition/colorometric, Z-Score = 11.63 &amp; 46.09</t>
  </si>
  <si>
    <t>D3231 - Element</t>
  </si>
  <si>
    <t>11.63 &amp; 46.09</t>
  </si>
  <si>
    <t>0102</t>
  </si>
  <si>
    <t>PT: MG2408 &amp; MG2412; D6730 - HC Type, Benzene, C6 &amp; C8 Naphthenes, by pCHR-GC, Z-Scores = 2.77, 4.88, &amp; 8.91</t>
  </si>
  <si>
    <t>D6730 - HC Type</t>
  </si>
  <si>
    <t>2.77, 4.88, &amp; 8.91</t>
  </si>
  <si>
    <t>0103</t>
  </si>
  <si>
    <t>PT: MG2408 &amp; MG2412; D6839 - HC Type/Oxy, Saturates &amp; Olefins, by M-D GC, Z-Score = -2.44</t>
  </si>
  <si>
    <t>D6839 - HC Type/Oxy</t>
  </si>
  <si>
    <t>-2.44 &amp; 4.42</t>
  </si>
  <si>
    <t>0104</t>
  </si>
  <si>
    <t>PT: MG2408; D3606 - Toluene, by GC, Proc B, Z-Score = -3.09</t>
  </si>
  <si>
    <t>-3.09</t>
  </si>
  <si>
    <t>0105</t>
  </si>
  <si>
    <t>PT: MG2408; D3231 - Element, Phosphorus, by combusition/colorometric, Z-Score = 4.96</t>
  </si>
  <si>
    <t>0106</t>
  </si>
  <si>
    <t>PT: MG2408; D3606 - Benzene &amp; Toluene, by GC, Proc B (EPA), Z-Scores = 4.82 &amp; -4.56</t>
  </si>
  <si>
    <t>4.82 &amp; -4.56</t>
  </si>
  <si>
    <t>0107</t>
  </si>
  <si>
    <t>PT: MG2408; D5188 - V/L Ratio Temp, Evac Chamber, Z-Score = 72.90</t>
  </si>
  <si>
    <t>0108</t>
  </si>
  <si>
    <t>PT: NP2410; D6730 - HC Type, C6 Naphthenes, by pCHR-GC, Z-Score = -13.43</t>
  </si>
  <si>
    <t>0109</t>
  </si>
  <si>
    <t>PT: NP2410; D5191 - Vapor Pressure, DVPE, 1L, Z-Score = -4.52</t>
  </si>
  <si>
    <t>0110</t>
  </si>
  <si>
    <t>PT: NP2502; D86 - Distillation, Auto, 70 &amp; 80%</t>
  </si>
  <si>
    <t>-2.09 &amp; -2.28</t>
  </si>
  <si>
    <t>0111</t>
  </si>
  <si>
    <t>PT: NP2502; D4052 - Density, Digital, 15 °C, Z-Score = -3.27</t>
  </si>
  <si>
    <t>-3.27</t>
  </si>
  <si>
    <t>0112</t>
  </si>
  <si>
    <t>PT: CE525; D2699 - Octane Number, Research, Z-Score = 2.01</t>
  </si>
  <si>
    <t>0113</t>
  </si>
  <si>
    <t>PT: CE525; D86 - Residue, Z-Score = 9.26</t>
  </si>
  <si>
    <t>0114</t>
  </si>
  <si>
    <t>PT: CE525; D3606 - Aromatic Type, Benzene, Z-Score = 2.86</t>
  </si>
  <si>
    <t>0115</t>
  </si>
  <si>
    <t>PT: CE525; D86 - Distillation, 5% &amp; EP, Z-Scores = -3.46 &amp; 2.13</t>
  </si>
  <si>
    <t>-3.46 &amp; 2.13</t>
  </si>
  <si>
    <t>0116</t>
  </si>
  <si>
    <t>PT: CE526; D6550 - Olefins, by SFC, Z-Score = 2.19</t>
  </si>
  <si>
    <t>0117</t>
  </si>
  <si>
    <t>PT: CE526; D2699 - Octane Number, Research, Z-Score = 3.54</t>
  </si>
  <si>
    <t>0118</t>
  </si>
  <si>
    <t>PT: CE526; D86 - Distillation, Auto, EP</t>
  </si>
  <si>
    <t>0119</t>
  </si>
  <si>
    <t>PT: CE526; D4052 - Digital, API, Z-Score = -8.08</t>
  </si>
  <si>
    <t>0120</t>
  </si>
  <si>
    <t>PT: CE526; D86 - Distillation, Auto, 95% &amp; Residue %</t>
  </si>
  <si>
    <t>-2.61 &amp; -2.11</t>
  </si>
  <si>
    <t>0121</t>
  </si>
  <si>
    <t>PT: CE529; D2699 - Octane Number, Research, Z-Score = 2.09</t>
  </si>
  <si>
    <t>0122</t>
  </si>
  <si>
    <t>PT: CE529; D86 - Distillation, Residue %</t>
  </si>
  <si>
    <t>0123</t>
  </si>
  <si>
    <t>PT: CE529; D86 - Distillation, EP, Z-Score = 2.14</t>
  </si>
  <si>
    <t>0124</t>
  </si>
  <si>
    <t>PT: CE529; D5191 - Vapor Pressure, RVP, PTOT, Z-Score =-8.21</t>
  </si>
  <si>
    <t>-8.21</t>
  </si>
  <si>
    <t>0125</t>
  </si>
  <si>
    <t>PT: CE529; D5188 - V/L Temp, oF, Z-Score = -2.16</t>
  </si>
  <si>
    <t>0126</t>
  </si>
  <si>
    <t>PT: RFG2411; D5769 - Benzene, by GCMS (EPA), Z-Score = -3.02</t>
  </si>
  <si>
    <t>-3.02</t>
  </si>
  <si>
    <t>0127</t>
  </si>
  <si>
    <t>PT: RFG2411; D86 - Distillation, Auto, % Resid (EPA), Z-Score = 4.39</t>
  </si>
  <si>
    <t>0128</t>
  </si>
  <si>
    <t>PT: RFG2411; D86 - Distillation, Auto, 95%, °F (EPA), Z-Score = -20.77</t>
  </si>
  <si>
    <t>-20.77</t>
  </si>
  <si>
    <t>0129</t>
  </si>
  <si>
    <t>PT: RFG2411; D1319 - HC Type, Olefins, Oxy-Free (EPA), Z-Score = 2.05</t>
  </si>
  <si>
    <t>0130</t>
  </si>
  <si>
    <t>PT: RFG2411; D2622 - Sulfur, by WDXRF (EPA), Z-Score = 2.44</t>
  </si>
  <si>
    <t>0131</t>
  </si>
  <si>
    <t>0132</t>
  </si>
  <si>
    <t>PT: RFG2411; D4815 - Oxygenates, Ethanol &amp; Total Oxygen, by GC, Z-Scores = -38.23 &amp; -36.91</t>
  </si>
  <si>
    <t>-38.23 &amp; -36.91</t>
  </si>
  <si>
    <t>0133</t>
  </si>
  <si>
    <t>PT: RFG2411; D7039 - Sulfur, by MWDXRF, Z-Score = 3.20</t>
  </si>
  <si>
    <t>0134</t>
  </si>
  <si>
    <t>PT: RFG2411; D86 - Distillation, Auto,10%, °F (EPA), Z-Score = 4.13</t>
  </si>
  <si>
    <t>0135</t>
  </si>
  <si>
    <t>PT: RFG2411; D1319 - HC Type, Olefins, Oxy-Free &amp; (EPA), Z-Scores = -2.22 &amp; -2.06</t>
  </si>
  <si>
    <t>-2.22 &amp; -2.06</t>
  </si>
  <si>
    <t>0136</t>
  </si>
  <si>
    <t>PT: RFG2411; D5580 - Aromatic Type, Multiple Parameters, by GC, Z-Scores = Multiple Outliers</t>
  </si>
  <si>
    <t>Multiple Outliers</t>
  </si>
  <si>
    <t>0137</t>
  </si>
  <si>
    <t>PT: RFG2411; D1319 - HC Type, Olefins &amp; Aromatics, Corrected &amp; Oxy-Free (EPA), Z-Scores = -4.85, -3.01, 2.47, &amp; 2.49</t>
  </si>
  <si>
    <t>-4.85, -3.01, 2.47, &amp; 2.49</t>
  </si>
  <si>
    <t>0138</t>
  </si>
  <si>
    <t>PT: RFG2411; D4052 - Density, Digital, 15 °C, Z-Score = 217060.25 (NCR)</t>
  </si>
  <si>
    <t>0139</t>
  </si>
  <si>
    <t>PT: RFG2411; D1319 - HC Type, Saturates, Corrected &amp; Oxy-Free, &amp; (EPA) Z-Scores = 2.44, 2.19, &amp; 2.36</t>
  </si>
  <si>
    <t>2.44, 2.19, 2.36</t>
  </si>
  <si>
    <t>0140</t>
  </si>
  <si>
    <t>PT: RFG2411; D4815 - Oxygenates, Ethanol, by GC, Z-Score = -2.84</t>
  </si>
  <si>
    <t>-2.84</t>
  </si>
  <si>
    <t>0141</t>
  </si>
  <si>
    <t>PT: RFG2411; D6378 - Vapor Pressure, Triple Expansion, Z-Score = -5.10</t>
  </si>
  <si>
    <t>-5.10</t>
  </si>
  <si>
    <t>0142</t>
  </si>
  <si>
    <t>PT: RFG2411; D2622 - Sulfur, by WDXRF &amp; (EPA), Z-Scores = 2.42 &amp; 2.10</t>
  </si>
  <si>
    <t>2.42 &amp; 2.10</t>
  </si>
  <si>
    <t>0143</t>
  </si>
  <si>
    <t>PT: RFG2411; D5769 - Benzene, by GC/MS, Z-Score = 8.65</t>
  </si>
  <si>
    <t>8.65</t>
  </si>
  <si>
    <t>0144</t>
  </si>
  <si>
    <t>PT: RFG2411; D86 - Distillation, Auto, 50%, Z-Score = 2.74</t>
  </si>
  <si>
    <t>0145</t>
  </si>
  <si>
    <t>PT: RFG2411; D4815 - Oxygenates, Ethanol, by GC, Z-Score = 2.71</t>
  </si>
  <si>
    <t>0146</t>
  </si>
  <si>
    <t>PT: RFG2411; D5188 - V/L Ratio Temp, Evac Chamber, Z-Score = -2.37</t>
  </si>
  <si>
    <t>-2.37</t>
  </si>
  <si>
    <t>0147</t>
  </si>
  <si>
    <t>PT: RFG2411; D86 - Distillation, Auto, E200 °F, % (EPA), Z-Score = 4.48</t>
  </si>
  <si>
    <t>0148</t>
  </si>
  <si>
    <t>PT: RFG2412; D3606- Benzene &amp; Toluene, by GC, Proc B &amp; (EPA), Z-Scores = -8.00 &amp; 9.45 &amp; -3.05 &amp; -2.94</t>
  </si>
  <si>
    <t>-8.00, 9.45, -3.05, &amp; 2.94</t>
  </si>
  <si>
    <t>0149</t>
  </si>
  <si>
    <t>PT: RFG2412; D5769 - Benzene &amp; Toluene, by GC/MS &amp; (EPA), Z-Scores = 24.11 &amp; 13.24 &amp; -5.37 &amp; -4.37</t>
  </si>
  <si>
    <t>24.11, 13.24, -5.37, &amp; -4.37</t>
  </si>
  <si>
    <t>0150</t>
  </si>
  <si>
    <t>PT: GGO2411; D611 - Aniline Point, Meth B &amp; E, Z-Scores = -16.05 &amp; -29.82</t>
  </si>
  <si>
    <t>-16.05 &amp; -29.82</t>
  </si>
  <si>
    <t>0151</t>
  </si>
  <si>
    <t>PT: GGO2411; D1160 - Distillation, 1.3kPA, 90%, 95%, &amp; FBP</t>
  </si>
  <si>
    <t>2.00, 2.00, &amp; 2.00</t>
  </si>
  <si>
    <t>0152</t>
  </si>
  <si>
    <t>PT: BIOD2411; D6584 - Diglyceride, by GC</t>
  </si>
  <si>
    <t>0153</t>
  </si>
  <si>
    <t>PT: BIOD2411; D6079 - Lubricity, HFRR, Scar Diameter</t>
  </si>
  <si>
    <t>-2.20</t>
  </si>
  <si>
    <t>0154</t>
  </si>
  <si>
    <t>PT: BIOD2411; D445 - Viscosity, Kinematic, 40 °C, Z-Score = -2.39</t>
  </si>
  <si>
    <t>-2.39</t>
  </si>
  <si>
    <t>0155</t>
  </si>
  <si>
    <t>PT: D-1211; D445 - Viscosity, at 40°C, Z-Score = 171.99</t>
  </si>
  <si>
    <t>D-1211</t>
  </si>
  <si>
    <t>0156</t>
  </si>
  <si>
    <t>PT: RFG2412; D5580 - Total Aromatics, by GC, Z-Score = 2.05</t>
  </si>
  <si>
    <t>0157</t>
  </si>
  <si>
    <t>PT: RFG2412; D3606 - Benzene, by GC, Proc B, Z-Score = 2.04</t>
  </si>
  <si>
    <t>0158</t>
  </si>
  <si>
    <t>PT: RFG2412; D86 - Distillation, Auto, 90% &amp; 90%, °F (EPA)</t>
  </si>
  <si>
    <t>-2.16 &amp; -2.16</t>
  </si>
  <si>
    <t>0159</t>
  </si>
  <si>
    <t>PT: RFG2412; D4815 - Oxygenates - Total Oxygen &amp; Ethanol, by GC, Z-Scores = 3.27 &amp; 2.78</t>
  </si>
  <si>
    <t>3.27 &amp; 2.78</t>
  </si>
  <si>
    <t>0160</t>
  </si>
  <si>
    <t>PT: P124; D2163 - Hydrocarbon Composition, Propene, Z-Score = 82.84</t>
  </si>
  <si>
    <t>P124</t>
  </si>
  <si>
    <t>0161</t>
  </si>
  <si>
    <t>PT: RFG2412; D5191 - Vapor Pressure, DVPE, 1L (EPA), Z-Score = 2.33</t>
  </si>
  <si>
    <t>0162</t>
  </si>
  <si>
    <t>PT: R-1351; D86 - Distillation, Auto, Recovery %</t>
  </si>
  <si>
    <t>R-1351</t>
  </si>
  <si>
    <t>0163</t>
  </si>
  <si>
    <t>PT: R-1351; D4815 - Oxygenates - Oxygen Content &amp; Ethanol, Z-Scores = 60.21 &amp; -28.03</t>
  </si>
  <si>
    <t>60.21 &amp; -28.03</t>
  </si>
  <si>
    <t>0164</t>
  </si>
  <si>
    <t>PT: R-1351; D2700 - Octane Number, Motor, Z-Score = -2.19</t>
  </si>
  <si>
    <t>-2.19</t>
  </si>
  <si>
    <t>0165</t>
  </si>
  <si>
    <t>PT: MG2412; D5769 - Aromatic Type, Benzene, by GC/MS</t>
  </si>
  <si>
    <t>-2.46</t>
  </si>
  <si>
    <t>0166</t>
  </si>
  <si>
    <t>PT: RFG2412; D5769 - Aromatics, Total, by GC/MS (EPA), Z-Score = 3.05</t>
  </si>
  <si>
    <t>0167</t>
  </si>
  <si>
    <t>PT: RFG2412; D5453 - Sulfur, by UVF, Z-Score = -2.07</t>
  </si>
  <si>
    <t>-2.07</t>
  </si>
  <si>
    <t>0168</t>
  </si>
  <si>
    <t>PT: RFG2412; D5191 - Vapor Pressure, TVP, 1L (EPA)</t>
  </si>
  <si>
    <t>0169</t>
  </si>
  <si>
    <t>0170</t>
  </si>
  <si>
    <t>PT: RFG2412; D86 - Distillation, Auto,  90%, °F (EPA)</t>
  </si>
  <si>
    <t>0171</t>
  </si>
  <si>
    <t>PT: RFG2412; D86 - Distillation, Auto, % Resid (EPA), Z-Score = -3.05</t>
  </si>
  <si>
    <t>-3.05</t>
  </si>
  <si>
    <t>0172</t>
  </si>
  <si>
    <t>PT: RFG2502; D5191 - Vapor Pressure, DVPE, 1L</t>
  </si>
  <si>
    <t>0173</t>
  </si>
  <si>
    <t>PT: RFG2412; D86 - Distillation, Auto, FBP, °F (EPA)</t>
  </si>
  <si>
    <t>-2.05</t>
  </si>
  <si>
    <t>0174</t>
  </si>
  <si>
    <t>PT: RFG2502; D5769 - Aromatic Type, Total Aromatics, by GC/MS</t>
  </si>
  <si>
    <t>-2.14</t>
  </si>
  <si>
    <t>0175</t>
  </si>
  <si>
    <t>PT: RFG2412; D1319 - HC Types - Multiple Parameters, Z-Scores =Multiple Outliers</t>
  </si>
  <si>
    <t>0176</t>
  </si>
  <si>
    <t>PT: RFG2412; D7039 - Sulfur, by MWDXRF, Z-Score = 2.87</t>
  </si>
  <si>
    <t>0177</t>
  </si>
  <si>
    <t>PT: RFG2412; D86 - Distillation, Auto, % Resid (EPA)</t>
  </si>
  <si>
    <t>0178</t>
  </si>
  <si>
    <t>PT: RFG2412; D1319 - HC Type, Olefins, Oxy-Free (EPA), Z-Score = -2.28</t>
  </si>
  <si>
    <t>0179</t>
  </si>
  <si>
    <t>PT: RFG2412; D5453 - Sulfur, by UVF, Z-Score = -2.35</t>
  </si>
  <si>
    <t>0180</t>
  </si>
  <si>
    <t>PT: RFG2412; D5191 - Vapor Pressure, TVP, 1L &amp; TVP, 1L (EPA)</t>
  </si>
  <si>
    <t>2.24 &amp; 2.18</t>
  </si>
  <si>
    <t>0181</t>
  </si>
  <si>
    <t>PT: RFG2502; D5191 - Vapor Pressure, DVPE, 1L (EPA)</t>
  </si>
  <si>
    <t>0182</t>
  </si>
  <si>
    <t>PT: RFG2503; D5191 - Vapor Pressure, TVP, 1L (EPA)</t>
  </si>
  <si>
    <t>0183</t>
  </si>
  <si>
    <t>PT: RFG2412; D2622 - Sulfur, by WDXRF, Z-Score = -2.32</t>
  </si>
  <si>
    <t>-2.32</t>
  </si>
  <si>
    <t>0184</t>
  </si>
  <si>
    <t>0185</t>
  </si>
  <si>
    <t>0186</t>
  </si>
  <si>
    <t>PT: RFG2412; D6550 - HC Type, Olefins, by SFC, Z-Score = -2.70</t>
  </si>
  <si>
    <t>-2.70</t>
  </si>
  <si>
    <t>0187</t>
  </si>
  <si>
    <t>PT: RFG2412; D6839 - HC Type/Oxy, Oxygen, Total, by M-D GC, Z-Score =10.45</t>
  </si>
  <si>
    <t>0188</t>
  </si>
  <si>
    <t>PT: RFG2412; D86 - Distillation, Multiple Parameters, Z-Scores =Multiple Outliers</t>
  </si>
  <si>
    <t>0189</t>
  </si>
  <si>
    <t>PT: RFG2412; D1319 - HC Type - Multiple Parameters, Z-Scores =Multiple Outliers</t>
  </si>
  <si>
    <t>0190</t>
  </si>
  <si>
    <t>PT: RFG2412; D5580 - Total Aromatics, by GC, Z-Score = -2.46</t>
  </si>
  <si>
    <t>0191</t>
  </si>
  <si>
    <t>PT: RFG2412; D4052 - Density, Digital, 15 °C</t>
  </si>
  <si>
    <t>0192</t>
  </si>
  <si>
    <t>PT: RFG2412; D86 - Distillation, Auto, 90% °F (EPA)</t>
  </si>
  <si>
    <t>-2.93</t>
  </si>
  <si>
    <t>0193</t>
  </si>
  <si>
    <t>PT: RFG2412; D8071 - HC Type, Isoparaffins, GC-VUV, Z-Score = -5.18</t>
  </si>
  <si>
    <t>-5.18</t>
  </si>
  <si>
    <t>0194</t>
  </si>
  <si>
    <t>PT: RFG2412; D86 - Distillation, Auto, % Loss (EPA), Z-Score = 3.04</t>
  </si>
  <si>
    <t>0195</t>
  </si>
  <si>
    <t>PT: RFG2412; D1319 - HC Type, Saturates &amp; Aromatics, Corrected (EPA), Z-Scores = 4.19 &amp; 2.50</t>
  </si>
  <si>
    <t>4.19 &amp; 2.50</t>
  </si>
  <si>
    <t>0196</t>
  </si>
  <si>
    <t>PT: RFG2412; D2622 - Sulfur, by WDXRF &amp; (EPA), Z-Scores = -4.33 &amp; -2.80</t>
  </si>
  <si>
    <t>-4.33 &amp; -2.80</t>
  </si>
  <si>
    <t>0197</t>
  </si>
  <si>
    <t>PT: SAF2502; D86 - Distillation, Auto, FBP &amp; % Resid, Z-Score = -6.88 &amp; 3.03</t>
  </si>
  <si>
    <t>-6.88 &amp; 3.03</t>
  </si>
  <si>
    <t>0198</t>
  </si>
  <si>
    <t>PT: SAF2502; D3242 - Acidity, by Titration, Z-Score = 2.23</t>
  </si>
  <si>
    <t>0199</t>
  </si>
  <si>
    <t>PT: SAF2502; D4052 - Density, Digital, 15 °C</t>
  </si>
  <si>
    <t>0200</t>
  </si>
  <si>
    <t>PT: SAF2502; D86 - Distillation, Auto, 90% &amp; 95%</t>
  </si>
  <si>
    <t>2.03 &amp; 2.25</t>
  </si>
  <si>
    <t>0201</t>
  </si>
  <si>
    <t>PT: SAF2502; D7359 - Halogens, Fluorine, by CIC</t>
  </si>
  <si>
    <t>0202</t>
  </si>
  <si>
    <t>PT: RFG2501; D86 - Distillation, Auto, % Recov, Z-Score = -144.77</t>
  </si>
  <si>
    <t>0203</t>
  </si>
  <si>
    <t>PT: RFG2501; D1319 - HC Type, Aromatics &amp; Saturates, Corrected &amp; Corrected (EPA), Z-Scores = 2.29, 2.71, 2.19, &amp; 2.24</t>
  </si>
  <si>
    <t>2.29, 2.71, 2.19 &amp; 2.24</t>
  </si>
  <si>
    <t>0204</t>
  </si>
  <si>
    <t>PT: RFG2501; D4815 - Oxygenates, Total Oxygen, by GC, Z-Score = -43.72</t>
  </si>
  <si>
    <t>-43.72</t>
  </si>
  <si>
    <t>0205</t>
  </si>
  <si>
    <t>PT: RFG2501; D4815 - Oxygenates, Ethanol &amp; Total Oxygen, by GC</t>
  </si>
  <si>
    <t>2.21 &amp; 2.27</t>
  </si>
  <si>
    <t>0206</t>
  </si>
  <si>
    <t>PT: RFG2502; D5580 - Aromatic Type, Total Aromatics &amp; Toluene, Z-Scores = 2.19 &amp; 3.03</t>
  </si>
  <si>
    <t>2.19 &amp; 3.03</t>
  </si>
  <si>
    <t>0207</t>
  </si>
  <si>
    <t>PT: RFG2502; D4815 - Oxygenates, Ethanol &amp; Total Oxygen, by GC</t>
  </si>
  <si>
    <t>2.39 &amp; 2.67</t>
  </si>
  <si>
    <t>0208</t>
  </si>
  <si>
    <t>PT: RFG2504; D5769 - Aromatic Type, Benzene, by GC/MS</t>
  </si>
  <si>
    <t>0209</t>
  </si>
  <si>
    <t>PT: RFG2502; D287 - API Gravity, Hydrometer, Z-Score = -2.20</t>
  </si>
  <si>
    <t>0210</t>
  </si>
  <si>
    <t>PT: RFG2502; D86 - Distillation, Auto, 5%, 5%, °F (EPA), 70%, °F (EPA), E200 °F, % (EPA), % Loss, &amp; % Recov</t>
  </si>
  <si>
    <t>0211</t>
  </si>
  <si>
    <t>PT: RFG2502; D5453 - Sulfur, by UVF</t>
  </si>
  <si>
    <t>0212</t>
  </si>
  <si>
    <t>PT: RFG2503; D5443 - HC Type, C9 Paraffins, by MD-GC, Z-Score = -12.15</t>
  </si>
  <si>
    <t>-12.15</t>
  </si>
  <si>
    <t>0213</t>
  </si>
  <si>
    <t>PT: RFG2503; D4815 - Oxygenates, Oxygen, Total, by GC</t>
  </si>
  <si>
    <t>Meets both the precision performance and reproducibility criteria.</t>
  </si>
  <si>
    <t>0214</t>
  </si>
  <si>
    <t>PT: RFG2503; D86 - Distillation, Auto, 70% &amp; 70% °F (EPA), Z-Scores = -6.11 &amp; -5.93</t>
  </si>
  <si>
    <t>-6.11 &amp; -5.93</t>
  </si>
  <si>
    <t>0215</t>
  </si>
  <si>
    <t>PT: RFG2503; D1319 - HC Type, Olefins &amp; Saturates, Multiple Parameters, Z-Scores = Multiple Outliers</t>
  </si>
  <si>
    <t>0216</t>
  </si>
  <si>
    <t>PT: RFG2503; D5453 - Sulfur, by UVF, Z-Score = 5.29</t>
  </si>
  <si>
    <t>0217</t>
  </si>
  <si>
    <t>PT: LPG2411; D2163 - Hydrocarbons, n-butane, Z-Score = 3.17</t>
  </si>
  <si>
    <t>0218</t>
  </si>
  <si>
    <t>PT: LPG2411; D7423 - Oxygenates by GC-FID, Methanol, Z-Score = 0.00 (Rejected)</t>
  </si>
  <si>
    <t>0.00 (Rejected Result)</t>
  </si>
  <si>
    <t>0219</t>
  </si>
  <si>
    <t>PT: LPG2411; D2163 - Hydrocarbons, n-butane, Z-Score = 6.64</t>
  </si>
  <si>
    <t>0220</t>
  </si>
  <si>
    <t>PT: T348; D3242 - Acid Number, Acidity</t>
  </si>
  <si>
    <t>T348</t>
  </si>
  <si>
    <t>0221</t>
  </si>
  <si>
    <t>PT: T348; D3242 - Acid Number, Acidity, Z-Score = 4.92</t>
  </si>
  <si>
    <t>0222</t>
  </si>
  <si>
    <t>PT: RFG2501; D5769 - Aromatics, Total, by GC/MS (EPA), Z-Score = 2.67</t>
  </si>
  <si>
    <t>0223</t>
  </si>
  <si>
    <t>PT: RFG2501; D86 - Distillation, Auto, 95%, °F (EPA), Z-Score = 5.95</t>
  </si>
  <si>
    <t>0224</t>
  </si>
  <si>
    <t>PT: RFG2501; D86 - Distillation, Auto, 905%, °F (EPA), Z-Score = -3.45</t>
  </si>
  <si>
    <t>-3.45</t>
  </si>
  <si>
    <t>0225</t>
  </si>
  <si>
    <t>PT: RFG2501; D5580 - Aromatics, C9 plus &amp; Total, by GC , Z-Score = 5.14 &amp; 2.96</t>
  </si>
  <si>
    <t>5.14 &amp; 2.96</t>
  </si>
  <si>
    <t>0226</t>
  </si>
  <si>
    <t>PT: RFG2501; D86 - Distillation, Auto, 40% &amp; E200, °F (EPA)</t>
  </si>
  <si>
    <t>-2.08 &amp; 2.84</t>
  </si>
  <si>
    <t>0227</t>
  </si>
  <si>
    <t>PT: RFG2501; D1319 - HC Type, Saturates, Oxy-Free (EPA), Z-Score = -2.93</t>
  </si>
  <si>
    <t>0228</t>
  </si>
  <si>
    <t>PT: RFG2501; D4815 - Oxygenates, Ethanol &amp; Total Oxygen, by GC, Z-Scores = 9.90 &amp; 3.44</t>
  </si>
  <si>
    <t>9.90 &amp; 3.44</t>
  </si>
  <si>
    <t>0229</t>
  </si>
  <si>
    <t>PT: RFG2501; D86 - Distillation, Auto, 80%</t>
  </si>
  <si>
    <t>0230</t>
  </si>
  <si>
    <t>PT: RFG2501; D4052 - Density, Digital, 15 °C</t>
  </si>
  <si>
    <t>0231</t>
  </si>
  <si>
    <t>PT: RFG2501; D86 - Distillation, Auto, % Evap (EPA)</t>
  </si>
  <si>
    <t>0232</t>
  </si>
  <si>
    <t>PT: RFG2501; D5769 - Aromatics, Total, by GC/MS, Z-Score = 2.19</t>
  </si>
  <si>
    <t>0233</t>
  </si>
  <si>
    <t>PT: RFG2501; D2622 - Sulfur, by WDXRF (EPA), Z-Score = 2.10</t>
  </si>
  <si>
    <t>0234</t>
  </si>
  <si>
    <t>PT: RFG2501; D86 - Distillation, Auto, E300 °F, % (EPA), Z-Score = 3.08</t>
  </si>
  <si>
    <t>0235</t>
  </si>
  <si>
    <t>PT: RFG2501; D3606 - Benzene, by GC</t>
  </si>
  <si>
    <t>0236</t>
  </si>
  <si>
    <t>PT: RFG2501; D3606 - Benzene, by GC, Proc B &amp; Proc B (EPA), Z-Scores = 2.82 &amp; 2.86</t>
  </si>
  <si>
    <t>2.82 &amp; 2.86</t>
  </si>
  <si>
    <t>0237</t>
  </si>
  <si>
    <t>PT: RFG2504; D4052 - Density, Digital, 15 °C, Z-Score = 133387.98</t>
  </si>
  <si>
    <t>0238</t>
  </si>
  <si>
    <t>PT: RFG2504; D86 - Distillation, Auto, 30%, °F (EPA) &amp; 90%, Z-Scores = 40.68 &amp; -12.63</t>
  </si>
  <si>
    <t>40.68 &amp; -12.63</t>
  </si>
  <si>
    <t>0239</t>
  </si>
  <si>
    <t>PT: RFG2504; D4815 - Oxygenates, Ethanol, by GC, Z-Score = -2.97</t>
  </si>
  <si>
    <t>-2.97</t>
  </si>
  <si>
    <t>0240</t>
  </si>
  <si>
    <t>PT: RFG2504; D86 - Distillation, Auto, E300 °F, % (EPA)</t>
  </si>
  <si>
    <t>0241</t>
  </si>
  <si>
    <t>PT: RFG2504; D4815 - Oxygenates, Ethanol, by GC, Z-Score = 2.49</t>
  </si>
  <si>
    <t xml:space="preserve">PBMS Parameter - 14 Day </t>
  </si>
  <si>
    <t>0242</t>
  </si>
  <si>
    <t>PT: RFG2504; D5599 - Oxygenates, Total Oxygen, by GC</t>
  </si>
  <si>
    <t>0243</t>
  </si>
  <si>
    <t>PT: TM11-24 &amp; TM12-24; D2699 - Octane Number, Research, Z-Scores = -2.50 &amp; -2.81</t>
  </si>
  <si>
    <t>TRG</t>
  </si>
  <si>
    <t>-2.50 &amp; -2.81</t>
  </si>
  <si>
    <t>0244</t>
  </si>
  <si>
    <t>PT: TM11-24; D2700 - Octane Number, Motor, Z-Score = -2.73</t>
  </si>
  <si>
    <t>-2.73</t>
  </si>
  <si>
    <t>0245</t>
  </si>
  <si>
    <t>PT: TM11-24, TM11C-24 &amp; TM12C-24; D2700 - Octane Number, Motor, Z-Scores = 2.12, 2.47, &amp; 2.04</t>
  </si>
  <si>
    <t>D2700 - Octane Number</t>
  </si>
  <si>
    <t>2.12, 2.47, &amp; 2.04</t>
  </si>
  <si>
    <t>0246</t>
  </si>
  <si>
    <t>PT: TM11-24; D4052 - Density, API</t>
  </si>
  <si>
    <t>0247</t>
  </si>
  <si>
    <t>PT: TM11-24; D2700 - Octane Number, Motor, Z-Score = 2.42</t>
  </si>
  <si>
    <t>0248</t>
  </si>
  <si>
    <t>PT: TM11C-24; D2699 - Octane Number, Research, Z-Score = 2.58</t>
  </si>
  <si>
    <t>0249</t>
  </si>
  <si>
    <t>PT: TM11C-24; D2699 - Octane Number, Research, Z-Score = -3.74</t>
  </si>
  <si>
    <t>-3.74</t>
  </si>
  <si>
    <t>0250</t>
  </si>
  <si>
    <t>PT: TM11C-24; D5191 - Vapor Pressure, RVP, Z-Score = -9.67</t>
  </si>
  <si>
    <t>-9.67</t>
  </si>
  <si>
    <t>0251</t>
  </si>
  <si>
    <t>PT: TM12-24; D2700 - Octane Number, Motor, Z-Score = 4.10</t>
  </si>
  <si>
    <t>0252</t>
  </si>
  <si>
    <t>PT: TM12-24; D86 - Distillation, Auto, 50%, Z-Score = 2.43</t>
  </si>
  <si>
    <t>0253</t>
  </si>
  <si>
    <t>PT: TM12-24; D86 - Distillation, Auto, 10%, Z-Score = -2.84</t>
  </si>
  <si>
    <t>0254</t>
  </si>
  <si>
    <t>PT: TM12C-24; D5191 - Vapor Pressure, RVP</t>
  </si>
  <si>
    <t>0255</t>
  </si>
  <si>
    <t>PT: TM12C-24; D2700 - Octane Number, Motor, &amp; Other Methods, Z-Scores = 4.20 &amp; Multiple Outliers</t>
  </si>
  <si>
    <t>4.20 &amp; Multiple Outliers</t>
  </si>
  <si>
    <t>0256</t>
  </si>
  <si>
    <t>PT: TM12C-24; D2699 - Octane Number, Research, Z-Score = -2.33</t>
  </si>
  <si>
    <t>-2.33</t>
  </si>
  <si>
    <t>0257</t>
  </si>
  <si>
    <t>PT: TM12C-24; D86 - Distillation, Auto, FBP, Z-Score = -10.14</t>
  </si>
  <si>
    <t>-10.14</t>
  </si>
  <si>
    <t>0258</t>
  </si>
  <si>
    <t>PT: F242503; D5006 - Fuel System Icing Inhibitors, Ether Type, Z-Scores = -10.61</t>
  </si>
  <si>
    <t>F24</t>
  </si>
  <si>
    <t>0259</t>
  </si>
  <si>
    <t>PT: F242503; D1840 - Naphthalenes, by UVS, Z-Score = -2.45</t>
  </si>
  <si>
    <t>-2.45</t>
  </si>
  <si>
    <t>0260</t>
  </si>
  <si>
    <t>PT: F242503; D1094 - Water Reaction, Change in Volume of Aqueous, Z-Score = 3.47</t>
  </si>
  <si>
    <t>n</t>
  </si>
  <si>
    <t>PT: F242503; D86 - Distillation, Auto, IBP, FBP, &amp; % Recov, Z-Scores = -7.95, 8.63, &amp; 5.30</t>
  </si>
  <si>
    <t>-7.95, 8.63, 5.30</t>
  </si>
  <si>
    <t>0262</t>
  </si>
  <si>
    <t>PT: F242503; D3338/D3338M - Net Heta of Combustion, Calc, Z-Score = -5.61</t>
  </si>
  <si>
    <t>-5.61</t>
  </si>
  <si>
    <t>0263</t>
  </si>
  <si>
    <t>PT: RFG2502; D5769 - Aromatic Type, Total Aromatics, by GC/MS (EPA), Z-Score = 2.65</t>
  </si>
  <si>
    <t>0264</t>
  </si>
  <si>
    <t>PT: RFG2502; D2622 - Sulfur, by WDXRF (EPA), Z-Score = -2.64</t>
  </si>
  <si>
    <t>-2.64</t>
  </si>
  <si>
    <t>0265</t>
  </si>
  <si>
    <t>PT: RFG2502; D5191 - Vapor Pressure, TVP, 1L &amp; TVP, 1L, (EPA)</t>
  </si>
  <si>
    <t>2.58 &amp; 2.77</t>
  </si>
  <si>
    <t>0266</t>
  </si>
  <si>
    <t>PT: RFG2502; D4052 - Density, Digital, 15 °C, Z-Score = 8.96</t>
  </si>
  <si>
    <t>0267</t>
  </si>
  <si>
    <t>PT: RFG2502; D86 - Distillation, Auto, 10%, 20%, 30%, 50%, 60%, &amp; E200 °F (EPA), Z-Scores = 3.25, 3.24, 3.00, 4.72, 3.28, &amp; -3.46</t>
  </si>
  <si>
    <t>3.25, 3.24, 3.00, 4.72, 3.28, &amp; -3.46</t>
  </si>
  <si>
    <t>0268</t>
  </si>
  <si>
    <t>PT: RFG2502; D4815 - Oxygenates, Total Oxygen, by GC</t>
  </si>
  <si>
    <t>0269</t>
  </si>
  <si>
    <t>PT: RFG2502; D86 - Distillation, Auto, IBP, °F (EPA)</t>
  </si>
  <si>
    <t>0270</t>
  </si>
  <si>
    <t>PT: RFG2502; D1319 - HC Type, Olefins, Oxy-Free (EPA), Z-Score = 2.12</t>
  </si>
  <si>
    <t>0271</t>
  </si>
  <si>
    <t>PT: RFG2502; D86 - Distillation, Auto, E300 °F, % (EPA)</t>
  </si>
  <si>
    <t>0272</t>
  </si>
  <si>
    <t>PT: RFG2502; D86 - Distillation, Auto, 95% °F (EPA), Z-Score = 4.10</t>
  </si>
  <si>
    <t>0273</t>
  </si>
  <si>
    <t>PT: RFG2502; D86 - Distillation, Auto, % Resid, Z-Score = 3.17</t>
  </si>
  <si>
    <t>0274</t>
  </si>
  <si>
    <t>PT: RFG2502; D1319 - HC Type, Aromatics &amp; Saturates, Oxy-Free (EPA), Z-Scores = 2.06 &amp; -2.08</t>
  </si>
  <si>
    <t>2.06 &amp; -2.08</t>
  </si>
  <si>
    <t>0275</t>
  </si>
  <si>
    <t>PT: RFG2502; D5580 - Aromatics, C9 +, by GC</t>
  </si>
  <si>
    <t>-2.66</t>
  </si>
  <si>
    <t>0276</t>
  </si>
  <si>
    <t>PT: RFG2502; D86 - Distillation, Auto, 95%, &amp; FBP, °F (EPA)</t>
  </si>
  <si>
    <t>2.06 &amp; -2.48</t>
  </si>
  <si>
    <t>0277</t>
  </si>
  <si>
    <t>PT: RFG2502; D86 - Distillation, Auto, % Resid, Z-Score = 3.61</t>
  </si>
  <si>
    <t>0278</t>
  </si>
  <si>
    <t>PT: RFG2502; D86 - Distillation, Auto, 70%, Z-Score = 68.32</t>
  </si>
  <si>
    <t>0279</t>
  </si>
  <si>
    <t>PT: RFG2502; D1319 - HC Type, Aromatics, Corrected &amp; Saturates, Oxy-Free  &amp; Corrected, Z-Scores = 2.08, -2.05, &amp; -2.02</t>
  </si>
  <si>
    <t>2.08, -2.05, &amp; -2.02</t>
  </si>
  <si>
    <t>0280</t>
  </si>
  <si>
    <t>PT: TM04-25; D86 - Distillation, Auto, 50% &amp; 90%</t>
  </si>
  <si>
    <t>2.48 &amp; 2.07</t>
  </si>
  <si>
    <t>0281</t>
  </si>
  <si>
    <t>PT: TM04-25; D86 - Distillation, Auto, 10% &amp; 50%, Z-Scores = 2.92 &amp; 4.21</t>
  </si>
  <si>
    <t>2.92 &amp; 4.21</t>
  </si>
  <si>
    <t>0282</t>
  </si>
  <si>
    <t>PT: TM04-25; D2699 - Octane Number, Research, Z-Score = -2.41</t>
  </si>
  <si>
    <t>-2.41</t>
  </si>
  <si>
    <t>0283</t>
  </si>
  <si>
    <t>PT: TM04-25; D86 - Distillation, Auto, 10%</t>
  </si>
  <si>
    <t>0284</t>
  </si>
  <si>
    <t>PT: TM04-25; D2699 - Octane Number, Research, Z-Score = 2.04</t>
  </si>
  <si>
    <t>0285</t>
  </si>
  <si>
    <t xml:space="preserve">PT: RFG2503; D86 - Distillation, Auto, % Resid </t>
  </si>
  <si>
    <t>0286</t>
  </si>
  <si>
    <t>PT: RFG2503; D86 - Distillation, Auto, 50%, 90%, &amp; 95% °F (EPA), Z-Score = 2.45, 4.72, &amp; 4.92</t>
  </si>
  <si>
    <t>2.45, 4.72, &amp; 4.92</t>
  </si>
  <si>
    <t>0287</t>
  </si>
  <si>
    <t>PT: RFG2503; D86 - Distillation, Auto, 30% °F (EPA), Z-Score = -4.25</t>
  </si>
  <si>
    <t>-4.25</t>
  </si>
  <si>
    <t>0288</t>
  </si>
  <si>
    <t>PT: RFG2503; D5453 - Sulfur, by UVF</t>
  </si>
  <si>
    <t>0289</t>
  </si>
  <si>
    <t>PT: RFG2503; D86 - Distillation, Auto, 90%, 90% °F (EPA), &amp; % Resid</t>
  </si>
  <si>
    <t>-2.41, -2.60, &amp; 2.22</t>
  </si>
  <si>
    <t>0290</t>
  </si>
  <si>
    <t>PT: RFG2503; D86 - Distillation, Auto, E200 °F (EPA)</t>
  </si>
  <si>
    <t>0291</t>
  </si>
  <si>
    <t>PT: RFG2503; D6550 - HC Type, Olefins, by SFC, Z-Score = -2.35</t>
  </si>
  <si>
    <t>0292</t>
  </si>
  <si>
    <t>PT: RFG2503; D86 - Distillation, Auto, 90% °F (EPA)</t>
  </si>
  <si>
    <t>0293</t>
  </si>
  <si>
    <t>PT: RFG2503; D4052 - Density, Digital, 15 °C</t>
  </si>
  <si>
    <t>0294</t>
  </si>
  <si>
    <t>PT: RFG2503; D86 - Distillation, Auto, % Resid (EPA)</t>
  </si>
  <si>
    <t>0295</t>
  </si>
  <si>
    <t>PT: RFG2503; D86 - Distillation, Auto, FBP</t>
  </si>
  <si>
    <t>0296</t>
  </si>
  <si>
    <t>PT: RFG2503; D5191 - Vapor Pressure, DVPE, 1L, DVPE, 1L (EPA), TVP, 1L &amp; TVP, 1L, (EPA)</t>
  </si>
  <si>
    <t>-2.09, -2.42, -2.86, &amp; -2.76</t>
  </si>
  <si>
    <t>0297</t>
  </si>
  <si>
    <t>PT: RFG2503; D86 - Distillation, Auto, % Resid, Z-Scores = -7.38</t>
  </si>
  <si>
    <t>-7.38</t>
  </si>
  <si>
    <t>0298</t>
  </si>
  <si>
    <t>PT: RFG2503; D2622 - Sulfur, by WDXRF</t>
  </si>
  <si>
    <t>0299</t>
  </si>
  <si>
    <t>PT: RFG2503; D6378 - Vapor Pressure, Triple Expansion, Z-Score = 11.23</t>
  </si>
  <si>
    <t>0300</t>
  </si>
  <si>
    <t>PT: RFG2503; D3606 - Benzene, by GC, Proc B, &amp; Proc B (EPA)</t>
  </si>
  <si>
    <t>2.33 &amp; 2.44</t>
  </si>
  <si>
    <t>0301</t>
  </si>
  <si>
    <t>PT: RFG2503; D86 - Distillation, Auto, E200 °F, % (EPA), Z-Score = 3.20</t>
  </si>
  <si>
    <t>0302</t>
  </si>
  <si>
    <t>PT: RFG2503; D5191 - Vapor Pressure, DVPE, 1L</t>
  </si>
  <si>
    <t>0303</t>
  </si>
  <si>
    <t>PT: RFG2503; D86 - Distillation, Auto, 90% &amp; 95% °F, (EPA), Z-Scores = 4.15 &amp; 5.85</t>
  </si>
  <si>
    <t>4.15 &amp; 5.85</t>
  </si>
  <si>
    <t>0304</t>
  </si>
  <si>
    <t>0305</t>
  </si>
  <si>
    <t>PT: RFG2504; D5769 - Aromatic Type, Total Aromatics, by GC/MS, Z-Score = 2.91</t>
  </si>
  <si>
    <t>0306</t>
  </si>
  <si>
    <t xml:space="preserve">PT: RFG2504; D86 - Distillation, Auto, 40%, °F &amp; % Resid (EPA) </t>
  </si>
  <si>
    <t>0307</t>
  </si>
  <si>
    <t>PT: RFG2504; D1319 - HC Type, Saturates, Corrected (EPA), Z-Score = 4.80</t>
  </si>
  <si>
    <t>0308</t>
  </si>
  <si>
    <t xml:space="preserve">PT: RFG2504; D86 - Distillation, Auto,  % Resid (EPA) </t>
  </si>
  <si>
    <t>0309</t>
  </si>
  <si>
    <t>PT: RFG2504; D86 - Distillation, Auto, 50%, °F (EPA), Z-Score = 2.58</t>
  </si>
  <si>
    <t>0310</t>
  </si>
  <si>
    <t>PT: RFG2504; D7039 - Sulfur, by MWDXRF, Z-Score = 5.73</t>
  </si>
  <si>
    <t>0311</t>
  </si>
  <si>
    <t>PT: RFG2504; D5453 - Sulfur, by UVF, Z-Score = 3.59</t>
  </si>
  <si>
    <t>0312</t>
  </si>
  <si>
    <t>PT: RFG2504; D5188 - V/L Ratio Temp, Evac Chamber, Z-Score = 2.19</t>
  </si>
  <si>
    <t>0313</t>
  </si>
  <si>
    <t>PT: RFG2504; D5769 - Aromatic Type, Total Aromatics, by GC/MS, Z-Score = -2.21</t>
  </si>
  <si>
    <t>0314</t>
  </si>
  <si>
    <t>PT: RFG2504; D86 - Distillation, Auto, IBP &amp; FBP, °F (EPA), Z-Scores = -2.05 &amp; -2.43</t>
  </si>
  <si>
    <t>-2.05 &amp; -2.43</t>
  </si>
  <si>
    <t>0315</t>
  </si>
  <si>
    <t>PT: RFG2504; D86 - Distillation, Auto, Multiple Parameters, Z-Scores = Multiple Outliers</t>
  </si>
  <si>
    <t>0316</t>
  </si>
  <si>
    <t>PT: RFG2504; D5769 - Aromatic Type, Toluene, by GC/MS</t>
  </si>
  <si>
    <t>0317</t>
  </si>
  <si>
    <t>PT: RFG2504; D4815 - Oxygenates, Oxygen, Total, by GC</t>
  </si>
  <si>
    <t>0318</t>
  </si>
  <si>
    <t>PT: RFG2504; D5580 - Aromatic Type, C9+ Aromatics &amp; Total Aromatics, Z-Scores = -3.01 &amp; -2.16</t>
  </si>
  <si>
    <t>-3.01 &amp; -2.16</t>
  </si>
  <si>
    <t>0319</t>
  </si>
  <si>
    <t>PT: RFG2504; D2622 - Sulfur, by WDXRF &amp; (EPA), Z-Scores = 4.12 &amp; 3.12</t>
  </si>
  <si>
    <t>4.12 &amp; 3.12</t>
  </si>
  <si>
    <t>0320</t>
  </si>
  <si>
    <t>PT: RFG2504; D6378 - Vapor Pressure, Triple Expansion, Z-Score = 8.30</t>
  </si>
  <si>
    <t>0321</t>
  </si>
  <si>
    <t xml:space="preserve">PT: RFG2504; Distillation, Auto, 60% &amp; 70%, °F (EPA) </t>
  </si>
  <si>
    <t>2.30 &amp; 2.06</t>
  </si>
  <si>
    <t>0322</t>
  </si>
  <si>
    <t>PT: RFG2504; D381 - Gum, Unwashed, Z-Score = 2.40</t>
  </si>
  <si>
    <t>0323</t>
  </si>
  <si>
    <t>PT: RFG2504; D86 - Distillation, Auto, E300 °F (EPA), Z-Score = 3.19</t>
  </si>
  <si>
    <t>0324</t>
  </si>
  <si>
    <t>PT: RFG2504; D86 - Distillation, Auto, 5%, 5% °F (EPA), 10% °F (EPA), &amp; 50% °F (EPA), Z-Scores = 3.10, 3.23, 3.32, &amp; 2.33</t>
  </si>
  <si>
    <t>3.10, 3.23, 3.32, &amp; 2.33</t>
  </si>
  <si>
    <t>0325</t>
  </si>
  <si>
    <t>PT: RFG2504; D1319 - HC Type, Saturates, Corrected and Oxy-Free, Z-Scores = 2.18 &amp; 2.20</t>
  </si>
  <si>
    <t>2.18 &amp; 2.20</t>
  </si>
  <si>
    <t>0326</t>
  </si>
  <si>
    <t>PT: RFG2504; D5188 - V/L Ratio Temp, Evac Chamber, Z-Score = -17.87</t>
  </si>
  <si>
    <t>-17.87</t>
  </si>
  <si>
    <t>0327</t>
  </si>
  <si>
    <t>PT: DF22410; D6079 - Lubricity, HFRR, Scar Diameter, Z-Score = -3.80</t>
  </si>
  <si>
    <t>-3.80</t>
  </si>
  <si>
    <t>0328</t>
  </si>
  <si>
    <t>PT: DF22410; D93 - Flash Point, PMCC, Proc A, Corrected, Z-Score = 2.01</t>
  </si>
  <si>
    <t>0329</t>
  </si>
  <si>
    <t>PT: DF22410; D4294 - Sulfur, by EDXRF</t>
  </si>
  <si>
    <t>0330</t>
  </si>
  <si>
    <t>PT: DF22410; D445 - Viscosity, Kinematic, 40 °C, Z-Score = -2.43</t>
  </si>
  <si>
    <t>-2.43</t>
  </si>
  <si>
    <t>0331</t>
  </si>
  <si>
    <t>PT: DF22410; D7094 - Flash Point, MCCC, Corrected, Z-Score = 2.19</t>
  </si>
  <si>
    <t>0332</t>
  </si>
  <si>
    <t>PT: DF22410; D86 - Distillation, Auto, IBP, Z-Score = -2.27</t>
  </si>
  <si>
    <t>-2.27</t>
  </si>
  <si>
    <t>0333</t>
  </si>
  <si>
    <t>PT: DF22410; D2887 - BP Distribution, GC, Proc B, 80%, Z-Score = -14.78</t>
  </si>
  <si>
    <t>-14.78</t>
  </si>
  <si>
    <t>0334</t>
  </si>
  <si>
    <t>PT: DF22410; D2500 - Cloud Point, Z-Score = 2.20</t>
  </si>
  <si>
    <t>0335</t>
  </si>
  <si>
    <t>PT: DF22410; D86 - Distillation, Auto, 60%, Z-Score = 2.25</t>
  </si>
  <si>
    <t>0336</t>
  </si>
  <si>
    <t>PT: DF22410; D445 - Viscosity, Kinematic, 40 °C, Z-Score = 10.99</t>
  </si>
  <si>
    <t>0337</t>
  </si>
  <si>
    <t>PT: DF22410; D664 - Acid Number, A, 60 mL, inflection EP</t>
  </si>
  <si>
    <t>0338</t>
  </si>
  <si>
    <t>PT: DF22410; D2500 - Cloud Point, Z-Score = 3.00</t>
  </si>
  <si>
    <t>0339</t>
  </si>
  <si>
    <t>PT: DF22410; D86 - Distillation, Auto, 10%</t>
  </si>
  <si>
    <t>0340</t>
  </si>
  <si>
    <t>PT: DF22410; D5949 - Pour Point, Auto Pressure Pulse (Models 70V, 70X, 70Xi), Z-Score = -2.20</t>
  </si>
  <si>
    <t>0341</t>
  </si>
  <si>
    <t>PT: DF22410; D6468 - Stability, High Temp, 180 min. aging &amp; 90 min. aging, Z-Scores = -3.30 &amp; -4.70</t>
  </si>
  <si>
    <t>-3.30 &amp; -4.70</t>
  </si>
  <si>
    <t>0342</t>
  </si>
  <si>
    <t>PT: DF22410; D1298 - Density, by Hydrometer at 15 °C, Z-Score = -3.49</t>
  </si>
  <si>
    <t>-3.49</t>
  </si>
  <si>
    <t>0343</t>
  </si>
  <si>
    <t>PT: DF22410; D6217 - Particulates, Lab Filtration, Z-Score = 83.12</t>
  </si>
  <si>
    <t>0344</t>
  </si>
  <si>
    <t>PT: DF22410; D4530 - Carbon Residue, Micro, 10% btm, Z-Score = 27.09</t>
  </si>
  <si>
    <t>0345</t>
  </si>
  <si>
    <t>PT: DF22410; D4530 - Carbon Residue, Micro, 10% btm</t>
  </si>
  <si>
    <t>0346</t>
  </si>
  <si>
    <t>PT: DF22410; D86 - Distillation, Auto, IBP, Z-Score = -2.05</t>
  </si>
  <si>
    <t>0347</t>
  </si>
  <si>
    <t>PT: DF22410; D93 - Flash Point, PMCC, Proc A, Corrected , Z-Score = 2.37</t>
  </si>
  <si>
    <t>0348</t>
  </si>
  <si>
    <t>PT: DF22410; D189 - Carbon Residue, Conradson</t>
  </si>
  <si>
    <t>0349</t>
  </si>
  <si>
    <t>PT: DF22410; D97 - Pour Point, Manual</t>
  </si>
  <si>
    <t>0350</t>
  </si>
  <si>
    <t>PT: DF22410; D5453 - Sulfur, by UVF</t>
  </si>
  <si>
    <t>0351</t>
  </si>
  <si>
    <t>PT: DF22410; D445 - Viscosity, Kinematic, 40 °C, Z-Score = 2.69</t>
  </si>
  <si>
    <t>0352</t>
  </si>
  <si>
    <t>PT: DF22410; D86 - Distillation, Auto, 80%, 90%, &amp; 95%, Z-Scores = -2.05, -2.39, &amp; -2.73</t>
  </si>
  <si>
    <t>-2.05, -2.39, &amp; -2.73</t>
  </si>
  <si>
    <t>0353</t>
  </si>
  <si>
    <t>PT: DF22410; D6591 - HC Type, by HPLC, Di-Aro, Mono-Aro, &amp; PAH, Z-Scores = 5.68, -2.64, &amp; 4.58</t>
  </si>
  <si>
    <t>5.68, -2.64, &amp; 4.58</t>
  </si>
  <si>
    <t>0354</t>
  </si>
  <si>
    <t>PT: DF22410; D5186 - HC Type, by SFC, PAH, Z-Score = 4.32</t>
  </si>
  <si>
    <t>0355</t>
  </si>
  <si>
    <t>PT: DF22410; D240 - Heat of Combustion, Gross, by Bomb Calorimeter, Z-Score = 7.91</t>
  </si>
  <si>
    <t>0356</t>
  </si>
  <si>
    <t>PT: DF22410; D86 - Distillation, Auto, 80%, 90% &amp; 95%, Z-Scores = 2.17, 2.882, &amp; 3.71</t>
  </si>
  <si>
    <t>2.17, 2.882, &amp; 3.71</t>
  </si>
  <si>
    <t>0357</t>
  </si>
  <si>
    <t>PT: DF22410; D4052 - Density, Digital, 15 °C, Z-Score = 3.39</t>
  </si>
  <si>
    <t>0358</t>
  </si>
  <si>
    <t>PT: DF22410; D1319 - HC Type, Aromatics &amp; Saturates, Z-Scores = 2.17 &amp; -2.37</t>
  </si>
  <si>
    <t>2.17 &amp; -2.37</t>
  </si>
  <si>
    <t>0359</t>
  </si>
  <si>
    <t>PT: DF22410; D664 - Acid Number, A, 125 mL, inflection EP</t>
  </si>
  <si>
    <t>0360</t>
  </si>
  <si>
    <t>PT: DF22410; D6371 - Cold Filter Plugging Point, CFPP, Z-Score = 2.90</t>
  </si>
  <si>
    <t>0361</t>
  </si>
  <si>
    <t>0362</t>
  </si>
  <si>
    <t>PT: DF22410; D5771 - Cloud Point, Step Cool</t>
  </si>
  <si>
    <t>0363</t>
  </si>
  <si>
    <t>PT: DF22410; D7042 - Viscosity, Stabinger, Kin, 40 °C, Z-Score = -2.97</t>
  </si>
  <si>
    <t>0364</t>
  </si>
  <si>
    <t>PT: R-1352; D2699 - Octane Number, Research, Z-Score = 4.86</t>
  </si>
  <si>
    <t>NEG-R</t>
  </si>
  <si>
    <t>0365</t>
  </si>
  <si>
    <t>PT: R-1353; D86 - Distillation, Auto, Residue %</t>
  </si>
  <si>
    <t>0366</t>
  </si>
  <si>
    <t>PT: R-1353; D2699 - Octane Number, Research</t>
  </si>
  <si>
    <t>0367</t>
  </si>
  <si>
    <t>PT: R-1353; D5191 - Vapor Pressure, DVPE</t>
  </si>
  <si>
    <t>-2.12</t>
  </si>
  <si>
    <t>0368</t>
  </si>
  <si>
    <t>PT: R-1353; D86 - Distillation, Auto, 50% Evaporated</t>
  </si>
  <si>
    <t>0369</t>
  </si>
  <si>
    <t>PT: ETOH2412; D6423 - pHe, of Ethanol</t>
  </si>
  <si>
    <t>0370</t>
  </si>
  <si>
    <t>PT: ETOH2412; D7795 - Acidity, Proc A, Z-Score = 7.21</t>
  </si>
  <si>
    <t>0371</t>
  </si>
  <si>
    <t>PT: ETOH2412; D4052 - Density, Relative, @ 15.56 °C</t>
  </si>
  <si>
    <t>-2.25</t>
  </si>
  <si>
    <t>0372</t>
  </si>
  <si>
    <t>PT: ETOH2412; E1064 - Water, by Coul KF</t>
  </si>
  <si>
    <t>0373</t>
  </si>
  <si>
    <t>PT: ETOH2412; D6423 - pHe, Ethanol, Z-Score = 4.14</t>
  </si>
  <si>
    <t>0374</t>
  </si>
  <si>
    <t>PT: ETOH2412; E1064 - Water, by Coul KF, Z-Score = -10.50</t>
  </si>
  <si>
    <t>-10.50</t>
  </si>
  <si>
    <t>0375</t>
  </si>
  <si>
    <t>PT: ETOH2412; D6423 - pHe, Ethanol</t>
  </si>
  <si>
    <t>0376</t>
  </si>
  <si>
    <t>PT: ETOH2412; E203 - Water, by Volumetric KF</t>
  </si>
  <si>
    <t>0377</t>
  </si>
  <si>
    <t>PT: ETOH2412; D7319 - Chloride, Inorganic, by DI-IC</t>
  </si>
  <si>
    <t>0378</t>
  </si>
  <si>
    <t>PT: ETOH2412; D5453 - Sulfur, by UVF, Z-Score = -2.04</t>
  </si>
  <si>
    <t>-2.04</t>
  </si>
  <si>
    <t>0379</t>
  </si>
  <si>
    <t>PT: ETOH2412; D5501 - Ethanol, by GC, Z-Score = 4.39</t>
  </si>
  <si>
    <t>0380</t>
  </si>
  <si>
    <t>PT: OC2412; D5191 - Vapor Pressure, DVPE, Z-Score = 6.75</t>
  </si>
  <si>
    <t>0381</t>
  </si>
  <si>
    <t>PT: OC2412; D86 - Distillation, % Residual, Z-Score = 3.28</t>
  </si>
  <si>
    <t>0382</t>
  </si>
  <si>
    <t>PT: OC2412; D1319 - HC Type, Olefins, Oxy-Free</t>
  </si>
  <si>
    <t>0383</t>
  </si>
  <si>
    <t>PT: OC2412; D5453 - Sulfur, by UVF, Z-Score = 3.28</t>
  </si>
  <si>
    <t>0384</t>
  </si>
  <si>
    <t>PT: OC2412; D2699 - Octane Number, Research, &amp; Compression Ratio Z-Scores = 2.11 &amp; 2.38</t>
  </si>
  <si>
    <t>2.11 &amp; 2.38</t>
  </si>
  <si>
    <t>0385</t>
  </si>
  <si>
    <t>PT: OC2412; D2700 - Octane Number, Motor, Z-Score = 2.25</t>
  </si>
  <si>
    <t>0386</t>
  </si>
  <si>
    <t>PT: CO2411; D7169 - BP Dist, by HT-GC, Cut 8, 720C (1328F), Z-Score = -2.36</t>
  </si>
  <si>
    <t>0387</t>
  </si>
  <si>
    <t>PT: CO2411; D5002 - Density, digital, 15 °C</t>
  </si>
  <si>
    <t>-2.54</t>
  </si>
  <si>
    <t>0388</t>
  </si>
  <si>
    <t>PT: CO2411; D5708 - Element, Iron, ICPAES, Method A</t>
  </si>
  <si>
    <t>0389</t>
  </si>
  <si>
    <t>PT: CO2411; D4530 - Carbon Residue, Micro, Z-Score = 4.30</t>
  </si>
  <si>
    <t>0390</t>
  </si>
  <si>
    <t>PT: CO2411; D7900 - HC Type, Total Aromatics, Z-Score = 10.47</t>
  </si>
  <si>
    <t>0391</t>
  </si>
  <si>
    <t>PT: CO2411; D5762 - Nitrogen, Boat-Inlet Chemilum, Z-Score = 13.00</t>
  </si>
  <si>
    <t>0392</t>
  </si>
  <si>
    <t>PT: CO2411; D5708 - Element, Nickel, ICPAES, Method B, Z-Score = 8.90</t>
  </si>
  <si>
    <t>0393</t>
  </si>
  <si>
    <t>PT: CO2411; D664 - Acid Number, A, 60 mL, inflection EP, Z-Score = -11.22</t>
  </si>
  <si>
    <t>0394</t>
  </si>
  <si>
    <t>PT: CO2411; D4530 - Carbon Residue, Micro, Z-Score = 2.25</t>
  </si>
  <si>
    <t>0395</t>
  </si>
  <si>
    <t>PT: CO2411; D473 - Sediment, by Extraction, Z-Score = 2.01</t>
  </si>
  <si>
    <t>0396</t>
  </si>
  <si>
    <t>PT: CO2411; D8252 - Element, Nickel, XRF, Z-Score = -11.43</t>
  </si>
  <si>
    <t>-11.43</t>
  </si>
  <si>
    <t>0397</t>
  </si>
  <si>
    <t>PT: CO2411; D7900 - HC Type, Total Aromatics, Z-Score = 7.48</t>
  </si>
  <si>
    <t>0398</t>
  </si>
  <si>
    <t>PT: CO2411; D3230 - Salts in Crude Oil, Electrometric Method, Z-Score = 2.04</t>
  </si>
  <si>
    <t>0399</t>
  </si>
  <si>
    <t>PT: CO2411; D5708 - Element, Vanadium, ICPAES, Method B, Z-Score = 5.56</t>
  </si>
  <si>
    <t>0400</t>
  </si>
  <si>
    <t>PT: CO2411; D6377 - Vapor Pressure, Crude Oil, Expansion Method, Z-Score = -3.11</t>
  </si>
  <si>
    <t>-3.11</t>
  </si>
  <si>
    <t>0401</t>
  </si>
  <si>
    <t>PT: CO2411; D445 - Viscosity, Kinematic, 50 °C, Z-Score = 5.16</t>
  </si>
  <si>
    <t>0402</t>
  </si>
  <si>
    <t>PT: CO2411; D7900 - HC Type, n-Hexane, Z-Score = 4.73</t>
  </si>
  <si>
    <t>0403</t>
  </si>
  <si>
    <t>PT: CO2411; D6377 - Vapor Pressure, Crude Oil, Expansion Method, Z-Score = 5.06</t>
  </si>
  <si>
    <t>0404</t>
  </si>
  <si>
    <t>PT: CO2411; D4928 - Water, Coulometric KF, Z-Score = -2.52</t>
  </si>
  <si>
    <t>-2.52</t>
  </si>
  <si>
    <t>0405</t>
  </si>
  <si>
    <t>PT: D-1213; D445 - Viscosity, at 40°C, Z-Score = 5.45</t>
  </si>
  <si>
    <t>NEG-D</t>
  </si>
  <si>
    <t>0406</t>
  </si>
  <si>
    <t>PT: M986; D381 - Gum, Unwashed Content</t>
  </si>
  <si>
    <t>MXXX</t>
  </si>
  <si>
    <t>0407</t>
  </si>
  <si>
    <t>PT: M986; D3227 - Sulfur, Mercaptan, Z-Score = -6.16</t>
  </si>
  <si>
    <t>-6.16</t>
  </si>
  <si>
    <t>0408</t>
  </si>
  <si>
    <t>PT: M986; D2700 - Octane Number, Motor, Z-Score = 4.45</t>
  </si>
  <si>
    <t>0409</t>
  </si>
  <si>
    <t>PT: R-1354; D5453 - Sulfur, by UVF, Z-Score = 4.86</t>
  </si>
  <si>
    <t>0410</t>
  </si>
  <si>
    <t>PT: R-1355; D86 - Distillation, Auto, 90%, Evaporated</t>
  </si>
  <si>
    <t>0411</t>
  </si>
  <si>
    <t>PT: T349; D5453 - Sulfur, by UVF, Z-Score = -2.43</t>
  </si>
  <si>
    <t>TXXX</t>
  </si>
  <si>
    <t>0412</t>
  </si>
  <si>
    <t>PT: D345; D86 - Distillation, Auto, 50% Recovered, Recovery %, &amp; Loss %</t>
  </si>
  <si>
    <t>DXXX</t>
  </si>
  <si>
    <t>2.05, -2.11, &amp; 2.39</t>
  </si>
  <si>
    <t>0413</t>
  </si>
  <si>
    <t>PT: D345; D86 - Distillation, Auto, 10%, 50%, &amp; 90% Recovered, Z-Scores = -26.93, -94.99, &amp; -196.9</t>
  </si>
  <si>
    <t>-26.93, -94.99, &amp; -196.9</t>
  </si>
  <si>
    <t>0414</t>
  </si>
  <si>
    <t>PT: D345; D6079 - Lubricity, HFRR, Wear Scar Diameter</t>
  </si>
  <si>
    <t>-2.03</t>
  </si>
  <si>
    <t>0415</t>
  </si>
  <si>
    <t>PT: R-1356; D4052 - Gravity, API at 60oF</t>
  </si>
  <si>
    <t>-2.1</t>
  </si>
  <si>
    <t>0416</t>
  </si>
  <si>
    <t>PT: T351; D3241 - JFTOT, Pressure Drop</t>
  </si>
  <si>
    <t>0417</t>
  </si>
  <si>
    <t>PT: F323; D5453 - Sulfur, by UVF</t>
  </si>
  <si>
    <t>FXXX</t>
  </si>
  <si>
    <t>-2.17</t>
  </si>
  <si>
    <t>0418</t>
  </si>
  <si>
    <t xml:space="preserve">PT: CO2503; D1298 - Density, Hydrometer, at 15 °C </t>
  </si>
  <si>
    <t>-2.51</t>
  </si>
  <si>
    <t>0419</t>
  </si>
  <si>
    <t>PT: CO2503; D5708 - Element, Vanadium, ICPAES, Method A &amp; Method B</t>
  </si>
  <si>
    <t>2.54 &amp; 2.35</t>
  </si>
  <si>
    <t>0420</t>
  </si>
  <si>
    <t>PT: CO2503; D4928 - Water, Coulometric KF, Z-Score = -2.13</t>
  </si>
  <si>
    <t>0421</t>
  </si>
  <si>
    <t>PT: CO2503; D7169 - BP Dististribution, by HT-GC, Multiple Parameters, Z-Scores = Multiple Outliers</t>
  </si>
  <si>
    <t>0422</t>
  </si>
  <si>
    <t>PT: CO2503; D7900 - HC Type, 1,3-dimethylbenzene &amp; 1,4-dimethylbenzene, Z-Scores = -6.92 &amp; -5.98</t>
  </si>
  <si>
    <t>-6.92 &amp; -5.98</t>
  </si>
  <si>
    <t>0423</t>
  </si>
  <si>
    <t>PT: CO2503; D664 - Acid Number, A, 60 mL, inflection EP, Z-Score = 11.30</t>
  </si>
  <si>
    <t>0424</t>
  </si>
  <si>
    <t>PT: CO2503; D473 - Sediment, by Extraction, Z-Score = 10.55</t>
  </si>
  <si>
    <t>0425</t>
  </si>
  <si>
    <t>PT: CO2503; D4006 - Water, by Distillation</t>
  </si>
  <si>
    <t>-2.01</t>
  </si>
  <si>
    <t>0426</t>
  </si>
  <si>
    <t>PT: CO2503; D4006 - Water and Sediment, Centrifuge</t>
  </si>
  <si>
    <t>0427</t>
  </si>
  <si>
    <t>PT: CO2503; D4928 - Water, Coulometric KF, Z-Score = -2.51</t>
  </si>
  <si>
    <t>0428</t>
  </si>
  <si>
    <t>0429</t>
  </si>
  <si>
    <t>PT: CO2503; D1298 - API Gravity &amp; Density, Hydrometer, Opaque, at 15 °C, Z-Score = 11.19 &amp; -13.96</t>
  </si>
  <si>
    <t>11.19 &amp; -13.96</t>
  </si>
  <si>
    <t>0430</t>
  </si>
  <si>
    <t>PT: CO2503; D5708 - Element, Iron, ICPAES, Method B &amp; Nickel, ICPAES, Method A, Z-Scores = -5.18 &amp; 76.46</t>
  </si>
  <si>
    <t>-5.18 &amp; 76.46</t>
  </si>
  <si>
    <t>0431</t>
  </si>
  <si>
    <t>PT: CO2503; D5863- Element, Nickel, AAS, Proc B, Z-Score = 9.09</t>
  </si>
  <si>
    <t>0432</t>
  </si>
  <si>
    <t>PT: CO2503; D7900 - HC Type, Multiple Parameters, Z-Scores = Multiple Outliers</t>
  </si>
  <si>
    <t>0433</t>
  </si>
  <si>
    <t>PT: CO2503; D7042 - Viscosity, Stabinger, Kin, 50 °C, Z-Score = -12.99</t>
  </si>
  <si>
    <t>-12.99</t>
  </si>
  <si>
    <t>0434</t>
  </si>
  <si>
    <t>PT: CO2503; D4007 - Water and Sediment, Centrifuge, Z-Score = 9.84</t>
  </si>
  <si>
    <t>0435</t>
  </si>
  <si>
    <t>PT: CO2503; D4928 - Water, Coulometric KF, Z-Score = 3.22</t>
  </si>
  <si>
    <t>0436</t>
  </si>
  <si>
    <t>PT: CO2503; D7900 - HC Type, 1,2-dimethylbenzene, Z-Score =-5.87</t>
  </si>
  <si>
    <t>-5.87</t>
  </si>
  <si>
    <t>0437</t>
  </si>
  <si>
    <t>PT: CO2503; D5762 - Nitrogen, Boat-Inlet Chemilum, Z-Score = 2.60</t>
  </si>
  <si>
    <t>0438</t>
  </si>
  <si>
    <t>PT: CO2503; D3230 - Salts, Electrometric Method, Z-Score = -2.36</t>
  </si>
  <si>
    <t>0439</t>
  </si>
  <si>
    <t>PT: CO2503; D445 - Viscosity, Kinematic, 25 °C, Z-Score = 18.29</t>
  </si>
  <si>
    <t>0440</t>
  </si>
  <si>
    <t>PT: CO2503; D7169 - BP Distribution, by HT-GC, 5%, Z-Score = -2.74</t>
  </si>
  <si>
    <t>-2.74</t>
  </si>
  <si>
    <t>0441</t>
  </si>
  <si>
    <t>PT: CO2503; D473 - Sediment, by Extraction, Z-Score = 3.77</t>
  </si>
  <si>
    <t>0442</t>
  </si>
  <si>
    <t>PT: CO2503; D445 - Viscosity, Kinematic, 40 °C</t>
  </si>
  <si>
    <t>0443</t>
  </si>
  <si>
    <t>PT: CO2503; D8045 - Acid Number, Catalytic Thermometric Titration</t>
  </si>
  <si>
    <t>0444</t>
  </si>
  <si>
    <t>PT: CO2503; D7169 - BP Distribution, by HT-GC, Cut 8, 720C (1328F)</t>
  </si>
  <si>
    <t>0445</t>
  </si>
  <si>
    <t>PT: CO2503; D5762 - Nitrogen, Boat-Inlet, Chemilum, Z-Score = 6.10</t>
  </si>
  <si>
    <t>CO</t>
  </si>
  <si>
    <t>0446</t>
  </si>
  <si>
    <t>PT: CO2503; D7042 - Viscosity, Stabinger, Kin, 50 °C</t>
  </si>
  <si>
    <t>0447</t>
  </si>
  <si>
    <t>PT: CO2503; D5002 - Density, digital, 15 °C</t>
  </si>
  <si>
    <t>0448</t>
  </si>
  <si>
    <t>PT: CO2503; D3230 - Salts, Electrometric Method, Z-Score = 29.42</t>
  </si>
  <si>
    <t>0449</t>
  </si>
  <si>
    <t>0450</t>
  </si>
  <si>
    <t>PT: CO2503; D4530 - Carbon Residue, Micro, Z-Score = -2.47</t>
  </si>
  <si>
    <t>-2.47</t>
  </si>
  <si>
    <t>0451</t>
  </si>
  <si>
    <t>PT: CO2503; D5002 - Density, digital, 15 °C, Z-Score = -3.55</t>
  </si>
  <si>
    <t>-3.55</t>
  </si>
  <si>
    <t>0452</t>
  </si>
  <si>
    <t>PT: CO2503; D4294 - Sulfur, by EDXRF, Z-Score = 6.48</t>
  </si>
  <si>
    <t>0453</t>
  </si>
  <si>
    <t>PT: CO2503; D5853 - Pour Point, Manual, Method A, Z-Score = -2.20</t>
  </si>
  <si>
    <t>0454</t>
  </si>
  <si>
    <t>PT: CO2503; D5002 - Density, digital, 15 °C, Z-Score = -30.40</t>
  </si>
  <si>
    <t>-30.40</t>
  </si>
  <si>
    <t>0455</t>
  </si>
  <si>
    <t>PT: CO2503; D4294 - Sulfur, by EDXRF, Z-Score = 2.51</t>
  </si>
  <si>
    <t>0456</t>
  </si>
  <si>
    <t>PT: CO2503; D4007 - Water and Sediment, Centrifuge</t>
  </si>
  <si>
    <t>0457</t>
  </si>
  <si>
    <t>PT: JF2411; D1322 - Smoke Point, Man, Z-Score = -2.17</t>
  </si>
  <si>
    <t>0458</t>
  </si>
  <si>
    <t>PT: JF2411; D86 - Distillation, Auto, % Resid, Z-Scores = -6.97</t>
  </si>
  <si>
    <t>-6.97</t>
  </si>
  <si>
    <t>0459</t>
  </si>
  <si>
    <t>PT: JF2411; D1322 - Smoke Point, Man, Z-Score = 3.58</t>
  </si>
  <si>
    <t>0460</t>
  </si>
  <si>
    <t>PT: JF2411; D445 - Viscosity, Kinematic, -20 °C, Z-Score = 5.54</t>
  </si>
  <si>
    <t>0461</t>
  </si>
  <si>
    <t>PT: JF2411; D86 - Distillation, Auto, FBP</t>
  </si>
  <si>
    <t>-2.29</t>
  </si>
  <si>
    <t>0462</t>
  </si>
  <si>
    <t>PT: JF2411; D56 - Flash Point, TAG, Corrected, Z-Score = 50.14</t>
  </si>
  <si>
    <t>0463</t>
  </si>
  <si>
    <t>PT: JF2411; D3242 - Acidity, by Titration, Z-Score = 2.49</t>
  </si>
  <si>
    <t>0464</t>
  </si>
  <si>
    <t>PT: JF2411; D86 - Distillation, Auto, % Resid, Z-Score = 574.88</t>
  </si>
  <si>
    <t>0465</t>
  </si>
  <si>
    <t>PT: JF2411; D445 - Viscosity, Kinematic, -20 °C, Z-Score = 16.17</t>
  </si>
  <si>
    <t>0466</t>
  </si>
  <si>
    <t>PT: JF2411; D2386 - Freeze Point, Z-Score = 2.21</t>
  </si>
  <si>
    <t>0467</t>
  </si>
  <si>
    <t>PT: JF2411; D1319 - HC Type, Aromatics, Oxy-Free, Z-Score = 2.70</t>
  </si>
  <si>
    <t>0468</t>
  </si>
  <si>
    <t>PT: JF2411; D3338 - Net Heat of Combustion, Z-Score = -18.52</t>
  </si>
  <si>
    <t>-18.52</t>
  </si>
  <si>
    <t>0469</t>
  </si>
  <si>
    <t>PT: JF2411; D1298 - Density, by Hydrometer, 15 °C, Z-Score = -14.54</t>
  </si>
  <si>
    <t>0470</t>
  </si>
  <si>
    <t>PT: JF2411; D2624 - Electrical Conductivity, Portable Meter, Z-Score = 3.62</t>
  </si>
  <si>
    <t>0471</t>
  </si>
  <si>
    <t>PT: JF2411; D56 - Flash Point, TAG, Corrected, Z-Score = 3.62</t>
  </si>
  <si>
    <t>0472</t>
  </si>
  <si>
    <t>PT: JF2411; D1319 - HC Type Olefins, Oxy-Free, Z-Score = 8.13</t>
  </si>
  <si>
    <t>0473</t>
  </si>
  <si>
    <t>PT: JF2411; D3338 - Net Heat of Combustion, Z-Score = 2.12</t>
  </si>
  <si>
    <t>0474</t>
  </si>
  <si>
    <t>PT: JF2411; D1319 - HC Type Olefins, Oxy-Free, Z-Score = 3.51</t>
  </si>
  <si>
    <t>0475</t>
  </si>
  <si>
    <t>PT: JF2411; D3227 - Mercaptan Sulfur, Potentiometric</t>
  </si>
  <si>
    <t>0476</t>
  </si>
  <si>
    <t>PT: JF2411; D1840 - Napthalenes, by UVS, Z-Score = -2.07</t>
  </si>
  <si>
    <t>0477</t>
  </si>
  <si>
    <t>PT: JF2411; D3338 - Net Heat of Combustion, Z-Score = -3.75</t>
  </si>
  <si>
    <t>-3.75</t>
  </si>
  <si>
    <t>0478</t>
  </si>
  <si>
    <t>PT: JF2411; D86 - Distillation, Auto, 70%, Z-Score = -2.08</t>
  </si>
  <si>
    <t>-2.08</t>
  </si>
  <si>
    <t>0479</t>
  </si>
  <si>
    <t>PT: JF2411; D1319 - HC Type Aromatics &amp; Saturates, Oxy-Free, Z-Scores = 7.86 &amp; -6.43</t>
  </si>
  <si>
    <t>7.86 &amp; -6.43</t>
  </si>
  <si>
    <t>0480</t>
  </si>
  <si>
    <t>PT: JF2411; D3338 - Net Heat of Combustion, Z-Score = -5.16</t>
  </si>
  <si>
    <t>-5.16</t>
  </si>
  <si>
    <t>0481</t>
  </si>
  <si>
    <t>PT: JF2411; D3241 - Thermal Stability, Ellipsometric, @275, Thickness, Z-Score = 2.20</t>
  </si>
  <si>
    <t>0482</t>
  </si>
  <si>
    <t>PT: JF2411; D86 - Distillation, Auto, 95%, Z-Score = 2.28</t>
  </si>
  <si>
    <t>0483</t>
  </si>
  <si>
    <t>0484</t>
  </si>
  <si>
    <t>PT: JF2411; D2386 - Freeze Point, Z-Score = 4.14</t>
  </si>
  <si>
    <t>0485</t>
  </si>
  <si>
    <t>PT: JF2411; D3338 - Net Heat of Combustion, Z-Score = -2.75</t>
  </si>
  <si>
    <t>-2.75</t>
  </si>
  <si>
    <t>0486</t>
  </si>
  <si>
    <t>PT: JF2411; D976 - Cetane Index, Calculated, Z-Score = 3.91</t>
  </si>
  <si>
    <t>0487</t>
  </si>
  <si>
    <t>PT: JF2411; D86 - Distillation, Auto, 60% - 95%, &amp; % Loss, Z-Scores = Multiple Outliers</t>
  </si>
  <si>
    <t>0488</t>
  </si>
  <si>
    <t>PT: JF2411; D56 - Flash Point, TAG, Corrected, Z-Score = -3.55</t>
  </si>
  <si>
    <t>0489</t>
  </si>
  <si>
    <t>PT: D-1214; D445 - Viscosity, at 40°C, Z-Score = 11.32</t>
  </si>
  <si>
    <t>0490</t>
  </si>
  <si>
    <t>PT: D-1214; D445 - Viscosity, at 40°C, Z-Score = 6.89</t>
  </si>
  <si>
    <t>0491</t>
  </si>
  <si>
    <t>PT: D-1214; D86 - Distillation, Auto, IBP, Recovered</t>
  </si>
  <si>
    <t>0492</t>
  </si>
  <si>
    <t>PT: M987; D2700 - Octane Number, Motor, Z-Score = 6.07</t>
  </si>
  <si>
    <t>0493</t>
  </si>
  <si>
    <t>PT: M988; D86 - Distillation, Auto, FBP, Evaporated</t>
  </si>
  <si>
    <t>0494</t>
  </si>
  <si>
    <t>PT: R-1357; D1319 - HC Type, Olefins (Uncorrected)</t>
  </si>
  <si>
    <t>0495</t>
  </si>
  <si>
    <t>PT: RFG2505; D5769 - Total Aromatics, by GC/MS (EPA), Z-Score = 4.41</t>
  </si>
  <si>
    <t>0496</t>
  </si>
  <si>
    <t>PT: RFG2505; D7039 - Sulfur, by MWDXRF, Z-Score = -2.13</t>
  </si>
  <si>
    <t>0497</t>
  </si>
  <si>
    <t>PT: RFG2505; D5769 - Total Aromatics, by GC/MS (EPA)</t>
  </si>
  <si>
    <t>0498</t>
  </si>
  <si>
    <t>PT: RFG2505; D86 - Distillation, Auto, 60% &amp; 70%, &amp; 60% (EPA) &amp; 70% (EPA)</t>
  </si>
  <si>
    <t>2.06, 2.46, 2.56, 2.22</t>
  </si>
  <si>
    <t>0499</t>
  </si>
  <si>
    <t>PT: RFG2505; D86 - Distillation, Auto, 20%, °F &amp; % Resid, (EPA), Z-Scores = -3.17 &amp; 8.75</t>
  </si>
  <si>
    <t>-3.17 &amp; 8.75</t>
  </si>
  <si>
    <t>0500</t>
  </si>
  <si>
    <t>PT: RFG2505; D86 - Distillation, Auto, 60% &amp; 70%, °F (EPA)</t>
  </si>
  <si>
    <t>2.04 &amp; 2.08</t>
  </si>
  <si>
    <t>0501</t>
  </si>
  <si>
    <t>PT: RFG2505; D5769 - Benzene, by GC/MS (EPA)</t>
  </si>
  <si>
    <t>0502</t>
  </si>
  <si>
    <t>PT: RFG2505; D86 - Distillation, Auto, IBP, °F (EPA), Z-Score = 2.13</t>
  </si>
  <si>
    <t>0503</t>
  </si>
  <si>
    <t>PT: RFG2505; D5191 - Vapor Pressure, DVPE, 1L</t>
  </si>
  <si>
    <t>0504</t>
  </si>
  <si>
    <t>PT: RFG2505; D86 - Distillation, Auto, % Resid</t>
  </si>
  <si>
    <t>0505</t>
  </si>
  <si>
    <t>PT: RFG2505; D5453 - Sulfur, by UVF</t>
  </si>
  <si>
    <t>0506</t>
  </si>
  <si>
    <t>PT: RFG2505; D86 - Distillation, Auto, E200 °F, % (EPA)</t>
  </si>
  <si>
    <t>0507</t>
  </si>
  <si>
    <t>PT: RFG2505; D86 - Distillation, Auto, E300 °F, % (EPA), Z-Score = -3.17</t>
  </si>
  <si>
    <t>-3.17</t>
  </si>
  <si>
    <t>0508</t>
  </si>
  <si>
    <t>PT: RFG2505; D5453 - Sulfur, by UVF, Z-Score = 4.27</t>
  </si>
  <si>
    <t>0509</t>
  </si>
  <si>
    <t>PT: RFG2505; D5580 - Aromatic Type, C9+ Aromatics, by GC</t>
  </si>
  <si>
    <t>0510</t>
  </si>
  <si>
    <t>PT: RFG2505; D3606 - Aromatic Type, Benzene, by GC, Proc B</t>
  </si>
  <si>
    <t>0511</t>
  </si>
  <si>
    <t>0512</t>
  </si>
  <si>
    <t>0513</t>
  </si>
  <si>
    <t>PT: RFG2505; D5188 - V/L Ratio Temp, Evac Chamber, Z-Score = 4.12</t>
  </si>
  <si>
    <t>0514</t>
  </si>
  <si>
    <t>0515</t>
  </si>
  <si>
    <t>PT: RFG2505; D1319 - HC Type, Aromatics &amp; Olefins, Corrected, Oxy-Free, &amp; EPA, Z-Scores = Multiple Outliers</t>
  </si>
  <si>
    <t>0516</t>
  </si>
  <si>
    <t>PT: RFG2505; D5769 - Aromatic Type, Benzene &amp; Toluene, by GC/MS</t>
  </si>
  <si>
    <t>2.79 &amp; 2.04</t>
  </si>
  <si>
    <t>0517</t>
  </si>
  <si>
    <t>PT: RFG2505; D86 - Distillation, Auto, 50%, °F (EPA), Z-Score = 2.23</t>
  </si>
  <si>
    <t>0518</t>
  </si>
  <si>
    <t>-2.86</t>
  </si>
  <si>
    <t>0519</t>
  </si>
  <si>
    <t>PT: RFG2505; D5191 - Vapor Pressure, DVPE, 1L (EPA)</t>
  </si>
  <si>
    <t>0520</t>
  </si>
  <si>
    <t>PT: RFG2505; D4815 - Oxygenates, Ethanol, by GC, Z-Score = -2.23</t>
  </si>
  <si>
    <t>0521</t>
  </si>
  <si>
    <t>PT: RFG2505; D86 - Distillation, Auto, % Loss, % Loss (EPA), &amp; % Recov</t>
  </si>
  <si>
    <t>2.84, 2.72, &amp; -2.70</t>
  </si>
  <si>
    <t>0522</t>
  </si>
  <si>
    <t>PT: RFG2505; D4815 - Oxygenates, Ethanol &amp; Total Oxygen, Z-Scores = -6.14 &amp; -5.99</t>
  </si>
  <si>
    <t>-6.14 &amp; -5.99</t>
  </si>
  <si>
    <t>0523</t>
  </si>
  <si>
    <t>PT: RFG2505; D2622 - Sulfur, by WDXRF, Z-Score = 4.89</t>
  </si>
  <si>
    <t>0524</t>
  </si>
  <si>
    <t>PT: RFG2505; D5453 - Sulfur, by UVF, Z-Score = 6.50</t>
  </si>
  <si>
    <t>0525</t>
  </si>
  <si>
    <t>PT: D-1215; D445 - Viscosity, at 40°C, Z-Score = 2.53</t>
  </si>
  <si>
    <t>0526</t>
  </si>
  <si>
    <t>PT: T350; D1840 - Naphthalenes, by UV, Z-Score = 2.48</t>
  </si>
  <si>
    <t>0527</t>
  </si>
  <si>
    <t>PT: T350; D86 - Distillation, Auto, IBP Recovered &amp; Residue, Z-Scores = -66.95 &amp; 6.93</t>
  </si>
  <si>
    <t>-66.95 &amp; 6.93</t>
  </si>
  <si>
    <t>0528</t>
  </si>
  <si>
    <t>PT: CE530; Octanes - Pump-AKI, Z-Score = 2.20</t>
  </si>
  <si>
    <t>CE530</t>
  </si>
  <si>
    <t>0529</t>
  </si>
  <si>
    <t>PT: CE530; D4052 - API, Gravity</t>
  </si>
  <si>
    <t>0530</t>
  </si>
  <si>
    <t>PT: CE530; D86 - Distillation, Auto, 60% &amp; Residue</t>
  </si>
  <si>
    <t>2.31 &amp; 2.05</t>
  </si>
  <si>
    <t>0531</t>
  </si>
  <si>
    <t>PT: CE530; D5188 - V/L Ratio, Temp, Z-Score = -2.40</t>
  </si>
  <si>
    <t>-2.40</t>
  </si>
  <si>
    <t>0532</t>
  </si>
  <si>
    <t>0533</t>
  </si>
  <si>
    <t>0534</t>
  </si>
  <si>
    <t>0535</t>
  </si>
  <si>
    <t>PT: CE530; D5191 - RVP PTOT, Z-Score = -8.85</t>
  </si>
  <si>
    <t>-8.85</t>
  </si>
  <si>
    <t>0536</t>
  </si>
  <si>
    <t>PT: CE530; D86 - Distillation, Auto, EP, Z-Score = -3.07</t>
  </si>
  <si>
    <t>-3.07</t>
  </si>
  <si>
    <t>0537</t>
  </si>
  <si>
    <t>PT: CE530; D86 - Distillation, Auto, 5% &amp; 10%, Z-Scores = 4.42 &amp; 3.55</t>
  </si>
  <si>
    <t>4.42 &amp; 3.55</t>
  </si>
  <si>
    <t>0538</t>
  </si>
  <si>
    <t>0539</t>
  </si>
  <si>
    <t>PT: CE530; D86 - Distillation, Auto, 95%</t>
  </si>
  <si>
    <t>0540</t>
  </si>
  <si>
    <t>PT: CE530; Octanes - Pump-AKI &amp; R-M Sensitivity, Z-Scores = -423.99 &amp; 211.85</t>
  </si>
  <si>
    <t>-423.99 &amp; 211.85</t>
  </si>
  <si>
    <t xml:space="preserve">Confirmed Transcription Errors. </t>
  </si>
  <si>
    <t>0541</t>
  </si>
  <si>
    <t>0542</t>
  </si>
  <si>
    <t>PT: CE530; D86 - Distillation, Auto, Loss%</t>
  </si>
  <si>
    <t>0543</t>
  </si>
  <si>
    <t>PT: CE530; D86 - Distillation, Auto, EP, Z-Score = -2.34</t>
  </si>
  <si>
    <t>-2.34</t>
  </si>
  <si>
    <t>0544</t>
  </si>
  <si>
    <t>PT: D-1216; D445 - Viscosity, at 40°C, Z-Score = 10.97</t>
  </si>
  <si>
    <t>D-1216</t>
  </si>
  <si>
    <t>0545</t>
  </si>
  <si>
    <t>PT: M989; D5191 - Vapor Pressure, DVPE, Z-Score = 3.08</t>
  </si>
  <si>
    <t>0546</t>
  </si>
  <si>
    <t>PT: M989; D86 - Distillation, Auto, 90%, Evaporated</t>
  </si>
  <si>
    <t>0547</t>
  </si>
  <si>
    <t>PT: M989; D86 - Distillation, Auto, FBP, Evaporated</t>
  </si>
  <si>
    <t>0548</t>
  </si>
  <si>
    <t>PT: M989; D86 - Distillation, Auto, Residue</t>
  </si>
  <si>
    <t>0549</t>
  </si>
  <si>
    <t>PT: M989; CAN/CGSB-3.0 No 14.3, Aromatics, Z-Score = -22.55</t>
  </si>
  <si>
    <t>-22.55</t>
  </si>
  <si>
    <t>0550</t>
  </si>
  <si>
    <t>PT: M989; SOR/97-493 - Benzene Emissions Number, Winter - Regulation, Z-Score = -31.95</t>
  </si>
  <si>
    <t>-31.95</t>
  </si>
  <si>
    <t>0551</t>
  </si>
  <si>
    <t>PT: R-1358; D4052 - Gravity, API at 60oF, Z-Score = -23.49</t>
  </si>
  <si>
    <t>-23.49</t>
  </si>
  <si>
    <t>0552</t>
  </si>
  <si>
    <t>PT: R-1358; D86 - Distillation, Auto, IBP, Evaporated</t>
  </si>
  <si>
    <t>0553</t>
  </si>
  <si>
    <t>PT: MG2412; D86 - Distillation, Auto, 30%,40%, &amp; E200 °F (EPA)</t>
  </si>
  <si>
    <t>2.56, 2.05, &amp; -2.36</t>
  </si>
  <si>
    <t>0554</t>
  </si>
  <si>
    <t>PT: MG2412; D86 - Distillation, Auto, % Evap (EPA)</t>
  </si>
  <si>
    <t>0555</t>
  </si>
  <si>
    <t>PT: MG2412; D3231 - Element, Phosphorus, by combusition/colorometric, Z-Score = 18.81</t>
  </si>
  <si>
    <t>0556</t>
  </si>
  <si>
    <t>PT: MG2412; D86 - Distillation, Auto, % Resid (EPA), Z-Score = 11.63</t>
  </si>
  <si>
    <t>0557</t>
  </si>
  <si>
    <t>PT: MG2412; D3227 - Mercaptan Sulfur, Potentiometric, Z-Score = 3.38</t>
  </si>
  <si>
    <t>0558</t>
  </si>
  <si>
    <t>0559</t>
  </si>
  <si>
    <t>PT: MG2412; D86 - Distillation, Auto, % Resid (EPA), Z-Score = 4.06</t>
  </si>
  <si>
    <t>0560</t>
  </si>
  <si>
    <t>PT: MG2412; D4052 - API Gravity &amp; Density, Digital, 15 °C, Z-Scores = -3.55 &amp; 3.29</t>
  </si>
  <si>
    <t>-3.55 &amp; 3.29</t>
  </si>
  <si>
    <t>0561</t>
  </si>
  <si>
    <t>PT: MG2412; D86 - Distillation, Auto, FBP,  °F (EPA), Z-Score = -3.19</t>
  </si>
  <si>
    <t>-3.19</t>
  </si>
  <si>
    <t>0562</t>
  </si>
  <si>
    <t>PT: MG2412; D86 - Distillation, Auto, 95%, °F (EPA)</t>
  </si>
  <si>
    <t>0563</t>
  </si>
  <si>
    <t>PT: MG2412; D86 - Distillation, Auto, IBP, Z-Score = -2.01</t>
  </si>
  <si>
    <t>0564</t>
  </si>
  <si>
    <t>PT: MG2412; D1319 - HC Type, Aromatics &amp; Saturates, Oxy-Free (EPA), Z-Scores = -2.16 &amp; 2.14</t>
  </si>
  <si>
    <t>-2.16 &amp; 2.14</t>
  </si>
  <si>
    <t>0565</t>
  </si>
  <si>
    <t>PT: MG2412; D6730 - HC Type, Mutiple Outliers, Z-Scores = Multiple Outliers</t>
  </si>
  <si>
    <t>0566</t>
  </si>
  <si>
    <t>PT: MG2412; D3237 - Mercaptan Sulfur, Potentiometric</t>
  </si>
  <si>
    <t>0567</t>
  </si>
  <si>
    <t>PT: MG2412; D6370 - HC Type, C7 Naphthenes, C9 Paraffins, C9+ Aromatics, &amp; Total Isoparaffins, by pCHR-GC</t>
  </si>
  <si>
    <t>0568</t>
  </si>
  <si>
    <t>PT: MG2412; D3227 - Mercaptan Sulfur, Potentiometric, Z-Score = 4.20</t>
  </si>
  <si>
    <t>0569</t>
  </si>
  <si>
    <t>PT: MG2412; D3606 - Toluene, by GC, Proc B (EPA), Z-Score = 2.25</t>
  </si>
  <si>
    <t>0570</t>
  </si>
  <si>
    <t>PT: MG2412; D86 - Distillation, Auto, % Resid (EPA), Z-Score = -3.25</t>
  </si>
  <si>
    <t>-3.25</t>
  </si>
  <si>
    <t>0571</t>
  </si>
  <si>
    <t>PT: MG2412; D1319 - HC Type, Aromatics, Oxy-Free, Z-Score = -2.83</t>
  </si>
  <si>
    <t>-2.83</t>
  </si>
  <si>
    <t>0572</t>
  </si>
  <si>
    <t>PT: MG2412; D1319 - HC Type, Saturates, Oxy-Free</t>
  </si>
  <si>
    <t>0573</t>
  </si>
  <si>
    <t>PT: D-1217; D93 - Flash Point, PMCC</t>
  </si>
  <si>
    <t>0574</t>
  </si>
  <si>
    <t>PT: D-1217; D445 - Viscosity, at 40oC, Z-Score = -7.42</t>
  </si>
  <si>
    <t>-7.42</t>
  </si>
  <si>
    <t>PTO155, 405 reference this PTO574 for documentation of the effectiveness review</t>
  </si>
  <si>
    <t>0575</t>
  </si>
  <si>
    <t>PT: M990; CAN/CGSB-3.0 No. 14.3 - Olefins</t>
  </si>
  <si>
    <t>CAN/CGSB-3.0 No.14.3 - Olefins</t>
  </si>
  <si>
    <t>0576</t>
  </si>
  <si>
    <t>PT: M990; SOR/97-493 - Benzene Emissions Number, Winter, Z-Score = -13.65</t>
  </si>
  <si>
    <t>-13.65</t>
  </si>
  <si>
    <t>Confirmed Calculation Error.</t>
  </si>
  <si>
    <t>0577</t>
  </si>
  <si>
    <t>PT: D346; D86 - Distillation, Auto, Loss%</t>
  </si>
  <si>
    <t>0578</t>
  </si>
  <si>
    <t>PT: D-1218; D93 - Flash Point, PMCC</t>
  </si>
  <si>
    <t>0579</t>
  </si>
  <si>
    <t>PT: JF2503; D86 - Distillation, Auto, 30%, 70%, 80%, 90%, &amp; 95%</t>
  </si>
  <si>
    <t>2.34, 2.26, 2.16, 2.17, &amp; 2.01</t>
  </si>
  <si>
    <t>0580</t>
  </si>
  <si>
    <t>PT: JF2503; D2887 - BP Distribution, GC, Proc A, 5%, 10%, 30%, &amp; 95%, Z-Scores = -2.49, -2.42, -2.08, &amp; -2.33</t>
  </si>
  <si>
    <t>-2.49, -2.42, -2.08, &amp; -2.33</t>
  </si>
  <si>
    <t>0581</t>
  </si>
  <si>
    <t>PT: JF2503; D86 - Distillation, Auto, 20%</t>
  </si>
  <si>
    <t>-2.80</t>
  </si>
  <si>
    <t>0582</t>
  </si>
  <si>
    <t>PT: JF2503; D4052 - API Gravity, Digital, 60°F, Z-Score = -3.00</t>
  </si>
  <si>
    <t>-3.00</t>
  </si>
  <si>
    <t>0583</t>
  </si>
  <si>
    <t>PT: JF2503; D86 - Distillation, Auto, 40%, Z-Score = -15.44</t>
  </si>
  <si>
    <t>-15.44</t>
  </si>
  <si>
    <t>0584</t>
  </si>
  <si>
    <t>PT: JF2503; D3227 - Mercaptan Sulfur, Potentiometric, Z-Score = -2.69</t>
  </si>
  <si>
    <t>-2.69</t>
  </si>
  <si>
    <t>0585</t>
  </si>
  <si>
    <t>PT: JF2503; D2622 - Sulfur, by WDXRF, Z-Score = 4.19</t>
  </si>
  <si>
    <t>0586</t>
  </si>
  <si>
    <t>PT: JF2503; D976 - Cetane Index, Calculated</t>
  </si>
  <si>
    <t>0587</t>
  </si>
  <si>
    <t>PT: JF2503; D86 - Distillation, Auto, 80%, 90%, &amp; 95%</t>
  </si>
  <si>
    <t>2.04, 2.69, &amp; 2.88</t>
  </si>
  <si>
    <t>0588</t>
  </si>
  <si>
    <t>PT: JF2503; D1840 - Napthalenes, by UVS, Z-Score = 9.12</t>
  </si>
  <si>
    <t>0589</t>
  </si>
  <si>
    <t>PT: JF2503; D5972 - Freeze Point, Auto Phase Trans, Z-Score = 2.48</t>
  </si>
  <si>
    <t>0590</t>
  </si>
  <si>
    <t>PT: JF2503; D3227 - Mercaptan Sulfur, Potentiometric, Z-Score = 2.13</t>
  </si>
  <si>
    <t>0591</t>
  </si>
  <si>
    <t>PT: JF2503; D1322 - Smoke Point, Man, Z-Score = -2.09</t>
  </si>
  <si>
    <t>0592</t>
  </si>
  <si>
    <t>PT: JF2503; D6379 - HC Type, by HPLC, Di-aromatics, Z-Score = 2.67</t>
  </si>
  <si>
    <t>0593</t>
  </si>
  <si>
    <t>PT: JF2503; D4294 - Sulfur, by EDXRF, Z-Score = -5.70</t>
  </si>
  <si>
    <t>-5.70</t>
  </si>
  <si>
    <t>0594</t>
  </si>
  <si>
    <t>PT: JF2503; D86 - Distillation, Auto, 95%</t>
  </si>
  <si>
    <t>0595</t>
  </si>
  <si>
    <t>-5.7</t>
  </si>
  <si>
    <t>0596</t>
  </si>
  <si>
    <t>PT: JF2503; D3338 - Net Heat of Combustion, Z-Score = 3.09</t>
  </si>
  <si>
    <t>0597</t>
  </si>
  <si>
    <t>PT: JF2503; D3242 - Acidity, by Titration, Z-Score = 2.40</t>
  </si>
  <si>
    <t>0598</t>
  </si>
  <si>
    <t>PT: JF2503; D445 - Viscosity, Kinematic, -20 °C, Z-Score = -3.05</t>
  </si>
  <si>
    <t>0599</t>
  </si>
  <si>
    <t>PT: JF2503; D1319 - HC Type, Olefins, Oxy-Free</t>
  </si>
  <si>
    <t>0600</t>
  </si>
  <si>
    <t>PT: JF2503; D1298 - Density, by Hydrometer, 15 °C, Z-Score = -3.17</t>
  </si>
  <si>
    <t>0601</t>
  </si>
  <si>
    <t>PT: JF2503; D2386 - Freeze Point, Manual, Z-Score = 2.98</t>
  </si>
  <si>
    <t>0602</t>
  </si>
  <si>
    <t>PT: JF2503; D1319 - HC Type, Aromatics &amp; Saturates, Oxy-Free, Z-Scores = 2.77 &amp; -3.38</t>
  </si>
  <si>
    <t>2.77 &amp; -3.38</t>
  </si>
  <si>
    <t>0603</t>
  </si>
  <si>
    <t>PT: JF2503; D3338 - Net Heat of Combustion, Z-Score = -3.09</t>
  </si>
  <si>
    <t>0604</t>
  </si>
  <si>
    <t>0605</t>
  </si>
  <si>
    <t>PT: JF2503; D86 - Distillation, Auto, 5%, Z-Score = -3.02</t>
  </si>
  <si>
    <t>0606</t>
  </si>
  <si>
    <t>PT: JF2503; D93 - Flash Point, PMCC, Proc A, corrected, Z-Score = -2.54</t>
  </si>
  <si>
    <t>0607</t>
  </si>
  <si>
    <t>0608</t>
  </si>
  <si>
    <t>PT: JF2503; D6379 - HC Type, by HPLC, Di-aromatics mass%, Z-Score = 4.42</t>
  </si>
  <si>
    <t>0609</t>
  </si>
  <si>
    <t>PT: JF2503; D1840 - Napthalenes, by UVS, Z-Score = 3.79</t>
  </si>
  <si>
    <t>0610</t>
  </si>
  <si>
    <t>PT: JF2503; D3338 - Net Heat, of Combustion, Z-Score = -19.67</t>
  </si>
  <si>
    <t>-19.67</t>
  </si>
  <si>
    <t>0611</t>
  </si>
  <si>
    <t>PT: JF2503; D1322 -Smoke Point, Man, Z-Score = -2.28</t>
  </si>
  <si>
    <t>0612</t>
  </si>
  <si>
    <t>PT: JF2503; D3241 - Thermal Stability, Ellipsometric, @260, Thickness, Z-Score = 2.80</t>
  </si>
  <si>
    <t>0613</t>
  </si>
  <si>
    <t>PT: JF2503; D445 - Viscosity, Kinematic, -20 °C, Z-Score = -23.40</t>
  </si>
  <si>
    <t>-23.4</t>
  </si>
  <si>
    <t>0614</t>
  </si>
  <si>
    <t>PT: JF2503; D6304 - Water, by Coul KF, Meth A Direct Injection, mg/kg, Z-Score = 3.40</t>
  </si>
  <si>
    <t>0615</t>
  </si>
  <si>
    <t>PT: JF2503; D86 - Distillation, Auto, 60%, Z-Score = -3.75</t>
  </si>
  <si>
    <t>0616</t>
  </si>
  <si>
    <t>PT: JF2503; D1319 - HC Type, Aromatics &amp; Saturates, Oxy-Free, Z-Scores = 2.13 &amp; -2.33</t>
  </si>
  <si>
    <t>2.13 &amp; -2.33</t>
  </si>
  <si>
    <t>0617</t>
  </si>
  <si>
    <t>PT: JF2503; D1840 - Napthalenes, by UVS, Z-Score = 2.61</t>
  </si>
  <si>
    <t>0618</t>
  </si>
  <si>
    <t>PT: JF2503; D3338 - Net Heat, of Combustion, Z-Score = -2.76</t>
  </si>
  <si>
    <t>-2.76</t>
  </si>
  <si>
    <t>0619</t>
  </si>
  <si>
    <t>PT: JF2503; D1322 -Smoke Point, Man, Z-Score = -2.12</t>
  </si>
  <si>
    <t>0620</t>
  </si>
  <si>
    <t>PT: JF2503; D86 - Distillation, Auto, % Loss</t>
  </si>
  <si>
    <t>0621</t>
  </si>
  <si>
    <t>PT: JF2503; D56 - Flash Point, TAG, Corrected, Z-Score = 2.19</t>
  </si>
  <si>
    <t>0622</t>
  </si>
  <si>
    <t>0623</t>
  </si>
  <si>
    <t>0624</t>
  </si>
  <si>
    <t>PT: JF2503; D2887 - BP Distribution, GC, Proc A, FBP, Z-Score = 21.90</t>
  </si>
  <si>
    <t>0625</t>
  </si>
  <si>
    <t>PT: JF2503; D3338 - Net Heat, of Combustion, Z-Score = 100.50</t>
  </si>
  <si>
    <t>0626</t>
  </si>
  <si>
    <t>PT: JF2503; D1322 -Smoke Point, Man, Z-Score = -2.50</t>
  </si>
  <si>
    <t>-2.5</t>
  </si>
  <si>
    <t>0627</t>
  </si>
  <si>
    <t>PT: JF2503; D86 - Distillation, Auto, % Loss, Z-Score = 3.14</t>
  </si>
  <si>
    <t>0628</t>
  </si>
  <si>
    <t>0629</t>
  </si>
  <si>
    <t>PT: JF2503; D3242 - Acidity, by Titration, Z-Score = 3.40</t>
  </si>
  <si>
    <t>0630</t>
  </si>
  <si>
    <t>0631</t>
  </si>
  <si>
    <t>0632</t>
  </si>
  <si>
    <t>0633</t>
  </si>
  <si>
    <t>0634</t>
  </si>
  <si>
    <t>PT: JF2503; D4052 - Density, Digital, 15 °C, Z-Score = 5.07</t>
  </si>
  <si>
    <t>0635</t>
  </si>
  <si>
    <t>PT: JF2503; D86 - Distillation, Auto, 20% - 90%, &amp; FBP</t>
  </si>
  <si>
    <t>0636</t>
  </si>
  <si>
    <t>PT: JF2503; D2386 - Freeze Point, Manual, Z-Score = 7.27</t>
  </si>
  <si>
    <t>0637</t>
  </si>
  <si>
    <t>PT: JF2503; D1319 - HC Type, Olefins &amp; Saturates, Oxy-Free, Z-Scores = 15.45 &amp; -5.05</t>
  </si>
  <si>
    <t>15.45 &amp; -5.05</t>
  </si>
  <si>
    <t>0638</t>
  </si>
  <si>
    <t>PT: JF2503; D3227 - Mercaptan Sulfur, Potentiometric, Z-Score = 47473.05</t>
  </si>
  <si>
    <t>0639</t>
  </si>
  <si>
    <t>PT: JF2503; D1840 - Napthalenes, by UVS, Z-Score = 19.38</t>
  </si>
  <si>
    <t>0640</t>
  </si>
  <si>
    <t>PT: JF2503; D3338 - Net Heat, of Combustion, Z-Score = -5.19</t>
  </si>
  <si>
    <t>-5.19</t>
  </si>
  <si>
    <t>0641</t>
  </si>
  <si>
    <t>0642</t>
  </si>
  <si>
    <t>PT: JF2503; D5453 - Sulfur, by UVF, Z-Score = 2.50</t>
  </si>
  <si>
    <t>0643</t>
  </si>
  <si>
    <t>PT: JF2503; D6304 - Water, by Coul KF, Meth A Direct Injection, mg/kg, Z-Score =- 2.80</t>
  </si>
  <si>
    <t>-2.8</t>
  </si>
  <si>
    <t>0644</t>
  </si>
  <si>
    <t>PT: TM06-25; D2699 - Octane Number, Research, Z-Score = -4.18</t>
  </si>
  <si>
    <t>-4.18</t>
  </si>
  <si>
    <t>0645</t>
  </si>
  <si>
    <t>PT: TM06-25; D86 - Distillation, Auto, 50%</t>
  </si>
  <si>
    <t>0646</t>
  </si>
  <si>
    <t>PT: BO2504; D445 - Viscosity, Kinematic, 100°C &amp; 40°C, Z-Scores = 4.20 &amp; -5.58</t>
  </si>
  <si>
    <t>4.20 &amp; -5.58</t>
  </si>
  <si>
    <t>0647</t>
  </si>
  <si>
    <t>PT: R-1359; D2699 - Octane Number, Research, Z-Score = 2.23</t>
  </si>
  <si>
    <t>0648</t>
  </si>
  <si>
    <t>PT: R-1359; D5453 - Sulfur, by UVF</t>
  </si>
  <si>
    <t>0649</t>
  </si>
  <si>
    <t>PT: R-1359; D86 - Distillation, Auto, 10%</t>
  </si>
  <si>
    <t>-2.00</t>
  </si>
  <si>
    <t>0650</t>
  </si>
  <si>
    <t>PT: M991; D381 - Gums, Unwashed Content</t>
  </si>
  <si>
    <t>0651</t>
  </si>
  <si>
    <t>PT: M991; D5191 - Vapor Pressure, DVPE, Z-Score = -10.63</t>
  </si>
  <si>
    <t>-10.63</t>
  </si>
  <si>
    <t>0652</t>
  </si>
  <si>
    <t>-2.3</t>
  </si>
  <si>
    <t>0653</t>
  </si>
  <si>
    <t>PT: M991; D86 - Distillation, Auto, % Evaporated @ 93oC &amp; 149oC, Z-Scores = -10.88 &amp; -7.17</t>
  </si>
  <si>
    <t>-10.88 &amp; -7.17</t>
  </si>
  <si>
    <t>0654</t>
  </si>
  <si>
    <t>PT: T352; D3242 - Acid Number, by Titration, Z-Score = 2.71</t>
  </si>
  <si>
    <t>0655</t>
  </si>
  <si>
    <t>PT: T352; D1840 - Naphthalenes, by UV Spec, Z-Score = 5.18</t>
  </si>
  <si>
    <t>0656</t>
  </si>
  <si>
    <t>PT: T352; D5453 - Sulfur, by UVF</t>
  </si>
  <si>
    <t>0657</t>
  </si>
  <si>
    <t>PT: T352; D86 - Distillation, Auto, 90% &amp; Recovery</t>
  </si>
  <si>
    <t>2.09 &amp; -2.23</t>
  </si>
  <si>
    <t>0658</t>
  </si>
  <si>
    <t>PT: T352; D3241 - JFTOT, Pressure Drop, Z-Score = 29.00</t>
  </si>
  <si>
    <t>0659</t>
  </si>
  <si>
    <t>PT: ETOH2504; D6423 - pHe, Ethanol, Z-Score = 3.07</t>
  </si>
  <si>
    <t>0660</t>
  </si>
  <si>
    <t>PT: ETOH2504; E1064 - Water, by Coul KF</t>
  </si>
  <si>
    <t>0661</t>
  </si>
  <si>
    <t>PT: ETOH2504; D5501 - Methanol, by GC, Z-Score = 2.06</t>
  </si>
  <si>
    <t>0662</t>
  </si>
  <si>
    <t>PT: ETOH2504; D4052 - Density, Relative @ 15.56 °C, Z-Score = 8.27</t>
  </si>
  <si>
    <t>0663</t>
  </si>
  <si>
    <t>PT: ETOH2504; E1064 - Water, by Coul KF, Z-Score = 3.59</t>
  </si>
  <si>
    <t>0664</t>
  </si>
  <si>
    <t>PT: ETOH2504; D6423 - pHe, Ethanol, Z-Score = 2.88</t>
  </si>
  <si>
    <t>0665</t>
  </si>
  <si>
    <t>PT: R-1360; D4052 - Gravity, API at 60 °F</t>
  </si>
  <si>
    <t>-2.26</t>
  </si>
  <si>
    <t>0666</t>
  </si>
  <si>
    <t>PT: R-1360; D5191 - Vapor Pressure, PTOT</t>
  </si>
  <si>
    <t>0667</t>
  </si>
  <si>
    <t>PT: R-1360; D5769 - Total Aromatics, by GC/MS</t>
  </si>
  <si>
    <t>0668</t>
  </si>
  <si>
    <t>PT: R-1360; D86 - Distillation, Auto, 50% Evaporated</t>
  </si>
  <si>
    <t>0669</t>
  </si>
  <si>
    <t>PT: OC2504; D86 - Distillation, IBP °F</t>
  </si>
  <si>
    <t>0670</t>
  </si>
  <si>
    <t>PT: OC2504; D2622 - Sulfur Content, by WDXRF, Z-Score = -3.53</t>
  </si>
  <si>
    <t>-3.53</t>
  </si>
  <si>
    <t>0671</t>
  </si>
  <si>
    <t>PT: OC2504; D5191 - Vapor Pressure, DVPE</t>
  </si>
  <si>
    <t>0672</t>
  </si>
  <si>
    <t>PT: OC2504; D1319 - HC Type, Olefins &amp; Saturates, Oxy-Free, Z-Scores = 42.65 &amp; -26.06</t>
  </si>
  <si>
    <t>42.65 &amp; -26.06</t>
  </si>
  <si>
    <t>0673</t>
  </si>
  <si>
    <t>PT: OC2504; D86 - Distillation, FBP, % Loss &amp; % Recovery, Z-Scores = -8.44, 180.02 &amp; 473.87</t>
  </si>
  <si>
    <t>-8.44, 180.02, &amp; 473.87</t>
  </si>
  <si>
    <t>0674</t>
  </si>
  <si>
    <t>PT: OC2504; D1319 - HC Type, Olefins &amp; Saturates, Oxy-Free, Z-Scores = 40.32 &amp; -25.70</t>
  </si>
  <si>
    <t>40.32 &amp; -25.70</t>
  </si>
  <si>
    <t>0675</t>
  </si>
  <si>
    <t>PT: OC2504; D1319 - HC Type, Olefins &amp; Saturates, Oxy-Free, Z-Scores = 40.07 &amp; -24.72</t>
  </si>
  <si>
    <t>40.07 &amp; -24.72</t>
  </si>
  <si>
    <t>0676</t>
  </si>
  <si>
    <t>PT: OC2504; D2700 - Octane Number, Motor, &amp; MON Compression Ratio Procedure C, Z-Scores =2.67 &amp; 2.45</t>
  </si>
  <si>
    <t>2.67 &amp; 2.45</t>
  </si>
  <si>
    <t>0677</t>
  </si>
  <si>
    <t>PT: OC2504; D2699 - Octane Number, Research, &amp; RON Compression Ratio Procedure C, Z-Scores =-2.11 &amp; -2.07</t>
  </si>
  <si>
    <t>-2.11 &amp; -2.07</t>
  </si>
  <si>
    <t>0678</t>
  </si>
  <si>
    <t>PT: DF22502; D4737 - Cetane Index, by Four Var Eq</t>
  </si>
  <si>
    <t>0679</t>
  </si>
  <si>
    <t>PT: DF22502; D4737 - Cetane Index, Calculated, Z-Score = -6.20</t>
  </si>
  <si>
    <t>-6.20</t>
  </si>
  <si>
    <t>0680</t>
  </si>
  <si>
    <t>PT: DF22502; D2500 - Cloud Point, Manual, Z-Score = -2.10</t>
  </si>
  <si>
    <t>-2.10</t>
  </si>
  <si>
    <t>0681</t>
  </si>
  <si>
    <t>PT: DF22502; D86 - Distillation, Auto, 90%</t>
  </si>
  <si>
    <t>0682</t>
  </si>
  <si>
    <t>PT: DF22502; D1319 - HC Type, Saturates, Oxy-Free, Z-Score = -25.49</t>
  </si>
  <si>
    <t>-25.49</t>
  </si>
  <si>
    <t>0683</t>
  </si>
  <si>
    <t>PT: DF22502; D5949 - Pour Point, Auto Pressure Pulse (Models 30.50.70) &amp; (Models 70V, 70X, 70Xi), Z-Scores = -2.10 &amp; -2.30</t>
  </si>
  <si>
    <t>0684</t>
  </si>
  <si>
    <t>PT: DF22502; D7042 - Viscosity, Stabinger, Kin, 40 °C, Z-Score = -3.13</t>
  </si>
  <si>
    <t>-3.13</t>
  </si>
  <si>
    <t>0685</t>
  </si>
  <si>
    <t>PT: DF22502; D4052 - API Gravity, Digital, 60 °F, Z-Score = 9.78</t>
  </si>
  <si>
    <t>0686</t>
  </si>
  <si>
    <t>0687</t>
  </si>
  <si>
    <t>PT: DF22502; D2887 - BP Distribution, GC, Proc A, Multiple Parameters, Z-Scores = Multiple Outliers</t>
  </si>
  <si>
    <t>0688</t>
  </si>
  <si>
    <t>PT: DF22502; D5186 - HC Type, by SFC, Total Aromatics &amp; PAH, Z-Scores = 4.14 &amp; 4.91</t>
  </si>
  <si>
    <t>4.14 &amp; 4.91</t>
  </si>
  <si>
    <t>0689</t>
  </si>
  <si>
    <t>PT: DF22502; D2887 - BP Distribution, GC, Proc A, IBP</t>
  </si>
  <si>
    <t>0690</t>
  </si>
  <si>
    <t>PT: DF22502; D6079 - Lubricity, HFRR, Scar Diameter, Z-Score = -9.20</t>
  </si>
  <si>
    <t>-9.24</t>
  </si>
  <si>
    <t>0691</t>
  </si>
  <si>
    <t>PT: DF22502; D4629 - Nitrogen, by Chemiluminescence, Z-Score = 2.01</t>
  </si>
  <si>
    <t>0692</t>
  </si>
  <si>
    <t>PT: DF22502; D2500 - Cloud Point, Manual, Z-Score = -2.80</t>
  </si>
  <si>
    <t>0693</t>
  </si>
  <si>
    <t>PT: DF22502; D86 - Distillation, Auto, IBP, Z-Score = -2.16</t>
  </si>
  <si>
    <t>0694</t>
  </si>
  <si>
    <t>PT: DF22502; D1319 - HC Type, Aromatics &amp; Saturates, Oxy-Free, Z-Score = 2.43 &amp; -2.81</t>
  </si>
  <si>
    <t>2.43 &amp; -2.81</t>
  </si>
  <si>
    <t>0695</t>
  </si>
  <si>
    <t>PT: DF22502; D97 - Pour Point, Manual, Z-Score = -4.30</t>
  </si>
  <si>
    <t>-4.3</t>
  </si>
  <si>
    <t>0696</t>
  </si>
  <si>
    <t>PT: DF22502; D445 - Viscosity, Kinematic, 40 °C, Z-Score = 7.45</t>
  </si>
  <si>
    <t>0697</t>
  </si>
  <si>
    <t>PT: DF22502; D6304 - Water, by Coul KF, Meth A Direct Injection, mg/kg, Z-Score = -2.20</t>
  </si>
  <si>
    <t>0698</t>
  </si>
  <si>
    <t>PT: DF22502; D86 - Distillation, Auto, % Resid, Z-Score = -3.62</t>
  </si>
  <si>
    <t>-3.62</t>
  </si>
  <si>
    <t>0699</t>
  </si>
  <si>
    <t>PT: DF22502; D1319 - HC Type, Olefins, Oxy-Free, Z-Score = 2.13</t>
  </si>
  <si>
    <t>0700</t>
  </si>
  <si>
    <t>PT: DF22502; D4052 - API Gravity, Digital, 60 °F, Z-Score = 960.60</t>
  </si>
  <si>
    <t>0701</t>
  </si>
  <si>
    <t>PT: DF22502; D93 - Flash Point, PMCC, Proc A, corrected, Z-Score = 4.43</t>
  </si>
  <si>
    <t>0702</t>
  </si>
  <si>
    <t>PT: DF22502; D1319 - HC Type, Olefins, Oxy-Free, Z-Score = 2.01</t>
  </si>
  <si>
    <t>0703</t>
  </si>
  <si>
    <t>PT: DF22502; D4294 - Sulfur, by EDXRF, Z-Score = 3.13</t>
  </si>
  <si>
    <t>0704</t>
  </si>
  <si>
    <t>PT: DF22502; D445 - Viscosity, Kinematic, 40 °C, Z-Score = -3.97</t>
  </si>
  <si>
    <t>-3.97</t>
  </si>
  <si>
    <t>0705</t>
  </si>
  <si>
    <t>PT: DF22502; D664 - Acid Number, A, 60 mL, inflection EP, Z-Score = 5.36</t>
  </si>
  <si>
    <t>0706</t>
  </si>
  <si>
    <t>PT: DF22502; D86 - Distillation, Auto, 5% &amp; 10%, Z-Scores = -2.45 &amp; -2.05</t>
  </si>
  <si>
    <t>-2.45 &amp; -2.05</t>
  </si>
  <si>
    <t>0707</t>
  </si>
  <si>
    <t>PT: DF22502; D86 - Distillation, Auto, % Resid</t>
  </si>
  <si>
    <t>0708</t>
  </si>
  <si>
    <t>PT: DF22502; D5186 - HC Type, by SFC, Mono Aromatics</t>
  </si>
  <si>
    <t>0709</t>
  </si>
  <si>
    <t>PT: DF22502; D2887 - BP Distribution, GC, Proc A, IBP, Z-Score = -3.14</t>
  </si>
  <si>
    <t>-3.14</t>
  </si>
  <si>
    <t>0710</t>
  </si>
  <si>
    <t>PT: DF22502; D6591 - HC Type, by HPLC, Multiple Parameters, Z-Scores = Multiple Outliers</t>
  </si>
  <si>
    <t>0711</t>
  </si>
  <si>
    <t>PT: DF22502; D7346 - No Flow Point &amp; Pour Point, Z-Scores = -16.32 &amp; -11.20</t>
  </si>
  <si>
    <t>-16.32 &amp; -11.20</t>
  </si>
  <si>
    <t>0712</t>
  </si>
  <si>
    <t>PT: DF22502; D97 - Pour Point, Z-Score = -10.50</t>
  </si>
  <si>
    <t>0713</t>
  </si>
  <si>
    <t>PT: DF22502; D5453 - Sulfur, by UVF, Z-Score = -10.29</t>
  </si>
  <si>
    <t>-10.29</t>
  </si>
  <si>
    <t>0714</t>
  </si>
  <si>
    <t>PT: DF22502; D445 - Viscosity, Kinematic, 40 °C, Z-Score = 2.99</t>
  </si>
  <si>
    <t>0715</t>
  </si>
  <si>
    <t>PT: DF22502; D86 - Distillation, Auto, IBP, Z-Score = -2.24</t>
  </si>
  <si>
    <t>-2.24</t>
  </si>
  <si>
    <t>0716</t>
  </si>
  <si>
    <t>PT: DF22502; D5949 - Pour Point, Auto Pressure Pulse (Models 70V, 70X, 70Xi) , Z-Score = -2.30</t>
  </si>
  <si>
    <t>0717</t>
  </si>
  <si>
    <t>PT: DF22502; D4052 - API Gravity &amp; Density, Digital, 60 °F &amp; 15 °C, Z-Scores = -3.07 &amp; 3.30</t>
  </si>
  <si>
    <t>-3.07 &amp; 3.30</t>
  </si>
  <si>
    <t>0718</t>
  </si>
  <si>
    <t>PT: LPG2503; D7423 - Oxygenates by GC-FID, Methanol, Z-Score = 0.00 (Rejected)</t>
  </si>
  <si>
    <t>0.00, Rejected</t>
  </si>
  <si>
    <t>0719</t>
  </si>
  <si>
    <t>PT: LPG2503; D2163 - Hydrocarbons, n-Pentane, Z-Score = 2.45</t>
  </si>
  <si>
    <t>0720</t>
  </si>
  <si>
    <t>PT: LPG2503; D6667 - Sulfur in LPG, by UVF</t>
  </si>
  <si>
    <t>0721</t>
  </si>
  <si>
    <t>PT: BIOD2504; D2500 - Cloud Point, biodiesel</t>
  </si>
  <si>
    <t>0722</t>
  </si>
  <si>
    <t>PT: BIOD2504; D1160 - Distillation, 1.3kPa, Auto, IBP</t>
  </si>
  <si>
    <t>0723</t>
  </si>
  <si>
    <t>PT: BIOD2504; D6079 - Lubricity, HFRR, Scar Diameter</t>
  </si>
  <si>
    <t>0724</t>
  </si>
  <si>
    <t>PT: BIOD2504; D189 - Carbon Residue, Conradson</t>
  </si>
  <si>
    <t>0725</t>
  </si>
  <si>
    <t>PT: BIOD2504; D5185 - Elements, Ca + Mg, by ICP/AES, Z-Score = 0.00 (Result Rejected)</t>
  </si>
  <si>
    <t>0.00 (Rejected)</t>
  </si>
  <si>
    <t>0726</t>
  </si>
  <si>
    <t>PT: BIOD2504; EN14538 - Elements, Ca + Mg, by ICP/OES</t>
  </si>
  <si>
    <t>0727</t>
  </si>
  <si>
    <t>PT: BIOD2504; D874 - Ash, Sulfated</t>
  </si>
  <si>
    <t>0728</t>
  </si>
  <si>
    <t>PT: BIOD2504; D664 - Acid Number, Potentiometric B, Z-Score = 2.48</t>
  </si>
  <si>
    <t>0729</t>
  </si>
  <si>
    <t>0730</t>
  </si>
  <si>
    <t>PT: BIOD2504; D445 - Viscosity, Kinematic, 40 °C, Z-Score = -7.96</t>
  </si>
  <si>
    <t>-7.96</t>
  </si>
  <si>
    <t>0731</t>
  </si>
  <si>
    <t>PT: BIOD2504; D664 - Acid Number, Potentiometric B, Z-Score = 2.23</t>
  </si>
  <si>
    <t>0732</t>
  </si>
  <si>
    <t>PT: BIOD2504; D974 - Acid Number, by Color Indicator, Z-Score = 2.15</t>
  </si>
  <si>
    <t>0733</t>
  </si>
  <si>
    <t>PT: BIOD2504; ISO 12185 - Density, Digital, 15 °C</t>
  </si>
  <si>
    <t>0734</t>
  </si>
  <si>
    <t>PT: BIOD2504; ISO 2719-A - Flash Point, PMCC, Proc C, corrected, Z-Score = 5.19</t>
  </si>
  <si>
    <t>0735</t>
  </si>
  <si>
    <t>PT: BIOD2504; D6584 - Glycerin, by GC, Monoglyceride &amp; Total, Z-Scores = -3.43 &amp; -3.00</t>
  </si>
  <si>
    <t>-3.43 &amp; -3.00</t>
  </si>
  <si>
    <t>0736</t>
  </si>
  <si>
    <t>PT: BIOD2504; ISO 20846 - Sulfur, by UVF</t>
  </si>
  <si>
    <t>0737</t>
  </si>
  <si>
    <t>PT: BIOD2504; D93 - Flash Point, PMCC, Proc A, corrected, Z-Score = -12.41</t>
  </si>
  <si>
    <t>-12.41</t>
  </si>
  <si>
    <t>0738</t>
  </si>
  <si>
    <t>PT: MG2504; D86 - Distillation, Auto, 90%, °F (EPA)</t>
  </si>
  <si>
    <t>-2.79</t>
  </si>
  <si>
    <t>0739</t>
  </si>
  <si>
    <t>PT: MG2504; D3237 - Element, Lead, by AAS, Z-Score = 80.70</t>
  </si>
  <si>
    <t>0740</t>
  </si>
  <si>
    <t>PT: MG2504; D5188 - V/L Ratio Temp, Evac Chamber, Z-Score = -5.26</t>
  </si>
  <si>
    <t>-5.26</t>
  </si>
  <si>
    <t>0741</t>
  </si>
  <si>
    <t>PT: MG2504; D5580 - Aromatic Type, Benzene &amp; Tolune, by GC, Z-Scores = 9.06 &amp; 13.20</t>
  </si>
  <si>
    <t>9.06 &amp; 13.20</t>
  </si>
  <si>
    <t>0742</t>
  </si>
  <si>
    <t>PT: MG2504; D1298 - Density, by Hydrometer at 15 °C, Z-Score = 2.24</t>
  </si>
  <si>
    <t>0743</t>
  </si>
  <si>
    <t>PT: MG2504; D5453 - Sulfur, by UVF</t>
  </si>
  <si>
    <t>0744</t>
  </si>
  <si>
    <t>PT: MG2504; D5191 - Vapor Pressure, DVPE &amp; TVP, 1L, Z-Scores = 7.33 &amp; -6.60</t>
  </si>
  <si>
    <t>7.33 &amp; -6.60</t>
  </si>
  <si>
    <t>0745</t>
  </si>
  <si>
    <t>PT: MG2504; D86 - Distillation, Auto, 40% - 95%, Z-Scores = Multiple Outliers</t>
  </si>
  <si>
    <t>0746</t>
  </si>
  <si>
    <t>PT: MG2504; D381 - Gum, Unwashed, Z-Score = 2.89</t>
  </si>
  <si>
    <t>0747</t>
  </si>
  <si>
    <t>PT: MG2504; D1319 - HC Type, Olefins &amp; Saturates, Oxy-Free, Z-Scores = 3.27 &amp; -2.89</t>
  </si>
  <si>
    <t>3.27 &amp; -2.89</t>
  </si>
  <si>
    <t>0748</t>
  </si>
  <si>
    <t>PT: MG2504; D5580 - Aromatic Type, Aromatics, C9+, by GC</t>
  </si>
  <si>
    <t>0749</t>
  </si>
  <si>
    <t>PT: MG2504; D3606 - Benzene, by GC, Proc B, &amp; (EPA)</t>
  </si>
  <si>
    <t>-2.44 &amp; -2.39</t>
  </si>
  <si>
    <t>0750</t>
  </si>
  <si>
    <t>PT: MG2504; D381 - Gum, Unwashed, Z-Score = 2.33</t>
  </si>
  <si>
    <t>0751</t>
  </si>
  <si>
    <t>PT: MG2504; D1319 - HC Type, Olefins &amp; Saturates, Multiple Parameters, Z-Scores = Multiple Outliers</t>
  </si>
  <si>
    <t>0752</t>
  </si>
  <si>
    <t>0753</t>
  </si>
  <si>
    <t>PT: MG2504; D1319 - HC Type, Olefins, Corrected, Z-Score = -2.10</t>
  </si>
  <si>
    <t>0754</t>
  </si>
  <si>
    <t>PT: MG2504; D5191 - Vapor Pressure, TVP, 1L, Z-Score = 2.05</t>
  </si>
  <si>
    <t>0755</t>
  </si>
  <si>
    <t>PT: MG2504; D3606 - Toluene, by GC, Proc A, Z-Score = -18.03</t>
  </si>
  <si>
    <t>-18.03</t>
  </si>
  <si>
    <t>0756</t>
  </si>
  <si>
    <t>PT: MG2504; D5191 - Vapor Pressure, DVPE &amp; TVP, 1L &amp; (EPA), Z-Scores = 2.78, 2.96, 2.93, &amp; 2.48</t>
  </si>
  <si>
    <t>2.78, 2.96, 2.93, &amp; 2.48</t>
  </si>
  <si>
    <t>0757</t>
  </si>
  <si>
    <t>PT: AASHTO Vis279+280; T49 Pen 1/10 mm, Z-scores = 2, 3</t>
  </si>
  <si>
    <t>2, 3</t>
  </si>
  <si>
    <t>0758</t>
  </si>
  <si>
    <t>PT: CE531; D86 - Distillation, Auto, IBP, Z-Score = -2.42</t>
  </si>
  <si>
    <t>GLR</t>
  </si>
  <si>
    <t>-2.42</t>
  </si>
  <si>
    <t>0759</t>
  </si>
  <si>
    <t>PT: CE531; D2699/D2700 - Pump-AKI, Z-Score = 2.04</t>
  </si>
  <si>
    <t>0760</t>
  </si>
  <si>
    <t>PT: CE531; D86 - Distillation, Auto, 80%</t>
  </si>
  <si>
    <t>-2.60</t>
  </si>
  <si>
    <t>0761</t>
  </si>
  <si>
    <t>PT: CE531; D4052 - API, Gravity, Z-Score = -6.37</t>
  </si>
  <si>
    <t>-6.37</t>
  </si>
  <si>
    <t>0762</t>
  </si>
  <si>
    <t>PT: CE531; D86 - Distillation, Auto, 95%, Z-Score = -3.24</t>
  </si>
  <si>
    <t>-3.24</t>
  </si>
  <si>
    <t>0763</t>
  </si>
  <si>
    <t>PT: CE531; D5769 - Aromatic Type, Aromatics, by GC/MS, Z-Score = -2.07</t>
  </si>
  <si>
    <t>0764</t>
  </si>
  <si>
    <t>PT: CE531; D5580 - Aromatic Type, C9+ Aromatics, by GC, Z-Score = 6.53</t>
  </si>
  <si>
    <t>0765</t>
  </si>
  <si>
    <t>PT: CE531; D2622 - Sulfur, by WDXRF, Z-Score = -2.08</t>
  </si>
  <si>
    <t>0766</t>
  </si>
  <si>
    <t>PT: RFG2506; D86 - Distillation, Auto, 90%, °F (EPA), Z-Score = -10.03</t>
  </si>
  <si>
    <t>-10.03</t>
  </si>
  <si>
    <t>0767</t>
  </si>
  <si>
    <t>PT: RFG2506; D5769 - Aromatics, Total, by GC/MS (EPA), Z-Score = 2.88</t>
  </si>
  <si>
    <t>0768</t>
  </si>
  <si>
    <t>PT: RFG2506; D86 - Distillation, Auto, % Resid &amp; (EPA)</t>
  </si>
  <si>
    <t>2.30 &amp; 2.32</t>
  </si>
  <si>
    <t>0769</t>
  </si>
  <si>
    <t>PT: RFG2506; D86 - Distillation, Auto, % Resid (EPA)</t>
  </si>
  <si>
    <t>0770</t>
  </si>
  <si>
    <t>PT: RFG2506; D3606 - Benzene, by GC, Proc B, Z-Score = 2.05</t>
  </si>
  <si>
    <t>PBMS Parameter - 14 Day Closure</t>
  </si>
  <si>
    <t>0771</t>
  </si>
  <si>
    <t>PT: RFG2506; D5580 - Aromatic Type, Total Aromatics, by GC/MS, Z-Score = 3.09</t>
  </si>
  <si>
    <t>0772</t>
  </si>
  <si>
    <t>PT: RFG2506; D4052 - Density, Digital, 15 °C</t>
  </si>
  <si>
    <t>0773</t>
  </si>
  <si>
    <t>PT: RFG2506; D86 - Distillation, Auto, 95%, °F &amp; % Resid (EPA), Z-Scores = 3.18 &amp; 3.09</t>
  </si>
  <si>
    <t>3.18 &amp; 3.09</t>
  </si>
  <si>
    <t>0774</t>
  </si>
  <si>
    <t>PT: RFG2506; D5769 - Aromatic Type, Benzene, by GC/MS (EPA), Z-Score = 5.76</t>
  </si>
  <si>
    <t>0775</t>
  </si>
  <si>
    <t>PT: RFG2506; D86 - Distillation, Auto, 70%, °F (EPA) &amp; % Evaporated</t>
  </si>
  <si>
    <t>-2.11 &amp; -2.19</t>
  </si>
  <si>
    <t>0776</t>
  </si>
  <si>
    <t>PT: RFG2506; D4815 - Oxygenates, Ethanol, by GC, Z-Score = -2.68</t>
  </si>
  <si>
    <t>-2.68</t>
  </si>
  <si>
    <t>0777</t>
  </si>
  <si>
    <t>PT: RFG2506; D86 - Distillation, Auto, % Evap (EPA)</t>
  </si>
  <si>
    <t>0778</t>
  </si>
  <si>
    <t>PT: RFG2506; D5188 - V/L Ratio Temp, Evac Chamber, Z-Score = 2.04</t>
  </si>
  <si>
    <t>0779</t>
  </si>
  <si>
    <t>PT: RFG2506; D3606 - Benzene, by GC, Proc B, Z-Score = 8.12</t>
  </si>
  <si>
    <t>0780</t>
  </si>
  <si>
    <t>0781</t>
  </si>
  <si>
    <t>PT: RFG2506; D5191 - Vapor Pressure, DVPE &amp; TVP, 1L</t>
  </si>
  <si>
    <t>-2.11 &amp; -2.44</t>
  </si>
  <si>
    <t>0782</t>
  </si>
  <si>
    <t>0783</t>
  </si>
  <si>
    <t>PT: RFG2506; D86 - Distillation, Auto, 50%, % Loss (EPA), &amp; E300 °F, % (EPA), Z-Scores = 3.48,  -3.15, &amp; -6.83</t>
  </si>
  <si>
    <t>3.48, -3.15, &amp; -6.83</t>
  </si>
  <si>
    <t>0784</t>
  </si>
  <si>
    <t>PT: RFG2506; D5769 - Aromatic Type, Total Aromatics, by GC/MS &amp; (EPA), Z-Scores = -2.32 &amp; -2.39</t>
  </si>
  <si>
    <t>-2.32 &amp; -2.39</t>
  </si>
  <si>
    <t>0785</t>
  </si>
  <si>
    <t>PT: RFG2506; D5599 - Oxygenates, Ethanol &amp; Total Oxygen, by GC OFID, &amp; Ethanol (EPA)</t>
  </si>
  <si>
    <t>2.08, 2.40, &amp; 2.38</t>
  </si>
  <si>
    <t>0786</t>
  </si>
  <si>
    <t>PT: RFG2506; D86 - Distillation, Auto, 90%, °F &amp; E300 °F, % (EPA)</t>
  </si>
  <si>
    <t>-2.21 &amp; 2.06</t>
  </si>
  <si>
    <t>0787</t>
  </si>
  <si>
    <t>PT: RFG2506; D3606 - Toluene, by GC, Proc B (EPA), Z-Score = -20.22</t>
  </si>
  <si>
    <t>-20.22</t>
  </si>
  <si>
    <t>0788</t>
  </si>
  <si>
    <t>PT: RFG2506; D5188 - V/L Ratio Temp, Evac Chamber, Z-Score = 6.04</t>
  </si>
  <si>
    <t>0789</t>
  </si>
  <si>
    <t>PT: R-1361; D2622 - Sulfur, by WDXRF</t>
  </si>
  <si>
    <t>0790</t>
  </si>
  <si>
    <t>PT: TM06C-25; D2699 - Octane Number, Research</t>
  </si>
  <si>
    <t>0791</t>
  </si>
  <si>
    <t>0792</t>
  </si>
  <si>
    <t>PT: TM06C-25; D2700 - Octane Number, Motor</t>
  </si>
  <si>
    <t>0793</t>
  </si>
  <si>
    <t>PT: M992; D5191 - Vapor Pressure, PTOT, Z-Score = 6.85</t>
  </si>
  <si>
    <t>0794</t>
  </si>
  <si>
    <t>PT: M992; D86 - Distillation, Auto, % Evaporated @ 149oC, Z-Score = -5.22</t>
  </si>
  <si>
    <t>-5.22</t>
  </si>
  <si>
    <t>0795</t>
  </si>
  <si>
    <t>PT: M992; D5191 - Vapor Pressure, PTOT</t>
  </si>
  <si>
    <t>0796</t>
  </si>
  <si>
    <t>PT: M992; D86 - Distillation, Auto, 10% Evaporated</t>
  </si>
  <si>
    <t>0797</t>
  </si>
  <si>
    <t>PT: M992; SOR/97-493 - Winter Regulation - Benzene Emissions Number, Z-Score = 30.14</t>
  </si>
  <si>
    <t>*Confirmed worksheet/reporting issue.</t>
  </si>
  <si>
    <t>0798</t>
  </si>
  <si>
    <t>PT: TM07-25; D2700 - Octane Number, Motor, Z-Score = 8.79</t>
  </si>
  <si>
    <t>0799</t>
  </si>
  <si>
    <t>PT: TM07-25; D86 - Distillation, Auto, 50 % &amp; 90%, Z-Scores = 9.74 &amp; 9.39</t>
  </si>
  <si>
    <t>9.74 &amp; 9.39</t>
  </si>
  <si>
    <t>0800</t>
  </si>
  <si>
    <t>PT: TM07-25; D4052 - Digital, API, @ 60oF</t>
  </si>
  <si>
    <t>-2.89</t>
  </si>
  <si>
    <t>0801</t>
  </si>
  <si>
    <t>PT: D347; D5453 - Total Sulfur, by UVF</t>
  </si>
  <si>
    <t>0802</t>
  </si>
  <si>
    <t>PT: CE532; D2622 - Sulfur, by WDXRF, Z-Score = -2.01</t>
  </si>
  <si>
    <t>GLRG</t>
  </si>
  <si>
    <t>0803</t>
  </si>
  <si>
    <t>PT: RFG2507; D86 - Distillation, Auto, 95%, °F (EPA), Z-Score = -55.14</t>
  </si>
  <si>
    <t>0804</t>
  </si>
  <si>
    <t>PT: RFG2507; D4815 - Oxygenates, Ethanol, by GC, Z-Score = 2.22</t>
  </si>
  <si>
    <t>0805</t>
  </si>
  <si>
    <t>PT: RFG2507; D5191 - Vapor Pressure, RVP &amp; TVP, 1L (EPA)</t>
  </si>
  <si>
    <t>2.01 &amp; 2.32</t>
  </si>
  <si>
    <t>0806</t>
  </si>
  <si>
    <t>PT: RFG2507; D5769 - Benzene, by GC/MS &amp; (EPA)</t>
  </si>
  <si>
    <t>-2.34 &amp; -2.52</t>
  </si>
  <si>
    <t>0807</t>
  </si>
  <si>
    <t>PT: RFG2507; D86 - Distillation, Auto, IBP</t>
  </si>
  <si>
    <t>0808</t>
  </si>
  <si>
    <t>PT: RFG2507; D4052 - Density, Digital, 15 °C &amp; (EPA), Z-Scores = 22.49 &amp; 20.77</t>
  </si>
  <si>
    <t>22.49 &amp; 20.77</t>
  </si>
  <si>
    <t>0809</t>
  </si>
  <si>
    <t>PT: RFG2507; D86 - Distillation, Auto, 30% &amp; 40%, °F (EPA), Z-Scores = 3.09 &amp; 2.47</t>
  </si>
  <si>
    <t>3.09 &amp; 2.47</t>
  </si>
  <si>
    <t>0810</t>
  </si>
  <si>
    <t xml:space="preserve">PT: RFG2507; D5580 - Aromatics, C9 plus, by GC </t>
  </si>
  <si>
    <t>0811</t>
  </si>
  <si>
    <t>PT: RFG2507; D6550 - HC Type, Olefins, by SFC, Z-Score = 2.84</t>
  </si>
  <si>
    <t>0812</t>
  </si>
  <si>
    <t>PT: RFG2507; D4815 - Oxygenates, Ethanol, by GC, Z-Score = 2.57</t>
  </si>
  <si>
    <t>0813</t>
  </si>
  <si>
    <t>PT: RFG2507; D1319 - HC Type, Olefins, Oxy-Free, Z-Score = -2.14</t>
  </si>
  <si>
    <t>0814</t>
  </si>
  <si>
    <t>PT: RFG2507; D86 - Distillation, Auto, 95%, °F (EPA), Z-Score = -11.43</t>
  </si>
  <si>
    <t>0815</t>
  </si>
  <si>
    <t>PT: RFG2507; D86 - Distillation, Auto, 90% (EPA), 40%, &amp; 40% (EPA), °F, Z-Scores = 17.37, 2.28, &amp; 2.59</t>
  </si>
  <si>
    <t>17.37, 2.28, &amp; 2.59</t>
  </si>
  <si>
    <t>0816</t>
  </si>
  <si>
    <t>PT: RFG2507; D5191 - Vapor Pressure, DVPE, RVP (EPA) &amp; TVP, 1L</t>
  </si>
  <si>
    <t>-2.12, -2.62, &amp; -2.54</t>
  </si>
  <si>
    <t>0817</t>
  </si>
  <si>
    <t>PT: RFG2507; D5580 - Aromatics, C9+, by GC, Z-Score = -3.04</t>
  </si>
  <si>
    <t>-3.04</t>
  </si>
  <si>
    <t>0818</t>
  </si>
  <si>
    <t>PT: RFG2507; D3606 - Benzene &amp; Toluene, by GC, Proc B, Z-Scores = 2.02 &amp; 2.61</t>
  </si>
  <si>
    <t>2.02 &amp; 2.61</t>
  </si>
  <si>
    <t>0819</t>
  </si>
  <si>
    <t>PT: RFG2507; D86 - Distillation, Auto, 50%, 50% (EPA), °F, &amp; E200 °F, % (EPA), Z-Scores = -3.19, -3.48, &amp; 3.31</t>
  </si>
  <si>
    <t>-3.19, -3.48, &amp; 3.31</t>
  </si>
  <si>
    <t>0820</t>
  </si>
  <si>
    <t>PT: RFG2507; D5453 - Sulfur, by UVF, Z-Scores = 2.24</t>
  </si>
  <si>
    <t>0821</t>
  </si>
  <si>
    <t>PT: RFG2507; D5769 - Aromatics, Total, by GC/MS &amp; (EPA), Z-Scores = -2.75 &amp; -2.39</t>
  </si>
  <si>
    <t>-2.75 &amp; -2.39</t>
  </si>
  <si>
    <t>0822</t>
  </si>
  <si>
    <t>PT: RFG2507; D86 - Distillation, Auto, 90%, 95% (EPA), °F, Z-Scores = -13.43 &amp; -18.84</t>
  </si>
  <si>
    <t>-13.43 &amp; -18.84</t>
  </si>
  <si>
    <t>0823</t>
  </si>
  <si>
    <t>PT: RFG2507; D86 - Distillation, Auto, 20% (EPA), 80%, 95% &amp; E300 (EPA)</t>
  </si>
  <si>
    <t>-2.01, -2.04, -2.13, &amp; 2.17</t>
  </si>
  <si>
    <t>0824</t>
  </si>
  <si>
    <t>PT: RFG2507; D3606 - Benzene, by GC, Proc B, Z-Score = -2.90</t>
  </si>
  <si>
    <t>-2.90</t>
  </si>
  <si>
    <t>0825</t>
  </si>
  <si>
    <t>PT: RFG2507; D1319 - HC Type, Saturates, Corrected, Z-Score = 2.28</t>
  </si>
  <si>
    <t>0826</t>
  </si>
  <si>
    <t>PT: CET2506; D93 - Flash Point, PMCC, Proc A, corrected, Z-Score = 2.66</t>
  </si>
  <si>
    <t>0827</t>
  </si>
  <si>
    <t>PT: CET2506; D445 - Viscosity, Kinematic, 40°C, Z-Score = 5.17</t>
  </si>
  <si>
    <t>0828</t>
  </si>
  <si>
    <t>PT: CET2506; D5453 - Sulfur, by UVF</t>
  </si>
  <si>
    <t>0829</t>
  </si>
  <si>
    <t>PT: CET2506; D5453 - Sulfur, by UVF, Z-Score = -5.97</t>
  </si>
  <si>
    <t>-5.97</t>
  </si>
  <si>
    <t>0830</t>
  </si>
  <si>
    <t>PT: CET2506; D86 - Distillation, Auto, IBP, Z-Score = -2.52</t>
  </si>
  <si>
    <t>0831</t>
  </si>
  <si>
    <t>PT: TM07C-25; D86 - Distillation, Auto, 10% &amp; 50%</t>
  </si>
  <si>
    <t>2.07 &amp; 2.47</t>
  </si>
  <si>
    <t>0832</t>
  </si>
  <si>
    <t>PT: TM07C-25; D2700 - Octane Number, Motor, Z-Score = 2.12</t>
  </si>
  <si>
    <t>0833</t>
  </si>
  <si>
    <t>PT: NP2506; D6730 - HC Type, C6 Naphthenes, by pCHR-GC</t>
  </si>
  <si>
    <t>0834</t>
  </si>
  <si>
    <t>PT: P127; D2598 - Vapor Pressure LPG at 37.8°C, Z-Score = 10.35</t>
  </si>
  <si>
    <t>PXXX</t>
  </si>
  <si>
    <t>0835</t>
  </si>
  <si>
    <t>PT: TM08-25; D2699 - Octane Number, Research</t>
  </si>
  <si>
    <t>0836</t>
  </si>
  <si>
    <t>PT: TM08-25; D86 - Distillation, Auto, 50% &amp; FBP</t>
  </si>
  <si>
    <t>0837</t>
  </si>
  <si>
    <t>PT: RFG2508; D5188 - V/L Ratio Temp, Evac Chamber, Z-Score = -2.66</t>
  </si>
  <si>
    <t>0838</t>
  </si>
  <si>
    <t>PT: RFG2508; D86 - Distillation, Auto, 80%, °F (EPA), Z-Score = 14.04</t>
  </si>
  <si>
    <t>0839</t>
  </si>
  <si>
    <t>PT: RFG2508; D5769 - Toluene, by GC/MS (EPA)</t>
  </si>
  <si>
    <t>0840</t>
  </si>
  <si>
    <t>PT: RFG2508; D5580 - Benzene, by GC</t>
  </si>
  <si>
    <t>0841</t>
  </si>
  <si>
    <t>PT: RFG2508; D86 - Distillation, Auto, % Resid (EPA), Z-Score = 3.18</t>
  </si>
  <si>
    <t>0842</t>
  </si>
  <si>
    <t>PT: RFG2508; D5191 - Vapor Pressure, RVP, 1L (EPA)</t>
  </si>
  <si>
    <t>0843</t>
  </si>
  <si>
    <t>PT: RFG2508; D6550 - HC Type, Olefins, by SFC, Z-Score = 2.09</t>
  </si>
  <si>
    <t>0844</t>
  </si>
  <si>
    <t>PT: RFG2508; D86 - Distillation, Auto, 20% &amp; 20% °F (EPA), Z-Scores = -7.15 &amp; -5.38</t>
  </si>
  <si>
    <t>-7.15 &amp; -5.38</t>
  </si>
  <si>
    <t>0845</t>
  </si>
  <si>
    <t>PT: RFG2508; D6550 - HC Type, Olefins, by SFC, Z-Score = -2.38</t>
  </si>
  <si>
    <t>-2.38</t>
  </si>
  <si>
    <t>0846</t>
  </si>
  <si>
    <t>PT: RFG2508; D5769 - Total Aromatics, by GC/MS</t>
  </si>
  <si>
    <t>0847</t>
  </si>
  <si>
    <t>PT: RFG2508; D4815 - Oxygenates, Ethanol, by GC, Z-Score = -2.02</t>
  </si>
  <si>
    <t>0848</t>
  </si>
  <si>
    <t>0849</t>
  </si>
  <si>
    <t>PT: RFG2508; D4052 - Density, Digital, 15 °C &amp; (EPA)</t>
  </si>
  <si>
    <t>2.37 &amp; 2.37</t>
  </si>
  <si>
    <t>0850</t>
  </si>
  <si>
    <t>PT: RFG2508; D1319 - HC Type, Olefins &amp; Saturates, Oxy-Free, Z-Scores = 2.20 &amp; -2.50</t>
  </si>
  <si>
    <t>2.20 &amp; -2.50</t>
  </si>
  <si>
    <t>0851</t>
  </si>
  <si>
    <t>0852</t>
  </si>
  <si>
    <t>2.06 &amp; 2.04</t>
  </si>
  <si>
    <t>0853</t>
  </si>
  <si>
    <t>PT: RFG2508; D1319 - HC Type, Saturates, Corrected &amp; (EPA), Z-Scores = -5.96 &amp; -2.50</t>
  </si>
  <si>
    <t>-5.96 &amp; -2.50</t>
  </si>
  <si>
    <t>0854</t>
  </si>
  <si>
    <t>PT: RFG2508; D4815 - Oxygenates, Ethanol, by GC, Z-Score = -2.31</t>
  </si>
  <si>
    <t>-2.31</t>
  </si>
  <si>
    <t>0855</t>
  </si>
  <si>
    <t>PT: RFG2508; D5769 - Total Aromatics, by GC/MS &amp; (EPA), Z-Scores = 6.54 &amp; 4.29</t>
  </si>
  <si>
    <t>6.54 &amp; 4.29</t>
  </si>
  <si>
    <t>0856</t>
  </si>
  <si>
    <t>PT: RFG2508; D86 - Distillation, Auto, 40% &amp; 70%</t>
  </si>
  <si>
    <t>2.02 &amp; -2.46</t>
  </si>
  <si>
    <t>0857</t>
  </si>
  <si>
    <t>PT: RFG2508; D86 - Distillation, Auto,% Resid &amp; % Resid (EPA), Z-Scores = -4.41 &amp; -4.29</t>
  </si>
  <si>
    <t>-4.41 &amp; -4.29</t>
  </si>
  <si>
    <t>0858</t>
  </si>
  <si>
    <t>PT: RFG2508; D2622 - Sulfur, by WDXRF &amp; (EPA), Z-Scores = 2.15 &amp; 2.13</t>
  </si>
  <si>
    <t>2.15 &amp; 2.13</t>
  </si>
  <si>
    <t>hb</t>
  </si>
  <si>
    <t>0859</t>
  </si>
  <si>
    <t>PT: RFG2508; D86 - Distillation, Auto, % Evap</t>
  </si>
  <si>
    <t>0860</t>
  </si>
  <si>
    <t>PT: RFG2508; D1319 - HC Type, Olefins, Corrected, Z-Score = -2.23</t>
  </si>
  <si>
    <t>0861</t>
  </si>
  <si>
    <t>PT: RFG2508; D5453 - Sulfur, by UVF</t>
  </si>
  <si>
    <t>0862</t>
  </si>
  <si>
    <t>PT: RFG2508; D4815 - Oxygenates, Ethanol, by GC, Z-Score = -2.23</t>
  </si>
  <si>
    <t>0863</t>
  </si>
  <si>
    <t>PT: RFG2508; D86 - Distillation, Auto, 5% &amp; 10%, &amp; 5% &amp; 10%, °F (EPA)</t>
  </si>
  <si>
    <t>2.30, 2.08, 2.63, &amp; 2.37</t>
  </si>
  <si>
    <t>0864</t>
  </si>
  <si>
    <t>-2.95</t>
  </si>
  <si>
    <t>0865</t>
  </si>
  <si>
    <t>PT: RFG2508; D4052 - Density, Digital, 15 °C, Z-Score = 3.01</t>
  </si>
  <si>
    <t>0866</t>
  </si>
  <si>
    <t>PT: DF22506; D6371 - Cold Filter Plugging Point, CFPP, Z-Score = -2.50</t>
  </si>
  <si>
    <t>0867</t>
  </si>
  <si>
    <t>PT: DF22506; D4294 - Sulfur, by EDXRF</t>
  </si>
  <si>
    <t>0868</t>
  </si>
  <si>
    <t>PT: DF22506; D7042 - Viscosity, Stabinger, Kin, 40 °C, Z-Score = -2.75</t>
  </si>
  <si>
    <t>0869</t>
  </si>
  <si>
    <t>PT: DF22506; D6217 - Particulates, Lab Filtration, Z-Score = 7.73</t>
  </si>
  <si>
    <t>0870</t>
  </si>
  <si>
    <t>PT: DF22506; D7039 - Sulfur, by MWDXRF</t>
  </si>
  <si>
    <t>0871</t>
  </si>
  <si>
    <t>PT: DF22506; D664 - Acid Number, A, 60 mL, inflection EP, Z-Score = 8.29</t>
  </si>
  <si>
    <t>0872</t>
  </si>
  <si>
    <t>PT: DF22506; D5186 - HC Type, by SFC, PAH, Z-Score = -2.74</t>
  </si>
  <si>
    <t>0873</t>
  </si>
  <si>
    <t>PT: DF22506; D5453 - Sulfur, by UVF</t>
  </si>
  <si>
    <t>0874</t>
  </si>
  <si>
    <t>PT: DF22506; D2624 - Electrical Conductivity, Proc A, Z-Score = -3.00</t>
  </si>
  <si>
    <t>0875</t>
  </si>
  <si>
    <t>PT: DF22506; D6304 - Water, by Coul KF, Meth A Direct Injection, mg/kg</t>
  </si>
  <si>
    <t>0876</t>
  </si>
  <si>
    <t>PT: DF22506; D664 - Acid Number, A, 60 mL, inflection EP</t>
  </si>
  <si>
    <t>0877</t>
  </si>
  <si>
    <t>PT: DF22506; D524 - Carbon Residue, Ramsbottom, Z-Score = -2.25</t>
  </si>
  <si>
    <t>0878</t>
  </si>
  <si>
    <t>PT: DF22506; D4530 - Carbon Residue, Micro, 10% btm, Z-Score = 24.42</t>
  </si>
  <si>
    <t>0879</t>
  </si>
  <si>
    <t>PT: DF22506; D1319 - HC Type, Olefins &amp; Saturates, Oxy-Free, Z-Scores = 4.29 &amp; -2.14</t>
  </si>
  <si>
    <t>4.29 &amp; -2.14</t>
  </si>
  <si>
    <t>0880</t>
  </si>
  <si>
    <t>0881</t>
  </si>
  <si>
    <t>PT: DF22506; D4052 - API Gravity, Digital, 60 °F &amp; Density, Digital, 15 °C,  Z-Scores = -5.04 &amp; 7.63</t>
  </si>
  <si>
    <t>-5.04 &amp; 7.63</t>
  </si>
  <si>
    <t>0882</t>
  </si>
  <si>
    <t>0883</t>
  </si>
  <si>
    <t>0884</t>
  </si>
  <si>
    <t>PT: DF22506; D1319 - HC Type, Olefins, Oxy-Free, Z-Score = 2.13</t>
  </si>
  <si>
    <t>0885</t>
  </si>
  <si>
    <t>PT: DF22506; D6468 - Stability, High Temp, 180 &amp; 90 min. aging,  Z-Scores = -4.80 &amp; -3.10</t>
  </si>
  <si>
    <t>-4.80 &amp; -3.10</t>
  </si>
  <si>
    <t>0886</t>
  </si>
  <si>
    <t>PT: DF22506; D86 - Distillation, Auto, 50%, Z-Score = -2.24</t>
  </si>
  <si>
    <t>0887</t>
  </si>
  <si>
    <t>PT: DF22506; D93 - Flash Point, PMCC, Proc A, corrected, Z-Score = 2.33</t>
  </si>
  <si>
    <t>0888</t>
  </si>
  <si>
    <t>PT: DF22506; D5186 - HC Type, by SFC, Aromatics, Total, Z-Score = -2.25</t>
  </si>
  <si>
    <t>0889</t>
  </si>
  <si>
    <t>PT: DF22506; D6217 - Particulates, Lab Filtration,  Z-Score = 4.40</t>
  </si>
  <si>
    <t>0890</t>
  </si>
  <si>
    <t>PT: DF22506; D445 - Viscosity, Kinematic, 40 °C,  Z-Score = 10.12</t>
  </si>
  <si>
    <t>0891</t>
  </si>
  <si>
    <t>PT: DF22506; D86 - Distillation, Auto, 50%, Z-Score = -2.36</t>
  </si>
  <si>
    <t>0892</t>
  </si>
  <si>
    <t>PT: DF22506; D4629 - Nitrogen, by Chemiluminescence, Z-Score = 2.64</t>
  </si>
  <si>
    <t>0893</t>
  </si>
  <si>
    <t>0894</t>
  </si>
  <si>
    <t>PT: DF22506; D86 - Distillation, Auto, % Loss &amp; % Recov</t>
  </si>
  <si>
    <t>2.34 &amp; -2.39</t>
  </si>
  <si>
    <t>0895</t>
  </si>
  <si>
    <t>PT: M993; CAN/CGSB-3.0 No. 14.3 - HC Type, Olefins,  Z-Score = 12.27</t>
  </si>
  <si>
    <t>0896</t>
  </si>
  <si>
    <t>PT: T353; D3227 - Sulfur, Mercaptan</t>
  </si>
  <si>
    <t>0897</t>
  </si>
  <si>
    <t>PT: T353; D3227 - Sulfur, Mercaptan,  Z-Score = -4.45</t>
  </si>
  <si>
    <t>-4.45</t>
  </si>
  <si>
    <t>0898</t>
  </si>
  <si>
    <t>PT: T353; D3241 - JFTOT, Pressure Drop</t>
  </si>
  <si>
    <t>0899</t>
  </si>
  <si>
    <t>PT: T353; D86 - Distillation, Auto, 50% &amp; 90% Recovered</t>
  </si>
  <si>
    <t>2.06 &amp; 2.4</t>
  </si>
  <si>
    <t>0900</t>
  </si>
  <si>
    <t>PT: TM08C-23; D86 - Distillation, Auto, 50%, 90%, &amp; FBP,  Z-Scores = -39.75, 69.05, &amp; 9.54</t>
  </si>
  <si>
    <t>-39.75, 69.05, &amp; 9.54</t>
  </si>
  <si>
    <t>0901</t>
  </si>
  <si>
    <t>PT: TM08C-25; D86 - Distillation, Auto, 50%</t>
  </si>
  <si>
    <t>0902</t>
  </si>
  <si>
    <t>PT: CE533; D1319 - HC Type, Saturates &amp; Olefins, Oxy-Free,  Z-Scores = -14.61 &amp; 31.98</t>
  </si>
  <si>
    <t>-14.61 &amp; 31.98</t>
  </si>
  <si>
    <t>0903</t>
  </si>
  <si>
    <t>PT: CE533; D4052 - Density, API Gravity,  60oF, Z-Score = -4.32</t>
  </si>
  <si>
    <t>-4.32</t>
  </si>
  <si>
    <t>0904</t>
  </si>
  <si>
    <t>PT: CE533; D86 - Distillation, Auto, 5%, 10%, &amp; Recovery %</t>
  </si>
  <si>
    <t>2.43, 2.51, &amp; 2.21</t>
  </si>
  <si>
    <t>0905</t>
  </si>
  <si>
    <t>PT: CE533; D1319 - HC Type, Saturates, Oxy-Free, Z-Score = -2.39</t>
  </si>
  <si>
    <t>0906</t>
  </si>
  <si>
    <t>PT: CE533; D86 - Distillation, Auto, Recovery %</t>
  </si>
  <si>
    <t>0907</t>
  </si>
  <si>
    <t>PT: CE533; D2699/D2700 - Octane Number, Pump - AKI, &amp; R-M Sensitivity, Z-Scores = -4.95 &amp; -2.63</t>
  </si>
  <si>
    <t>-4.95 &amp; -2.63</t>
  </si>
  <si>
    <t>0908</t>
  </si>
  <si>
    <t>PT: CE533; D86 - Distillation, Auto, EP, Z-Score = 1280.28</t>
  </si>
  <si>
    <t>0909</t>
  </si>
  <si>
    <t>PT: CE533; D86 - Distillation, Auto, 50% &amp; 90%, Z-Scores = 4.64 &amp; 3.38</t>
  </si>
  <si>
    <t>4.64 &amp; 3.38</t>
  </si>
  <si>
    <t>0910</t>
  </si>
  <si>
    <t>PT: CE533; D86 - Distillation, Auto, Residue %</t>
  </si>
  <si>
    <t>0911</t>
  </si>
  <si>
    <t>PT: CE533; D86 - Distillation, Auto, 30%, 40%, 50% &amp; E200%, Z-Scores = 3.21, 4.10, 4.07, &amp; -2.33</t>
  </si>
  <si>
    <t>3.21, 4.10, 4.07, &amp; -2.33</t>
  </si>
  <si>
    <t>0912</t>
  </si>
  <si>
    <t>PT: CE533; D5453 - Sulfur, by UVF</t>
  </si>
  <si>
    <t>0913</t>
  </si>
  <si>
    <t>PT: CE533; D5769 - HC Type, Total Aromatics, Z-Score = -2.99</t>
  </si>
  <si>
    <t>-2.99</t>
  </si>
  <si>
    <t>0914</t>
  </si>
  <si>
    <t>PT: CE533; D86 - Distillation, Auto, 50%, 60%, &amp; EP%</t>
  </si>
  <si>
    <t>-2.12, -2.40, &amp; -2.42</t>
  </si>
  <si>
    <t>0915</t>
  </si>
  <si>
    <t>PT: CE533; D5769 - HC Type, Benzene</t>
  </si>
  <si>
    <t>0916</t>
  </si>
  <si>
    <t>0917</t>
  </si>
  <si>
    <t>PT: R-1363; D4052 - API Gravity, @ 60oF</t>
  </si>
  <si>
    <t>Meets 4.3.1.1.1 Criteria.</t>
  </si>
  <si>
    <t>0918</t>
  </si>
  <si>
    <t>PT: R-1363; D86 - Distillation, Auto, 90% Evaporated</t>
  </si>
  <si>
    <t>0919</t>
  </si>
  <si>
    <t>PT: R-1363; D2699 - Octane Number, Research, Z-Score = 2.92</t>
  </si>
  <si>
    <t>0920</t>
  </si>
  <si>
    <t>PT: R-1363; D2699 - Octane Number, Research, Z-Score = -2.49</t>
  </si>
  <si>
    <t>-2.49</t>
  </si>
  <si>
    <t>Meets 4.3.1.2 Criteria.</t>
  </si>
  <si>
    <t>0921</t>
  </si>
  <si>
    <t>PT: CE533-2; D1319 - HC Type, Aromatics, Oxy-Free, Z-Score = 2.08</t>
  </si>
  <si>
    <t>0922</t>
  </si>
  <si>
    <t>PT: CE533-2; D5188 - V/L Ratio, Temp, Z-Score = -2.04</t>
  </si>
  <si>
    <t>0923</t>
  </si>
  <si>
    <t>PT: CE533-2; D4052 - API Gravity, @ 60oF, Z-Score = -12.95</t>
  </si>
  <si>
    <t>-12.95</t>
  </si>
  <si>
    <t>0924</t>
  </si>
  <si>
    <t>PT: CE533-2; D86 - Distillation, Auto, Recovery</t>
  </si>
  <si>
    <t>CE533-2</t>
  </si>
  <si>
    <t>0925</t>
  </si>
  <si>
    <t>PT: CE533-2; D86 - Distillation, Auto, 80%, Z-Score = -2.91</t>
  </si>
  <si>
    <t>-2.91</t>
  </si>
  <si>
    <t>0926</t>
  </si>
  <si>
    <t>PT: CE533-2; D5769 - Benzene &amp; Total Aromatics, Z-Scores = -8.24 &amp; -8.17</t>
  </si>
  <si>
    <t>-8.24 &amp; -8.17</t>
  </si>
  <si>
    <t>0927</t>
  </si>
  <si>
    <t>PT: CE533-2; D86 - Distillation, Auto, 90%, Z-Score = -2.36</t>
  </si>
  <si>
    <t>0928</t>
  </si>
  <si>
    <t>PT: RFG2509; D86 - Distillation, Auto, E300 °F, % (EPA), Z-Score = -2.58</t>
  </si>
  <si>
    <t>-2.58</t>
  </si>
  <si>
    <t>0929</t>
  </si>
  <si>
    <t>PT: RFG2509; D86 - Distillation, Auto, Multiple Parameters, Z-Scores = Multiple Outliers</t>
  </si>
  <si>
    <t>0930</t>
  </si>
  <si>
    <t>PT: RFG2509; D86 - Distillation, Auto, % Resid (EPA), Z-Score = -5.14</t>
  </si>
  <si>
    <t>0931</t>
  </si>
  <si>
    <t>PT: RFG2509; D86 - Distillation, Auto, E300 °F, % (EPA), Z-Score = 2.08</t>
  </si>
  <si>
    <t>0932</t>
  </si>
  <si>
    <t>PT: RFG2509; D7039 - Sulfur, by MWDXRF, Z-Score = 2.73</t>
  </si>
  <si>
    <t>0933</t>
  </si>
  <si>
    <t>PT: RFG2509; D5580 - Aromatic Type, Benzene &amp; Toluene, by GC</t>
  </si>
  <si>
    <t>0934</t>
  </si>
  <si>
    <t>PT: RFG2509; D4052 - Density, Digital, 15 °C, Manual Injection, Z-Score = 2.01</t>
  </si>
  <si>
    <t>Meets 4.3.2.1 Criteria.</t>
  </si>
  <si>
    <t>0935</t>
  </si>
  <si>
    <t>PT: RFG2509; D86 - Distillation, Auto, 50%, °F (EPA), Z-Score = 2.04</t>
  </si>
  <si>
    <t>0936</t>
  </si>
  <si>
    <t>PT: RFG2509; D5580 - Aromatic Type, C9+ Aromatics, by GC</t>
  </si>
  <si>
    <t>0937</t>
  </si>
  <si>
    <t>PT: RFG2509; D86 - Distillation, Auto, % Resid (EPA)</t>
  </si>
  <si>
    <t>0938</t>
  </si>
  <si>
    <t>PT: RFG2509; D86 - Distillation, Auto, 90% &amp; 95%, Z-Scores = -10.76 &amp; -16.75</t>
  </si>
  <si>
    <t>-10.76 &amp; -16.75</t>
  </si>
  <si>
    <t>0939</t>
  </si>
  <si>
    <t>0940</t>
  </si>
  <si>
    <t>PT: RFG2509; D86 - Distillation, Auto, 95%, °F (EPA), Z-Score = 2.06</t>
  </si>
  <si>
    <t>0941</t>
  </si>
  <si>
    <t>0942</t>
  </si>
  <si>
    <t>PT: RFG2509; D86 - Distillation, Auto, % Loss (EPA)</t>
  </si>
  <si>
    <t>0943</t>
  </si>
  <si>
    <t>PT: RFG2509; D4052 - API Gravity, Hydrometer, Z-Score = -6.00</t>
  </si>
  <si>
    <t>-6.00</t>
  </si>
  <si>
    <t>0944</t>
  </si>
  <si>
    <t>PT: RFG2509; D86 - Distillation, Auto, % Resid &amp; % Resid (EPA), Z-Scores = -4.33 &amp; -3.14</t>
  </si>
  <si>
    <t>-4.33 &amp; -3.14</t>
  </si>
  <si>
    <t>0945</t>
  </si>
  <si>
    <t>PT: RFG2509; D2622 - Sulfur, by WDXRF &amp; (EPA), Z-Scores = -2.27 &amp; -2.15</t>
  </si>
  <si>
    <t>-2.27 &amp; -2.15</t>
  </si>
  <si>
    <t>0946</t>
  </si>
  <si>
    <t>PT: RFG2509; D4052 - API Gravity, Digital, 15 °C, Z-Score = -2.40</t>
  </si>
  <si>
    <t>0947</t>
  </si>
  <si>
    <t>PT: RFG2509; D86 - Distillation, Auto, 20% &amp; 20%, °F (EPA), Z-Scores = -6.20 &amp; -5.94</t>
  </si>
  <si>
    <t>-6.20 &amp; -5.94</t>
  </si>
  <si>
    <t>0948</t>
  </si>
  <si>
    <t>PT: RFG2509; D381 - Gum, Unwashed, Z-Score = 2.85</t>
  </si>
  <si>
    <t>0949</t>
  </si>
  <si>
    <t>PT: RFG2509; D5191 - Vapor Pressure, DVPE, 1L, Z-Score = -2.07</t>
  </si>
  <si>
    <t>0950</t>
  </si>
  <si>
    <t>PT: RFG2509; D5769 - Aromatic Type, Total Aromatics, by GC/MS &amp; (EPA), Z-Scores = -2.32 &amp; -2.26</t>
  </si>
  <si>
    <t>-2.32 &amp; -2.26</t>
  </si>
  <si>
    <t>0951</t>
  </si>
  <si>
    <t>PT: RFG2509; D1319 - HC Type, Aromatics &amp; Saturates, Corrected &amp; Oxy-Free, Z-Scores = Multiple Outliers</t>
  </si>
  <si>
    <t>0952</t>
  </si>
  <si>
    <t>PT: RFG2509; D86 - Distillation, Auto, 90% &amp; 95%, °F (EPA), Z-Scores = 2.06 &amp; 2.52</t>
  </si>
  <si>
    <t>2.06 &amp; 2.52</t>
  </si>
  <si>
    <t>0953</t>
  </si>
  <si>
    <t>PT: RFG2509; D86 - Distillation, Auto, % Evap (EPA), % Loss, % Loss (EPA), &amp; % Recov</t>
  </si>
  <si>
    <t>0954</t>
  </si>
  <si>
    <t>PT: RFG2509; D4815 - Oxygenates, Total Oxygen, by GC, Z-Score = 2.40</t>
  </si>
  <si>
    <t>0955</t>
  </si>
  <si>
    <t>PT: RFG2509; D5453 - Sulfur, by UVF, Z-Score = 2.19</t>
  </si>
  <si>
    <t>0956</t>
  </si>
  <si>
    <t>PT: CE534; D86 - Distillation, Auto, E300, Z-Score = -5.24</t>
  </si>
  <si>
    <t>-5.24</t>
  </si>
  <si>
    <t>0957</t>
  </si>
  <si>
    <t>PT: CE534; D86 - Distillation, Auto, IBP, Z-Score = 2.60</t>
  </si>
  <si>
    <t>0958</t>
  </si>
  <si>
    <t>PT: CE534; D86 - Distillation, Auto, EP, Z-Score = 2.02</t>
  </si>
  <si>
    <t>01/0/26</t>
  </si>
  <si>
    <t>0959</t>
  </si>
  <si>
    <t>PT: CE534; D1319 - HC Type, Saturates &amp; Aromatics, Oxy-Free, Z-Scores = 8.15 &amp; -9.12</t>
  </si>
  <si>
    <t>8.15 &amp; -9.12</t>
  </si>
  <si>
    <t>0960</t>
  </si>
  <si>
    <t>PT: CE534; D1319 - HC Type, Saturates &amp; Aromatics, Oxy-Free, Z-Scores = -2.14 &amp; 2.16</t>
  </si>
  <si>
    <t>-2.14 &amp; 2.16</t>
  </si>
  <si>
    <t>0961</t>
  </si>
  <si>
    <t>PT: CE534; D86 - Distillation, Auto, 95%, Z-Score = -2.01</t>
  </si>
  <si>
    <t>0962</t>
  </si>
  <si>
    <t>PT: CE534; D4052 - API Gravity, @ 60oF, Z-Score = -2.62</t>
  </si>
  <si>
    <t>-2.62</t>
  </si>
  <si>
    <t>0963</t>
  </si>
  <si>
    <t>PT: CE534; D86 - Distillation, Auto, 70%, Z-Score = 2.85</t>
  </si>
  <si>
    <t>0964</t>
  </si>
  <si>
    <t>PT: CE534; D5191 - RVP, PTOT, Z-Score = -2.17</t>
  </si>
  <si>
    <t>0965</t>
  </si>
  <si>
    <t>PT: CE534; D5188 - V/L Temp, Ratio, Z-Score = -2.31</t>
  </si>
  <si>
    <t>0966</t>
  </si>
  <si>
    <t>PT: CO2507; D1298 - API Gravity, Hydrometer, Opaque, at 15 °C, Z-Score = 7096.82</t>
  </si>
  <si>
    <t>0967</t>
  </si>
  <si>
    <t>PT: CO2507; D6377 - Vapor Pressure, Crude Oil, Expansion Method, Z-Score = -3.06</t>
  </si>
  <si>
    <t>-3.06</t>
  </si>
  <si>
    <t>0968</t>
  </si>
  <si>
    <t>PT: CO2507; D5002 - Density, digital, 15 °C, Z-Score = 178.91</t>
  </si>
  <si>
    <t>0969</t>
  </si>
  <si>
    <t>PT: CO2507; D4294 - Sulfur, by EDXRF, Z-Score = 150.80</t>
  </si>
  <si>
    <t>0970</t>
  </si>
  <si>
    <t>PT: CO2507; D4928 - Water, Coulometric, KF, Z-Score = 16.93</t>
  </si>
  <si>
    <t>0971</t>
  </si>
  <si>
    <t>PT: CO2507; D7900 - HC Type, 1,3-dimethylbenzene, Z-Score = -7.67</t>
  </si>
  <si>
    <t>-7.67</t>
  </si>
  <si>
    <t>0972</t>
  </si>
  <si>
    <t>PT: CO2507; D4007 - Water and Sediment, Centrifuge, Z-Score = 3.00</t>
  </si>
  <si>
    <t>0973</t>
  </si>
  <si>
    <t>PT: CO2507; D2622 - Sulfur, by WDXRF, Z-Score = -21.66</t>
  </si>
  <si>
    <t>-21.66</t>
  </si>
  <si>
    <t>0974</t>
  </si>
  <si>
    <t>PT: CO2507; D4052 - Density, digital, 15 °C, Z-Score = 3.02</t>
  </si>
  <si>
    <t>0975</t>
  </si>
  <si>
    <t>PT: CO2507; D5708 - Element, Vanadium, ICPAES, Method A</t>
  </si>
  <si>
    <t>Meets 4.3.1.1.1 criteria.</t>
  </si>
  <si>
    <t>0976</t>
  </si>
  <si>
    <t>PT: CO2507; D4006 - Water, by Distillation, Z-Score = 2.92</t>
  </si>
  <si>
    <t>0977</t>
  </si>
  <si>
    <t>PT: CO2507; D5708 - Element, Nickel &amp; Vanadium, ICPAES, Method B, Z-Scores = 8.41 &amp; 8.85</t>
  </si>
  <si>
    <t>8.41 &amp; 8.85</t>
  </si>
  <si>
    <t>0978</t>
  </si>
  <si>
    <t>PT: CO2507; D445 - Viscosity, Kinematic, 40 °C, Z-Score = 4.45</t>
  </si>
  <si>
    <t>0979</t>
  </si>
  <si>
    <t>PT: CO2507; D5708 - Element, Iron, ICPAES, Method A</t>
  </si>
  <si>
    <t>0980</t>
  </si>
  <si>
    <t>PT: CO2507; D7900 - HC Type, Ethane &amp; n-Butane, Z-Scores = 26.23 &amp; -4.81</t>
  </si>
  <si>
    <t>26.23 &amp; -4.81</t>
  </si>
  <si>
    <t>0981</t>
  </si>
  <si>
    <t>PT: CO2507; D473 - Sediment, by Extraction, Z-Score = 2.22</t>
  </si>
  <si>
    <t>0982</t>
  </si>
  <si>
    <t>PT: CO2507; D445 - Viscosity, Kinematic, 40 °C, Z-Score = 4.91</t>
  </si>
  <si>
    <t>0983</t>
  </si>
  <si>
    <t>PT: CO2507; D4928 - Water, Coulometric, KF, Z-Score = 6.76</t>
  </si>
  <si>
    <t>0984</t>
  </si>
  <si>
    <t>PT: CO2507; D664 - Acid Number, A, 60 mL, inflection EP</t>
  </si>
  <si>
    <t>0985</t>
  </si>
  <si>
    <t>PT: CO2507; D445 - Viscosity, Kinematic, 40 °C, Z-Score = 169.25</t>
  </si>
  <si>
    <t>0986</t>
  </si>
  <si>
    <t>PT: CO2507; D445 - Viscosity, Kinematic, 50 °C</t>
  </si>
  <si>
    <t>0987</t>
  </si>
  <si>
    <t>PT: CO2507; D7169 - BP Dist by HT-GC, 10%, Z-Score = -5.31</t>
  </si>
  <si>
    <t>-5.31</t>
  </si>
  <si>
    <t>0988</t>
  </si>
  <si>
    <t>0989</t>
  </si>
  <si>
    <t>PT: CO2507; D7169 - BP Dist by HT-GC, Cut 8, 720C (1328F) &amp; Tot% Rec @ FBP, Z-Scores = -3.07 &amp; -4.14</t>
  </si>
  <si>
    <t>-3.07 &amp; -4.14</t>
  </si>
  <si>
    <t>0990</t>
  </si>
  <si>
    <t>PT: CO2507; D4052 - D5002 - Density, digital, 15 °C, Z-Score = 2.27</t>
  </si>
  <si>
    <t>0991</t>
  </si>
  <si>
    <t>PT: CO2507; D5863 - Element, Nickel &amp; Vanadium, AAS, Proc B &amp; Proc A, Z-Scores = 6.53 &amp; 15.90</t>
  </si>
  <si>
    <t>0992</t>
  </si>
  <si>
    <t>PT: CO2507; D4929 - Organic Chloride, Procedure C, Distillation, MWDXRF, Z-Score = 5.56</t>
  </si>
  <si>
    <t>0993</t>
  </si>
  <si>
    <t>PT: CO2507; D4807 - Sediment, Membrane Filtration, Z-Score = 7.04</t>
  </si>
  <si>
    <t>0994</t>
  </si>
  <si>
    <t>PT: CO2507; D4294 - Sulfur, by EDXRF, Z-Score = 127.80</t>
  </si>
  <si>
    <t>0995</t>
  </si>
  <si>
    <t>PT: CO2507; D445 - Viscosity, Kinematic, 40 °C</t>
  </si>
  <si>
    <t>0996</t>
  </si>
  <si>
    <t>PT: CO2507; D7042 - Viscosity, Stabinger, Kin, 40 °C &amp; 50 °C</t>
  </si>
  <si>
    <t>2.11 &amp; 2.05</t>
  </si>
  <si>
    <t>0997</t>
  </si>
  <si>
    <t>0998</t>
  </si>
  <si>
    <t>PT: CO2507; D4807 - Sediment, Membrane Filtration, Z-Score = 3.38</t>
  </si>
  <si>
    <t>0999</t>
  </si>
  <si>
    <t>PT: CO2507; D7900 - HC Type, Ethane, Z-Score = 3.02</t>
  </si>
  <si>
    <t>1000</t>
  </si>
  <si>
    <t>PT: CO2507; D4294 - Sulfur, by EDXRF, Z-Score = -2.24</t>
  </si>
  <si>
    <t>1001</t>
  </si>
  <si>
    <t>PT: CO2507; D4007 - Water and Sediment, Centrifuge, Z-Score = 4.60</t>
  </si>
  <si>
    <t>1002</t>
  </si>
  <si>
    <t>PT: TM09-25; D86 - Distillation, Auto, 50%</t>
  </si>
  <si>
    <t>1003</t>
  </si>
  <si>
    <t>PT: TM09C-25; Oxygenates, Ethanol</t>
  </si>
  <si>
    <t>1004</t>
  </si>
  <si>
    <t>PT: TM09C-25; D86 - Distillation, Auto, 90%</t>
  </si>
  <si>
    <t>1005</t>
  </si>
  <si>
    <t>PT: TM09C-25; RVP, Vapor Pressure</t>
  </si>
  <si>
    <t>1006</t>
  </si>
  <si>
    <t>PT: TM09C-25; D86 - Distillation, Auto, 90%, Z-Score = -19.39</t>
  </si>
  <si>
    <t>-19.39</t>
  </si>
  <si>
    <t>1007</t>
  </si>
  <si>
    <t>PT: M994; D86 - Distillation, Auto, Residue%, Z-Score = 5.45</t>
  </si>
  <si>
    <t>1008</t>
  </si>
  <si>
    <t>PT: M994; CAN/CGSB-3.0 No. 14.3, Olefins &amp; Benzene, Z-Scores = -2.36 &amp; 2.58</t>
  </si>
  <si>
    <t>-2.36 &amp; 2.58</t>
  </si>
  <si>
    <t>1009</t>
  </si>
  <si>
    <t>PT: M994; Regulation SOR/97-493, Benzene Emissions Number, Summer</t>
  </si>
  <si>
    <t>1010</t>
  </si>
  <si>
    <t>PT: M994; D5191 - Vapor Pressure, RVP</t>
  </si>
  <si>
    <t>1011</t>
  </si>
  <si>
    <t>PT: RFG2510; D86 - Distillation, Auto, % Resid (EPA), Z-Score = 13.77</t>
  </si>
  <si>
    <t>1012</t>
  </si>
  <si>
    <t>PT: RFG2510; D5769 - Toluene, by GC/MS (EPA), Z-Score = -2.27</t>
  </si>
  <si>
    <t>1013</t>
  </si>
  <si>
    <t>PT: RFG2510; D4052 - Density, Digital, 15 °C (EPA) &amp; Manual Injection, Z-Scores = 3.31 &amp; 5.02</t>
  </si>
  <si>
    <t>3.31 &amp; 5.02</t>
  </si>
  <si>
    <t>1014</t>
  </si>
  <si>
    <t>PT: RFG2510; D2622 - Sulfur by WDXRF (EPA), Z-Score = -5.37</t>
  </si>
  <si>
    <t>-5.37</t>
  </si>
  <si>
    <t>1015</t>
  </si>
  <si>
    <t>PT: RFG2510; D7039 - Sulfur, by MWDXRF, Z-Score = -8.74</t>
  </si>
  <si>
    <t>-8.74</t>
  </si>
  <si>
    <t>1016</t>
  </si>
  <si>
    <t>PT: RFG2510; D5453 - Sulfur, by UVF, Z-Score = -3.11</t>
  </si>
  <si>
    <t>1017</t>
  </si>
  <si>
    <t>PT: RFG2510; D5191 - Vapor Pressure, DVPE, 1L, Z-Score = -2.02</t>
  </si>
  <si>
    <t>1018</t>
  </si>
  <si>
    <t>PT: RFG2510; D1319 - HC Type, Aromatics, Oxy-Free (EPA), Z-Score = 2.32</t>
  </si>
  <si>
    <t>1019</t>
  </si>
  <si>
    <t>PT: RFG2510; D86 - Distillation, Auto, % Resid &amp; (EPA), Z-Scores = 4.15 &amp; 4.81</t>
  </si>
  <si>
    <t>4.15 &amp; 4.81</t>
  </si>
  <si>
    <t>1020</t>
  </si>
  <si>
    <t>PT: RFG2510; D4815 - Oxygenates, Ethanol, Z-Score = -2.73</t>
  </si>
  <si>
    <t>1021</t>
  </si>
  <si>
    <t>PT: RFG2510; D5599 - Oxygenates, Ethanol, by GC OFID (EPA), Z-Score = -2.60</t>
  </si>
  <si>
    <t>1022</t>
  </si>
  <si>
    <t>PT: RFG2510; D86 - Distillation, Auto, 80% &amp; 80%, °F (EPA), Z-Scores = -2.61 &amp; -2.25</t>
  </si>
  <si>
    <t>-2.61 &amp; -2.25</t>
  </si>
  <si>
    <t>1023</t>
  </si>
  <si>
    <t>PT: RFG2510; D86 - Distillation, Auto, % Resid (EPA), Z-Score = 20.93</t>
  </si>
  <si>
    <t>1024</t>
  </si>
  <si>
    <t>PT: RFG2510; D5191 - Vapor Pressure, DVPE, 1L, Z-Score = 2.39</t>
  </si>
  <si>
    <t>1025</t>
  </si>
  <si>
    <t>PT: RFG2510; D4052 - Density, Digital, 15 °C, Manual Injection, Z-Score = 2.14</t>
  </si>
  <si>
    <t>1026</t>
  </si>
  <si>
    <t>PT: RFG2510; D3606 - Benzene, by GC, Proc B, &amp; (EPA), Z-Scores = 2.14 &amp; 2.72</t>
  </si>
  <si>
    <t>2.14 &amp; 2.72</t>
  </si>
  <si>
    <t>1027</t>
  </si>
  <si>
    <t>PT: RFG2510; D86 - Distillation, Auto, 10% - 50%, 80%, FBP, &amp; E200 °F, % (EPA), Z-Scores = Multiple Outliers</t>
  </si>
  <si>
    <t>1028</t>
  </si>
  <si>
    <t>PT: RFG2510; D1319 - HC Type, Aromatics, Corrected &amp; Oxy-Free, &amp; EPA, Z-Scores = -2.13, -2.32, -2.60, &amp; -5.81</t>
  </si>
  <si>
    <t>-2.13, -2.32, -2.60, &amp; -5.81</t>
  </si>
  <si>
    <t>1029</t>
  </si>
  <si>
    <t>PT: RFG2510; D2622 - Sulfur, by WDXRF &amp; (EPA), Z-Scores = -2.28 &amp; -2.29</t>
  </si>
  <si>
    <t>-2.28 &amp; -2.29</t>
  </si>
  <si>
    <t>1030</t>
  </si>
  <si>
    <t>PT: RFG2510; D5188 - V/L Ratio Temp, Evac Chamber, Z-Score = 2.03</t>
  </si>
  <si>
    <t>1031</t>
  </si>
  <si>
    <t>PT: RFG2510; D86 - Distillation, Auto, 5%, 50%, &amp; % Loss,&amp; (EPA) Z-Scores = -2.29, -2.43, 2.77, 2.21, 3.14, &amp; 3.38</t>
  </si>
  <si>
    <t>-2.29, -2.43, 2.77, 2.21, 3.14, &amp; 3.38</t>
  </si>
  <si>
    <t>1032</t>
  </si>
  <si>
    <t>PT: RFG2510; D1319 - HC Type, Aromatics &amp; Saturates, Corrected &amp; Oxy-Free, &amp; (EPA), Z-Scores = -2.28, -2.49, -2.66, -5.94, 2.08, 2.75, &amp; 2.58</t>
  </si>
  <si>
    <t>-2.28, -2.49, -2.66, -2.94, 2.08, 2.75, &amp; 2.58</t>
  </si>
  <si>
    <t>1033</t>
  </si>
  <si>
    <t>PT: RFG2510; D6550 - HC Type - Olefins, by SFC, Z-Score = -2.49</t>
  </si>
  <si>
    <t>1034</t>
  </si>
  <si>
    <t>PT: RFG2510; D5599 - Oxygenates, Ethanol &amp; Total Oxygen, Z-Scores = 2.20 &amp; 2.23</t>
  </si>
  <si>
    <t>2.20 &amp; 2.23</t>
  </si>
  <si>
    <t>1035</t>
  </si>
  <si>
    <t>PT: RFG2510; D1319 - HC Type, Olefins &amp; Saturates, Corrected &amp; Oxy-Free, &amp; (EPA), Z-Scores = 4.37, 2.97, 3.16, 2.88, -2.22, -2.21, -2.15, &amp; -2.31</t>
  </si>
  <si>
    <t>4.37, 2.97, 3.16, 2.88, -2.22, -2.21, -2.15, &amp; -2.31</t>
  </si>
  <si>
    <t>1036</t>
  </si>
  <si>
    <t>PT: RFG2510; D3606 - Benzene, by GC, Proc B, Z-Score = 2.82</t>
  </si>
  <si>
    <t>1037</t>
  </si>
  <si>
    <t>PT: RFG2510; D86 - Distillation, Auto, 95%, °F, % (EPA), Z-Score = -2.09</t>
  </si>
  <si>
    <t>1038</t>
  </si>
  <si>
    <t>PT: RFG2510; D5453 - Sulfur, by UVF, Z-Score = -2.87</t>
  </si>
  <si>
    <t>-2.87</t>
  </si>
  <si>
    <t>1039</t>
  </si>
  <si>
    <t>PT: JF2507; D4052 - API Gravity, Digital, 60°F, Z-Score = 2.72</t>
  </si>
  <si>
    <t>1040</t>
  </si>
  <si>
    <t>PT: JF2507; D2887 - BP Distribution, GC, Proc A, IBP</t>
  </si>
  <si>
    <t xml:space="preserve">Meets 4.3.1.1.1 Criteria. </t>
  </si>
  <si>
    <t>1041</t>
  </si>
  <si>
    <t>PT: JF2507; D86 - Distillation, Auto, % Resid</t>
  </si>
  <si>
    <t>1042</t>
  </si>
  <si>
    <t>PT: JF2507; D445 - Viscosity, Kinematic, -20 °C, Z-Score = -17.71</t>
  </si>
  <si>
    <t>1043</t>
  </si>
  <si>
    <t>PT: JF2507; D5972 - Freeze Point, Auto Phase Trans, Z-Score = 2.20</t>
  </si>
  <si>
    <t>1044</t>
  </si>
  <si>
    <t>PT: JF2507; D3948 - Water Separation, by Portable Sep, Z-Score = -4.50</t>
  </si>
  <si>
    <t>-4.50</t>
  </si>
  <si>
    <t>1045</t>
  </si>
  <si>
    <t>PT: JF2507; D86 - Distillation, Auto, % Resid &amp; Distillation, Man, % Loss</t>
  </si>
  <si>
    <t>2.10 &amp; -2.20</t>
  </si>
  <si>
    <t>1046</t>
  </si>
  <si>
    <t>PT: JF2507; D8305 - HC Type, Predicted D1319 Total Aromatics &amp; Total Aromatics, by SFC, Z-Scores = -18.94 &amp; -19.21</t>
  </si>
  <si>
    <t>-18.94 &amp; -19.21</t>
  </si>
  <si>
    <t>1047</t>
  </si>
  <si>
    <t>PT: JF2507; D445 - Viscosity, Kinematic, -20 °C, Z-Score = -61.50</t>
  </si>
  <si>
    <t>-61.50</t>
  </si>
  <si>
    <t>1048</t>
  </si>
  <si>
    <t>PT: JF2507; D1319 - HC Type, Olefins, Oxy-Free, Z-Score = 2.97</t>
  </si>
  <si>
    <t>1049</t>
  </si>
  <si>
    <t>PT: JF2507; D2386 - Freeze Point, Manual, Z-Score = -3.07</t>
  </si>
  <si>
    <t>1050</t>
  </si>
  <si>
    <t>PT: JF2507; D3338 - Net Heat of Combustion, Calculation, Z-Score = 4.63</t>
  </si>
  <si>
    <t>1051</t>
  </si>
  <si>
    <t>PT: JF2507; D3242 - Acidity, by Titration, Z-Score = 2.14</t>
  </si>
  <si>
    <t>1052</t>
  </si>
  <si>
    <t>PT: JF2507; D2887 - BP Distribution, GC, Proc B, FBP, Z-Score = 12.46</t>
  </si>
  <si>
    <t>1053</t>
  </si>
  <si>
    <t>PT: JF2507; D1319 - HC Type, Olefins, Oxy-Free, Z-Score = 3.46</t>
  </si>
  <si>
    <t>1054</t>
  </si>
  <si>
    <t>PT: JF2507; D5453 - Sulfur, by UVF, Z-Score = 2.63</t>
  </si>
  <si>
    <t>1055</t>
  </si>
  <si>
    <t>PT: JF2507; D445 - Viscosity, Kinematic, -20 °C, Z-Score = -12.89</t>
  </si>
  <si>
    <t>-12.89</t>
  </si>
  <si>
    <t>1056</t>
  </si>
  <si>
    <t>PT: JF2507; D86 - Distillation, Auto, % Resid, Z-Score = 698.57</t>
  </si>
  <si>
    <t>1057</t>
  </si>
  <si>
    <t>PT: JF2507; D445 - Viscosity, Kinematic, -20 °C</t>
  </si>
  <si>
    <t>1058</t>
  </si>
  <si>
    <t>PT: JF2507; D93 - Flash Point, PMCC, Proc A, corrected, Z-Score = 3.19</t>
  </si>
  <si>
    <t>1059</t>
  </si>
  <si>
    <t>PT: JF2507; D1319 - HC Type, Olefins &amp; Saturates, Oxy-Free, Z-Scores = 18.00 &amp; -12.08</t>
  </si>
  <si>
    <t>18.00 &amp; -12.08</t>
  </si>
  <si>
    <t>1060</t>
  </si>
  <si>
    <t>PT: JF2507; D5006 - Fuel System Icing Inhibitors, Ether Type, Z-Score = 4.30</t>
  </si>
  <si>
    <t>1061</t>
  </si>
  <si>
    <t>PT: JF2507; D4294 - Sulfur, by EDXRF, Z-Score = -2.30</t>
  </si>
  <si>
    <t>1062</t>
  </si>
  <si>
    <t>PT: JF2507; D7039 - Sulfur, by MWDXRF, Z-Score = -2.20</t>
  </si>
  <si>
    <t>1063</t>
  </si>
  <si>
    <t>PT: JF2507; D3241 - Thermal Stability, Interferometric, @260 Thickness &amp; Volume, Z-Scores = 2.20 &amp; 2.65</t>
  </si>
  <si>
    <t>2.20 &amp; 2.65</t>
  </si>
  <si>
    <t>1064</t>
  </si>
  <si>
    <t>PT: JF2507; D6304 - Water, by Coul KF, Meth A Direct Injection, mg/kg, Z-Score = 2.50</t>
  </si>
  <si>
    <t>1065</t>
  </si>
  <si>
    <t>PT: JF2507; D86 - Distillation, Auto, % Resid, Z-Score = -4.93</t>
  </si>
  <si>
    <t>-4.93</t>
  </si>
  <si>
    <t>1066</t>
  </si>
  <si>
    <t>PT: JF2507; D86 - Distillation, Auto, % Resid &amp; % Loss</t>
  </si>
  <si>
    <t>2.07 &amp; -2.12</t>
  </si>
  <si>
    <t>1067</t>
  </si>
  <si>
    <t>PT: LPG2507; D2163 - Hydrocarbons, Isobutane, Isopentane, Propane, n-Pentane, &amp; n-Butane, Z-Scores = 2.54, 2.59, -2.86, 2.99, &amp; 2.64</t>
  </si>
  <si>
    <t>2.54, 2.59, -2.86, 2.99, &amp; 2.64</t>
  </si>
  <si>
    <t>1068</t>
  </si>
  <si>
    <t>PT: LPG2507; D6667 - Sulfur in LPG, by UVF</t>
  </si>
  <si>
    <t>1069</t>
  </si>
  <si>
    <t>PT: LPG2507; D7423 - Oxygenates by GC-FID, TAME, Z-Score = 0.00 (Rejected)</t>
  </si>
  <si>
    <t>1070</t>
  </si>
  <si>
    <t>PT: D348; D445 - Viscosity, at 40°C, Z-Score = 2.18</t>
  </si>
  <si>
    <t>1071</t>
  </si>
  <si>
    <t>PT: AASHTO, T301 Elastic Recovery, Z score -3.05</t>
  </si>
  <si>
    <t>T301 - Elastic Recovery</t>
  </si>
  <si>
    <t>1072</t>
  </si>
  <si>
    <t>PT: T354; D86 - Distillation, Auto, Residue</t>
  </si>
  <si>
    <t>1073</t>
  </si>
  <si>
    <t>PT: T354; D86 - Distillation, Auto, Residue%, Z-Score = 4.64</t>
  </si>
  <si>
    <t>1074</t>
  </si>
  <si>
    <t>PT: T354; D1319 - HC Type, Aromatics</t>
  </si>
  <si>
    <t>1075</t>
  </si>
  <si>
    <t>PT: T354; D3338 - Net Heat, of Combustion, Z-Score = -2.29</t>
  </si>
  <si>
    <t>1076</t>
  </si>
  <si>
    <t>PT: F327; D86 - Distillation, Auto, FBP Recovered, Z-Score = -2.44</t>
  </si>
  <si>
    <t>1077</t>
  </si>
  <si>
    <t>PT: D-1221; D613 - Cetane Number, Z-Score = 2.10</t>
  </si>
  <si>
    <t>1078</t>
  </si>
  <si>
    <t>PT: T355; D86 - Distillation, Auto, 80% Recovered, Z-Score = 2.07</t>
  </si>
  <si>
    <t>1079</t>
  </si>
  <si>
    <t>PT: T355; D3948 - Water Separation, Micro Separometer, Z-Score = 2.28</t>
  </si>
  <si>
    <t>1080</t>
  </si>
  <si>
    <t>PT: D-1222; D86 - Distillation, Auto, 10%, 50%, &amp; 90% Recovered</t>
  </si>
  <si>
    <t>2.23, 2.24, &amp; 2.39</t>
  </si>
  <si>
    <t>1081</t>
  </si>
  <si>
    <t>PT: D-1222; D613 - Cetane Number, Z-Score = -2.45</t>
  </si>
  <si>
    <t>1082</t>
  </si>
  <si>
    <t>PT: OC2508; D86 - Distillation, 90% °F</t>
  </si>
  <si>
    <t>1083</t>
  </si>
  <si>
    <t>PT: OC2508; D1319 - HC Type, Olefins &amp; Saturates, Oxy-Free, Z-Scores = 91.40 &amp; -52.50</t>
  </si>
  <si>
    <t>91.40 &amp; -52.50</t>
  </si>
  <si>
    <t>1084</t>
  </si>
  <si>
    <t>PT: OC2508; D1319 - HC Type, Olefins &amp; Saturates, Oxy-Free, Z-Scores = 91.68 &amp; -52.74</t>
  </si>
  <si>
    <t>91.68 &amp; -52.74</t>
  </si>
  <si>
    <t>1085</t>
  </si>
  <si>
    <t>PT: BIOD2508; EN 14103 - Total FAME (ester), Z-Score = -2.06</t>
  </si>
  <si>
    <t>1086</t>
  </si>
  <si>
    <t>PT: BIOD2508; D5185 - Elements, Na + K, by ICP/AES, Z-Score = 3.10</t>
  </si>
  <si>
    <t>1087</t>
  </si>
  <si>
    <t>PT: BIOD2508; D6584 - Glycerin, Monoglyceride, by GC, Z-Score = 2.06</t>
  </si>
  <si>
    <t>1088</t>
  </si>
  <si>
    <t>PT: BIOD2508; EN 14103 - Linolenic Acid Methyl Ester, Z-Score = -5.93</t>
  </si>
  <si>
    <t>-5.93</t>
  </si>
  <si>
    <t>1089</t>
  </si>
  <si>
    <t>PT: BIOD2508; D445 - Viscosity, Kinematic, 40 °C, Z-Score = -2.10</t>
  </si>
  <si>
    <t>1090</t>
  </si>
  <si>
    <t>PT: BIOD2508; D93 - Flash Point, PMCC, Proc C, corrected, Z-Score = -10.89</t>
  </si>
  <si>
    <t>-10.89</t>
  </si>
  <si>
    <t>1091</t>
  </si>
  <si>
    <t>PT: BIOD2508; D1160 - Distillation, 1.3kPa, Auto, Multiple Parameters, Z-Score = Multiple Outliers</t>
  </si>
  <si>
    <t>1092</t>
  </si>
  <si>
    <t>PT: BIOD2508; EN 14103 - Total FAME (ester) &amp; Linolenic Acid Methyl Ester, Z-Score = -99.86 &amp; 436.05</t>
  </si>
  <si>
    <t>-99.86 &amp; 436.05</t>
  </si>
  <si>
    <t>1093</t>
  </si>
  <si>
    <t>PT: BIOD2508; D93 - Flash Point, PMCC, Proc A, corrected, Z-Score = 2.75</t>
  </si>
  <si>
    <t>1094</t>
  </si>
  <si>
    <t>PT: BIOD2508; D7501 - Fuel Filter Blocking by CSFT, Z-Score = 3.40</t>
  </si>
  <si>
    <t>1095</t>
  </si>
  <si>
    <t>PT: BIOD2508; D6304 - Water, by Coul KF, Meth A Direct Injection, mg/kg, Z-Score = 3.60</t>
  </si>
  <si>
    <t>1096</t>
  </si>
  <si>
    <t>PT: BIOD2508; D5773 - Cloud Point, Constant Cool, Z-Score = 4.54</t>
  </si>
  <si>
    <t>1097</t>
  </si>
  <si>
    <t>PT: BIOD2508; D5453 - Sulfur, by UVF, Z-Score = 2.15</t>
  </si>
  <si>
    <t>1098</t>
  </si>
  <si>
    <t>PT: BIOD2508; D445 - Viscosity, Kinematic, 40 °C, Z-Score = -7.75</t>
  </si>
  <si>
    <t>-7.75</t>
  </si>
  <si>
    <t>1099</t>
  </si>
  <si>
    <t>PT: R-1364; D2699 - Octane Number, Research, Z-Score = 2.53</t>
  </si>
  <si>
    <t>1100</t>
  </si>
  <si>
    <t>PT: R-1364; D2699 - Octane Number, Research, Z-Score = -2.75</t>
  </si>
  <si>
    <t>1101</t>
  </si>
  <si>
    <t>PT: MG2508; D3231 - Element, Phosphorus, by combusition/colorometric, Z-Score = 3.08</t>
  </si>
  <si>
    <t>1102</t>
  </si>
  <si>
    <t>PT: MG2508; D5580 - Aromatics Type, Toluene &amp; Total Aromatics, by GC, Z-Scores = -4.45 &amp; -2.24</t>
  </si>
  <si>
    <t>1103</t>
  </si>
  <si>
    <t>PT: MG2508; D86 - Distillation, Auto, 30%, Z-Score = 2.06</t>
  </si>
  <si>
    <t>1104</t>
  </si>
  <si>
    <t>PT: MG2508; D6730 - HC Type, Total Aromatics &amp; C9+ Aromatics, by pCHR-GC</t>
  </si>
  <si>
    <t>2.14 &amp; -2.73</t>
  </si>
  <si>
    <t>1105</t>
  </si>
  <si>
    <t>PT: MG2508; D3606 - Aromatic Type, Toluene, by GC, Proc A, Z-Score = -13.72</t>
  </si>
  <si>
    <t>-13.72</t>
  </si>
  <si>
    <t>1106</t>
  </si>
  <si>
    <t>PT: MG2508; D5443 - HC Type, Benzene, by MD-GC, Z-Score = 2.34</t>
  </si>
  <si>
    <t>1107</t>
  </si>
  <si>
    <t>PT: MG2508; D5188 - V/L Ratio Temp, Evac Chamber</t>
  </si>
  <si>
    <t>1108</t>
  </si>
  <si>
    <t>PT: MG2508; D5769 - Aromatic Type, Total Aromatics, by GC/MS &amp; EPA, Z-Scores = -2.15 &amp; -2.26</t>
  </si>
  <si>
    <t>-2.15 &amp; -2.26</t>
  </si>
  <si>
    <t>1109</t>
  </si>
  <si>
    <t>PT: MG2508; D1319 - HC Type, Aromatics &amp; Saturates, Corrected &amp; Oxy-free, &amp; (EPA), Z-Scores = 2.26, 2.48, 2.46, &amp; 2.64, -2.14, -2.27, -2.51, &amp; -2.62</t>
  </si>
  <si>
    <t>1110</t>
  </si>
  <si>
    <t>PT: MG2508; D6730 - HC Type, C6 Naphthenes, C8 Aromatics, &amp; C8 Naphthenes, by pCHR-GC, Z-Scores = 6.14, -36.56, &amp; 17.74</t>
  </si>
  <si>
    <t>6.14, -36.56, &amp; 17.74</t>
  </si>
  <si>
    <t>1111</t>
  </si>
  <si>
    <t>PT: MG2508; D86 - Distillation, Auto, 60%, Z-Score = 2.07</t>
  </si>
  <si>
    <t>1112</t>
  </si>
  <si>
    <t>PT: MG2508; D1319 - HC Type, Aromatics &amp; Saturates, Oxy-Free, Z-Scores = 7.78 &amp; -5.97</t>
  </si>
  <si>
    <t>7.78 &amp; -5.97</t>
  </si>
  <si>
    <t>1113</t>
  </si>
  <si>
    <t>PT: MG2508; D3227 - Mercaptan Sulfur, Potentiometric, Z-Score = 9.53</t>
  </si>
  <si>
    <t>1114</t>
  </si>
  <si>
    <t>PT: MG2508; D5188 - V/L Ratio Temp, Evac Chamber, Z-Score = 5.15</t>
  </si>
  <si>
    <t>1115</t>
  </si>
  <si>
    <t>PT: MG2508; D5191 - Vapor Pressure, DVPE, RVP, TVP, 1L, &amp; (EPA), Z-Scores = -11.37, -10.31, -13.45, &amp; -18.55</t>
  </si>
  <si>
    <t>-11.37, -10.31, -13.45, &amp; -18.55</t>
  </si>
  <si>
    <t>1116</t>
  </si>
  <si>
    <t>PT: BO2508; D4052 - Density, Digital, 15 °C, Z-Score = 3.05</t>
  </si>
  <si>
    <t>1117</t>
  </si>
  <si>
    <t>PT: BO2508; D445 - Viscosity, Kinematic, 100°C, Z-Score = 3.68</t>
  </si>
  <si>
    <t>1118</t>
  </si>
  <si>
    <t>PT: D-1223; D613 - Cetane Number, Duplicate</t>
  </si>
  <si>
    <t>1119</t>
  </si>
  <si>
    <t>PT: TM10-25; D2700 - Octane Number, Motor</t>
  </si>
  <si>
    <t>Meets 4.3.1.1.2 Criteria.</t>
  </si>
  <si>
    <t>1120</t>
  </si>
  <si>
    <t>PT: ETOH2508; D5501 - Methanol, By GC, Z-Score = 2.47</t>
  </si>
  <si>
    <t>1121</t>
  </si>
  <si>
    <t>PT: ETOH2508; E1064 - Water, by Coul KF</t>
  </si>
  <si>
    <t>1122</t>
  </si>
  <si>
    <t>PT: ETOH2508; D6423 - pHe, by electrode, Z-Score = 2.98</t>
  </si>
  <si>
    <t>1123</t>
  </si>
  <si>
    <t>PT: ETOH2508; D4052 - Density, Relative, @ 15.56 °C, Z-Score = 5.99</t>
  </si>
  <si>
    <t>1124</t>
  </si>
  <si>
    <t>PT: ETOH2508; D5501 - Ethanol, By GC, Z-Score = 2.49</t>
  </si>
  <si>
    <t>Meets 4.3.1.2 criteria.</t>
  </si>
  <si>
    <t>1125</t>
  </si>
  <si>
    <t>PT: ETOH2508; D7795 - Acidity, Proc B, Z-Score = 2.11</t>
  </si>
  <si>
    <t>1126</t>
  </si>
  <si>
    <t>PT: ETOH2508; D5453 - Sulfur, by UVF, Z-Score = -2.81</t>
  </si>
  <si>
    <t>-2.81</t>
  </si>
  <si>
    <t>1127</t>
  </si>
  <si>
    <t>PT: ETOH2508; ABNT NBR 10891 - pHe, electrode, Z-Score = 11.66</t>
  </si>
  <si>
    <t>1128</t>
  </si>
  <si>
    <t>PT: ETOH2508; D6423 - pHe, by electrode, Z-Score = 2.95</t>
  </si>
  <si>
    <t>1129</t>
  </si>
  <si>
    <t>PT: ETOH2508; D7795 - Acidity, Proc A, Z-Score = 2.12</t>
  </si>
  <si>
    <t xml:space="preserve">Confirmed Transcription Error. </t>
  </si>
  <si>
    <t>1130</t>
  </si>
  <si>
    <t>1131</t>
  </si>
  <si>
    <t>PT: F328; D86 - Distillation, Auto, 95% Recovered, Z-Score = 2.44</t>
  </si>
  <si>
    <t>1132</t>
  </si>
  <si>
    <t>PT: M996; CAN/CGSB-3.0 No. 14.3 - HC Type, Olefins, Z-Score = -7.44</t>
  </si>
  <si>
    <t>-7.44</t>
  </si>
  <si>
    <t>1133</t>
  </si>
  <si>
    <t>PT: M996; Regulation SOR/97-493 - Benzene Emissions Number, Summer, Z-Score = 15.47</t>
  </si>
  <si>
    <t>1134</t>
  </si>
  <si>
    <t>PT: M996; D4052 - Density, at 15°C, Z-Score = 3.03</t>
  </si>
  <si>
    <t>1135</t>
  </si>
  <si>
    <t>PT: M996; D5191 - Vapor Pressure, RVP</t>
  </si>
  <si>
    <t>1136</t>
  </si>
  <si>
    <t>PT: M996; Regulation SOR/97-493 - Benzene Emissions Number, Summer, Z-Score = -8.96</t>
  </si>
  <si>
    <t>-8.96</t>
  </si>
  <si>
    <t>1137</t>
  </si>
  <si>
    <t>PT: M996; D86 - Distillation, Auto, % Evaporated @ 149°C</t>
  </si>
  <si>
    <t>1138</t>
  </si>
  <si>
    <t>PT: M996; CAN/CGSB-3.0 No. 14.3 - HC Type, Benzene, Z-Score = 5.27</t>
  </si>
  <si>
    <t>1139</t>
  </si>
  <si>
    <t>PT: D349; D86 - Distillation, Auto, IBP, Recovered, Z-Score = -2.13</t>
  </si>
  <si>
    <t>1140</t>
  </si>
  <si>
    <t>PT: D349; D445 - Viscosity, at 40°C, Z-Score = 8.02</t>
  </si>
  <si>
    <t>1141</t>
  </si>
  <si>
    <t>PT: D349; D86 - Distillation, Auto, FBP, Recovered, Z-Score = -2.87</t>
  </si>
  <si>
    <t>1142</t>
  </si>
  <si>
    <t>PT: D349; D4052 - Density, at 15°C, Z-Score = -7.78</t>
  </si>
  <si>
    <t>-7.78</t>
  </si>
  <si>
    <t>1143</t>
  </si>
  <si>
    <t>PT: D349; D5453 - Total Sulfur, by UVF, Z-Score = 2.08</t>
  </si>
  <si>
    <t>1144</t>
  </si>
  <si>
    <t>PT: CE535; D1319 - HC Type, Olefins, Oxy-Free, Z-Score = 2.30</t>
  </si>
  <si>
    <t>1145</t>
  </si>
  <si>
    <t>PT: CE535; D1319 - HC Type, Saturates, Oxy-Free, Z-Score = 2.27</t>
  </si>
  <si>
    <t>1146</t>
  </si>
  <si>
    <t>PT: CE535; D2700 - Octane Number, Motor, &amp; Pump - AKI,  Z-Scores = -2.85 &amp; -2.36</t>
  </si>
  <si>
    <t>-2.85 &amp; -2.36</t>
  </si>
  <si>
    <t>1147</t>
  </si>
  <si>
    <t>PT: CE535; D5191 - Vapor Pressure, Ptot, Z-Score = -8.78</t>
  </si>
  <si>
    <t>-8.78</t>
  </si>
  <si>
    <t>1148</t>
  </si>
  <si>
    <t>PT: CE535; D5453 - Sulfur, by UVF, Z-Score = -8.48</t>
  </si>
  <si>
    <t>-8.48</t>
  </si>
  <si>
    <t>1149</t>
  </si>
  <si>
    <t>PT: CE535; D86 - Distillation, Auto, 20%,  Z-Score = 2.03</t>
  </si>
  <si>
    <t>1150</t>
  </si>
  <si>
    <t>PT: CE535; D6550 - Olefins, by SFC, Z-Score = -15.45</t>
  </si>
  <si>
    <t>-15.45</t>
  </si>
  <si>
    <t>1151</t>
  </si>
  <si>
    <t>PT: D-1224; D445 - Viscosity, at 40°C,  Z-Score = 2.32</t>
  </si>
  <si>
    <t>D-1224</t>
  </si>
  <si>
    <t>1152</t>
  </si>
  <si>
    <t>PT: R-1365; D86 - Distillation, Auto, 50% &amp; 90%, Evaporated, Z-Scores = 5.22 &amp; 11.39</t>
  </si>
  <si>
    <t>R-1365</t>
  </si>
  <si>
    <t>5.22 &amp; 11.39</t>
  </si>
  <si>
    <t>1153</t>
  </si>
  <si>
    <t>PT: R-1366; D2699 - Octane Number, Research,  Z-Score = 2.76</t>
  </si>
  <si>
    <t>R-1366</t>
  </si>
  <si>
    <t>1154</t>
  </si>
  <si>
    <t>PT: F242510; D86 - Distillation, Auto 40%, Z-Score = 110.26</t>
  </si>
  <si>
    <t>1155</t>
  </si>
  <si>
    <t>PT: F242510; D1319 - HC Type, Aromatics &amp; Olefins, Oxy-Free, Z-Scores = -5.55 &amp; 10.91</t>
  </si>
  <si>
    <t>-5.55 &amp; 10.91</t>
  </si>
  <si>
    <t>1156</t>
  </si>
  <si>
    <t>PT: F242510; D1840 - Naphthalenes, by UVS, Z-Score = -8.39</t>
  </si>
  <si>
    <t>-8.39</t>
  </si>
  <si>
    <t>1157</t>
  </si>
  <si>
    <t>PT: F242510; D3338/D3338M - Net Heat of Combustion, Calculation,  Z-Score = 2.08</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</si>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</sst>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
    <numFmt numFmtId="166" formatCode="m/d/yy;@"/>
  </numFmts>
  <fonts count="36" x14ac:knownFonts="1">
    <font>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sz val="8"/>
      <name val="Calibri"/>
      <family val="2"/>
      <scheme val="minor"/>
    </font>
    <font>
      <sz val="11"/>
      <name val="Calibri"/>
      <family val="2"/>
      <scheme val="minor"/>
    </font>
    <font>
      <sz val="14"/>
      <color theme="1"/>
      <name val="Calibri"/>
      <family val="2"/>
      <scheme val="minor"/>
    </font>
    <font>
      <b/>
      <i/>
      <sz val="11"/>
      <name val="Calibri"/>
      <family val="2"/>
      <scheme val="minor"/>
    </font>
    <font>
      <sz val="8"/>
      <color theme="1"/>
      <name val="Calibri"/>
      <family val="2"/>
      <scheme val="minor"/>
    </font>
    <font>
      <sz val="11"/>
      <color rgb="FF000000"/>
      <name val="Calibri"/>
      <family val="2"/>
    </font>
    <font>
      <sz val="11"/>
      <color theme="1"/>
      <name val="Calibri"/>
      <family val="2"/>
      <charset val="1"/>
    </font>
    <font>
      <sz val="10.5"/>
      <color theme="1"/>
      <name val="Segoe UI"/>
      <family val="2"/>
      <charset val="1"/>
    </font>
    <font>
      <i/>
      <sz val="11"/>
      <name val="Calibri"/>
      <family val="2"/>
      <scheme val="minor"/>
    </font>
    <font>
      <sz val="11"/>
      <color rgb="FF000000"/>
      <name val="Calibri"/>
      <family val="2"/>
      <scheme val="minor"/>
    </font>
    <font>
      <sz val="11"/>
      <name val="Calibri"/>
      <family val="2"/>
    </font>
    <font>
      <sz val="11"/>
      <color rgb="FF444444"/>
      <name val="Calibri"/>
      <family val="2"/>
    </font>
    <font>
      <sz val="11"/>
      <color theme="1"/>
      <name val="Calibri"/>
      <family val="2"/>
    </font>
    <font>
      <sz val="11"/>
      <name val="Calibri"/>
      <family val="2"/>
      <charset val="1"/>
    </font>
    <font>
      <sz val="11"/>
      <color rgb="FF000000"/>
      <name val="Calibri"/>
      <family val="2"/>
      <charset val="1"/>
    </font>
    <font>
      <sz val="12"/>
      <color theme="1"/>
      <name val="Calibri"/>
      <family val="2"/>
      <scheme val="minor"/>
    </font>
    <font>
      <sz val="11"/>
      <color theme="0"/>
      <name val="Calibri"/>
      <family val="2"/>
      <scheme val="minor"/>
    </font>
    <font>
      <sz val="10"/>
      <color rgb="FF000000"/>
      <name val="Calibri"/>
      <family val="2"/>
    </font>
    <font>
      <sz val="11"/>
      <color rgb="FF444444"/>
      <name val="Calibri"/>
      <family val="2"/>
      <charset val="1"/>
    </font>
    <font>
      <sz val="11"/>
      <color rgb="FF000000"/>
      <name val="Aptos Narrow"/>
      <family val="2"/>
    </font>
    <font>
      <sz val="11"/>
      <color rgb="FF242424"/>
      <name val="Aptos Narrow"/>
      <family val="2"/>
    </font>
    <font>
      <sz val="11"/>
      <color rgb="FF333333"/>
      <name val="Calibri"/>
      <family val="2"/>
      <scheme val="minor"/>
    </font>
    <font>
      <sz val="12"/>
      <color rgb="FF000000"/>
      <name val="Calibri"/>
      <family val="2"/>
      <charset val="1"/>
    </font>
    <font>
      <sz val="11"/>
      <color rgb="FFFF0000"/>
      <name val="Calibri"/>
      <family val="2"/>
      <scheme val="minor"/>
    </font>
    <font>
      <b/>
      <sz val="14"/>
      <color rgb="FFFF0000"/>
      <name val="Calibri"/>
      <family val="2"/>
      <scheme val="minor"/>
    </font>
    <font>
      <b/>
      <sz val="11"/>
      <color rgb="FFFF0000"/>
      <name val="Calibri"/>
      <family val="2"/>
      <scheme val="minor"/>
    </font>
    <font>
      <sz val="11"/>
      <color rgb="FFEE0000"/>
      <name val="Calibri"/>
      <family val="2"/>
      <scheme val="minor"/>
    </font>
    <font>
      <sz val="11"/>
      <color rgb="FFFF0000"/>
      <name val="Calibri"/>
      <family val="2"/>
      <charset val="1"/>
    </font>
    <font>
      <sz val="11"/>
      <color theme="1"/>
      <name val="Aptos"/>
      <family val="2"/>
    </font>
    <font>
      <sz val="10"/>
      <color theme="1"/>
      <name val="Aptos"/>
      <family val="2"/>
    </font>
    <font>
      <sz val="10"/>
      <color theme="1"/>
      <name val="Calibri"/>
      <family val="2"/>
      <scheme val="minor"/>
    </font>
    <font>
      <sz val="9"/>
      <color theme="1"/>
      <name val="Calibri"/>
      <family val="2"/>
      <scheme val="minor"/>
    </font>
  </fonts>
  <fills count="18">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rgb="FFFFE699"/>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theme="4" tint="0.79998168889431442"/>
      </patternFill>
    </fill>
    <fill>
      <patternFill patternType="solid">
        <fgColor rgb="FFC00000"/>
        <bgColor indexed="64"/>
      </patternFill>
    </fill>
    <fill>
      <patternFill patternType="gray125">
        <bgColor theme="5" tint="0.59999389629810485"/>
      </patternFill>
    </fill>
    <fill>
      <patternFill patternType="gray125">
        <bgColor theme="6" tint="0.59999389629810485"/>
      </patternFill>
    </fill>
    <fill>
      <patternFill patternType="solid">
        <fgColor theme="5" tint="0.79998168889431442"/>
        <bgColor indexed="64"/>
      </patternFill>
    </fill>
    <fill>
      <patternFill patternType="solid">
        <fgColor rgb="FF00B0F0"/>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style="thin">
        <color indexed="64"/>
      </left>
      <right style="thin">
        <color rgb="FF000000"/>
      </right>
      <top style="thin">
        <color indexed="64"/>
      </top>
      <bottom style="thin">
        <color indexed="64"/>
      </bottom>
      <diagonal/>
    </border>
    <border>
      <left/>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34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protection locked="0"/>
    </xf>
    <xf numFmtId="0" fontId="0" fillId="0" borderId="0" xfId="0" applyAlignment="1" applyProtection="1">
      <alignment horizontal="center"/>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0" fillId="0" borderId="1" xfId="0" quotePrefix="1" applyBorder="1" applyAlignment="1">
      <alignment horizontal="center" vertical="center" wrapText="1"/>
    </xf>
    <xf numFmtId="164" fontId="0" fillId="0" borderId="1" xfId="0" applyNumberFormat="1" applyBorder="1" applyAlignment="1" applyProtection="1">
      <alignment horizontal="center" vertical="center" wrapText="1"/>
      <protection locked="0"/>
    </xf>
    <xf numFmtId="0" fontId="0" fillId="0" borderId="1" xfId="0" applyBorder="1" applyAlignment="1">
      <alignment horizontal="center" vertical="center" wrapText="1"/>
    </xf>
    <xf numFmtId="14" fontId="0" fillId="0" borderId="1" xfId="0" quotePrefix="1" applyNumberFormat="1" applyBorder="1" applyAlignment="1">
      <alignment horizontal="center" vertical="center" wrapText="1"/>
    </xf>
    <xf numFmtId="0" fontId="0" fillId="0" borderId="1" xfId="0" applyBorder="1" applyAlignment="1" applyProtection="1">
      <alignment horizontal="left" vertical="top" wrapText="1"/>
      <protection locked="0"/>
    </xf>
    <xf numFmtId="14" fontId="0" fillId="0" borderId="1" xfId="0" applyNumberFormat="1" applyBorder="1" applyAlignment="1">
      <alignment horizontal="center" vertical="center" wrapText="1"/>
    </xf>
    <xf numFmtId="0" fontId="0" fillId="0" borderId="3" xfId="0" quotePrefix="1" applyBorder="1" applyAlignment="1">
      <alignment horizontal="center" vertical="center" wrapText="1"/>
    </xf>
    <xf numFmtId="0" fontId="0" fillId="0" borderId="4" xfId="0" applyBorder="1" applyAlignment="1" applyProtection="1">
      <alignment horizontal="center" vertical="center" wrapText="1"/>
      <protection locked="0"/>
    </xf>
    <xf numFmtId="0" fontId="0" fillId="0" borderId="3" xfId="0" applyBorder="1" applyAlignment="1">
      <alignment horizontal="center" vertical="center" wrapText="1"/>
    </xf>
    <xf numFmtId="0" fontId="0" fillId="0" borderId="1" xfId="0" applyBorder="1" applyAlignment="1" applyProtection="1">
      <alignment horizontal="center" vertical="center"/>
      <protection locked="0"/>
    </xf>
    <xf numFmtId="0" fontId="6" fillId="0" borderId="3" xfId="0" quotePrefix="1" applyFont="1" applyBorder="1" applyAlignment="1">
      <alignment horizontal="center" vertical="center" wrapText="1"/>
    </xf>
    <xf numFmtId="0" fontId="0" fillId="2" borderId="2" xfId="0" applyFill="1" applyBorder="1" applyAlignment="1">
      <alignment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vertical="center"/>
    </xf>
    <xf numFmtId="0" fontId="0" fillId="3" borderId="1" xfId="0" applyFill="1" applyBorder="1" applyAlignment="1">
      <alignmen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center"/>
    </xf>
    <xf numFmtId="165" fontId="0" fillId="0" borderId="1" xfId="0" quotePrefix="1" applyNumberFormat="1" applyBorder="1" applyAlignment="1">
      <alignment horizontal="center" vertical="center" wrapText="1"/>
    </xf>
    <xf numFmtId="0" fontId="5" fillId="0" borderId="1" xfId="0" applyFont="1" applyBorder="1" applyAlignment="1" applyProtection="1">
      <alignment horizontal="center" vertical="center"/>
      <protection locked="0"/>
    </xf>
    <xf numFmtId="0" fontId="0" fillId="2" borderId="6" xfId="0" applyFill="1" applyBorder="1" applyAlignment="1">
      <alignment vertical="center"/>
    </xf>
    <xf numFmtId="0" fontId="0" fillId="3" borderId="3" xfId="0" applyFill="1" applyBorder="1"/>
    <xf numFmtId="0" fontId="0" fillId="3" borderId="3" xfId="0" applyFill="1" applyBorder="1" applyAlignment="1">
      <alignment horizontal="center"/>
    </xf>
    <xf numFmtId="0" fontId="2" fillId="2" borderId="5" xfId="0" applyFont="1" applyFill="1" applyBorder="1" applyAlignment="1">
      <alignment vertical="center"/>
    </xf>
    <xf numFmtId="0" fontId="7" fillId="3" borderId="5" xfId="0" applyFont="1" applyFill="1" applyBorder="1" applyAlignment="1">
      <alignment vertical="center"/>
    </xf>
    <xf numFmtId="0" fontId="7" fillId="3" borderId="5" xfId="0" applyFont="1" applyFill="1" applyBorder="1" applyAlignment="1">
      <alignment horizontal="center" vertical="center"/>
    </xf>
    <xf numFmtId="0" fontId="0" fillId="0" borderId="2" xfId="0" applyBorder="1" applyAlignment="1" applyProtection="1">
      <alignment horizontal="center" vertical="center" wrapText="1"/>
      <protection locked="0"/>
    </xf>
    <xf numFmtId="165" fontId="0" fillId="0" borderId="1" xfId="0" applyNumberFormat="1" applyBorder="1" applyAlignment="1">
      <alignment horizontal="center" vertical="center" wrapText="1"/>
    </xf>
    <xf numFmtId="0" fontId="2" fillId="4" borderId="4" xfId="0" applyFont="1" applyFill="1" applyBorder="1"/>
    <xf numFmtId="0" fontId="10" fillId="4" borderId="4" xfId="0" applyFont="1" applyFill="1" applyBorder="1" applyAlignment="1">
      <alignment wrapText="1"/>
    </xf>
    <xf numFmtId="0" fontId="11" fillId="4" borderId="4" xfId="0" applyFont="1" applyFill="1" applyBorder="1" applyAlignment="1">
      <alignment wrapText="1"/>
    </xf>
    <xf numFmtId="0" fontId="6" fillId="0" borderId="3" xfId="0" applyFont="1" applyBorder="1" applyAlignment="1">
      <alignment horizontal="center" vertical="center" wrapText="1"/>
    </xf>
    <xf numFmtId="0" fontId="0" fillId="3" borderId="8" xfId="0" applyFill="1" applyBorder="1"/>
    <xf numFmtId="0" fontId="3" fillId="3" borderId="8" xfId="0" applyFont="1" applyFill="1" applyBorder="1"/>
    <xf numFmtId="0" fontId="0" fillId="5" borderId="7" xfId="0" applyFill="1" applyBorder="1" applyAlignment="1" applyProtection="1">
      <alignment horizontal="center" vertical="center" wrapText="1"/>
      <protection locked="0"/>
    </xf>
    <xf numFmtId="0" fontId="0" fillId="5" borderId="4" xfId="0" applyFill="1" applyBorder="1" applyAlignment="1" applyProtection="1">
      <alignment horizontal="left" vertical="center" wrapText="1"/>
      <protection locked="0"/>
    </xf>
    <xf numFmtId="0" fontId="0" fillId="5" borderId="4" xfId="0" applyFill="1" applyBorder="1" applyAlignment="1">
      <alignment horizontal="center" vertical="center" wrapText="1"/>
    </xf>
    <xf numFmtId="0" fontId="0" fillId="5" borderId="4" xfId="0" applyFill="1" applyBorder="1" applyAlignment="1" applyProtection="1">
      <alignment horizontal="center" vertical="center" wrapText="1"/>
      <protection locked="0"/>
    </xf>
    <xf numFmtId="0" fontId="5" fillId="6" borderId="4" xfId="0" applyFont="1" applyFill="1" applyBorder="1" applyAlignment="1" applyProtection="1">
      <alignment horizontal="left" vertical="center" wrapText="1"/>
      <protection locked="0"/>
    </xf>
    <xf numFmtId="0" fontId="5" fillId="6" borderId="4" xfId="0" applyFont="1" applyFill="1" applyBorder="1" applyAlignment="1">
      <alignment horizontal="center" vertical="center" wrapText="1"/>
    </xf>
    <xf numFmtId="0" fontId="5" fillId="6" borderId="4" xfId="0" applyFont="1" applyFill="1" applyBorder="1" applyAlignment="1" applyProtection="1">
      <alignment horizontal="center" vertical="center" wrapText="1"/>
      <protection locked="0"/>
    </xf>
    <xf numFmtId="0" fontId="5" fillId="6" borderId="7" xfId="0" applyFont="1" applyFill="1" applyBorder="1" applyAlignment="1" applyProtection="1">
      <alignment horizontal="center" vertical="center" wrapText="1"/>
      <protection locked="0"/>
    </xf>
    <xf numFmtId="0" fontId="0" fillId="7" borderId="4" xfId="0" applyFill="1" applyBorder="1" applyAlignment="1" applyProtection="1">
      <alignment horizontal="left" vertical="center" wrapText="1"/>
      <protection locked="0"/>
    </xf>
    <xf numFmtId="0" fontId="0" fillId="7" borderId="4" xfId="0" applyFill="1" applyBorder="1" applyAlignment="1">
      <alignment horizontal="center" vertical="center" wrapText="1"/>
    </xf>
    <xf numFmtId="0" fontId="0" fillId="7" borderId="4" xfId="0" applyFill="1" applyBorder="1" applyAlignment="1" applyProtection="1">
      <alignment horizontal="center" vertical="center" wrapText="1"/>
      <protection locked="0"/>
    </xf>
    <xf numFmtId="0" fontId="2" fillId="8" borderId="2" xfId="0" applyFont="1" applyFill="1" applyBorder="1" applyAlignment="1">
      <alignment vertical="center"/>
    </xf>
    <xf numFmtId="0" fontId="0" fillId="8" borderId="2" xfId="0" applyFill="1" applyBorder="1" applyAlignment="1">
      <alignment vertical="center"/>
    </xf>
    <xf numFmtId="0" fontId="2" fillId="9" borderId="1" xfId="0" applyFont="1" applyFill="1" applyBorder="1" applyAlignment="1">
      <alignment vertical="center"/>
    </xf>
    <xf numFmtId="0" fontId="0" fillId="9" borderId="1" xfId="0" applyFill="1" applyBorder="1"/>
    <xf numFmtId="0" fontId="0" fillId="10" borderId="1" xfId="0" applyFill="1" applyBorder="1"/>
    <xf numFmtId="0" fontId="0" fillId="8" borderId="1" xfId="0" applyFill="1" applyBorder="1"/>
    <xf numFmtId="0" fontId="2" fillId="8" borderId="1" xfId="0" applyFont="1" applyFill="1" applyBorder="1"/>
    <xf numFmtId="166" fontId="0" fillId="0" borderId="1" xfId="0" applyNumberFormat="1" applyBorder="1" applyAlignment="1" applyProtection="1">
      <alignment horizontal="center" vertical="center" wrapText="1"/>
      <protection locked="0"/>
    </xf>
    <xf numFmtId="0" fontId="9" fillId="0" borderId="4" xfId="0" applyFont="1" applyBorder="1" applyAlignment="1">
      <alignment horizontal="center" vertical="center" wrapText="1"/>
    </xf>
    <xf numFmtId="0" fontId="9" fillId="0" borderId="1" xfId="0" applyFont="1" applyBorder="1"/>
    <xf numFmtId="0" fontId="9" fillId="0" borderId="1" xfId="0" applyFont="1" applyBorder="1" applyAlignment="1">
      <alignment wrapText="1"/>
    </xf>
    <xf numFmtId="14" fontId="0" fillId="0" borderId="1" xfId="0" applyNumberFormat="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9" fillId="0" borderId="1" xfId="0" applyFont="1" applyBorder="1" applyAlignment="1">
      <alignment horizontal="center" vertical="center" wrapText="1"/>
    </xf>
    <xf numFmtId="165" fontId="0" fillId="0" borderId="1" xfId="0" quotePrefix="1" applyNumberFormat="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lignment horizontal="center" vertical="center" wrapText="1"/>
    </xf>
    <xf numFmtId="164" fontId="0" fillId="0" borderId="11" xfId="0" applyNumberFormat="1" applyBorder="1" applyAlignment="1" applyProtection="1">
      <alignment horizontal="center" vertical="center" wrapText="1"/>
      <protection locked="0"/>
    </xf>
    <xf numFmtId="166" fontId="0" fillId="0" borderId="11" xfId="0" applyNumberFormat="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0" fillId="0" borderId="1" xfId="0" quotePrefix="1" applyBorder="1" applyAlignment="1" applyProtection="1">
      <alignment horizontal="left" vertical="center" wrapText="1"/>
      <protection locked="0"/>
    </xf>
    <xf numFmtId="14" fontId="0" fillId="11" borderId="1" xfId="0" applyNumberFormat="1" applyFill="1" applyBorder="1" applyAlignment="1">
      <alignment horizontal="center" vertical="center" wrapText="1"/>
    </xf>
    <xf numFmtId="0" fontId="0" fillId="11" borderId="1" xfId="0" applyFill="1" applyBorder="1" applyAlignment="1">
      <alignment horizontal="center" vertical="center" wrapText="1"/>
    </xf>
    <xf numFmtId="164" fontId="0" fillId="11" borderId="1" xfId="0" applyNumberFormat="1" applyFill="1" applyBorder="1" applyAlignment="1">
      <alignment horizontal="center" vertical="center" wrapText="1"/>
    </xf>
    <xf numFmtId="0" fontId="0" fillId="11" borderId="1" xfId="0" applyFill="1" applyBorder="1" applyAlignment="1" applyProtection="1">
      <alignment horizontal="center" vertical="center" wrapText="1"/>
      <protection locked="0"/>
    </xf>
    <xf numFmtId="14" fontId="0" fillId="11" borderId="1" xfId="0" quotePrefix="1" applyNumberFormat="1" applyFill="1" applyBorder="1" applyAlignment="1">
      <alignment horizontal="center" vertical="center" wrapText="1"/>
    </xf>
    <xf numFmtId="0" fontId="0" fillId="11" borderId="1" xfId="0" quotePrefix="1" applyFill="1" applyBorder="1" applyAlignment="1">
      <alignment horizontal="center" vertical="center" wrapText="1"/>
    </xf>
    <xf numFmtId="16" fontId="0" fillId="11" borderId="1" xfId="0" applyNumberFormat="1" applyFill="1" applyBorder="1" applyAlignment="1">
      <alignment horizontal="center" vertical="center" wrapText="1"/>
    </xf>
    <xf numFmtId="0" fontId="9" fillId="0" borderId="1" xfId="0" applyFont="1" applyBorder="1" applyAlignment="1">
      <alignment horizontal="center" vertical="center"/>
    </xf>
    <xf numFmtId="165" fontId="0" fillId="0" borderId="1" xfId="0" quotePrefix="1" applyNumberFormat="1" applyBorder="1" applyAlignment="1">
      <alignment horizontal="left" vertical="top" wrapText="1"/>
    </xf>
    <xf numFmtId="0" fontId="0" fillId="0" borderId="0" xfId="0" applyAlignment="1" applyProtection="1">
      <alignment horizontal="left" vertical="center" wrapText="1"/>
      <protection locked="0"/>
    </xf>
    <xf numFmtId="0" fontId="0" fillId="0" borderId="1" xfId="0" applyBorder="1" applyAlignment="1" applyProtection="1">
      <alignment vertical="center" wrapText="1"/>
      <protection locked="0"/>
    </xf>
    <xf numFmtId="0" fontId="9" fillId="0" borderId="1" xfId="0" applyFont="1" applyBorder="1" applyAlignment="1">
      <alignment vertical="center"/>
    </xf>
    <xf numFmtId="0" fontId="0" fillId="0" borderId="1" xfId="0" applyBorder="1" applyAlignment="1">
      <alignment vertical="center" wrapText="1"/>
    </xf>
    <xf numFmtId="0" fontId="0" fillId="11" borderId="1" xfId="0" applyFill="1" applyBorder="1" applyAlignment="1">
      <alignment vertical="center" wrapText="1"/>
    </xf>
    <xf numFmtId="0" fontId="0" fillId="0" borderId="0" xfId="0" applyAlignment="1" applyProtection="1">
      <alignment vertical="center"/>
      <protection locked="0"/>
    </xf>
    <xf numFmtId="0" fontId="20" fillId="7" borderId="4" xfId="0" applyFont="1" applyFill="1" applyBorder="1" applyAlignment="1" applyProtection="1">
      <alignment horizontal="center" vertical="center" wrapText="1"/>
      <protection locked="0"/>
    </xf>
    <xf numFmtId="0" fontId="0" fillId="12" borderId="4" xfId="0" applyFill="1" applyBorder="1" applyAlignment="1" applyProtection="1">
      <alignment horizontal="left" vertical="center" wrapText="1"/>
      <protection locked="0"/>
    </xf>
    <xf numFmtId="0" fontId="0" fillId="12" borderId="4" xfId="0" applyFill="1" applyBorder="1" applyAlignment="1">
      <alignment horizontal="center" vertical="center" wrapText="1"/>
    </xf>
    <xf numFmtId="0" fontId="0" fillId="12" borderId="4" xfId="0" applyFill="1"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0" borderId="7" xfId="0" applyBorder="1" applyAlignment="1">
      <alignment horizontal="center" vertical="center" wrapText="1"/>
    </xf>
    <xf numFmtId="0" fontId="0" fillId="0" borderId="7"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16" fillId="0" borderId="1" xfId="0" applyFont="1" applyBorder="1" applyAlignment="1">
      <alignment horizontal="left" vertical="center" wrapText="1"/>
    </xf>
    <xf numFmtId="0" fontId="2" fillId="10" borderId="1" xfId="0" applyFont="1" applyFill="1" applyBorder="1" applyAlignment="1">
      <alignment vertical="center"/>
    </xf>
    <xf numFmtId="165" fontId="0" fillId="0" borderId="11" xfId="0" applyNumberFormat="1" applyBorder="1" applyAlignment="1">
      <alignment horizontal="center" vertical="center" wrapText="1"/>
    </xf>
    <xf numFmtId="0" fontId="2" fillId="0" borderId="12" xfId="0" applyFont="1" applyBorder="1" applyAlignment="1">
      <alignment vertical="center"/>
    </xf>
    <xf numFmtId="0" fontId="0" fillId="0" borderId="16" xfId="0" applyBorder="1" applyAlignment="1">
      <alignment vertical="center"/>
    </xf>
    <xf numFmtId="0" fontId="7" fillId="13" borderId="5" xfId="0" applyFont="1" applyFill="1" applyBorder="1" applyAlignment="1">
      <alignment vertical="center"/>
    </xf>
    <xf numFmtId="0" fontId="2" fillId="14" borderId="5" xfId="0" applyFont="1" applyFill="1" applyBorder="1" applyAlignment="1">
      <alignment vertical="center"/>
    </xf>
    <xf numFmtId="0" fontId="5" fillId="13" borderId="3" xfId="0" applyFont="1" applyFill="1" applyBorder="1" applyAlignment="1">
      <alignment vertical="center"/>
    </xf>
    <xf numFmtId="0" fontId="0" fillId="14" borderId="3" xfId="0" applyFill="1" applyBorder="1" applyAlignment="1">
      <alignment vertical="center"/>
    </xf>
    <xf numFmtId="0" fontId="5" fillId="13" borderId="1" xfId="0" applyFont="1" applyFill="1" applyBorder="1" applyAlignment="1">
      <alignment vertical="center"/>
    </xf>
    <xf numFmtId="0" fontId="0" fillId="14" borderId="1" xfId="0" applyFill="1" applyBorder="1" applyAlignment="1">
      <alignment vertical="center"/>
    </xf>
    <xf numFmtId="0" fontId="0" fillId="14" borderId="1" xfId="0" applyFill="1" applyBorder="1"/>
    <xf numFmtId="0" fontId="0" fillId="14" borderId="2" xfId="0" applyFill="1" applyBorder="1" applyAlignment="1">
      <alignment vertical="center"/>
    </xf>
    <xf numFmtId="0" fontId="0" fillId="0" borderId="12" xfId="0" applyBorder="1" applyAlignment="1">
      <alignment vertical="center"/>
    </xf>
    <xf numFmtId="0" fontId="0" fillId="0" borderId="11" xfId="0" applyBorder="1"/>
    <xf numFmtId="0" fontId="0" fillId="0" borderId="0" xfId="0" applyAlignment="1" applyProtection="1">
      <alignment horizontal="left" vertical="center"/>
      <protection locked="0"/>
    </xf>
    <xf numFmtId="0" fontId="9" fillId="0" borderId="0" xfId="0" applyFont="1" applyAlignment="1">
      <alignment horizontal="center" vertical="center"/>
    </xf>
    <xf numFmtId="0" fontId="0" fillId="3" borderId="11" xfId="0" applyFill="1" applyBorder="1" applyAlignment="1">
      <alignment horizontal="center"/>
    </xf>
    <xf numFmtId="0" fontId="0" fillId="3" borderId="11" xfId="0" applyFill="1" applyBorder="1"/>
    <xf numFmtId="1" fontId="0" fillId="0" borderId="0" xfId="0" applyNumberFormat="1" applyAlignment="1" applyProtection="1">
      <alignment horizontal="center" vertical="center"/>
      <protection locked="0"/>
    </xf>
    <xf numFmtId="0" fontId="0" fillId="0" borderId="7" xfId="0" applyBorder="1" applyAlignment="1">
      <alignment horizontal="center" vertical="center"/>
    </xf>
    <xf numFmtId="0" fontId="0" fillId="0" borderId="0" xfId="0" applyAlignment="1">
      <alignment horizontal="left"/>
    </xf>
    <xf numFmtId="0" fontId="0" fillId="0" borderId="3" xfId="0" quotePrefix="1" applyBorder="1" applyAlignment="1" applyProtection="1">
      <alignment vertical="center" wrapText="1"/>
      <protection locked="0"/>
    </xf>
    <xf numFmtId="164"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1" xfId="0" quotePrefix="1" applyBorder="1" applyAlignment="1" applyProtection="1">
      <alignment vertical="center" wrapText="1"/>
      <protection locked="0"/>
    </xf>
    <xf numFmtId="0" fontId="17" fillId="0" borderId="0" xfId="0" applyFont="1" applyAlignment="1">
      <alignment vertical="center" wrapText="1"/>
    </xf>
    <xf numFmtId="0" fontId="9" fillId="0" borderId="1" xfId="0" applyFont="1" applyBorder="1" applyAlignment="1">
      <alignment vertical="center" wrapText="1"/>
    </xf>
    <xf numFmtId="0" fontId="5" fillId="0" borderId="1" xfId="0" applyFont="1" applyBorder="1" applyAlignment="1" applyProtection="1">
      <alignment vertical="center"/>
      <protection locked="0"/>
    </xf>
    <xf numFmtId="0" fontId="0" fillId="0" borderId="3" xfId="0" applyBorder="1" applyAlignment="1" applyProtection="1">
      <alignment horizontal="left" vertical="center" wrapText="1"/>
      <protection locked="0"/>
    </xf>
    <xf numFmtId="165" fontId="0" fillId="0" borderId="3" xfId="0" applyNumberFormat="1" applyBorder="1" applyAlignment="1">
      <alignment horizontal="center" vertical="center" wrapText="1"/>
    </xf>
    <xf numFmtId="0" fontId="0" fillId="0" borderId="4" xfId="0" quotePrefix="1" applyBorder="1" applyAlignment="1" applyProtection="1">
      <alignment horizontal="center" vertical="center" wrapText="1"/>
      <protection locked="0"/>
    </xf>
    <xf numFmtId="0" fontId="0" fillId="0" borderId="1" xfId="0" quotePrefix="1" applyBorder="1" applyAlignment="1" applyProtection="1">
      <alignment horizontal="center" vertical="center" wrapText="1"/>
      <protection locked="0"/>
    </xf>
    <xf numFmtId="165" fontId="0" fillId="0" borderId="1" xfId="0" quotePrefix="1" applyNumberFormat="1" applyBorder="1" applyAlignment="1">
      <alignment horizontal="left" wrapText="1"/>
    </xf>
    <xf numFmtId="16" fontId="0" fillId="0" borderId="4" xfId="0" applyNumberFormat="1" applyBorder="1" applyAlignment="1" applyProtection="1">
      <alignment horizontal="center" vertical="center" wrapText="1"/>
      <protection locked="0"/>
    </xf>
    <xf numFmtId="14" fontId="0" fillId="0" borderId="4" xfId="0" applyNumberForma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9" fillId="0" borderId="0" xfId="0" applyFont="1" applyAlignment="1">
      <alignment horizontal="left" vertical="top" wrapText="1"/>
    </xf>
    <xf numFmtId="0" fontId="19" fillId="0" borderId="3" xfId="0" quotePrefix="1" applyFont="1" applyBorder="1" applyAlignment="1">
      <alignment horizontal="center" vertical="center" wrapText="1"/>
    </xf>
    <xf numFmtId="0" fontId="19" fillId="0" borderId="4" xfId="0" applyFont="1" applyBorder="1" applyAlignment="1" applyProtection="1">
      <alignment horizontal="center" vertical="center" wrapText="1"/>
      <protection locked="0"/>
    </xf>
    <xf numFmtId="14" fontId="9" fillId="0" borderId="4" xfId="0" applyNumberFormat="1" applyFont="1" applyBorder="1" applyAlignment="1">
      <alignment horizontal="center" wrapText="1"/>
    </xf>
    <xf numFmtId="0" fontId="9" fillId="0" borderId="4" xfId="0" applyFont="1" applyBorder="1" applyAlignment="1">
      <alignment vertical="top" wrapText="1"/>
    </xf>
    <xf numFmtId="0" fontId="9" fillId="0" borderId="3" xfId="0" applyFont="1" applyBorder="1" applyAlignment="1">
      <alignment horizontal="left" vertical="center" wrapText="1"/>
    </xf>
    <xf numFmtId="16" fontId="9" fillId="0" borderId="4" xfId="0" applyNumberFormat="1" applyFont="1" applyBorder="1" applyAlignment="1">
      <alignment horizontal="left" vertical="top" wrapText="1"/>
    </xf>
    <xf numFmtId="14" fontId="9" fillId="0" borderId="4" xfId="0" applyNumberFormat="1" applyFont="1" applyBorder="1" applyAlignment="1">
      <alignment horizontal="left" wrapText="1"/>
    </xf>
    <xf numFmtId="0" fontId="9" fillId="0" borderId="4" xfId="0" applyFont="1" applyBorder="1" applyAlignment="1">
      <alignment horizontal="left" vertical="top" wrapText="1"/>
    </xf>
    <xf numFmtId="165" fontId="0" fillId="0" borderId="1" xfId="0" quotePrefix="1" applyNumberFormat="1" applyBorder="1" applyAlignment="1">
      <alignment vertical="top" wrapText="1"/>
    </xf>
    <xf numFmtId="165" fontId="0" fillId="0" borderId="1" xfId="0" applyNumberFormat="1" applyBorder="1" applyAlignment="1">
      <alignment vertical="top" wrapText="1"/>
    </xf>
    <xf numFmtId="165" fontId="0" fillId="0" borderId="1" xfId="0" applyNumberFormat="1" applyBorder="1" applyAlignment="1">
      <alignment horizontal="left" vertical="top" wrapText="1"/>
    </xf>
    <xf numFmtId="14" fontId="9" fillId="0" borderId="4" xfId="0" applyNumberFormat="1" applyFont="1" applyBorder="1" applyAlignment="1">
      <alignment horizontal="center" vertical="center" wrapText="1"/>
    </xf>
    <xf numFmtId="0" fontId="9" fillId="0" borderId="4" xfId="0" applyFont="1" applyBorder="1" applyAlignment="1">
      <alignment horizontal="left" vertical="center" wrapText="1"/>
    </xf>
    <xf numFmtId="0" fontId="9" fillId="0" borderId="4" xfId="0" applyFont="1" applyBorder="1" applyAlignment="1">
      <alignment wrapText="1"/>
    </xf>
    <xf numFmtId="0" fontId="13" fillId="0" borderId="1" xfId="0" applyFont="1" applyBorder="1" applyAlignment="1" applyProtection="1">
      <alignment horizontal="left" vertical="center" wrapText="1"/>
      <protection locked="0"/>
    </xf>
    <xf numFmtId="16" fontId="9" fillId="0" borderId="4" xfId="0" applyNumberFormat="1" applyFont="1" applyBorder="1" applyAlignment="1">
      <alignment horizontal="left" wrapText="1"/>
    </xf>
    <xf numFmtId="165" fontId="0" fillId="0" borderId="1" xfId="0" applyNumberFormat="1" applyBorder="1" applyAlignment="1">
      <alignment horizontal="left" vertical="center" wrapText="1"/>
    </xf>
    <xf numFmtId="0" fontId="13" fillId="0" borderId="1" xfId="0" applyFont="1" applyBorder="1" applyAlignment="1" applyProtection="1">
      <alignment horizontal="center" vertical="center" wrapText="1"/>
      <protection locked="0"/>
    </xf>
    <xf numFmtId="0" fontId="13" fillId="0" borderId="1" xfId="0" applyFont="1" applyBorder="1" applyAlignment="1">
      <alignment horizontal="center" vertical="center" wrapText="1"/>
    </xf>
    <xf numFmtId="166" fontId="0" fillId="0" borderId="1" xfId="0" quotePrefix="1" applyNumberFormat="1" applyBorder="1" applyAlignment="1">
      <alignment horizontal="center" vertical="center" wrapText="1"/>
    </xf>
    <xf numFmtId="0" fontId="5" fillId="0" borderId="1" xfId="0" applyFont="1" applyBorder="1" applyAlignment="1">
      <alignment horizontal="left" vertical="center" wrapText="1"/>
    </xf>
    <xf numFmtId="0" fontId="0" fillId="0" borderId="11" xfId="0" quotePrefix="1" applyBorder="1" applyAlignment="1">
      <alignment horizontal="center" vertical="center" wrapText="1"/>
    </xf>
    <xf numFmtId="0" fontId="0" fillId="0" borderId="2" xfId="0" quotePrefix="1" applyBorder="1" applyAlignment="1">
      <alignment horizontal="center" vertical="center" wrapText="1"/>
    </xf>
    <xf numFmtId="0" fontId="0" fillId="0" borderId="4" xfId="0" applyBorder="1" applyAlignment="1">
      <alignment horizontal="left" vertical="center" wrapText="1"/>
    </xf>
    <xf numFmtId="164" fontId="0" fillId="0" borderId="10" xfId="0" applyNumberFormat="1" applyBorder="1" applyAlignment="1" applyProtection="1">
      <alignment horizontal="center" vertical="center" wrapText="1"/>
      <protection locked="0"/>
    </xf>
    <xf numFmtId="166"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0" fontId="0" fillId="0" borderId="1" xfId="0" quotePrefix="1" applyBorder="1" applyAlignment="1">
      <alignment horizontal="left" vertical="center" wrapText="1"/>
    </xf>
    <xf numFmtId="0" fontId="14"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14" fillId="0" borderId="1" xfId="0" applyFont="1" applyBorder="1" applyAlignment="1">
      <alignment horizontal="left" vertical="center" wrapText="1"/>
    </xf>
    <xf numFmtId="0" fontId="0" fillId="0" borderId="0" xfId="0" applyAlignment="1">
      <alignment horizontal="left" vertical="center" wrapText="1"/>
    </xf>
    <xf numFmtId="0" fontId="0" fillId="0" borderId="1" xfId="0" quotePrefix="1" applyBorder="1" applyAlignment="1">
      <alignment horizontal="left" vertical="center"/>
    </xf>
    <xf numFmtId="0" fontId="0" fillId="0" borderId="1" xfId="0" applyBorder="1" applyAlignment="1" applyProtection="1">
      <alignment horizontal="center" vertical="top" wrapText="1"/>
      <protection locked="0"/>
    </xf>
    <xf numFmtId="0" fontId="15" fillId="0" borderId="1" xfId="0" applyFont="1" applyBorder="1" applyAlignment="1">
      <alignment horizontal="left" vertical="center" wrapText="1"/>
    </xf>
    <xf numFmtId="166" fontId="0" fillId="0" borderId="1" xfId="0" applyNumberFormat="1" applyBorder="1" applyAlignment="1" applyProtection="1">
      <alignment horizontal="center" vertical="top" wrapText="1"/>
      <protection locked="0"/>
    </xf>
    <xf numFmtId="2" fontId="0" fillId="0" borderId="3" xfId="0" quotePrefix="1" applyNumberFormat="1" applyBorder="1" applyAlignment="1">
      <alignment horizontal="center" vertical="center" wrapText="1"/>
    </xf>
    <xf numFmtId="0" fontId="9" fillId="0" borderId="2" xfId="0" applyFont="1" applyBorder="1" applyAlignment="1">
      <alignment horizontal="left" vertical="center"/>
    </xf>
    <xf numFmtId="0" fontId="0" fillId="0" borderId="3" xfId="0" quotePrefix="1" applyBorder="1" applyAlignment="1" applyProtection="1">
      <alignment horizontal="center" vertical="center" wrapText="1"/>
      <protection locked="0"/>
    </xf>
    <xf numFmtId="0" fontId="0" fillId="0" borderId="3" xfId="0" quotePrefix="1" applyBorder="1" applyAlignment="1" applyProtection="1">
      <alignment horizontal="left" vertical="center" wrapText="1"/>
      <protection locked="0"/>
    </xf>
    <xf numFmtId="166" fontId="0" fillId="0" borderId="3" xfId="0" applyNumberFormat="1" applyBorder="1" applyAlignment="1" applyProtection="1">
      <alignment horizontal="center" vertical="center" wrapText="1"/>
      <protection locked="0"/>
    </xf>
    <xf numFmtId="0" fontId="13" fillId="0" borderId="1" xfId="0" quotePrefix="1" applyFont="1" applyBorder="1" applyAlignment="1">
      <alignment horizontal="center" vertical="center" wrapText="1"/>
    </xf>
    <xf numFmtId="0" fontId="9" fillId="0" borderId="1" xfId="0" applyFont="1" applyBorder="1" applyAlignment="1">
      <alignment horizontal="left" vertical="center"/>
    </xf>
    <xf numFmtId="49" fontId="0" fillId="0" borderId="1" xfId="0" applyNumberFormat="1" applyBorder="1" applyAlignment="1" applyProtection="1">
      <alignment horizontal="center" vertical="center" wrapText="1"/>
      <protection locked="0"/>
    </xf>
    <xf numFmtId="0" fontId="0" fillId="0" borderId="11" xfId="0" applyBorder="1" applyAlignment="1">
      <alignment horizontal="left" vertical="center" wrapText="1"/>
    </xf>
    <xf numFmtId="0" fontId="0" fillId="0" borderId="10" xfId="0" applyBorder="1" applyAlignment="1" applyProtection="1">
      <alignment horizontal="center" vertical="center" wrapText="1"/>
      <protection locked="0"/>
    </xf>
    <xf numFmtId="164" fontId="0" fillId="0" borderId="2" xfId="0" applyNumberFormat="1" applyBorder="1" applyAlignment="1" applyProtection="1">
      <alignment horizontal="center" vertical="center" wrapText="1"/>
      <protection locked="0"/>
    </xf>
    <xf numFmtId="164" fontId="0" fillId="0" borderId="17" xfId="0" applyNumberFormat="1" applyBorder="1" applyAlignment="1" applyProtection="1">
      <alignment horizontal="center" vertical="center" wrapText="1"/>
      <protection locked="0"/>
    </xf>
    <xf numFmtId="166" fontId="0" fillId="0" borderId="10" xfId="0" applyNumberFormat="1" applyBorder="1" applyAlignment="1" applyProtection="1">
      <alignment horizontal="center" vertical="center" wrapText="1"/>
      <protection locked="0"/>
    </xf>
    <xf numFmtId="49" fontId="0" fillId="0" borderId="1" xfId="0" quotePrefix="1" applyNumberFormat="1" applyBorder="1" applyAlignment="1">
      <alignment horizontal="center" vertical="center" wrapText="1"/>
    </xf>
    <xf numFmtId="0" fontId="0" fillId="0" borderId="3" xfId="0" applyBorder="1" applyAlignment="1">
      <alignment horizontal="left" vertical="center" wrapText="1"/>
    </xf>
    <xf numFmtId="14" fontId="0" fillId="0" borderId="10" xfId="0" applyNumberFormat="1" applyBorder="1" applyAlignment="1">
      <alignment horizontal="center" vertical="center" wrapText="1"/>
    </xf>
    <xf numFmtId="0" fontId="24" fillId="0" borderId="0" xfId="0" applyFont="1"/>
    <xf numFmtId="2" fontId="0" fillId="0" borderId="1" xfId="0" quotePrefix="1" applyNumberFormat="1" applyBorder="1" applyAlignment="1">
      <alignment horizontal="center" vertical="center" wrapText="1"/>
    </xf>
    <xf numFmtId="166" fontId="0" fillId="0" borderId="2" xfId="0" applyNumberForma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9" fillId="0" borderId="3" xfId="0" applyFont="1" applyBorder="1" applyAlignment="1">
      <alignment horizontal="center" vertical="center" wrapText="1"/>
    </xf>
    <xf numFmtId="0" fontId="9" fillId="0" borderId="1" xfId="0" quotePrefix="1" applyFont="1" applyBorder="1" applyAlignment="1">
      <alignment horizontal="center" vertical="center" wrapText="1"/>
    </xf>
    <xf numFmtId="0" fontId="0" fillId="0" borderId="2" xfId="0" applyBorder="1" applyAlignment="1" applyProtection="1">
      <alignment horizontal="left" vertical="center" wrapText="1"/>
      <protection locked="0"/>
    </xf>
    <xf numFmtId="0" fontId="0" fillId="0" borderId="11" xfId="0" quotePrefix="1" applyBorder="1" applyAlignment="1" applyProtection="1">
      <alignment horizontal="center" vertical="center" wrapText="1"/>
      <protection locked="0"/>
    </xf>
    <xf numFmtId="14" fontId="0" fillId="0" borderId="10" xfId="0" quotePrefix="1" applyNumberFormat="1" applyBorder="1" applyAlignment="1">
      <alignment horizontal="center" vertical="center" wrapText="1"/>
    </xf>
    <xf numFmtId="164" fontId="0" fillId="0" borderId="10" xfId="0" applyNumberFormat="1" applyBorder="1" applyAlignment="1" applyProtection="1">
      <alignment horizontal="center" vertical="top" wrapText="1"/>
      <protection locked="0"/>
    </xf>
    <xf numFmtId="164" fontId="0" fillId="0" borderId="19" xfId="0" applyNumberFormat="1" applyBorder="1" applyAlignment="1" applyProtection="1">
      <alignment horizontal="center" vertical="center" wrapText="1"/>
      <protection locked="0"/>
    </xf>
    <xf numFmtId="0" fontId="13" fillId="0" borderId="1" xfId="0" quotePrefix="1" applyFont="1" applyBorder="1" applyAlignment="1" applyProtection="1">
      <alignment horizontal="center" vertical="center" wrapText="1"/>
      <protection locked="0"/>
    </xf>
    <xf numFmtId="14" fontId="0" fillId="0" borderId="1" xfId="0" applyNumberFormat="1" applyBorder="1" applyAlignment="1" applyProtection="1">
      <alignment horizontal="left" vertical="center" wrapText="1"/>
      <protection locked="0"/>
    </xf>
    <xf numFmtId="16" fontId="0" fillId="0" borderId="1" xfId="0" applyNumberFormat="1" applyBorder="1" applyAlignment="1" applyProtection="1">
      <alignment horizontal="left" vertical="center" wrapText="1"/>
      <protection locked="0"/>
    </xf>
    <xf numFmtId="0" fontId="26" fillId="0" borderId="1" xfId="0" applyFont="1" applyBorder="1" applyAlignment="1">
      <alignment horizontal="left" vertical="center"/>
    </xf>
    <xf numFmtId="0" fontId="0" fillId="3" borderId="1" xfId="0" applyFill="1" applyBorder="1" applyAlignment="1">
      <alignment horizontal="center" vertical="center"/>
    </xf>
    <xf numFmtId="0" fontId="0" fillId="3" borderId="8" xfId="0" applyFill="1" applyBorder="1" applyAlignment="1">
      <alignment vertical="center"/>
    </xf>
    <xf numFmtId="166" fontId="27"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25" fillId="0" borderId="0" xfId="0" applyFont="1" applyAlignment="1">
      <alignment vertical="center"/>
    </xf>
    <xf numFmtId="165" fontId="27" fillId="0" borderId="1" xfId="0" applyNumberFormat="1" applyFont="1" applyBorder="1" applyAlignment="1">
      <alignment horizontal="center" vertical="center" wrapText="1"/>
    </xf>
    <xf numFmtId="0" fontId="27" fillId="0" borderId="4" xfId="0" applyFont="1" applyBorder="1" applyAlignment="1" applyProtection="1">
      <alignment horizontal="center" vertical="center" wrapText="1"/>
      <protection locked="0"/>
    </xf>
    <xf numFmtId="0" fontId="9" fillId="0" borderId="1" xfId="0" quotePrefix="1" applyFont="1" applyBorder="1" applyAlignment="1">
      <alignment horizontal="center" vertical="center"/>
    </xf>
    <xf numFmtId="49" fontId="9" fillId="0" borderId="1" xfId="0" quotePrefix="1" applyNumberFormat="1" applyFont="1" applyBorder="1" applyAlignment="1">
      <alignment horizontal="center" vertical="center" wrapText="1"/>
    </xf>
    <xf numFmtId="0" fontId="0" fillId="0" borderId="10" xfId="0" quotePrefix="1" applyBorder="1" applyAlignment="1" applyProtection="1">
      <alignment horizontal="center" vertical="center" wrapText="1"/>
      <protection locked="0"/>
    </xf>
    <xf numFmtId="0" fontId="1" fillId="0" borderId="0" xfId="0" applyFont="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left" vertical="center"/>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1" fillId="0" borderId="11" xfId="0" applyFont="1" applyBorder="1" applyAlignment="1">
      <alignment horizontal="center" vertical="center" wrapText="1"/>
    </xf>
    <xf numFmtId="0" fontId="28" fillId="0" borderId="3" xfId="0" quotePrefix="1" applyFont="1" applyBorder="1" applyAlignment="1">
      <alignment horizontal="center" vertical="center" wrapText="1"/>
    </xf>
    <xf numFmtId="49" fontId="0" fillId="0" borderId="1" xfId="0" quotePrefix="1" applyNumberFormat="1" applyBorder="1" applyAlignment="1" applyProtection="1">
      <alignment horizontal="center" vertical="center" wrapText="1"/>
      <protection locked="0"/>
    </xf>
    <xf numFmtId="0" fontId="5" fillId="0" borderId="1" xfId="0" quotePrefix="1" applyFont="1" applyBorder="1" applyAlignment="1" applyProtection="1">
      <alignment horizontal="center" vertical="center" wrapText="1"/>
      <protection locked="0"/>
    </xf>
    <xf numFmtId="0" fontId="14" fillId="0" borderId="1" xfId="0" applyFont="1" applyBorder="1" applyAlignment="1">
      <alignment horizontal="center" vertical="center" wrapText="1"/>
    </xf>
    <xf numFmtId="164" fontId="0" fillId="0" borderId="4" xfId="0" applyNumberFormat="1" applyBorder="1" applyAlignment="1" applyProtection="1">
      <alignment horizontal="center" vertical="center" wrapText="1"/>
      <protection locked="0"/>
    </xf>
    <xf numFmtId="164" fontId="0" fillId="0" borderId="21" xfId="0" applyNumberFormat="1" applyBorder="1" applyAlignment="1" applyProtection="1">
      <alignment horizontal="center" vertical="center" wrapText="1"/>
      <protection locked="0"/>
    </xf>
    <xf numFmtId="0" fontId="5" fillId="15" borderId="0" xfId="0" applyFont="1" applyFill="1" applyAlignment="1">
      <alignment vertical="center" wrapText="1"/>
    </xf>
    <xf numFmtId="0" fontId="5" fillId="15" borderId="0" xfId="0" applyFont="1" applyFill="1" applyAlignment="1">
      <alignment wrapText="1"/>
    </xf>
    <xf numFmtId="0" fontId="1" fillId="0" borderId="1" xfId="0" quotePrefix="1" applyFont="1" applyBorder="1" applyAlignment="1">
      <alignment horizontal="center" vertical="center" wrapText="1"/>
    </xf>
    <xf numFmtId="0" fontId="0" fillId="0" borderId="7" xfId="0" quotePrefix="1" applyBorder="1" applyAlignment="1">
      <alignment horizontal="center" vertical="center" wrapText="1"/>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 fillId="0" borderId="3" xfId="0" quotePrefix="1" applyFont="1" applyBorder="1" applyAlignment="1">
      <alignment horizontal="center" vertical="center" wrapText="1"/>
    </xf>
    <xf numFmtId="0" fontId="0" fillId="0" borderId="19" xfId="0" applyBorder="1" applyAlignment="1">
      <alignment horizontal="left" vertical="center" wrapText="1"/>
    </xf>
    <xf numFmtId="0" fontId="0" fillId="0" borderId="10" xfId="0" applyBorder="1" applyAlignment="1">
      <alignment horizontal="left" vertical="center" wrapText="1"/>
    </xf>
    <xf numFmtId="0" fontId="0" fillId="0" borderId="20" xfId="0" applyBorder="1" applyAlignment="1">
      <alignment horizontal="left" vertical="center" wrapText="1"/>
    </xf>
    <xf numFmtId="166" fontId="0" fillId="0" borderId="10" xfId="0" quotePrefix="1" applyNumberFormat="1" applyBorder="1" applyAlignment="1">
      <alignment horizontal="center" vertical="center" wrapText="1"/>
    </xf>
    <xf numFmtId="0" fontId="0" fillId="16" borderId="1" xfId="0" applyFill="1" applyBorder="1" applyAlignment="1">
      <alignment horizontal="center" vertical="center" wrapText="1"/>
    </xf>
    <xf numFmtId="0" fontId="9" fillId="16" borderId="4" xfId="0" applyFont="1" applyFill="1" applyBorder="1" applyAlignment="1">
      <alignment horizontal="center" vertical="center" wrapText="1"/>
    </xf>
    <xf numFmtId="165" fontId="0" fillId="16" borderId="1" xfId="0" applyNumberFormat="1" applyFill="1" applyBorder="1" applyAlignment="1">
      <alignment horizontal="center" vertical="center" wrapText="1"/>
    </xf>
    <xf numFmtId="165" fontId="0" fillId="16" borderId="1" xfId="0" quotePrefix="1" applyNumberFormat="1" applyFill="1" applyBorder="1" applyAlignment="1">
      <alignment horizontal="center" vertical="center" wrapText="1"/>
    </xf>
    <xf numFmtId="14" fontId="0" fillId="0" borderId="2" xfId="0" applyNumberForma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30" fillId="0" borderId="2" xfId="0" applyFont="1" applyBorder="1" applyAlignment="1" applyProtection="1">
      <alignment horizontal="center" vertical="center" wrapText="1"/>
      <protection locked="0"/>
    </xf>
    <xf numFmtId="16" fontId="0" fillId="0" borderId="2" xfId="0" applyNumberFormat="1" applyBorder="1" applyAlignment="1" applyProtection="1">
      <alignment horizontal="center" vertical="center" wrapText="1"/>
      <protection locked="0"/>
    </xf>
    <xf numFmtId="14" fontId="0" fillId="0" borderId="2" xfId="0" applyNumberFormat="1" applyBorder="1" applyAlignment="1" applyProtection="1">
      <alignment horizontal="left" vertical="center" wrapText="1"/>
      <protection locked="0"/>
    </xf>
    <xf numFmtId="0" fontId="0" fillId="0" borderId="2" xfId="0" applyBorder="1" applyAlignment="1">
      <alignment vertical="center" wrapText="1"/>
    </xf>
    <xf numFmtId="0" fontId="27" fillId="0" borderId="2" xfId="0" applyFont="1" applyBorder="1" applyAlignment="1" applyProtection="1">
      <alignment horizontal="left" vertical="center" wrapText="1"/>
      <protection locked="0"/>
    </xf>
    <xf numFmtId="0" fontId="0" fillId="0" borderId="2" xfId="0" applyBorder="1" applyAlignment="1" applyProtection="1">
      <alignment horizontal="center" vertical="center"/>
      <protection locked="0"/>
    </xf>
    <xf numFmtId="16" fontId="0" fillId="0" borderId="2" xfId="0" applyNumberFormat="1" applyBorder="1" applyAlignment="1" applyProtection="1">
      <alignment horizontal="center" vertical="top" wrapText="1"/>
      <protection locked="0"/>
    </xf>
    <xf numFmtId="0" fontId="5" fillId="0" borderId="1" xfId="0" applyFont="1" applyBorder="1" applyAlignment="1">
      <alignment vertical="center" wrapText="1"/>
    </xf>
    <xf numFmtId="0" fontId="0" fillId="3" borderId="0" xfId="0" applyFill="1"/>
    <xf numFmtId="166" fontId="0" fillId="0" borderId="2" xfId="0" applyNumberFormat="1" applyBorder="1" applyAlignment="1">
      <alignment horizontal="center" vertical="center" wrapText="1"/>
    </xf>
    <xf numFmtId="166" fontId="0" fillId="0" borderId="2" xfId="0" quotePrefix="1" applyNumberFormat="1" applyBorder="1" applyAlignment="1">
      <alignment horizontal="center" vertical="center" wrapText="1"/>
    </xf>
    <xf numFmtId="166" fontId="0" fillId="0" borderId="22" xfId="0" applyNumberFormat="1" applyBorder="1" applyAlignment="1" applyProtection="1">
      <alignment horizontal="center" vertical="center" wrapText="1"/>
      <protection locked="0"/>
    </xf>
    <xf numFmtId="14" fontId="0" fillId="0" borderId="2" xfId="0" applyNumberFormat="1" applyBorder="1" applyAlignment="1">
      <alignment horizontal="center" vertical="center" wrapText="1"/>
    </xf>
    <xf numFmtId="166" fontId="0" fillId="0" borderId="2" xfId="0" applyNumberFormat="1" applyBorder="1" applyAlignment="1" applyProtection="1">
      <alignment horizontal="center" vertical="top" wrapText="1"/>
      <protection locked="0"/>
    </xf>
    <xf numFmtId="166" fontId="0" fillId="0" borderId="9" xfId="0" applyNumberFormat="1" applyBorder="1" applyAlignment="1" applyProtection="1">
      <alignment horizontal="center" vertical="center" wrapText="1"/>
      <protection locked="0"/>
    </xf>
    <xf numFmtId="2" fontId="0" fillId="0" borderId="1" xfId="0" applyNumberFormat="1" applyBorder="1" applyAlignment="1">
      <alignment horizontal="center" vertical="center" wrapText="1"/>
    </xf>
    <xf numFmtId="166" fontId="13" fillId="0" borderId="1" xfId="0" applyNumberFormat="1" applyFont="1" applyBorder="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35" fillId="0" borderId="2" xfId="0" applyFont="1" applyBorder="1" applyAlignment="1" applyProtection="1">
      <alignment horizontal="center" vertical="center" wrapText="1"/>
      <protection locked="0"/>
    </xf>
    <xf numFmtId="164" fontId="5" fillId="0" borderId="10" xfId="0" applyNumberFormat="1" applyFont="1" applyBorder="1" applyAlignment="1" applyProtection="1">
      <alignment horizontal="center" vertical="center" wrapText="1"/>
      <protection locked="0"/>
    </xf>
    <xf numFmtId="166" fontId="5" fillId="0" borderId="1" xfId="0" applyNumberFormat="1" applyFont="1" applyBorder="1" applyAlignment="1" applyProtection="1">
      <alignment horizontal="center" vertical="center" wrapText="1"/>
      <protection locked="0"/>
    </xf>
    <xf numFmtId="166" fontId="5" fillId="0" borderId="2" xfId="0" applyNumberFormat="1"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165" fontId="0" fillId="17" borderId="1" xfId="0" applyNumberFormat="1" applyFill="1" applyBorder="1" applyAlignment="1">
      <alignment horizontal="center" vertical="center" wrapText="1"/>
    </xf>
    <xf numFmtId="0" fontId="34" fillId="0" borderId="1" xfId="0" applyFont="1" applyBorder="1" applyAlignment="1" applyProtection="1">
      <alignment horizontal="left" vertical="top" wrapText="1"/>
      <protection locked="0"/>
    </xf>
    <xf numFmtId="166" fontId="0" fillId="0" borderId="0" xfId="0" applyNumberFormat="1" applyAlignment="1" applyProtection="1">
      <alignment horizontal="center" vertical="center" wrapText="1"/>
      <protection locked="0"/>
    </xf>
    <xf numFmtId="166" fontId="27" fillId="0" borderId="2" xfId="0" applyNumberFormat="1" applyFont="1" applyBorder="1" applyAlignment="1">
      <alignment horizontal="center" vertical="center" wrapText="1"/>
    </xf>
    <xf numFmtId="166" fontId="0" fillId="0" borderId="22" xfId="0" quotePrefix="1" applyNumberFormat="1" applyBorder="1" applyAlignment="1">
      <alignment horizontal="center" vertical="center" wrapText="1"/>
    </xf>
    <xf numFmtId="164" fontId="0" fillId="0" borderId="22" xfId="0" applyNumberFormat="1" applyBorder="1" applyAlignment="1" applyProtection="1">
      <alignment horizontal="center" vertical="center" wrapText="1"/>
      <protection locked="0"/>
    </xf>
    <xf numFmtId="0" fontId="27" fillId="0" borderId="2" xfId="0" applyFont="1" applyBorder="1" applyAlignment="1" applyProtection="1">
      <alignment horizontal="center" vertical="center" wrapText="1"/>
      <protection locked="0"/>
    </xf>
    <xf numFmtId="0" fontId="0" fillId="0" borderId="1" xfId="0" quotePrefix="1" applyBorder="1" applyAlignment="1">
      <alignment horizontal="center" vertical="center"/>
    </xf>
    <xf numFmtId="166" fontId="0" fillId="0" borderId="0" xfId="0" applyNumberFormat="1" applyAlignment="1">
      <alignment horizontal="center" vertical="center" wrapText="1"/>
    </xf>
    <xf numFmtId="0" fontId="1" fillId="0" borderId="0" xfId="0" applyFont="1" applyAlignment="1">
      <alignment horizontal="left" vertical="center" wrapText="1"/>
    </xf>
    <xf numFmtId="0" fontId="32" fillId="0" borderId="0" xfId="0" applyFont="1" applyAlignment="1">
      <alignment wrapText="1"/>
    </xf>
    <xf numFmtId="0" fontId="9" fillId="0" borderId="0" xfId="0" applyFont="1" applyAlignment="1">
      <alignment wrapText="1"/>
    </xf>
    <xf numFmtId="0" fontId="30" fillId="0" borderId="0" xfId="0" applyFont="1" applyAlignment="1" applyProtection="1">
      <alignment horizontal="center" vertical="center" wrapText="1"/>
      <protection locked="0"/>
    </xf>
    <xf numFmtId="0" fontId="33" fillId="0" borderId="0" xfId="0" applyFont="1" applyAlignment="1">
      <alignment wrapText="1"/>
    </xf>
    <xf numFmtId="0" fontId="5" fillId="0" borderId="4" xfId="0" applyFont="1" applyBorder="1" applyAlignment="1">
      <alignment horizontal="left" vertical="center" wrapText="1"/>
    </xf>
    <xf numFmtId="0" fontId="14" fillId="0" borderId="1" xfId="0" quotePrefix="1" applyFont="1" applyBorder="1" applyAlignment="1">
      <alignment horizontal="center" vertical="center" wrapText="1"/>
    </xf>
    <xf numFmtId="14" fontId="0" fillId="0" borderId="3" xfId="0" applyNumberFormat="1" applyBorder="1" applyAlignment="1">
      <alignment horizontal="center" vertical="center" wrapText="1"/>
    </xf>
    <xf numFmtId="0" fontId="18" fillId="0" borderId="0" xfId="0" applyFont="1" applyAlignment="1">
      <alignment horizontal="left" vertical="center" wrapText="1"/>
    </xf>
    <xf numFmtId="0" fontId="13" fillId="0" borderId="0" xfId="0" applyFont="1" applyAlignment="1">
      <alignment horizontal="left" vertical="center" wrapText="1"/>
    </xf>
    <xf numFmtId="0" fontId="22" fillId="0" borderId="0" xfId="0" applyFont="1" applyAlignment="1">
      <alignment vertical="center" wrapText="1"/>
    </xf>
    <xf numFmtId="0" fontId="0" fillId="0" borderId="6" xfId="0" quotePrefix="1" applyBorder="1" applyAlignment="1">
      <alignment horizontal="center" vertical="center" wrapText="1"/>
    </xf>
    <xf numFmtId="0" fontId="9" fillId="0" borderId="2" xfId="0" applyFont="1" applyBorder="1" applyAlignment="1">
      <alignment vertical="center"/>
    </xf>
    <xf numFmtId="0" fontId="13" fillId="0" borderId="15" xfId="0" applyFont="1" applyBorder="1" applyAlignment="1">
      <alignment horizontal="left" vertical="center" wrapText="1"/>
    </xf>
    <xf numFmtId="0" fontId="16" fillId="0" borderId="4" xfId="0" applyFont="1" applyBorder="1" applyAlignment="1">
      <alignment horizontal="left" vertical="center" wrapText="1"/>
    </xf>
    <xf numFmtId="0" fontId="23" fillId="0" borderId="0" xfId="0" applyFont="1" applyAlignment="1">
      <alignment horizontal="left" vertical="center"/>
    </xf>
    <xf numFmtId="0" fontId="15" fillId="0" borderId="4" xfId="0" applyFont="1" applyBorder="1" applyAlignment="1">
      <alignment horizontal="left" vertical="center" wrapText="1"/>
    </xf>
    <xf numFmtId="0" fontId="9" fillId="0" borderId="0" xfId="0" applyFont="1" applyAlignment="1">
      <alignment horizontal="left" vertical="center" wrapText="1"/>
    </xf>
    <xf numFmtId="0" fontId="5" fillId="0" borderId="15" xfId="0" applyFont="1" applyBorder="1" applyAlignment="1">
      <alignment horizontal="center" vertical="center" wrapText="1"/>
    </xf>
    <xf numFmtId="0" fontId="18" fillId="0" borderId="4" xfId="0" applyFont="1" applyBorder="1" applyAlignment="1">
      <alignment horizontal="center" vertical="center"/>
    </xf>
    <xf numFmtId="0" fontId="13" fillId="0" borderId="14" xfId="0" applyFont="1" applyBorder="1" applyAlignment="1">
      <alignment horizontal="center" vertical="center" wrapText="1"/>
    </xf>
    <xf numFmtId="165" fontId="0" fillId="0" borderId="2" xfId="0" quotePrefix="1" applyNumberFormat="1" applyBorder="1" applyAlignment="1">
      <alignment horizontal="center" vertical="center" wrapText="1"/>
    </xf>
    <xf numFmtId="0" fontId="0" fillId="0" borderId="10" xfId="0" applyBorder="1" applyAlignment="1">
      <alignment horizontal="center" vertical="center" wrapText="1"/>
    </xf>
    <xf numFmtId="0" fontId="0" fillId="0" borderId="4" xfId="0" applyBorder="1" applyAlignment="1">
      <alignment horizontal="center" vertical="center" wrapText="1"/>
    </xf>
    <xf numFmtId="0" fontId="9" fillId="0" borderId="14" xfId="0" applyFont="1" applyBorder="1" applyAlignment="1">
      <alignment horizontal="center" vertical="center" wrapText="1"/>
    </xf>
    <xf numFmtId="0" fontId="5" fillId="0" borderId="15" xfId="0" applyFont="1" applyBorder="1" applyAlignment="1">
      <alignment horizontal="left" vertical="center" wrapText="1"/>
    </xf>
    <xf numFmtId="0" fontId="18" fillId="0" borderId="4" xfId="0" applyFont="1" applyBorder="1" applyAlignment="1">
      <alignment horizontal="left" vertical="center"/>
    </xf>
    <xf numFmtId="0" fontId="22" fillId="0" borderId="0" xfId="0" applyFont="1" applyAlignment="1">
      <alignment horizontal="left" vertical="center"/>
    </xf>
    <xf numFmtId="0" fontId="22" fillId="0" borderId="0" xfId="0" applyFont="1" applyAlignment="1">
      <alignment horizontal="center" vertical="center"/>
    </xf>
    <xf numFmtId="0" fontId="5" fillId="0" borderId="0" xfId="0" applyFont="1" applyAlignment="1">
      <alignment horizontal="center" vertical="center" wrapText="1"/>
    </xf>
    <xf numFmtId="0" fontId="13" fillId="0" borderId="0" xfId="0" quotePrefix="1" applyFont="1" applyAlignment="1">
      <alignment horizontal="center" vertical="center" wrapText="1"/>
    </xf>
    <xf numFmtId="0" fontId="24" fillId="0" borderId="0" xfId="0" applyFont="1" applyAlignment="1">
      <alignment horizontal="center" vertical="center"/>
    </xf>
    <xf numFmtId="0" fontId="18" fillId="0" borderId="0" xfId="0" quotePrefix="1" applyFont="1" applyAlignment="1">
      <alignment horizontal="center" vertical="center"/>
    </xf>
    <xf numFmtId="0" fontId="22" fillId="0" borderId="0" xfId="0" quotePrefix="1" applyFont="1" applyAlignment="1">
      <alignment horizontal="center" vertical="center"/>
    </xf>
    <xf numFmtId="0" fontId="9" fillId="0" borderId="3" xfId="0" quotePrefix="1" applyFont="1" applyBorder="1" applyAlignment="1">
      <alignment horizontal="center" vertical="center" wrapText="1"/>
    </xf>
    <xf numFmtId="0" fontId="0" fillId="0" borderId="10" xfId="0" quotePrefix="1" applyBorder="1" applyAlignment="1">
      <alignment horizontal="center" vertical="center" wrapText="1"/>
    </xf>
    <xf numFmtId="0" fontId="13" fillId="0" borderId="13" xfId="0" applyFont="1" applyBorder="1" applyAlignment="1">
      <alignment horizontal="center" vertical="center" wrapText="1"/>
    </xf>
    <xf numFmtId="0" fontId="0" fillId="0" borderId="0" xfId="0" applyAlignment="1">
      <alignment horizontal="center" vertical="center" wrapText="1"/>
    </xf>
    <xf numFmtId="0" fontId="5" fillId="0" borderId="4" xfId="0" quotePrefix="1" applyFont="1" applyBorder="1" applyAlignment="1">
      <alignment horizontal="center" vertical="center" wrapText="1"/>
    </xf>
    <xf numFmtId="0" fontId="16" fillId="0" borderId="4" xfId="0" applyFont="1" applyBorder="1" applyAlignment="1">
      <alignment horizontal="center" vertical="center" wrapText="1"/>
    </xf>
    <xf numFmtId="0" fontId="21" fillId="0" borderId="14" xfId="0" applyFont="1" applyBorder="1" applyAlignment="1">
      <alignment horizontal="center" vertical="center" wrapText="1"/>
    </xf>
    <xf numFmtId="0" fontId="15" fillId="0" borderId="4" xfId="0" quotePrefix="1" applyFont="1" applyBorder="1" applyAlignment="1">
      <alignment horizontal="center" vertical="center" wrapText="1"/>
    </xf>
    <xf numFmtId="0" fontId="9" fillId="0" borderId="13" xfId="0" quotePrefix="1" applyFont="1" applyBorder="1" applyAlignment="1">
      <alignment horizontal="center" vertical="center" wrapText="1"/>
    </xf>
    <xf numFmtId="0" fontId="24" fillId="0" borderId="18" xfId="0" applyFont="1" applyBorder="1" applyAlignment="1">
      <alignment horizontal="center" vertical="center"/>
    </xf>
    <xf numFmtId="0" fontId="9" fillId="0" borderId="0" xfId="0" applyFont="1" applyAlignment="1">
      <alignment horizontal="center"/>
    </xf>
    <xf numFmtId="14" fontId="0" fillId="0" borderId="3" xfId="0" quotePrefix="1" applyNumberFormat="1" applyBorder="1" applyAlignment="1">
      <alignment horizontal="center" vertical="center" wrapText="1"/>
    </xf>
    <xf numFmtId="166" fontId="0" fillId="0" borderId="3" xfId="0" applyNumberFormat="1" applyBorder="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horizontal="center" vertical="center" wrapText="1"/>
    </xf>
    <xf numFmtId="0" fontId="15" fillId="0" borderId="0" xfId="0" applyFont="1" applyAlignment="1">
      <alignment horizontal="center" vertical="center" wrapText="1"/>
    </xf>
    <xf numFmtId="0" fontId="0" fillId="0" borderId="23" xfId="0" applyBorder="1" applyAlignment="1">
      <alignment horizontal="center" vertical="center" wrapText="1"/>
    </xf>
    <xf numFmtId="0" fontId="6" fillId="0" borderId="6" xfId="0" quotePrefix="1" applyFont="1" applyBorder="1" applyAlignment="1">
      <alignment horizontal="center" vertical="center" wrapText="1"/>
    </xf>
    <xf numFmtId="0" fontId="0" fillId="12" borderId="24" xfId="0" applyFill="1" applyBorder="1" applyAlignment="1">
      <alignment horizontal="center" vertical="center" wrapText="1"/>
    </xf>
    <xf numFmtId="0" fontId="17"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horizontal="center" vertical="center" wrapText="1"/>
    </xf>
    <xf numFmtId="0" fontId="31" fillId="0" borderId="24" xfId="0" applyFont="1" applyBorder="1" applyAlignment="1">
      <alignment horizontal="center" vertical="center" wrapText="1"/>
    </xf>
    <xf numFmtId="0" fontId="29" fillId="0" borderId="2" xfId="0" applyFont="1" applyBorder="1" applyAlignment="1" applyProtection="1">
      <alignment horizontal="center" vertical="center" wrapText="1"/>
      <protection locked="0"/>
    </xf>
    <xf numFmtId="0" fontId="29" fillId="0" borderId="9" xfId="0" applyFont="1" applyBorder="1" applyAlignment="1" applyProtection="1">
      <alignment horizontal="center" vertical="center" wrapText="1"/>
      <protection locked="0"/>
    </xf>
    <xf numFmtId="0" fontId="0" fillId="12" borderId="1" xfId="0" applyFill="1" applyBorder="1" applyAlignment="1">
      <alignment horizontal="center" vertical="center" wrapText="1"/>
    </xf>
    <xf numFmtId="0" fontId="0" fillId="0" borderId="1" xfId="0" applyBorder="1" applyAlignment="1">
      <alignment horizontal="center" vertical="center"/>
    </xf>
    <xf numFmtId="0" fontId="13" fillId="0" borderId="9" xfId="0" applyFont="1" applyBorder="1" applyAlignment="1" applyProtection="1">
      <alignment horizontal="center" vertical="center" wrapText="1"/>
      <protection locked="0"/>
    </xf>
    <xf numFmtId="0" fontId="27" fillId="0" borderId="7" xfId="0" applyFont="1" applyBorder="1" applyAlignment="1" applyProtection="1">
      <alignment horizontal="center" vertical="center" wrapText="1"/>
      <protection locked="0"/>
    </xf>
  </cellXfs>
  <cellStyles count="1">
    <cellStyle name="Normal" xfId="0" builtinId="0"/>
  </cellStyles>
  <dxfs count="160">
    <dxf>
      <fill>
        <patternFill>
          <bgColor theme="5" tint="0.39994506668294322"/>
        </patternFill>
      </fill>
    </dxf>
    <dxf>
      <fill>
        <patternFill>
          <bgColor theme="8"/>
        </patternFill>
      </fill>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readingOrder="0"/>
    </dxf>
    <dxf>
      <alignment vertical="center" textRotation="0" wrapText="1" indent="0" justifyLastLine="0" shrinkToFit="0" readingOrder="0"/>
    </dxf>
    <dxf>
      <border>
        <bottom style="thin">
          <color rgb="FF000000"/>
        </bottom>
      </border>
    </dxf>
    <dxf>
      <fill>
        <patternFill patternType="solid">
          <fgColor indexed="64"/>
          <bgColor rgb="FFC0000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strike val="0"/>
        <outline val="0"/>
        <shadow val="0"/>
        <u val="none"/>
        <vertAlign val="baseline"/>
        <sz val="11"/>
        <color auto="1"/>
        <name val="Calibri"/>
        <family val="2"/>
        <scheme val="minor"/>
      </font>
      <fill>
        <patternFill patternType="solid">
          <fgColor indexed="64"/>
          <bgColor theme="5" tint="0.79998168889431442"/>
        </patternFill>
      </fill>
    </dxf>
    <dxf>
      <font>
        <strike val="0"/>
        <outline val="0"/>
        <shadow val="0"/>
        <u val="none"/>
        <vertAlign val="baseline"/>
        <sz val="11"/>
        <color auto="1"/>
        <name val="Calibri"/>
        <family val="2"/>
        <scheme val="minor"/>
      </font>
      <fill>
        <patternFill patternType="solid">
          <fgColor indexed="64"/>
          <bgColor theme="5" tint="0.79998168889431442"/>
        </patternFill>
      </fill>
    </dxf>
    <dxf>
      <font>
        <b val="0"/>
        <i val="0"/>
        <strike val="0"/>
        <condense val="0"/>
        <extend val="0"/>
        <outline val="0"/>
        <shadow val="0"/>
        <u val="none"/>
        <vertAlign val="baseline"/>
        <sz val="11"/>
        <color theme="1"/>
        <name val="Calibri"/>
        <scheme val="minor"/>
      </font>
      <fill>
        <patternFill patternType="solid">
          <fgColor indexed="64"/>
          <bgColor theme="4" tint="0.59999389629810485"/>
        </patternFill>
      </fill>
      <border diagonalUp="0" diagonalDown="0">
        <left style="thin">
          <color indexed="64"/>
        </left>
        <right style="thin">
          <color indexed="64"/>
        </right>
        <top style="thin">
          <color theme="4" tint="0.39997558519241921"/>
        </top>
        <bottom style="thin">
          <color indexed="64"/>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rgb="FF7030A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theme="9" tint="-0.249977111117893"/>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alignment horizontal="center" vertical="bottom"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1" defaultTableStyle="TableStyleMedium2" defaultPivotStyle="PivotStyleLight16">
    <tableStyle name="Invisible" pivot="0" table="0" count="0" xr9:uid="{A13E832A-35C6-42EB-85FF-9B566E52B4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Katherine Archambault" id="{62212AF4-5370-4C9D-81BC-87C264598F40}" userId="Katherine Archambault" providerId="None"/>
  <person displayName="Katie Archambault" id="{7ECB847E-3120-48F5-87E8-F584A979202F}" userId="S::Katie.Archambault@amspecgroup.com::a1cd6b78-9219-4ab0-9f8d-0aa610438403" providerId="AD"/>
  <person displayName="Elizabeth Cusprinie" id="{EDC596F4-C659-40FA-B5BE-8A060FAD3DE6}" userId="S::Elizabeth.Cusprinie@amspecgroup.com::844cd3ac-39dc-40f9-a07e-0478c8e5862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245" displayName="Table245" ref="A1:N201" totalsRowShown="0" headerRowDxfId="120" dataDxfId="118" headerRowBorderDxfId="119">
  <autoFilter ref="A1:N201" xr:uid="{00000000-0009-0000-0100-000004000000}"/>
  <tableColumns count="14">
    <tableColumn id="1" xr3:uid="{00000000-0010-0000-0000-000001000000}" name="Cushing, OK" dataDxfId="117" totalsRowDxfId="116"/>
    <tableColumn id="2" xr3:uid="{00000000-0010-0000-0000-000002000000}" name="Location ID" dataDxfId="115" totalsRowDxfId="114">
      <calculatedColumnFormula>VLOOKUP(Table245[[#This Row],[Cushing, OK]],'List source'!D$2:E$71,2,FALSE)</calculatedColumnFormula>
    </tableColumn>
    <tableColumn id="13" xr3:uid="{00000000-0010-0000-0000-00000D000000}" name="#" dataDxfId="113" totalsRowDxfId="112"/>
    <tableColumn id="3" xr3:uid="{00000000-0010-0000-0000-000003000000}" name="Assessment #" dataDxfId="111" totalsRowDxfId="110">
      <calculatedColumnFormula>"A" &amp; C2 &amp; "-" &amp; B2 &amp; "-" &amp; "25"</calculatedColumnFormula>
    </tableColumn>
    <tableColumn id="12" xr3:uid="{00000000-0010-0000-0000-00000C000000}" name="Start Date" dataDxfId="109" totalsRowDxfId="108"/>
    <tableColumn id="14" xr3:uid="{00000000-0010-0000-0000-00000E000000}" name="End Date" dataDxfId="107" totalsRowDxfId="106"/>
    <tableColumn id="7" xr3:uid="{00000000-0010-0000-0000-000007000000}" name="Report Issued" dataDxfId="105" totalsRowDxfId="104"/>
    <tableColumn id="4" xr3:uid="{00000000-0010-0000-0000-000004000000}" name="Type of Assessment _x000a_(drop-down)" dataDxfId="103" totalsRowDxfId="102"/>
    <tableColumn id="9" xr3:uid="{604A8BF9-578E-4C69-A835-05B94AE4BEF7}" name="Scope of Assessment_x000a_(drop-down)" dataDxfId="101" totalsRowDxfId="100"/>
    <tableColumn id="10" xr3:uid="{E82262F7-B569-41BD-8545-E4E4C920BFFC}" name="QA In Charge _x000a_(Get a copy of assessment report or summary)" dataDxfId="99" totalsRowDxfId="98"/>
    <tableColumn id="5" xr3:uid="{00000000-0010-0000-0000-000005000000}" name="Assessor(s) / Auditor(s) name(s)" dataDxfId="97" totalsRowDxfId="96"/>
    <tableColumn id="11" xr3:uid="{00000000-0010-0000-0000-00000B000000}" name="Assessor's company" dataDxfId="95" totalsRowDxfId="94"/>
    <tableColumn id="6" xr3:uid="{00000000-0010-0000-0000-000006000000}" name="Agency Type _x000a_(Regulatory / certification / accreditation agency)_x000a_(drop-down)" dataDxfId="93" totalsRowDxfId="92"/>
    <tableColumn id="8" xr3:uid="{00000000-0010-0000-0000-000008000000}" name="Brief description of assessment scope" dataDxfId="91" totalsRowDxfId="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A1:S1000" totalsRowShown="0" headerRowDxfId="159" dataDxfId="157" headerRowBorderDxfId="158">
  <autoFilter ref="A1:S1000" xr:uid="{00000000-000C-0000-FFFF-FFFF02000000}"/>
  <tableColumns count="19">
    <tableColumn id="1" xr3:uid="{00000000-0010-0000-0200-000001000000}" name="Location _x000a_(drop-down)" dataDxfId="156" totalsRowDxfId="155"/>
    <tableColumn id="2" xr3:uid="{00000000-0010-0000-0200-000002000000}" name="Location ID" dataDxfId="154" totalsRowDxfId="153">
      <calculatedColumnFormula>VLOOKUP(Table2[[#This Row],[Location 
(drop-down)]],'List source'!D$2:E$71,2,FALSE)</calculatedColumnFormula>
    </tableColumn>
    <tableColumn id="13" xr3:uid="{00000000-0010-0000-0200-00000D000000}" name="#" dataDxfId="152" totalsRowDxfId="151"/>
    <tableColumn id="3" xr3:uid="{00000000-0010-0000-0200-000003000000}" name="CAR #" dataDxfId="150" totalsRowDxfId="149">
      <calculatedColumnFormula>"C" &amp; C2 &amp;"-" &amp; B2 &amp; "-" &amp; "25"</calculatedColumnFormula>
    </tableColumn>
    <tableColumn id="14" xr3:uid="{00000000-0010-0000-0200-00000E000000}" name="CAR Type" dataDxfId="148" totalsRowDxfId="147"/>
    <tableColumn id="6" xr3:uid="{4E14B052-5604-4A58-9E4A-46F6E70F5F30}" name="ASSOCIATED ORGANIZATION_x000a_(required for Complaints, Customer audits/alerts, _x000a_3rd party audits)" dataDxfId="146" totalsRowDxfId="145"/>
    <tableColumn id="4" xr3:uid="{00000000-0010-0000-0200-000004000000}" name="BRIEF DESCRIPTION OF NC_x000a_if VOID:  &quot;VOID, Location, type, _x000a_details (initials, date)&quot;" dataDxfId="144" totalsRowDxfId="143"/>
    <tableColumn id="7" xr3:uid="{00000000-0010-0000-0200-000007000000}" name="Area _x000a_(Lab, Ops, Misc.)_x000a_(drop-down)" dataDxfId="142" totalsRowDxfId="141"/>
    <tableColumn id="11" xr3:uid="{00000000-0010-0000-0200-00000B000000}" name="QA team member initials" dataDxfId="140" totalsRowDxfId="139"/>
    <tableColumn id="5" xr3:uid="{00000000-0010-0000-0200-000005000000}" name="CAR initialized date" dataDxfId="138" totalsRowDxfId="137"/>
    <tableColumn id="12" xr3:uid="{11FDF0D3-1E83-41EC-B830-B33941CC7C88}" name="Action Plan submitted by due date? (Yes/No)" dataDxfId="136" totalsRowDxfId="135"/>
    <tableColumn id="19" xr3:uid="{6F815FAA-1B47-431A-B2E6-10B8DB45ECD0}" name="Corrective Action Completion Date" dataDxfId="134" totalsRowDxfId="133"/>
    <tableColumn id="15" xr3:uid="{984B1CCB-752D-4ED7-8632-803088553047}" name="Complete corrective actions (Approved Date)" dataDxfId="132" totalsRowDxfId="131"/>
    <tableColumn id="9" xr3:uid="{6A36F184-4E92-4C09-BCB2-A79D974F81AC}" name="Agreed Actions completed by due date?  (Yes/No)" dataDxfId="130" totalsRowDxfId="129"/>
    <tableColumn id="16" xr3:uid="{CBF028C3-ECC8-4856-8CCB-343EAE5779A5}" name="Effectiveness Review (Closed Date)" dataDxfId="128" totalsRowDxfId="127"/>
    <tableColumn id="17" xr3:uid="{6649B553-6AD2-45DE-A003-C0124E002171}" name="Effective? (Yes/No)" dataDxfId="126" totalsRowDxfId="125"/>
    <tableColumn id="10" xr3:uid="{00000000-0010-0000-0200-00000A000000}" name="Notes" dataDxfId="124" totalsRowDxfId="123"/>
    <tableColumn id="8" xr3:uid="{4E64A830-4FA2-4338-995B-0A40D97C6726}" name="Cause_x000a_(for Assessments only)" dataDxfId="122"/>
    <tableColumn id="18" xr3:uid="{39D5E2D8-A493-4F93-B81C-67FE1423166F}" name="Days open if not closed" dataDxfId="121">
      <calculatedColumnFormula>IF(ISBLANK(Table2[[#This Row],[Complete corrective actions (Approved Date)]]), TODAY()-Table2[[#This Row],[CAR initialized date]], "CLOSED")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K501" totalsRowShown="0" headerRowDxfId="89" dataDxfId="87" headerRowBorderDxfId="88">
  <autoFilter ref="A1:K501" xr:uid="{00000000-0009-0000-0100-000003000000}"/>
  <tableColumns count="11">
    <tableColumn id="1" xr3:uid="{00000000-0010-0000-0100-000001000000}" name="Location _x000a_(drop-down)" dataDxfId="86" totalsRowDxfId="85"/>
    <tableColumn id="2" xr3:uid="{00000000-0010-0000-0100-000002000000}" name="Location ID" dataDxfId="84" totalsRowDxfId="83">
      <calculatedColumnFormula>VLOOKUP(Table24[[#This Row],[Location 
(drop-down)]],'List source'!D$2:E$71,2,FALSE)</calculatedColumnFormula>
    </tableColumn>
    <tableColumn id="13" xr3:uid="{00000000-0010-0000-0100-00000D000000}" name="#" dataDxfId="82" totalsRowDxfId="81"/>
    <tableColumn id="3" xr3:uid="{00000000-0010-0000-0100-000003000000}" name="PAR #" dataDxfId="80" totalsRowDxfId="79">
      <calculatedColumnFormula>"P" &amp; C2 &amp; "-" &amp; B2 &amp; "-" &amp; "25"</calculatedColumnFormula>
    </tableColumn>
    <tableColumn id="12" xr3:uid="{00000000-0010-0000-0100-00000C000000}" name="PAR type" dataDxfId="78" totalsRowDxfId="77"/>
    <tableColumn id="4" xr3:uid="{00000000-0010-0000-0100-000004000000}" name="BRIEF DESCRIPTION OF PAR_x000a_if VOID:  Location, type, details (initials, date)" dataDxfId="76" totalsRowDxfId="75"/>
    <tableColumn id="5" xr3:uid="{00000000-0010-0000-0100-000005000000}" name="PAR initialized date" dataDxfId="74" totalsRowDxfId="73"/>
    <tableColumn id="11" xr3:uid="{00000000-0010-0000-0100-00000B000000}" name="QA team member initials" dataDxfId="72" totalsRowDxfId="71"/>
    <tableColumn id="6" xr3:uid="{00000000-0010-0000-0100-000006000000}" name="Date closed" dataDxfId="70" totalsRowDxfId="69"/>
    <tableColumn id="7" xr3:uid="{00000000-0010-0000-0100-000007000000}" name="Area (Ops, Lab, Misc.)_x000a_(drop-down)" dataDxfId="68" totalsRowDxfId="67"/>
    <tableColumn id="10" xr3:uid="{00000000-0010-0000-0100-00000A000000}" name="Notes" dataDxfId="66" totalsRowDxfId="65"/>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D1:F71" totalsRowShown="0" headerRowDxfId="64">
  <autoFilter ref="D1:F71" xr:uid="{00000000-0009-0000-0100-000001000000}"/>
  <sortState xmlns:xlrd2="http://schemas.microsoft.com/office/spreadsheetml/2017/richdata2" ref="D2:F71">
    <sortCondition ref="D1:D71"/>
  </sortState>
  <tableColumns count="3">
    <tableColumn id="1" xr3:uid="{00000000-0010-0000-0300-000001000000}" name="Location" dataDxfId="63"/>
    <tableColumn id="2" xr3:uid="{00000000-0010-0000-0300-000002000000}" name="Location ID" dataDxfId="62"/>
    <tableColumn id="3" xr3:uid="{00000000-0010-0000-0300-000003000000}" name="Area" dataDxfId="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28A49B-DEC5-42BC-9306-25BCA6EAB025}" name="Table7" displayName="Table7" ref="B11:B16" totalsRowShown="0" dataDxfId="60">
  <autoFilter ref="B11:B16" xr:uid="{4028A49B-DEC5-42BC-9306-25BCA6EAB025}"/>
  <tableColumns count="1">
    <tableColumn id="1" xr3:uid="{D98F2C13-3E67-4B44-97C5-2CC1DAD607ED}" name="Cause of NC" dataDxfId="5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B80C78-B72C-413B-8B02-C6654100BD27}" name="Table2456" displayName="Table2456" ref="A1:L151" totalsRowShown="0" headerRowDxfId="58" dataDxfId="56" headerRowBorderDxfId="57">
  <autoFilter ref="A1:L151" xr:uid="{00000000-0009-0000-0100-000004000000}">
    <filterColumn colId="1">
      <filters>
        <filter val="130"/>
      </filters>
    </filterColumn>
  </autoFilter>
  <tableColumns count="12">
    <tableColumn id="1" xr3:uid="{7D0839FD-B760-4B4F-8257-27F5146B55DE}" name="Location _x000a_(drop-down)" dataDxfId="55" totalsRowDxfId="54"/>
    <tableColumn id="2" xr3:uid="{DA21D0BD-4956-46A3-8CC7-8D7595B4397B}" name="Location ID" dataDxfId="53" totalsRowDxfId="52">
      <calculatedColumnFormula>VLOOKUP(Table2456[[#This Row],[Location 
(drop-down)]],'List source'!D$2:E$71,2,FALSE)</calculatedColumnFormula>
    </tableColumn>
    <tableColumn id="13" xr3:uid="{8B7A3DD2-4696-411F-A1AB-6D0D498119A7}" name="#" dataDxfId="51" totalsRowDxfId="50"/>
    <tableColumn id="3" xr3:uid="{4AF9EAAC-283B-4418-A552-9A635DA8CE30}" name="CAF#" dataDxfId="49" totalsRowDxfId="48">
      <calculatedColumnFormula>"CAF" &amp; C2 &amp; "-" &amp; B2 &amp; "-" &amp; "25"</calculatedColumnFormula>
    </tableColumn>
    <tableColumn id="6" xr3:uid="{7C314D3F-F224-4BEB-B245-1D0E05A4152E}" name="Area" dataDxfId="47" totalsRowDxfId="46">
      <calculatedColumnFormula>VLOOKUP(Table2456[[#This Row],[Location 
(drop-down)]],Table1[#All],3,FALSE)</calculatedColumnFormula>
    </tableColumn>
    <tableColumn id="12" xr3:uid="{7B77B849-300A-440A-B573-2553B1041D12}" name="Date initiated" dataDxfId="45" totalsRowDxfId="44"/>
    <tableColumn id="14" xr3:uid="{CAF18FA4-83EF-4FE0-A66B-DAE97F25AD0C}" name="Date shared w/ customer" dataDxfId="43" totalsRowDxfId="42"/>
    <tableColumn id="9" xr3:uid="{0EAF4C93-90E7-4C8A-90F4-99A03A250100}" name="Corrective Action completed, CAR approved." dataDxfId="41" totalsRowDxfId="40"/>
    <tableColumn id="7" xr3:uid="{B2376F35-D2CA-45C6-83DA-70FD142698ED}" name="Brief description of complaint" dataDxfId="39" totalsRowDxfId="38"/>
    <tableColumn id="4" xr3:uid="{CB1EB506-1206-443F-9C5F-C30AF932CF6E}" name="Area (Lab, Ops, Lab &amp; Ops, Admin, Other, Void)_x000a_(drop-down)" dataDxfId="37" totalsRowDxfId="36"/>
    <tableColumn id="5" xr3:uid="{612434E1-C574-4D14-932C-B5DF6F41EC22}" name="CAR / PAR # (if applicable)" dataDxfId="35" totalsRowDxfId="34"/>
    <tableColumn id="8" xr3:uid="{9E931E6F-073E-4059-9614-A6B19BF2F96E}" name="Notes" dataDxfId="33" totalsRowDxfId="32"/>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F77345-4591-4EA5-94E5-C4BC8F6395A0}" name="Table27" displayName="Table27" ref="A1:M1503" totalsRowCount="1" headerRowDxfId="31" dataDxfId="29" totalsRowDxfId="28" headerRowBorderDxfId="30">
  <autoFilter ref="A1:M1502" xr:uid="{00F77345-4591-4EA5-94E5-C4BC8F6395A0}">
    <filterColumn colId="1">
      <filters>
        <filter val="160"/>
        <filter val="165"/>
        <filter val="170"/>
      </filters>
    </filterColumn>
    <filterColumn colId="6">
      <filters>
        <filter val="D445 - Viscosity"/>
      </filters>
    </filterColumn>
  </autoFilter>
  <tableColumns count="13">
    <tableColumn id="1" xr3:uid="{33EB8FC5-FB79-4F5D-902C-FF4BC9AEA51A}" name="Location _x000a_(drop-down)" dataDxfId="27" totalsRowDxfId="26"/>
    <tableColumn id="2" xr3:uid="{731AD1E5-4BCB-45D9-B8FF-2CEAFC5FE443}" name="Location ID" dataDxfId="25" totalsRowDxfId="24">
      <calculatedColumnFormula>VLOOKUP(Table27[[#This Row],[Location 
(drop-down)]],'List source'!D$2:E$71,2,FALSE)</calculatedColumnFormula>
    </tableColumn>
    <tableColumn id="13" xr3:uid="{AC96B985-434A-4F54-8675-F9D7B6132910}" name="#" totalsRowFunction="custom" dataDxfId="23" totalsRowDxfId="22">
      <totalsRowFormula>SUBTOTAL(109,$C$706:C718)</totalsRowFormula>
    </tableColumn>
    <tableColumn id="3" xr3:uid="{D47C6F92-B390-4D00-8464-A90FBC6AE1B7}" name="PTO #" dataDxfId="21" totalsRowDxfId="20">
      <calculatedColumnFormula>"PTO" &amp; C2 &amp; "-" &amp; B2 &amp; "-" &amp; "25"</calculatedColumnFormula>
    </tableColumn>
    <tableColumn id="4" xr3:uid="{A701775B-9A3D-4930-83E6-CB39BC200D15}" name="BRIEF DESCRIPTION OF NC_x000a_if VOID:  &quot;VOID, Location,  _x000a_details (initials, date)&quot;" dataDxfId="19" totalsRowDxfId="18"/>
    <tableColumn id="6" xr3:uid="{E2761463-2F2F-434F-AD2C-A14F4DEE3486}" name="PT Program" dataDxfId="17" totalsRowDxfId="16">
      <calculatedColumnFormula array="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calculatedColumnFormula>
    </tableColumn>
    <tableColumn id="14" xr3:uid="{80A735D8-06A0-4BBD-A68A-4A991A0D8D94}" name="Parameter (s)" dataDxfId="15" totalsRowDxfId="14">
      <calculatedColumnFormula>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calculatedColumnFormula>
    </tableColumn>
    <tableColumn id="7" xr3:uid="{47EE1613-2BBB-4AF5-AA33-B8720498BB7C}" name="Z-score (s)" dataDxfId="13" totalsRowDxfId="12"/>
    <tableColumn id="5" xr3:uid="{71E4DA16-D984-4AF9-8659-05256F1035DE}" name="PTO initialized date" dataDxfId="11" totalsRowDxfId="10"/>
    <tableColumn id="11" xr3:uid="{B2006C29-EE63-4A88-9CC7-6D660AFC118E}" name="QA team member initials" dataDxfId="9" totalsRowDxfId="8"/>
    <tableColumn id="16" xr3:uid="{1D3F6CFE-1B93-4981-9C1A-1A780349342D}" name="Effectiveness Review &amp; date deemed effective" dataDxfId="7" totalsRowDxfId="6"/>
    <tableColumn id="10" xr3:uid="{D4C773A8-53F1-4208-B556-AF0D90868305}" name="Notes" dataDxfId="5" totalsRowDxfId="4"/>
    <tableColumn id="8" xr3:uid="{E125A98E-BBC0-4D05-8212-A26258CE8FE1}" name="Days open if not closed" dataDxfId="3" totalsRowDxfId="2">
      <calculatedColumnFormula>IF(ISBLANK(K2), TODAY()-(I2), "CLOSED")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12-27T16:10:54.22" personId="{7ECB847E-3120-48F5-87E8-F584A979202F}" id="{ADBDAC12-CB2A-449C-A444-D29A92522636}">
    <text>Removed for 2024 log</text>
  </threadedComment>
  <threadedComment ref="B1" dT="2023-12-27T16:11:12.68" personId="{7ECB847E-3120-48F5-87E8-F584A979202F}" id="{8F0E87D0-9A11-49A7-8A22-454A4BB38C1A}">
    <text>Removed for 2024 log</text>
  </threadedComment>
  <threadedComment ref="E6" dT="2021-07-09T18:36:41.09" personId="{62212AF4-5370-4C9D-81BC-87C264598F40}" id="{B59257E5-D171-436C-9AEB-ACB11C0FAFEF}">
    <text>'old - 120A until 12/18/20</text>
  </threadedComment>
  <threadedComment ref="B11" dT="2025-06-17T23:37:07.47" personId="{EDC596F4-C659-40FA-B5BE-8A060FAD3DE6}" id="{4CBC259F-CA8F-430E-9EF0-B2CC484286BF}">
    <text xml:space="preserve">Added 06.2025
</text>
  </threadedComment>
  <threadedComment ref="E37" dT="2021-07-09T18:37:13.72" personId="{62212AF4-5370-4C9D-81BC-87C264598F40}" id="{EB439913-3F92-4138-B015-48BEFA0624DF}">
    <text>'formerly 197L</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O201"/>
  <sheetViews>
    <sheetView showGridLines="0" zoomScale="90" zoomScaleNormal="90" workbookViewId="0">
      <pane ySplit="1" topLeftCell="A20" activePane="bottomLeft" state="frozen"/>
      <selection activeCell="D1" sqref="D1"/>
      <selection pane="bottomLeft" activeCell="G4" sqref="G4"/>
    </sheetView>
  </sheetViews>
  <sheetFormatPr defaultRowHeight="15" x14ac:dyDescent="0.25"/>
  <cols>
    <col min="1" max="1" width="32.140625" style="5" customWidth="1"/>
    <col min="2" max="2" width="9.5703125" customWidth="1"/>
    <col min="3" max="3" width="7.42578125" customWidth="1"/>
    <col min="4" max="4" width="28" customWidth="1"/>
    <col min="5" max="5" width="12.42578125" customWidth="1"/>
    <col min="6" max="6" width="10.85546875" customWidth="1"/>
    <col min="7" max="7" width="12.42578125" customWidth="1"/>
    <col min="8" max="8" width="14" style="7" customWidth="1"/>
    <col min="9" max="9" width="24.5703125" style="7" bestFit="1" customWidth="1"/>
    <col min="10" max="10" width="17.5703125" style="7" customWidth="1"/>
    <col min="11" max="11" width="21.5703125" style="6" customWidth="1"/>
    <col min="12" max="12" width="19.5703125" style="6" customWidth="1"/>
    <col min="13" max="13" width="29" style="6" customWidth="1"/>
    <col min="14" max="14" width="48.5703125" style="8" customWidth="1"/>
    <col min="15" max="15" width="32" customWidth="1"/>
  </cols>
  <sheetData>
    <row r="1" spans="1:15" s="2" customFormat="1" ht="60" x14ac:dyDescent="0.25">
      <c r="A1" s="46" t="s">
        <v>0</v>
      </c>
      <c r="B1" s="47" t="s">
        <v>1</v>
      </c>
      <c r="C1" s="47" t="s">
        <v>2</v>
      </c>
      <c r="D1" s="47" t="s">
        <v>3</v>
      </c>
      <c r="E1" s="47" t="s">
        <v>4</v>
      </c>
      <c r="F1" s="47" t="s">
        <v>5</v>
      </c>
      <c r="G1" s="47" t="s">
        <v>6</v>
      </c>
      <c r="H1" s="48" t="s">
        <v>7</v>
      </c>
      <c r="I1" s="48" t="s">
        <v>8</v>
      </c>
      <c r="J1" s="48" t="s">
        <v>9</v>
      </c>
      <c r="K1" s="48" t="s">
        <v>10</v>
      </c>
      <c r="L1" s="48" t="s">
        <v>11</v>
      </c>
      <c r="M1" s="48" t="s">
        <v>12</v>
      </c>
      <c r="N1" s="45" t="s">
        <v>13</v>
      </c>
    </row>
    <row r="2" spans="1:15" s="4" customFormat="1" ht="30" customHeight="1" x14ac:dyDescent="0.25">
      <c r="A2" s="9" t="s">
        <v>14</v>
      </c>
      <c r="B2" s="13">
        <f>VLOOKUP(Table245[[#This Row],[Cushing, OK]],'List source'!D$2:E$71,2,FALSE)</f>
        <v>131</v>
      </c>
      <c r="C2" s="17" t="s">
        <v>15</v>
      </c>
      <c r="D2" s="21" t="str">
        <f t="shared" ref="D2:D33" si="0">"A" &amp; C2 &amp; "-" &amp; B2 &amp; "-" &amp; "25"</f>
        <v>A001-131-25</v>
      </c>
      <c r="E2" s="38">
        <v>45297</v>
      </c>
      <c r="F2" s="38">
        <v>45300</v>
      </c>
      <c r="G2" s="38">
        <v>45689</v>
      </c>
      <c r="H2" s="10" t="s">
        <v>16</v>
      </c>
      <c r="I2" s="10" t="s">
        <v>17</v>
      </c>
      <c r="J2" s="10" t="s">
        <v>18</v>
      </c>
      <c r="K2" s="10" t="s">
        <v>19</v>
      </c>
      <c r="L2" s="10" t="s">
        <v>20</v>
      </c>
      <c r="M2" s="37"/>
      <c r="N2" s="10" t="s">
        <v>21</v>
      </c>
      <c r="O2" s="10" t="s">
        <v>21</v>
      </c>
    </row>
    <row r="3" spans="1:15" s="4" customFormat="1" ht="30" customHeight="1" x14ac:dyDescent="0.25">
      <c r="A3" s="9" t="s">
        <v>14</v>
      </c>
      <c r="B3" s="13">
        <f>VLOOKUP(Table245[[#This Row],[Cushing, OK]],'List source'!D$2:E$71,2,FALSE)</f>
        <v>131</v>
      </c>
      <c r="C3" s="17" t="s">
        <v>22</v>
      </c>
      <c r="D3" s="21" t="str">
        <f t="shared" si="0"/>
        <v>A002-131-25</v>
      </c>
      <c r="E3" s="29">
        <v>45297</v>
      </c>
      <c r="F3" s="29">
        <v>45300</v>
      </c>
      <c r="G3" s="38">
        <v>45689</v>
      </c>
      <c r="H3" s="10" t="s">
        <v>16</v>
      </c>
      <c r="I3" s="10" t="s">
        <v>17</v>
      </c>
      <c r="J3" s="10" t="s">
        <v>18</v>
      </c>
      <c r="K3" s="10" t="s">
        <v>19</v>
      </c>
      <c r="L3" s="10" t="s">
        <v>20</v>
      </c>
      <c r="M3" s="37"/>
      <c r="N3" s="10" t="s">
        <v>23</v>
      </c>
      <c r="O3" s="10" t="s">
        <v>24</v>
      </c>
    </row>
    <row r="4" spans="1:15" s="4" customFormat="1" ht="30" customHeight="1" x14ac:dyDescent="0.25">
      <c r="A4" s="9" t="s">
        <v>25</v>
      </c>
      <c r="B4" s="13">
        <f>VLOOKUP(Table245[[#This Row],[Cushing, OK]],'List source'!D$2:E$71,2,FALSE)</f>
        <v>158</v>
      </c>
      <c r="C4" s="17" t="s">
        <v>26</v>
      </c>
      <c r="D4" s="21" t="str">
        <f t="shared" si="0"/>
        <v>A003-158-25</v>
      </c>
      <c r="E4" s="29">
        <v>45663</v>
      </c>
      <c r="F4" s="29">
        <v>45666</v>
      </c>
      <c r="G4" s="38">
        <v>45684</v>
      </c>
      <c r="H4" s="10" t="s">
        <v>16</v>
      </c>
      <c r="I4" s="10" t="s">
        <v>17</v>
      </c>
      <c r="J4" s="10" t="s">
        <v>27</v>
      </c>
      <c r="K4" s="10" t="s">
        <v>28</v>
      </c>
      <c r="L4" s="10" t="s">
        <v>20</v>
      </c>
      <c r="M4" s="37"/>
      <c r="N4" s="10" t="s">
        <v>21</v>
      </c>
      <c r="O4" s="10" t="s">
        <v>29</v>
      </c>
    </row>
    <row r="5" spans="1:15" s="4" customFormat="1" ht="30" x14ac:dyDescent="0.25">
      <c r="A5" s="9" t="s">
        <v>25</v>
      </c>
      <c r="B5" s="13">
        <f>VLOOKUP(Table245[[#This Row],[Cushing, OK]],'List source'!D$2:E$71,2,FALSE)</f>
        <v>158</v>
      </c>
      <c r="C5" s="17" t="s">
        <v>30</v>
      </c>
      <c r="D5" s="21" t="str">
        <f t="shared" si="0"/>
        <v>A004-158-25</v>
      </c>
      <c r="E5" s="38">
        <v>45663</v>
      </c>
      <c r="F5" s="38">
        <v>45666</v>
      </c>
      <c r="G5" s="38">
        <v>45684</v>
      </c>
      <c r="H5" s="10" t="s">
        <v>16</v>
      </c>
      <c r="I5" s="10" t="s">
        <v>31</v>
      </c>
      <c r="J5" s="10" t="s">
        <v>27</v>
      </c>
      <c r="K5" s="10" t="s">
        <v>28</v>
      </c>
      <c r="L5" s="10" t="s">
        <v>20</v>
      </c>
      <c r="M5" s="37"/>
      <c r="N5" s="10" t="s">
        <v>23</v>
      </c>
      <c r="O5" s="10" t="s">
        <v>32</v>
      </c>
    </row>
    <row r="6" spans="1:15" s="4" customFormat="1" ht="30" customHeight="1" x14ac:dyDescent="0.25">
      <c r="A6" s="9" t="s">
        <v>33</v>
      </c>
      <c r="B6" s="13" t="str">
        <f>VLOOKUP(Table245[[#This Row],[Cushing, OK]],'List source'!D$2:E$71,2,FALSE)</f>
        <v>120a</v>
      </c>
      <c r="C6" s="17" t="s">
        <v>34</v>
      </c>
      <c r="D6" s="21" t="str">
        <f t="shared" si="0"/>
        <v>A005-120a-25</v>
      </c>
      <c r="E6" s="38">
        <v>45674</v>
      </c>
      <c r="F6" s="38">
        <v>45674</v>
      </c>
      <c r="G6" s="38">
        <v>45681</v>
      </c>
      <c r="H6" s="10" t="s">
        <v>16</v>
      </c>
      <c r="I6" s="10" t="s">
        <v>17</v>
      </c>
      <c r="J6" s="10" t="s">
        <v>35</v>
      </c>
      <c r="K6" s="10" t="s">
        <v>35</v>
      </c>
      <c r="L6" s="10" t="s">
        <v>20</v>
      </c>
      <c r="M6" s="37"/>
      <c r="N6" s="10" t="s">
        <v>21</v>
      </c>
      <c r="O6" s="10" t="s">
        <v>36</v>
      </c>
    </row>
    <row r="7" spans="1:15" s="4" customFormat="1" ht="30" customHeight="1" x14ac:dyDescent="0.25">
      <c r="A7" s="9" t="s">
        <v>37</v>
      </c>
      <c r="B7" s="13">
        <f>VLOOKUP(Table245[[#This Row],[Cushing, OK]],'List source'!D$2:E$71,2,FALSE)</f>
        <v>210</v>
      </c>
      <c r="C7" s="17" t="s">
        <v>38</v>
      </c>
      <c r="D7" s="21" t="str">
        <f t="shared" si="0"/>
        <v>A006-210-25</v>
      </c>
      <c r="E7" s="38">
        <v>45677</v>
      </c>
      <c r="F7" s="38">
        <v>45678</v>
      </c>
      <c r="G7" s="38">
        <v>45680</v>
      </c>
      <c r="H7" s="10" t="s">
        <v>39</v>
      </c>
      <c r="I7" s="10" t="s">
        <v>31</v>
      </c>
      <c r="J7" s="10" t="s">
        <v>35</v>
      </c>
      <c r="K7" s="10" t="s">
        <v>40</v>
      </c>
      <c r="L7" s="10" t="s">
        <v>41</v>
      </c>
      <c r="M7" s="37"/>
      <c r="N7" s="10" t="s">
        <v>42</v>
      </c>
      <c r="O7" s="10" t="s">
        <v>43</v>
      </c>
    </row>
    <row r="8" spans="1:15" s="4" customFormat="1" ht="30" customHeight="1" x14ac:dyDescent="0.25">
      <c r="A8" s="9" t="s">
        <v>44</v>
      </c>
      <c r="B8" s="13">
        <f>VLOOKUP(Table245[[#This Row],[Cushing, OK]],'List source'!D$2:E$71,2,FALSE)</f>
        <v>185</v>
      </c>
      <c r="C8" s="17" t="s">
        <v>45</v>
      </c>
      <c r="D8" s="21" t="str">
        <f t="shared" si="0"/>
        <v>A007-185-25</v>
      </c>
      <c r="E8" s="38">
        <v>45677</v>
      </c>
      <c r="F8" s="38">
        <v>45680</v>
      </c>
      <c r="G8" s="38">
        <v>45706</v>
      </c>
      <c r="H8" s="10" t="s">
        <v>16</v>
      </c>
      <c r="I8" s="10" t="s">
        <v>17</v>
      </c>
      <c r="J8" s="10" t="s">
        <v>27</v>
      </c>
      <c r="K8" s="10" t="s">
        <v>27</v>
      </c>
      <c r="L8" s="10" t="s">
        <v>20</v>
      </c>
      <c r="M8" s="37"/>
      <c r="N8" s="10" t="s">
        <v>21</v>
      </c>
    </row>
    <row r="9" spans="1:15" s="4" customFormat="1" ht="30" customHeight="1" x14ac:dyDescent="0.25">
      <c r="A9" s="9" t="s">
        <v>46</v>
      </c>
      <c r="B9" s="13">
        <f>VLOOKUP(Table245[[#This Row],[Cushing, OK]],'List source'!D$2:E$71,2,FALSE)</f>
        <v>155</v>
      </c>
      <c r="C9" s="17" t="s">
        <v>47</v>
      </c>
      <c r="D9" s="21" t="str">
        <f t="shared" si="0"/>
        <v>A008-155-25</v>
      </c>
      <c r="E9" s="38">
        <v>45678</v>
      </c>
      <c r="F9" s="38">
        <v>45680</v>
      </c>
      <c r="G9" s="38">
        <v>45706</v>
      </c>
      <c r="H9" s="10" t="s">
        <v>16</v>
      </c>
      <c r="I9" s="10" t="s">
        <v>17</v>
      </c>
      <c r="J9" s="10" t="s">
        <v>48</v>
      </c>
      <c r="K9" s="10" t="s">
        <v>49</v>
      </c>
      <c r="L9" s="10" t="s">
        <v>20</v>
      </c>
      <c r="M9" s="37"/>
      <c r="N9" s="10" t="s">
        <v>21</v>
      </c>
    </row>
    <row r="10" spans="1:15" s="4" customFormat="1" ht="30" customHeight="1" x14ac:dyDescent="0.25">
      <c r="A10" s="9" t="s">
        <v>46</v>
      </c>
      <c r="B10" s="13">
        <f>VLOOKUP(Table245[[#This Row],[Cushing, OK]],'List source'!D$2:E$71,2,FALSE)</f>
        <v>155</v>
      </c>
      <c r="C10" s="17" t="s">
        <v>50</v>
      </c>
      <c r="D10" s="21" t="str">
        <f t="shared" si="0"/>
        <v>A009-155-25</v>
      </c>
      <c r="E10" s="38">
        <v>45678</v>
      </c>
      <c r="F10" s="38">
        <v>45680</v>
      </c>
      <c r="G10" s="38">
        <v>45706</v>
      </c>
      <c r="H10" s="10" t="s">
        <v>16</v>
      </c>
      <c r="I10" s="10" t="s">
        <v>31</v>
      </c>
      <c r="J10" s="10" t="s">
        <v>48</v>
      </c>
      <c r="K10" s="10" t="s">
        <v>49</v>
      </c>
      <c r="L10" s="10" t="s">
        <v>20</v>
      </c>
      <c r="M10" s="37"/>
      <c r="N10" s="10" t="s">
        <v>23</v>
      </c>
    </row>
    <row r="11" spans="1:15" s="4" customFormat="1" ht="30" customHeight="1" x14ac:dyDescent="0.25">
      <c r="A11" s="9" t="s">
        <v>51</v>
      </c>
      <c r="B11" s="13">
        <f>VLOOKUP(Table245[[#This Row],[Cushing, OK]],'List source'!D$2:E$71,2,FALSE)</f>
        <v>139</v>
      </c>
      <c r="C11" s="17" t="s">
        <v>52</v>
      </c>
      <c r="D11" s="21" t="str">
        <f t="shared" si="0"/>
        <v>A010-139-25</v>
      </c>
      <c r="E11" s="38">
        <v>45684</v>
      </c>
      <c r="F11" s="38">
        <v>45686</v>
      </c>
      <c r="G11" s="38">
        <v>45701</v>
      </c>
      <c r="H11" s="10" t="s">
        <v>16</v>
      </c>
      <c r="I11" s="10" t="s">
        <v>17</v>
      </c>
      <c r="J11" s="10" t="s">
        <v>18</v>
      </c>
      <c r="K11" s="10" t="s">
        <v>18</v>
      </c>
      <c r="L11" s="10" t="s">
        <v>20</v>
      </c>
      <c r="M11" s="37"/>
      <c r="N11" s="10" t="s">
        <v>53</v>
      </c>
    </row>
    <row r="12" spans="1:15" s="4" customFormat="1" ht="30" customHeight="1" x14ac:dyDescent="0.25">
      <c r="A12" s="9" t="s">
        <v>54</v>
      </c>
      <c r="B12" s="13">
        <f>VLOOKUP(Table245[[#This Row],[Cushing, OK]],'List source'!D$2:E$71,2,FALSE)</f>
        <v>128</v>
      </c>
      <c r="C12" s="17" t="s">
        <v>55</v>
      </c>
      <c r="D12" s="21" t="str">
        <f t="shared" si="0"/>
        <v>A011-128-25</v>
      </c>
      <c r="E12" s="38">
        <v>45693</v>
      </c>
      <c r="F12" s="38">
        <v>45694</v>
      </c>
      <c r="G12" s="38">
        <v>45709</v>
      </c>
      <c r="H12" s="10" t="s">
        <v>16</v>
      </c>
      <c r="I12" s="10" t="s">
        <v>17</v>
      </c>
      <c r="J12" s="10" t="s">
        <v>56</v>
      </c>
      <c r="K12" s="10" t="s">
        <v>57</v>
      </c>
      <c r="L12" s="10" t="s">
        <v>20</v>
      </c>
      <c r="M12" s="37"/>
      <c r="N12" s="10" t="s">
        <v>21</v>
      </c>
    </row>
    <row r="13" spans="1:15" s="4" customFormat="1" ht="30" customHeight="1" x14ac:dyDescent="0.25">
      <c r="A13" s="9" t="s">
        <v>58</v>
      </c>
      <c r="B13" s="13">
        <f>VLOOKUP(Table245[[#This Row],[Cushing, OK]],'List source'!D$2:E$71,2,FALSE)</f>
        <v>146</v>
      </c>
      <c r="C13" s="17" t="s">
        <v>59</v>
      </c>
      <c r="D13" s="21" t="str">
        <f t="shared" si="0"/>
        <v>A012-146-25</v>
      </c>
      <c r="E13" s="38">
        <v>45692</v>
      </c>
      <c r="F13" s="38">
        <v>45694</v>
      </c>
      <c r="G13" s="38">
        <v>45694</v>
      </c>
      <c r="H13" s="10" t="s">
        <v>39</v>
      </c>
      <c r="I13" s="10" t="s">
        <v>31</v>
      </c>
      <c r="J13" s="10" t="s">
        <v>48</v>
      </c>
      <c r="K13" s="10" t="s">
        <v>60</v>
      </c>
      <c r="L13" s="10" t="s">
        <v>41</v>
      </c>
      <c r="M13" s="37"/>
      <c r="N13" s="10" t="s">
        <v>61</v>
      </c>
    </row>
    <row r="14" spans="1:15" s="4" customFormat="1" ht="30" customHeight="1" x14ac:dyDescent="0.25">
      <c r="A14" s="9" t="s">
        <v>62</v>
      </c>
      <c r="B14" s="13">
        <f>VLOOKUP(Table245[[#This Row],[Cushing, OK]],'List source'!D$2:E$71,2,FALSE)</f>
        <v>178</v>
      </c>
      <c r="C14" s="17" t="s">
        <v>63</v>
      </c>
      <c r="D14" s="21" t="str">
        <f t="shared" si="0"/>
        <v>A013-178-25</v>
      </c>
      <c r="E14" s="38">
        <v>45692</v>
      </c>
      <c r="F14" s="38">
        <v>45693</v>
      </c>
      <c r="G14" s="38">
        <v>45695</v>
      </c>
      <c r="H14" s="10" t="s">
        <v>16</v>
      </c>
      <c r="I14" s="10" t="s">
        <v>17</v>
      </c>
      <c r="J14" s="30" t="s">
        <v>35</v>
      </c>
      <c r="K14" s="10" t="s">
        <v>35</v>
      </c>
      <c r="L14" s="10" t="s">
        <v>20</v>
      </c>
      <c r="M14" s="37"/>
      <c r="N14" s="10" t="s">
        <v>53</v>
      </c>
    </row>
    <row r="15" spans="1:15" s="4" customFormat="1" ht="30" customHeight="1" x14ac:dyDescent="0.25">
      <c r="A15" s="9" t="s">
        <v>64</v>
      </c>
      <c r="B15" s="13">
        <f>VLOOKUP(Table245[[#This Row],[Cushing, OK]],'List source'!D$2:E$71,2,FALSE)</f>
        <v>111</v>
      </c>
      <c r="C15" s="17" t="s">
        <v>65</v>
      </c>
      <c r="D15" s="21" t="str">
        <f t="shared" si="0"/>
        <v>A014-111-25</v>
      </c>
      <c r="E15" s="38">
        <v>45701</v>
      </c>
      <c r="F15" s="38">
        <v>45701</v>
      </c>
      <c r="G15" s="38">
        <v>45705</v>
      </c>
      <c r="H15" s="10" t="s">
        <v>16</v>
      </c>
      <c r="I15" s="10" t="s">
        <v>66</v>
      </c>
      <c r="J15" s="10" t="s">
        <v>48</v>
      </c>
      <c r="K15" s="10" t="s">
        <v>48</v>
      </c>
      <c r="L15" s="10" t="s">
        <v>20</v>
      </c>
      <c r="M15" s="37"/>
      <c r="N15" s="10" t="s">
        <v>53</v>
      </c>
    </row>
    <row r="16" spans="1:15" s="4" customFormat="1" ht="30" customHeight="1" x14ac:dyDescent="0.25">
      <c r="A16" s="9" t="s">
        <v>67</v>
      </c>
      <c r="B16" s="13">
        <f>VLOOKUP(Table245[[#This Row],[Cushing, OK]],'List source'!D$2:E$71,2,FALSE)</f>
        <v>138</v>
      </c>
      <c r="C16" s="17" t="s">
        <v>68</v>
      </c>
      <c r="D16" s="21" t="str">
        <f t="shared" si="0"/>
        <v>A015-138-25</v>
      </c>
      <c r="E16" s="38">
        <v>45706</v>
      </c>
      <c r="F16" s="38">
        <v>45708</v>
      </c>
      <c r="G16" s="38">
        <v>45716</v>
      </c>
      <c r="H16" s="10" t="s">
        <v>16</v>
      </c>
      <c r="I16" s="10" t="s">
        <v>17</v>
      </c>
      <c r="J16" s="30" t="s">
        <v>35</v>
      </c>
      <c r="K16" s="10" t="s">
        <v>35</v>
      </c>
      <c r="L16" s="10" t="s">
        <v>20</v>
      </c>
      <c r="M16" s="37"/>
      <c r="N16" s="10" t="s">
        <v>53</v>
      </c>
    </row>
    <row r="17" spans="1:14" s="4" customFormat="1" ht="30" customHeight="1" x14ac:dyDescent="0.25">
      <c r="A17" s="9" t="s">
        <v>69</v>
      </c>
      <c r="B17" s="13">
        <f>VLOOKUP(Table245[[#This Row],[Cushing, OK]],'List source'!D$2:E$71,2,FALSE)</f>
        <v>141</v>
      </c>
      <c r="C17" s="17" t="s">
        <v>70</v>
      </c>
      <c r="D17" s="21" t="str">
        <f t="shared" si="0"/>
        <v>A016-141-25</v>
      </c>
      <c r="E17" s="38">
        <v>45712</v>
      </c>
      <c r="F17" s="38">
        <v>45714</v>
      </c>
      <c r="G17" s="38">
        <v>45716</v>
      </c>
      <c r="H17" s="10" t="s">
        <v>16</v>
      </c>
      <c r="I17" s="10" t="s">
        <v>17</v>
      </c>
      <c r="J17" s="10" t="s">
        <v>48</v>
      </c>
      <c r="K17" s="10" t="s">
        <v>48</v>
      </c>
      <c r="L17" s="10" t="s">
        <v>20</v>
      </c>
      <c r="M17" s="37"/>
      <c r="N17" s="10" t="s">
        <v>53</v>
      </c>
    </row>
    <row r="18" spans="1:14" s="4" customFormat="1" ht="30" customHeight="1" x14ac:dyDescent="0.25">
      <c r="A18" s="9" t="s">
        <v>71</v>
      </c>
      <c r="B18" s="13">
        <f>VLOOKUP(Table245[[#This Row],[Cushing, OK]],'List source'!D$2:E$71,2,FALSE)</f>
        <v>127</v>
      </c>
      <c r="C18" s="17" t="s">
        <v>72</v>
      </c>
      <c r="D18" s="21" t="str">
        <f t="shared" si="0"/>
        <v>A017-127-25</v>
      </c>
      <c r="E18" s="38">
        <v>45713</v>
      </c>
      <c r="F18" s="38">
        <v>45716</v>
      </c>
      <c r="G18" s="38">
        <v>45743</v>
      </c>
      <c r="H18" s="10" t="s">
        <v>16</v>
      </c>
      <c r="I18" s="10" t="s">
        <v>17</v>
      </c>
      <c r="J18" s="10" t="s">
        <v>27</v>
      </c>
      <c r="K18" s="10" t="s">
        <v>27</v>
      </c>
      <c r="L18" s="10" t="s">
        <v>20</v>
      </c>
      <c r="M18" s="37"/>
      <c r="N18" s="10" t="s">
        <v>53</v>
      </c>
    </row>
    <row r="19" spans="1:14" s="4" customFormat="1" ht="30" customHeight="1" x14ac:dyDescent="0.25">
      <c r="A19" s="9" t="s">
        <v>73</v>
      </c>
      <c r="B19" s="13">
        <f>VLOOKUP(Table245[[#This Row],[Cushing, OK]],'List source'!D$2:E$71,2,FALSE)</f>
        <v>142</v>
      </c>
      <c r="C19" s="17" t="s">
        <v>74</v>
      </c>
      <c r="D19" s="42" t="str">
        <f>"A" &amp; C19 &amp; "-" &amp; B19 &amp; "-" &amp; "25"</f>
        <v>A018-142-25</v>
      </c>
      <c r="E19" s="38">
        <v>45712</v>
      </c>
      <c r="F19" s="38">
        <v>45714</v>
      </c>
      <c r="G19" s="38">
        <v>45720</v>
      </c>
      <c r="H19" s="10" t="s">
        <v>16</v>
      </c>
      <c r="I19" s="10" t="s">
        <v>17</v>
      </c>
      <c r="J19" s="10" t="s">
        <v>18</v>
      </c>
      <c r="K19" s="10" t="s">
        <v>18</v>
      </c>
      <c r="L19" s="10" t="s">
        <v>20</v>
      </c>
      <c r="M19" s="37"/>
      <c r="N19" s="18" t="s">
        <v>75</v>
      </c>
    </row>
    <row r="20" spans="1:14" s="4" customFormat="1" ht="30" customHeight="1" x14ac:dyDescent="0.25">
      <c r="A20" s="9" t="s">
        <v>76</v>
      </c>
      <c r="B20" s="13">
        <f>VLOOKUP(Table245[[#This Row],[Cushing, OK]],'List source'!D$2:E$71,2,FALSE)</f>
        <v>157</v>
      </c>
      <c r="C20" s="17" t="s">
        <v>77</v>
      </c>
      <c r="D20" s="42" t="str">
        <f>"A" &amp; C20 &amp; "-" &amp; B20 &amp; "-" &amp; "25"</f>
        <v>A019-157-25</v>
      </c>
      <c r="E20" s="38">
        <v>45691</v>
      </c>
      <c r="F20" s="38">
        <v>45693</v>
      </c>
      <c r="G20" s="38">
        <v>45708</v>
      </c>
      <c r="H20" s="10" t="s">
        <v>16</v>
      </c>
      <c r="I20" s="10" t="s">
        <v>17</v>
      </c>
      <c r="J20" s="10" t="s">
        <v>18</v>
      </c>
      <c r="K20" s="10" t="s">
        <v>78</v>
      </c>
      <c r="L20" s="10" t="s">
        <v>20</v>
      </c>
      <c r="M20" s="37"/>
      <c r="N20" s="18" t="s">
        <v>75</v>
      </c>
    </row>
    <row r="21" spans="1:14" s="4" customFormat="1" ht="30" customHeight="1" x14ac:dyDescent="0.25">
      <c r="A21" s="9" t="s">
        <v>79</v>
      </c>
      <c r="B21" s="13">
        <f>VLOOKUP(Table245[[#This Row],[Cushing, OK]],'List source'!D$2:E$71,2,FALSE)</f>
        <v>160</v>
      </c>
      <c r="C21" s="17" t="s">
        <v>80</v>
      </c>
      <c r="D21" s="21" t="str">
        <f t="shared" si="0"/>
        <v>A020-160-25</v>
      </c>
      <c r="E21" s="38">
        <v>45694</v>
      </c>
      <c r="F21" s="38">
        <v>45694</v>
      </c>
      <c r="G21" s="38">
        <v>45713</v>
      </c>
      <c r="H21" s="10" t="s">
        <v>81</v>
      </c>
      <c r="I21" s="10" t="s">
        <v>31</v>
      </c>
      <c r="J21" s="10" t="s">
        <v>82</v>
      </c>
      <c r="K21" s="10" t="s">
        <v>83</v>
      </c>
      <c r="L21" s="10" t="s">
        <v>84</v>
      </c>
      <c r="M21" s="37"/>
      <c r="N21" s="10" t="s">
        <v>85</v>
      </c>
    </row>
    <row r="22" spans="1:14" s="4" customFormat="1" ht="30" customHeight="1" x14ac:dyDescent="0.25">
      <c r="A22" s="9" t="s">
        <v>86</v>
      </c>
      <c r="B22" s="13">
        <f>VLOOKUP(Table245[[#This Row],[Cushing, OK]],'List source'!D$2:E$71,2,FALSE)</f>
        <v>150</v>
      </c>
      <c r="C22" s="17" t="s">
        <v>87</v>
      </c>
      <c r="D22" s="21" t="str">
        <f t="shared" si="0"/>
        <v>A021-150-25</v>
      </c>
      <c r="E22" s="38">
        <v>45726</v>
      </c>
      <c r="F22" s="38">
        <v>45729</v>
      </c>
      <c r="G22" s="38">
        <v>45744</v>
      </c>
      <c r="H22" s="10" t="s">
        <v>16</v>
      </c>
      <c r="I22" s="10" t="s">
        <v>17</v>
      </c>
      <c r="J22" s="10" t="s">
        <v>18</v>
      </c>
      <c r="K22" s="10" t="s">
        <v>88</v>
      </c>
      <c r="L22" s="10" t="s">
        <v>20</v>
      </c>
      <c r="M22" s="37"/>
      <c r="N22" s="10" t="s">
        <v>21</v>
      </c>
    </row>
    <row r="23" spans="1:14" s="4" customFormat="1" ht="30" customHeight="1" x14ac:dyDescent="0.25">
      <c r="A23" s="9" t="s">
        <v>86</v>
      </c>
      <c r="B23" s="13">
        <f>VLOOKUP(Table245[[#This Row],[Cushing, OK]],'List source'!D$2:E$71,2,FALSE)</f>
        <v>150</v>
      </c>
      <c r="C23" s="17" t="s">
        <v>89</v>
      </c>
      <c r="D23" s="21" t="str">
        <f t="shared" si="0"/>
        <v>A022-150-25</v>
      </c>
      <c r="E23" s="38">
        <v>45726</v>
      </c>
      <c r="F23" s="38">
        <v>45729</v>
      </c>
      <c r="G23" s="38">
        <v>45744</v>
      </c>
      <c r="H23" s="10" t="s">
        <v>16</v>
      </c>
      <c r="I23" s="10" t="s">
        <v>17</v>
      </c>
      <c r="J23" s="10" t="s">
        <v>18</v>
      </c>
      <c r="K23" s="10" t="s">
        <v>90</v>
      </c>
      <c r="L23" s="10" t="s">
        <v>20</v>
      </c>
      <c r="M23" s="37"/>
      <c r="N23" s="10" t="s">
        <v>23</v>
      </c>
    </row>
    <row r="24" spans="1:14" s="4" customFormat="1" ht="30" customHeight="1" x14ac:dyDescent="0.25">
      <c r="A24" s="9" t="s">
        <v>91</v>
      </c>
      <c r="B24" s="13">
        <f>VLOOKUP(Table245[[#This Row],[Cushing, OK]],'List source'!D$2:E$71,2,FALSE)</f>
        <v>190</v>
      </c>
      <c r="C24" s="17" t="s">
        <v>92</v>
      </c>
      <c r="D24" s="21" t="str">
        <f t="shared" si="0"/>
        <v>A023-190-25</v>
      </c>
      <c r="E24" s="38">
        <v>45721</v>
      </c>
      <c r="F24" s="38">
        <v>45723</v>
      </c>
      <c r="G24" s="38">
        <v>45727</v>
      </c>
      <c r="H24" s="10" t="s">
        <v>16</v>
      </c>
      <c r="I24" s="10" t="s">
        <v>17</v>
      </c>
      <c r="J24" s="10" t="s">
        <v>35</v>
      </c>
      <c r="K24" s="10" t="s">
        <v>35</v>
      </c>
      <c r="L24" s="10" t="s">
        <v>20</v>
      </c>
      <c r="M24" s="37"/>
      <c r="N24" s="10" t="s">
        <v>21</v>
      </c>
    </row>
    <row r="25" spans="1:14" s="4" customFormat="1" ht="30" customHeight="1" x14ac:dyDescent="0.25">
      <c r="A25" s="9" t="s">
        <v>91</v>
      </c>
      <c r="B25" s="13">
        <f>VLOOKUP(Table245[[#This Row],[Cushing, OK]],'List source'!D$2:E$71,2,FALSE)</f>
        <v>190</v>
      </c>
      <c r="C25" s="17" t="s">
        <v>93</v>
      </c>
      <c r="D25" s="21" t="str">
        <f t="shared" si="0"/>
        <v>A024-190-25</v>
      </c>
      <c r="E25" s="38">
        <v>45721</v>
      </c>
      <c r="F25" s="38">
        <v>45723</v>
      </c>
      <c r="G25" s="38">
        <v>45727</v>
      </c>
      <c r="H25" s="10" t="s">
        <v>16</v>
      </c>
      <c r="I25" s="10" t="s">
        <v>31</v>
      </c>
      <c r="J25" s="10" t="s">
        <v>35</v>
      </c>
      <c r="K25" s="10" t="s">
        <v>35</v>
      </c>
      <c r="L25" s="10" t="s">
        <v>20</v>
      </c>
      <c r="M25" s="37"/>
      <c r="N25" s="10" t="s">
        <v>23</v>
      </c>
    </row>
    <row r="26" spans="1:14" s="4" customFormat="1" ht="30" customHeight="1" x14ac:dyDescent="0.25">
      <c r="A26" s="9" t="s">
        <v>94</v>
      </c>
      <c r="B26" s="13">
        <f>VLOOKUP(Table245[[#This Row],[Cushing, OK]],'List source'!D$2:E$71,2,FALSE)</f>
        <v>120</v>
      </c>
      <c r="C26" s="17" t="s">
        <v>95</v>
      </c>
      <c r="D26" s="21" t="str">
        <f t="shared" si="0"/>
        <v>A025-120-25</v>
      </c>
      <c r="E26" s="38">
        <v>45721</v>
      </c>
      <c r="F26" s="38">
        <v>45721</v>
      </c>
      <c r="G26" s="38">
        <v>45721</v>
      </c>
      <c r="H26" s="10" t="s">
        <v>39</v>
      </c>
      <c r="I26" s="10" t="s">
        <v>31</v>
      </c>
      <c r="J26" s="10" t="s">
        <v>27</v>
      </c>
      <c r="K26" s="10" t="s">
        <v>96</v>
      </c>
      <c r="L26" s="10" t="s">
        <v>97</v>
      </c>
      <c r="M26" s="37" t="s">
        <v>39</v>
      </c>
      <c r="N26" s="10" t="s">
        <v>98</v>
      </c>
    </row>
    <row r="27" spans="1:14" s="4" customFormat="1" ht="30" customHeight="1" x14ac:dyDescent="0.25">
      <c r="A27" s="9" t="s">
        <v>99</v>
      </c>
      <c r="B27" s="13">
        <f>VLOOKUP(Table245[[#This Row],[Cushing, OK]],'List source'!D$2:E$71,2,FALSE)</f>
        <v>198</v>
      </c>
      <c r="C27" s="17" t="s">
        <v>100</v>
      </c>
      <c r="D27" s="21" t="str">
        <f t="shared" si="0"/>
        <v>A026-198-25</v>
      </c>
      <c r="E27" s="38">
        <v>45708</v>
      </c>
      <c r="F27" s="38">
        <v>45709</v>
      </c>
      <c r="G27" s="38">
        <v>45721</v>
      </c>
      <c r="H27" s="10" t="s">
        <v>81</v>
      </c>
      <c r="I27" s="10" t="s">
        <v>31</v>
      </c>
      <c r="J27" s="10" t="s">
        <v>101</v>
      </c>
      <c r="K27" s="10" t="s">
        <v>102</v>
      </c>
      <c r="L27" s="10" t="s">
        <v>103</v>
      </c>
      <c r="M27" s="37"/>
      <c r="N27" s="64" t="s">
        <v>104</v>
      </c>
    </row>
    <row r="28" spans="1:14" s="4" customFormat="1" ht="30" customHeight="1" x14ac:dyDescent="0.25">
      <c r="A28" s="9" t="s">
        <v>105</v>
      </c>
      <c r="B28" s="13">
        <f>VLOOKUP(Table245[[#This Row],[Cushing, OK]],'List source'!D$2:E$71,2,FALSE)</f>
        <v>215</v>
      </c>
      <c r="C28" s="17" t="s">
        <v>106</v>
      </c>
      <c r="D28" s="21" t="str">
        <f t="shared" si="0"/>
        <v>A027-215-25</v>
      </c>
      <c r="E28" s="38">
        <v>45726</v>
      </c>
      <c r="F28" s="38">
        <v>45730</v>
      </c>
      <c r="G28" s="38">
        <v>45743</v>
      </c>
      <c r="H28" s="10" t="s">
        <v>16</v>
      </c>
      <c r="I28" s="10" t="s">
        <v>17</v>
      </c>
      <c r="J28" s="10" t="s">
        <v>48</v>
      </c>
      <c r="K28" s="10" t="s">
        <v>48</v>
      </c>
      <c r="L28" s="10" t="s">
        <v>20</v>
      </c>
      <c r="M28" s="37"/>
      <c r="N28" s="10" t="s">
        <v>21</v>
      </c>
    </row>
    <row r="29" spans="1:14" s="4" customFormat="1" ht="30" customHeight="1" x14ac:dyDescent="0.25">
      <c r="A29" s="9" t="s">
        <v>107</v>
      </c>
      <c r="B29" s="13">
        <f>VLOOKUP(Table245[[#This Row],[Cushing, OK]],'List source'!D$2:E$71,2,FALSE)</f>
        <v>170</v>
      </c>
      <c r="C29" s="17" t="s">
        <v>108</v>
      </c>
      <c r="D29" s="21" t="str">
        <f t="shared" si="0"/>
        <v>A028-170-25</v>
      </c>
      <c r="E29" s="38">
        <v>45706</v>
      </c>
      <c r="F29" s="38">
        <v>45706</v>
      </c>
      <c r="G29" s="38"/>
      <c r="H29" s="10" t="s">
        <v>81</v>
      </c>
      <c r="I29" s="10" t="s">
        <v>17</v>
      </c>
      <c r="J29" s="10" t="s">
        <v>109</v>
      </c>
      <c r="K29" s="10" t="s">
        <v>110</v>
      </c>
      <c r="L29" s="10" t="s">
        <v>111</v>
      </c>
      <c r="M29" s="37"/>
      <c r="N29" s="10" t="s">
        <v>112</v>
      </c>
    </row>
    <row r="30" spans="1:14" s="4" customFormat="1" ht="30" customHeight="1" x14ac:dyDescent="0.25">
      <c r="A30" s="9" t="s">
        <v>91</v>
      </c>
      <c r="B30" s="13">
        <f>VLOOKUP(Table245[[#This Row],[Cushing, OK]],'List source'!D$2:E$71,2,FALSE)</f>
        <v>190</v>
      </c>
      <c r="C30" s="17" t="s">
        <v>113</v>
      </c>
      <c r="D30" s="21" t="str">
        <f t="shared" si="0"/>
        <v>A029-190-25</v>
      </c>
      <c r="E30" s="38">
        <v>45707</v>
      </c>
      <c r="F30" s="38">
        <v>45707</v>
      </c>
      <c r="G30" s="38"/>
      <c r="H30" s="10" t="s">
        <v>81</v>
      </c>
      <c r="I30" s="10" t="s">
        <v>17</v>
      </c>
      <c r="J30" s="10" t="s">
        <v>109</v>
      </c>
      <c r="K30" s="10" t="s">
        <v>110</v>
      </c>
      <c r="L30" s="10" t="s">
        <v>111</v>
      </c>
      <c r="M30" s="37"/>
      <c r="N30" s="10" t="s">
        <v>112</v>
      </c>
    </row>
    <row r="31" spans="1:14" s="4" customFormat="1" ht="30" customHeight="1" x14ac:dyDescent="0.25">
      <c r="A31" s="9" t="s">
        <v>107</v>
      </c>
      <c r="B31" s="13">
        <f>VLOOKUP(Table245[[#This Row],[Cushing, OK]],'List source'!D$2:E$71,2,FALSE)</f>
        <v>170</v>
      </c>
      <c r="C31" s="17" t="s">
        <v>114</v>
      </c>
      <c r="D31" s="21" t="str">
        <f t="shared" si="0"/>
        <v>A030-170-25</v>
      </c>
      <c r="E31" s="38">
        <v>45728</v>
      </c>
      <c r="F31" s="38">
        <v>45728</v>
      </c>
      <c r="G31" s="38"/>
      <c r="H31" s="10" t="s">
        <v>39</v>
      </c>
      <c r="I31" s="10" t="s">
        <v>31</v>
      </c>
      <c r="J31" s="10" t="s">
        <v>109</v>
      </c>
      <c r="K31" s="10" t="s">
        <v>115</v>
      </c>
      <c r="L31" s="10" t="s">
        <v>97</v>
      </c>
      <c r="M31" s="37" t="s">
        <v>39</v>
      </c>
      <c r="N31" s="10" t="s">
        <v>116</v>
      </c>
    </row>
    <row r="32" spans="1:14" s="4" customFormat="1" ht="41.85" customHeight="1" x14ac:dyDescent="0.25">
      <c r="A32" s="9" t="s">
        <v>117</v>
      </c>
      <c r="B32" s="13">
        <f>VLOOKUP(Table245[[#This Row],[Cushing, OK]],'List source'!D$2:E$71,2,FALSE)</f>
        <v>125</v>
      </c>
      <c r="C32" s="17" t="s">
        <v>118</v>
      </c>
      <c r="D32" s="21" t="str">
        <f t="shared" si="0"/>
        <v>A031-125-25</v>
      </c>
      <c r="E32" s="38">
        <v>45735</v>
      </c>
      <c r="F32" s="38">
        <v>45737</v>
      </c>
      <c r="G32" s="38">
        <v>45740</v>
      </c>
      <c r="H32" s="10" t="s">
        <v>16</v>
      </c>
      <c r="I32" s="10" t="s">
        <v>17</v>
      </c>
      <c r="J32" s="10" t="s">
        <v>35</v>
      </c>
      <c r="K32" s="10" t="s">
        <v>35</v>
      </c>
      <c r="L32" s="10" t="s">
        <v>20</v>
      </c>
      <c r="M32" s="37"/>
      <c r="N32" s="10" t="s">
        <v>21</v>
      </c>
    </row>
    <row r="33" spans="1:14" s="4" customFormat="1" ht="30" customHeight="1" x14ac:dyDescent="0.25">
      <c r="A33" s="9" t="s">
        <v>107</v>
      </c>
      <c r="B33" s="13">
        <f>VLOOKUP(Table245[[#This Row],[Cushing, OK]],'List source'!D$2:E$71,2,FALSE)</f>
        <v>170</v>
      </c>
      <c r="C33" s="17" t="s">
        <v>119</v>
      </c>
      <c r="D33" s="21" t="str">
        <f t="shared" si="0"/>
        <v>A032-170-25</v>
      </c>
      <c r="E33" s="38">
        <v>45733</v>
      </c>
      <c r="F33" s="38">
        <v>45736</v>
      </c>
      <c r="G33" s="38">
        <v>45782</v>
      </c>
      <c r="H33" s="10" t="s">
        <v>16</v>
      </c>
      <c r="I33" s="10" t="s">
        <v>17</v>
      </c>
      <c r="J33" s="10" t="s">
        <v>27</v>
      </c>
      <c r="K33" s="10" t="s">
        <v>57</v>
      </c>
      <c r="L33" s="10" t="s">
        <v>20</v>
      </c>
      <c r="M33" s="37"/>
      <c r="N33" s="10" t="s">
        <v>21</v>
      </c>
    </row>
    <row r="34" spans="1:14" s="4" customFormat="1" ht="30" customHeight="1" x14ac:dyDescent="0.25">
      <c r="A34" s="9" t="s">
        <v>107</v>
      </c>
      <c r="B34" s="13">
        <f>VLOOKUP(Table245[[#This Row],[Cushing, OK]],'List source'!D$2:E$71,2,FALSE)</f>
        <v>170</v>
      </c>
      <c r="C34" s="17" t="s">
        <v>120</v>
      </c>
      <c r="D34" s="21" t="str">
        <f t="shared" ref="D34:D65" si="1">"A" &amp; C34 &amp; "-" &amp; B34 &amp; "-" &amp; "25"</f>
        <v>A033-170-25</v>
      </c>
      <c r="E34" s="38">
        <v>45733</v>
      </c>
      <c r="F34" s="38">
        <v>45736</v>
      </c>
      <c r="G34" s="38">
        <v>45782</v>
      </c>
      <c r="H34" s="10" t="s">
        <v>16</v>
      </c>
      <c r="I34" s="10" t="s">
        <v>31</v>
      </c>
      <c r="J34" s="10" t="s">
        <v>27</v>
      </c>
      <c r="K34" s="10" t="s">
        <v>57</v>
      </c>
      <c r="L34" s="10" t="s">
        <v>20</v>
      </c>
      <c r="M34" s="37"/>
      <c r="N34" s="10" t="s">
        <v>23</v>
      </c>
    </row>
    <row r="35" spans="1:14" s="4" customFormat="1" ht="30" customHeight="1" x14ac:dyDescent="0.25">
      <c r="A35" s="9" t="s">
        <v>107</v>
      </c>
      <c r="B35" s="13">
        <f>VLOOKUP(Table245[[#This Row],[Cushing, OK]],'List source'!D$2:E$71,2,FALSE)</f>
        <v>170</v>
      </c>
      <c r="C35" s="17" t="s">
        <v>121</v>
      </c>
      <c r="D35" s="21" t="str">
        <f t="shared" si="1"/>
        <v>A034-170-25</v>
      </c>
      <c r="E35" s="38">
        <v>45733</v>
      </c>
      <c r="F35" s="38">
        <v>45736</v>
      </c>
      <c r="G35" s="29">
        <v>45782</v>
      </c>
      <c r="H35" s="10" t="s">
        <v>16</v>
      </c>
      <c r="I35" s="10" t="s">
        <v>31</v>
      </c>
      <c r="J35" s="10" t="s">
        <v>27</v>
      </c>
      <c r="K35" s="10" t="s">
        <v>57</v>
      </c>
      <c r="L35" s="10" t="s">
        <v>20</v>
      </c>
      <c r="M35" s="37"/>
      <c r="N35" s="10" t="s">
        <v>122</v>
      </c>
    </row>
    <row r="36" spans="1:14" s="4" customFormat="1" ht="30" customHeight="1" x14ac:dyDescent="0.25">
      <c r="A36" s="9" t="s">
        <v>123</v>
      </c>
      <c r="B36" s="13">
        <f>VLOOKUP(Table245[[#This Row],[Cushing, OK]],'List source'!D$2:E$71,2,FALSE)</f>
        <v>192</v>
      </c>
      <c r="C36" s="17" t="s">
        <v>124</v>
      </c>
      <c r="D36" s="21" t="str">
        <f t="shared" si="1"/>
        <v>A035-192-25</v>
      </c>
      <c r="E36" s="38">
        <v>45747</v>
      </c>
      <c r="F36" s="38">
        <v>45749</v>
      </c>
      <c r="G36" s="38">
        <v>45754</v>
      </c>
      <c r="H36" s="10" t="s">
        <v>16</v>
      </c>
      <c r="I36" s="10" t="s">
        <v>17</v>
      </c>
      <c r="J36" s="10" t="s">
        <v>27</v>
      </c>
      <c r="K36" s="10" t="s">
        <v>125</v>
      </c>
      <c r="L36" s="10" t="s">
        <v>20</v>
      </c>
      <c r="M36" s="37"/>
      <c r="N36" s="10" t="s">
        <v>21</v>
      </c>
    </row>
    <row r="37" spans="1:14" s="4" customFormat="1" ht="30" customHeight="1" x14ac:dyDescent="0.25">
      <c r="A37" s="9" t="s">
        <v>99</v>
      </c>
      <c r="B37" s="13">
        <f>VLOOKUP(Table245[[#This Row],[Cushing, OK]],'List source'!D$2:E$71,2,FALSE)</f>
        <v>198</v>
      </c>
      <c r="C37" s="17" t="s">
        <v>126</v>
      </c>
      <c r="D37" s="21" t="str">
        <f t="shared" si="1"/>
        <v>A036-198-25</v>
      </c>
      <c r="E37" s="38">
        <v>45726</v>
      </c>
      <c r="F37" s="38">
        <v>45726</v>
      </c>
      <c r="G37" s="38"/>
      <c r="H37" s="10" t="s">
        <v>127</v>
      </c>
      <c r="I37" s="10" t="s">
        <v>31</v>
      </c>
      <c r="J37" s="10" t="s">
        <v>101</v>
      </c>
      <c r="K37" s="10" t="s">
        <v>128</v>
      </c>
      <c r="L37" s="10" t="s">
        <v>129</v>
      </c>
      <c r="M37" s="37" t="s">
        <v>127</v>
      </c>
      <c r="N37" s="64" t="s">
        <v>130</v>
      </c>
    </row>
    <row r="38" spans="1:14" s="4" customFormat="1" ht="30" customHeight="1" x14ac:dyDescent="0.25">
      <c r="A38" s="9" t="s">
        <v>131</v>
      </c>
      <c r="B38" s="13">
        <f>VLOOKUP(Table245[[#This Row],[Cushing, OK]],'List source'!D$2:E$71,2,FALSE)</f>
        <v>145</v>
      </c>
      <c r="C38" s="17" t="s">
        <v>132</v>
      </c>
      <c r="D38" s="21" t="str">
        <f t="shared" si="1"/>
        <v>A037-145-25</v>
      </c>
      <c r="E38" s="38">
        <v>45747</v>
      </c>
      <c r="F38" s="38">
        <v>45749</v>
      </c>
      <c r="G38" s="38">
        <v>45756</v>
      </c>
      <c r="H38" s="10" t="s">
        <v>16</v>
      </c>
      <c r="I38" s="10" t="s">
        <v>17</v>
      </c>
      <c r="J38" s="10" t="s">
        <v>48</v>
      </c>
      <c r="K38" s="10" t="s">
        <v>48</v>
      </c>
      <c r="L38" s="10" t="s">
        <v>20</v>
      </c>
      <c r="M38" s="68"/>
      <c r="N38" s="10" t="s">
        <v>21</v>
      </c>
    </row>
    <row r="39" spans="1:14" s="4" customFormat="1" ht="30" customHeight="1" x14ac:dyDescent="0.25">
      <c r="A39" s="9" t="s">
        <v>133</v>
      </c>
      <c r="B39" s="13">
        <f>VLOOKUP(Table245[[#This Row],[Cushing, OK]],'List source'!D$2:E$71,2,FALSE)</f>
        <v>194</v>
      </c>
      <c r="C39" s="17" t="s">
        <v>134</v>
      </c>
      <c r="D39" s="21" t="str">
        <f t="shared" si="1"/>
        <v>A038-194-25</v>
      </c>
      <c r="E39" s="38">
        <v>45754</v>
      </c>
      <c r="F39" s="38">
        <v>45757</v>
      </c>
      <c r="G39" s="38">
        <v>45767</v>
      </c>
      <c r="H39" s="10" t="s">
        <v>16</v>
      </c>
      <c r="I39" s="10" t="s">
        <v>17</v>
      </c>
      <c r="J39" s="10" t="s">
        <v>18</v>
      </c>
      <c r="K39" s="10" t="s">
        <v>135</v>
      </c>
      <c r="L39" s="10" t="s">
        <v>20</v>
      </c>
      <c r="M39" s="10"/>
      <c r="N39" s="10" t="s">
        <v>136</v>
      </c>
    </row>
    <row r="40" spans="1:14" s="4" customFormat="1" ht="30" customHeight="1" x14ac:dyDescent="0.25">
      <c r="A40" s="9" t="s">
        <v>133</v>
      </c>
      <c r="B40" s="13">
        <f>VLOOKUP(Table245[[#This Row],[Cushing, OK]],'List source'!D$2:E$71,2,FALSE)</f>
        <v>194</v>
      </c>
      <c r="C40" s="17" t="s">
        <v>137</v>
      </c>
      <c r="D40" s="21" t="str">
        <f t="shared" si="1"/>
        <v>A039-194-25</v>
      </c>
      <c r="E40" s="38">
        <v>45754</v>
      </c>
      <c r="F40" s="38">
        <v>45757</v>
      </c>
      <c r="G40" s="38">
        <v>45767</v>
      </c>
      <c r="H40" s="10" t="s">
        <v>16</v>
      </c>
      <c r="I40" s="10" t="s">
        <v>31</v>
      </c>
      <c r="J40" s="10" t="s">
        <v>18</v>
      </c>
      <c r="K40" s="10" t="s">
        <v>135</v>
      </c>
      <c r="L40" s="10" t="s">
        <v>20</v>
      </c>
      <c r="M40" s="10"/>
      <c r="N40" s="10" t="s">
        <v>138</v>
      </c>
    </row>
    <row r="41" spans="1:14" s="4" customFormat="1" ht="30" customHeight="1" x14ac:dyDescent="0.25">
      <c r="A41" s="9" t="s">
        <v>139</v>
      </c>
      <c r="B41" s="13">
        <f>VLOOKUP(Table245[[#This Row],[Cushing, OK]],'List source'!D$2:E$71,2,FALSE)</f>
        <v>119</v>
      </c>
      <c r="C41" s="17" t="s">
        <v>140</v>
      </c>
      <c r="D41" s="21" t="str">
        <f t="shared" si="1"/>
        <v>A040-119-25</v>
      </c>
      <c r="E41" s="38">
        <v>45761</v>
      </c>
      <c r="F41" s="38">
        <v>45763</v>
      </c>
      <c r="G41" s="38">
        <v>45783</v>
      </c>
      <c r="H41" s="10" t="s">
        <v>16</v>
      </c>
      <c r="I41" s="10" t="s">
        <v>17</v>
      </c>
      <c r="J41" s="10" t="s">
        <v>27</v>
      </c>
      <c r="K41" s="20" t="s">
        <v>27</v>
      </c>
      <c r="L41" s="10" t="s">
        <v>20</v>
      </c>
      <c r="M41" s="10"/>
      <c r="N41" s="10" t="s">
        <v>136</v>
      </c>
    </row>
    <row r="42" spans="1:14" s="4" customFormat="1" ht="30" customHeight="1" x14ac:dyDescent="0.25">
      <c r="A42" s="9" t="s">
        <v>141</v>
      </c>
      <c r="B42" s="13">
        <f>VLOOKUP(Table245[[#This Row],[Cushing, OK]],'List source'!D$2:E$71,2,FALSE)</f>
        <v>165</v>
      </c>
      <c r="C42" s="17" t="s">
        <v>142</v>
      </c>
      <c r="D42" s="21" t="str">
        <f t="shared" si="1"/>
        <v>A041-165-25</v>
      </c>
      <c r="E42" s="38">
        <v>45782</v>
      </c>
      <c r="F42" s="38">
        <v>45785</v>
      </c>
      <c r="G42" s="29">
        <v>45799</v>
      </c>
      <c r="H42" s="10" t="s">
        <v>16</v>
      </c>
      <c r="I42" s="10" t="s">
        <v>31</v>
      </c>
      <c r="J42" s="10" t="s">
        <v>48</v>
      </c>
      <c r="K42" s="10" t="s">
        <v>49</v>
      </c>
      <c r="L42" s="10" t="s">
        <v>20</v>
      </c>
      <c r="M42" s="37"/>
      <c r="N42" s="10" t="s">
        <v>138</v>
      </c>
    </row>
    <row r="43" spans="1:14" s="4" customFormat="1" ht="30" customHeight="1" x14ac:dyDescent="0.25">
      <c r="A43" s="9" t="s">
        <v>141</v>
      </c>
      <c r="B43" s="13">
        <f>VLOOKUP(Table245[[#This Row],[Cushing, OK]],'List source'!D$2:E$71,2,FALSE)</f>
        <v>165</v>
      </c>
      <c r="C43" s="17" t="s">
        <v>143</v>
      </c>
      <c r="D43" s="21" t="str">
        <f t="shared" si="1"/>
        <v>A042-165-25</v>
      </c>
      <c r="E43" s="38">
        <v>45782</v>
      </c>
      <c r="F43" s="38">
        <v>45785</v>
      </c>
      <c r="G43" s="38">
        <v>45799</v>
      </c>
      <c r="H43" s="10" t="s">
        <v>16</v>
      </c>
      <c r="I43" s="10" t="s">
        <v>17</v>
      </c>
      <c r="J43" s="10" t="s">
        <v>48</v>
      </c>
      <c r="K43" s="10" t="s">
        <v>49</v>
      </c>
      <c r="L43" s="10" t="s">
        <v>20</v>
      </c>
      <c r="M43" s="37"/>
      <c r="N43" s="10" t="s">
        <v>136</v>
      </c>
    </row>
    <row r="44" spans="1:14" s="4" customFormat="1" ht="30" customHeight="1" x14ac:dyDescent="0.25">
      <c r="A44" s="9" t="s">
        <v>141</v>
      </c>
      <c r="B44" s="13">
        <f>VLOOKUP(Table245[[#This Row],[Cushing, OK]],'List source'!D$2:E$71,2,FALSE)</f>
        <v>165</v>
      </c>
      <c r="C44" s="17" t="s">
        <v>144</v>
      </c>
      <c r="D44" s="21" t="str">
        <f t="shared" si="1"/>
        <v>A043-165-25</v>
      </c>
      <c r="E44" s="38">
        <v>46010</v>
      </c>
      <c r="F44" s="38">
        <v>46010</v>
      </c>
      <c r="G44" s="29">
        <v>46010</v>
      </c>
      <c r="H44" s="10" t="s">
        <v>39</v>
      </c>
      <c r="I44" s="10" t="s">
        <v>17</v>
      </c>
      <c r="J44" s="10" t="s">
        <v>48</v>
      </c>
      <c r="K44" s="10" t="s">
        <v>145</v>
      </c>
      <c r="L44" s="10" t="s">
        <v>146</v>
      </c>
      <c r="M44" s="37"/>
      <c r="N44" s="10" t="s">
        <v>147</v>
      </c>
    </row>
    <row r="45" spans="1:14" s="4" customFormat="1" ht="30" customHeight="1" x14ac:dyDescent="0.25">
      <c r="A45" s="9" t="s">
        <v>99</v>
      </c>
      <c r="B45" s="13">
        <f>VLOOKUP(Table245[[#This Row],[Cushing, OK]],'List source'!D$2:E$71,2,FALSE)</f>
        <v>198</v>
      </c>
      <c r="C45" s="17" t="s">
        <v>148</v>
      </c>
      <c r="D45" s="21" t="str">
        <f t="shared" si="1"/>
        <v>A044-198-25</v>
      </c>
      <c r="E45" s="38">
        <v>45847</v>
      </c>
      <c r="F45" s="38">
        <v>45847</v>
      </c>
      <c r="G45" s="29">
        <v>46010</v>
      </c>
      <c r="H45" s="10" t="s">
        <v>39</v>
      </c>
      <c r="I45" s="10" t="s">
        <v>17</v>
      </c>
      <c r="J45" s="10" t="s">
        <v>48</v>
      </c>
      <c r="K45" s="10" t="s">
        <v>145</v>
      </c>
      <c r="L45" s="10" t="s">
        <v>146</v>
      </c>
      <c r="M45" s="37"/>
      <c r="N45" s="10" t="s">
        <v>147</v>
      </c>
    </row>
    <row r="46" spans="1:14" s="4" customFormat="1" ht="30" customHeight="1" x14ac:dyDescent="0.25">
      <c r="A46" s="9" t="s">
        <v>94</v>
      </c>
      <c r="B46" s="13">
        <f>VLOOKUP(Table245[[#This Row],[Cushing, OK]],'List source'!D$2:E$71,2,FALSE)</f>
        <v>120</v>
      </c>
      <c r="C46" s="17" t="s">
        <v>149</v>
      </c>
      <c r="D46" s="21" t="str">
        <f t="shared" si="1"/>
        <v>A045-120-25</v>
      </c>
      <c r="E46" s="38">
        <v>45867</v>
      </c>
      <c r="F46" s="38">
        <v>45868</v>
      </c>
      <c r="G46" s="29">
        <v>46010</v>
      </c>
      <c r="H46" s="10" t="s">
        <v>39</v>
      </c>
      <c r="I46" s="10" t="s">
        <v>17</v>
      </c>
      <c r="J46" s="10" t="s">
        <v>48</v>
      </c>
      <c r="K46" s="10" t="s">
        <v>145</v>
      </c>
      <c r="L46" s="10" t="s">
        <v>146</v>
      </c>
      <c r="M46" s="37"/>
      <c r="N46" s="10" t="s">
        <v>147</v>
      </c>
    </row>
    <row r="47" spans="1:14" s="4" customFormat="1" ht="30" customHeight="1" x14ac:dyDescent="0.25">
      <c r="A47" s="9" t="s">
        <v>105</v>
      </c>
      <c r="B47" s="13">
        <f>VLOOKUP(Table245[[#This Row],[Cushing, OK]],'List source'!D$2:E$71,2,FALSE)</f>
        <v>215</v>
      </c>
      <c r="C47" s="17" t="s">
        <v>150</v>
      </c>
      <c r="D47" s="21" t="str">
        <f t="shared" si="1"/>
        <v>A046-215-25</v>
      </c>
      <c r="E47" s="38">
        <v>45890</v>
      </c>
      <c r="F47" s="38">
        <v>45890</v>
      </c>
      <c r="G47" s="29">
        <v>46010</v>
      </c>
      <c r="H47" s="10" t="s">
        <v>39</v>
      </c>
      <c r="I47" s="10" t="s">
        <v>17</v>
      </c>
      <c r="J47" s="10" t="s">
        <v>48</v>
      </c>
      <c r="K47" s="10" t="s">
        <v>145</v>
      </c>
      <c r="L47" s="10" t="s">
        <v>146</v>
      </c>
      <c r="M47" s="37"/>
      <c r="N47" s="10" t="s">
        <v>147</v>
      </c>
    </row>
    <row r="48" spans="1:14" s="4" customFormat="1" ht="30" customHeight="1" x14ac:dyDescent="0.25">
      <c r="A48" s="9" t="s">
        <v>151</v>
      </c>
      <c r="B48" s="13">
        <f>VLOOKUP(Table245[[#This Row],[Cushing, OK]],'List source'!D$2:E$71,2,FALSE)</f>
        <v>115</v>
      </c>
      <c r="C48" s="17" t="s">
        <v>152</v>
      </c>
      <c r="D48" s="21" t="str">
        <f t="shared" si="1"/>
        <v>A047-115-25</v>
      </c>
      <c r="E48" s="38">
        <v>45902</v>
      </c>
      <c r="F48" s="38">
        <v>45902</v>
      </c>
      <c r="G48" s="29">
        <v>46010</v>
      </c>
      <c r="H48" s="10" t="s">
        <v>39</v>
      </c>
      <c r="I48" s="10" t="s">
        <v>17</v>
      </c>
      <c r="J48" s="10" t="s">
        <v>48</v>
      </c>
      <c r="K48" s="10" t="s">
        <v>145</v>
      </c>
      <c r="L48" s="10" t="s">
        <v>146</v>
      </c>
      <c r="M48" s="37"/>
      <c r="N48" s="10" t="s">
        <v>147</v>
      </c>
    </row>
    <row r="49" spans="1:14" s="4" customFormat="1" ht="30" customHeight="1" x14ac:dyDescent="0.25">
      <c r="A49" s="9" t="s">
        <v>153</v>
      </c>
      <c r="B49" s="13">
        <f>VLOOKUP(Table245[[#This Row],[Cushing, OK]],'List source'!D$2:E$71,2,FALSE)</f>
        <v>110</v>
      </c>
      <c r="C49" s="17" t="s">
        <v>154</v>
      </c>
      <c r="D49" s="21" t="str">
        <f t="shared" si="1"/>
        <v>A048-110-25</v>
      </c>
      <c r="E49" s="29">
        <v>45918</v>
      </c>
      <c r="F49" s="29">
        <v>45918</v>
      </c>
      <c r="G49" s="29">
        <v>46010</v>
      </c>
      <c r="H49" s="10" t="s">
        <v>39</v>
      </c>
      <c r="I49" s="10" t="s">
        <v>17</v>
      </c>
      <c r="J49" s="10" t="s">
        <v>48</v>
      </c>
      <c r="K49" s="10" t="s">
        <v>145</v>
      </c>
      <c r="L49" s="10" t="s">
        <v>146</v>
      </c>
      <c r="M49" s="10"/>
      <c r="N49" s="10" t="s">
        <v>147</v>
      </c>
    </row>
    <row r="50" spans="1:14" s="4" customFormat="1" ht="30" customHeight="1" x14ac:dyDescent="0.25">
      <c r="A50" s="9" t="s">
        <v>131</v>
      </c>
      <c r="B50" s="13">
        <f>VLOOKUP(Table245[[#This Row],[Cushing, OK]],'List source'!D$2:E$71,2,FALSE)</f>
        <v>145</v>
      </c>
      <c r="C50" s="17" t="s">
        <v>155</v>
      </c>
      <c r="D50" s="21" t="str">
        <f t="shared" si="1"/>
        <v>A049-145-25</v>
      </c>
      <c r="E50" s="38">
        <v>45919</v>
      </c>
      <c r="F50" s="38">
        <v>45919</v>
      </c>
      <c r="G50" s="29">
        <v>46010</v>
      </c>
      <c r="H50" s="10" t="s">
        <v>39</v>
      </c>
      <c r="I50" s="10" t="s">
        <v>17</v>
      </c>
      <c r="J50" s="10" t="s">
        <v>48</v>
      </c>
      <c r="K50" s="10" t="s">
        <v>145</v>
      </c>
      <c r="L50" s="10" t="s">
        <v>146</v>
      </c>
      <c r="M50" s="10"/>
      <c r="N50" s="10" t="s">
        <v>147</v>
      </c>
    </row>
    <row r="51" spans="1:14" s="4" customFormat="1" ht="30" customHeight="1" x14ac:dyDescent="0.25">
      <c r="A51" s="9" t="s">
        <v>156</v>
      </c>
      <c r="B51" s="13">
        <f>VLOOKUP(Table245[[#This Row],[Cushing, OK]],'List source'!D$2:E$71,2,FALSE)</f>
        <v>130</v>
      </c>
      <c r="C51" s="17" t="s">
        <v>157</v>
      </c>
      <c r="D51" s="21" t="str">
        <f t="shared" si="1"/>
        <v>A050-130-25</v>
      </c>
      <c r="E51" s="38">
        <v>45768</v>
      </c>
      <c r="F51" s="38">
        <v>45771</v>
      </c>
      <c r="G51" s="38">
        <v>45786</v>
      </c>
      <c r="H51" s="10" t="s">
        <v>16</v>
      </c>
      <c r="I51" s="10" t="s">
        <v>17</v>
      </c>
      <c r="J51" s="10" t="s">
        <v>18</v>
      </c>
      <c r="K51" s="10" t="s">
        <v>158</v>
      </c>
      <c r="L51" s="10" t="s">
        <v>20</v>
      </c>
      <c r="M51" s="10"/>
      <c r="N51" s="10" t="s">
        <v>21</v>
      </c>
    </row>
    <row r="52" spans="1:14" s="4" customFormat="1" ht="30" customHeight="1" x14ac:dyDescent="0.25">
      <c r="A52" s="9" t="s">
        <v>156</v>
      </c>
      <c r="B52" s="13">
        <f>VLOOKUP(Table245[[#This Row],[Cushing, OK]],'List source'!D$2:E$71,2,FALSE)</f>
        <v>130</v>
      </c>
      <c r="C52" s="17" t="s">
        <v>159</v>
      </c>
      <c r="D52" s="21" t="str">
        <f t="shared" si="1"/>
        <v>A051-130-25</v>
      </c>
      <c r="E52" s="38">
        <v>45768</v>
      </c>
      <c r="F52" s="38">
        <v>45771</v>
      </c>
      <c r="G52" s="38">
        <v>45786</v>
      </c>
      <c r="H52" s="10" t="s">
        <v>16</v>
      </c>
      <c r="I52" s="10" t="s">
        <v>31</v>
      </c>
      <c r="J52" s="10" t="s">
        <v>18</v>
      </c>
      <c r="K52" s="10" t="s">
        <v>158</v>
      </c>
      <c r="L52" s="10" t="s">
        <v>20</v>
      </c>
      <c r="M52" s="10"/>
      <c r="N52" s="10" t="s">
        <v>160</v>
      </c>
    </row>
    <row r="53" spans="1:14" s="4" customFormat="1" ht="30" customHeight="1" x14ac:dyDescent="0.25">
      <c r="A53" s="9" t="s">
        <v>156</v>
      </c>
      <c r="B53" s="13">
        <f>VLOOKUP(Table245[[#This Row],[Cushing, OK]],'List source'!D$2:E$71,2,FALSE)</f>
        <v>130</v>
      </c>
      <c r="C53" s="17" t="s">
        <v>161</v>
      </c>
      <c r="D53" s="21" t="str">
        <f t="shared" si="1"/>
        <v>A052-130-25</v>
      </c>
      <c r="E53" s="38">
        <v>45768</v>
      </c>
      <c r="F53" s="38">
        <v>45771</v>
      </c>
      <c r="G53" s="38">
        <v>45786</v>
      </c>
      <c r="H53" s="10" t="s">
        <v>16</v>
      </c>
      <c r="I53" s="10" t="s">
        <v>31</v>
      </c>
      <c r="J53" s="10" t="s">
        <v>18</v>
      </c>
      <c r="K53" s="10" t="s">
        <v>158</v>
      </c>
      <c r="L53" s="10" t="s">
        <v>20</v>
      </c>
      <c r="M53" s="10"/>
      <c r="N53" s="10" t="s">
        <v>162</v>
      </c>
    </row>
    <row r="54" spans="1:14" s="4" customFormat="1" ht="30" customHeight="1" x14ac:dyDescent="0.25">
      <c r="A54" s="9" t="s">
        <v>79</v>
      </c>
      <c r="B54" s="13">
        <f>VLOOKUP(Table245[[#This Row],[Cushing, OK]],'List source'!D$2:E$71,2,FALSE)</f>
        <v>160</v>
      </c>
      <c r="C54" s="17" t="s">
        <v>163</v>
      </c>
      <c r="D54" s="21" t="str">
        <f t="shared" si="1"/>
        <v>A053-160-25</v>
      </c>
      <c r="E54" s="38">
        <v>45775</v>
      </c>
      <c r="F54" s="38">
        <v>45778</v>
      </c>
      <c r="G54" s="38">
        <v>45800</v>
      </c>
      <c r="H54" s="10" t="s">
        <v>16</v>
      </c>
      <c r="I54" s="10" t="s">
        <v>17</v>
      </c>
      <c r="J54" s="10" t="s">
        <v>27</v>
      </c>
      <c r="K54" s="10" t="s">
        <v>164</v>
      </c>
      <c r="L54" s="10" t="s">
        <v>20</v>
      </c>
      <c r="M54" s="10"/>
      <c r="N54" s="10" t="s">
        <v>21</v>
      </c>
    </row>
    <row r="55" spans="1:14" s="4" customFormat="1" ht="30" customHeight="1" x14ac:dyDescent="0.25">
      <c r="A55" s="9" t="s">
        <v>79</v>
      </c>
      <c r="B55" s="13">
        <f>VLOOKUP(Table245[[#This Row],[Cushing, OK]],'List source'!D$2:E$71,2,FALSE)</f>
        <v>160</v>
      </c>
      <c r="C55" s="17" t="s">
        <v>165</v>
      </c>
      <c r="D55" s="21" t="str">
        <f t="shared" si="1"/>
        <v>A054-160-25</v>
      </c>
      <c r="E55" s="38">
        <v>45775</v>
      </c>
      <c r="F55" s="38">
        <v>45778</v>
      </c>
      <c r="G55" s="38">
        <v>45800</v>
      </c>
      <c r="H55" s="10" t="s">
        <v>16</v>
      </c>
      <c r="I55" s="10" t="s">
        <v>31</v>
      </c>
      <c r="J55" s="38" t="s">
        <v>27</v>
      </c>
      <c r="K55" s="10" t="s">
        <v>164</v>
      </c>
      <c r="L55" s="10" t="s">
        <v>20</v>
      </c>
      <c r="M55" s="38"/>
      <c r="N55" s="10" t="s">
        <v>162</v>
      </c>
    </row>
    <row r="56" spans="1:14" s="4" customFormat="1" ht="30" customHeight="1" x14ac:dyDescent="0.25">
      <c r="A56" s="9" t="s">
        <v>156</v>
      </c>
      <c r="B56" s="13">
        <f>VLOOKUP(Table245[[#This Row],[Cushing, OK]],'List source'!D$2:E$71,2,FALSE)</f>
        <v>130</v>
      </c>
      <c r="C56" s="17" t="s">
        <v>166</v>
      </c>
      <c r="D56" s="21" t="str">
        <f t="shared" si="1"/>
        <v>A055-130-25</v>
      </c>
      <c r="E56" s="38">
        <v>45777</v>
      </c>
      <c r="F56" s="38">
        <v>45777</v>
      </c>
      <c r="G56" s="38">
        <v>45807</v>
      </c>
      <c r="H56" s="10" t="s">
        <v>81</v>
      </c>
      <c r="I56" s="10" t="s">
        <v>17</v>
      </c>
      <c r="J56" s="10" t="s">
        <v>167</v>
      </c>
      <c r="K56" s="10" t="s">
        <v>168</v>
      </c>
      <c r="L56" s="10" t="s">
        <v>169</v>
      </c>
      <c r="M56" s="37"/>
      <c r="N56" s="10" t="s">
        <v>170</v>
      </c>
    </row>
    <row r="57" spans="1:14" s="4" customFormat="1" ht="30" customHeight="1" x14ac:dyDescent="0.25">
      <c r="A57" s="9" t="s">
        <v>139</v>
      </c>
      <c r="B57" s="13">
        <f>VLOOKUP(Table245[[#This Row],[Cushing, OK]],'List source'!D$2:E$71,2,FALSE)</f>
        <v>119</v>
      </c>
      <c r="C57" s="17" t="s">
        <v>171</v>
      </c>
      <c r="D57" s="21" t="str">
        <f t="shared" si="1"/>
        <v>A056-119-25</v>
      </c>
      <c r="E57" s="38"/>
      <c r="F57" s="38"/>
      <c r="G57" s="38"/>
      <c r="H57" s="10"/>
      <c r="I57" s="10"/>
      <c r="J57" s="10"/>
      <c r="K57" s="10"/>
      <c r="L57" s="10"/>
      <c r="M57" s="37"/>
      <c r="N57" s="10"/>
    </row>
    <row r="58" spans="1:14" s="4" customFormat="1" ht="30" customHeight="1" x14ac:dyDescent="0.25">
      <c r="A58" s="9" t="s">
        <v>172</v>
      </c>
      <c r="B58" s="13" t="str">
        <f>VLOOKUP(Table245[[#This Row],[Cushing, OK]],'List source'!D$2:E$71,2,FALSE)</f>
        <v>160A</v>
      </c>
      <c r="C58" s="17" t="s">
        <v>173</v>
      </c>
      <c r="D58" s="21" t="str">
        <f t="shared" si="1"/>
        <v>A057-160A-25</v>
      </c>
      <c r="E58" s="38">
        <v>45776</v>
      </c>
      <c r="F58" s="38">
        <v>45777</v>
      </c>
      <c r="G58" s="38">
        <v>45782</v>
      </c>
      <c r="H58" s="10" t="s">
        <v>16</v>
      </c>
      <c r="I58" s="10" t="s">
        <v>17</v>
      </c>
      <c r="J58" s="10" t="s">
        <v>35</v>
      </c>
      <c r="K58" s="10" t="s">
        <v>174</v>
      </c>
      <c r="L58" s="10" t="s">
        <v>20</v>
      </c>
      <c r="M58" s="37"/>
      <c r="N58" s="10" t="s">
        <v>21</v>
      </c>
    </row>
    <row r="59" spans="1:14" s="4" customFormat="1" ht="30" customHeight="1" x14ac:dyDescent="0.25">
      <c r="A59" s="9" t="s">
        <v>175</v>
      </c>
      <c r="B59" s="13">
        <f>VLOOKUP(Table245[[#This Row],[Cushing, OK]],'List source'!D$2:E$71,2,FALSE)</f>
        <v>156</v>
      </c>
      <c r="C59" s="17" t="s">
        <v>176</v>
      </c>
      <c r="D59" s="21" t="str">
        <f t="shared" si="1"/>
        <v>A058-156-25</v>
      </c>
      <c r="E59" s="38">
        <v>45789</v>
      </c>
      <c r="F59" s="38">
        <v>45791</v>
      </c>
      <c r="G59" s="38">
        <v>45799</v>
      </c>
      <c r="H59" s="10" t="s">
        <v>16</v>
      </c>
      <c r="I59" s="10" t="s">
        <v>66</v>
      </c>
      <c r="J59" s="10" t="s">
        <v>35</v>
      </c>
      <c r="K59" s="10" t="s">
        <v>35</v>
      </c>
      <c r="L59" s="10" t="s">
        <v>20</v>
      </c>
      <c r="M59" s="37"/>
      <c r="N59" s="10" t="s">
        <v>21</v>
      </c>
    </row>
    <row r="60" spans="1:14" s="4" customFormat="1" ht="30" customHeight="1" x14ac:dyDescent="0.25">
      <c r="A60" s="9" t="s">
        <v>177</v>
      </c>
      <c r="B60" s="13">
        <f>VLOOKUP(Table245[[#This Row],[Cushing, OK]],'List source'!D$2:E$71,2,FALSE)</f>
        <v>126</v>
      </c>
      <c r="C60" s="17" t="s">
        <v>178</v>
      </c>
      <c r="D60" s="21" t="str">
        <f t="shared" si="1"/>
        <v>A059-126-25</v>
      </c>
      <c r="E60" s="38">
        <v>45789</v>
      </c>
      <c r="F60" s="38">
        <v>45791</v>
      </c>
      <c r="G60" s="38">
        <v>45800</v>
      </c>
      <c r="H60" s="10" t="s">
        <v>16</v>
      </c>
      <c r="I60" s="10" t="s">
        <v>17</v>
      </c>
      <c r="J60" s="10" t="s">
        <v>27</v>
      </c>
      <c r="K60" s="10" t="s">
        <v>27</v>
      </c>
      <c r="L60" s="10" t="s">
        <v>20</v>
      </c>
      <c r="M60" s="37"/>
      <c r="N60" s="10" t="s">
        <v>21</v>
      </c>
    </row>
    <row r="61" spans="1:14" s="4" customFormat="1" ht="30" customHeight="1" x14ac:dyDescent="0.25">
      <c r="A61" s="9" t="s">
        <v>179</v>
      </c>
      <c r="B61" s="13">
        <f>VLOOKUP(Table245[[#This Row],[Cushing, OK]],'List source'!D$2:E$71,2,FALSE)</f>
        <v>189</v>
      </c>
      <c r="C61" s="17" t="s">
        <v>180</v>
      </c>
      <c r="D61" s="21" t="str">
        <f t="shared" si="1"/>
        <v>A060-189-25</v>
      </c>
      <c r="E61" s="38">
        <v>45783</v>
      </c>
      <c r="F61" s="38">
        <v>45783</v>
      </c>
      <c r="G61" s="38"/>
      <c r="H61" s="10" t="s">
        <v>39</v>
      </c>
      <c r="I61" s="10" t="s">
        <v>31</v>
      </c>
      <c r="J61" s="10" t="s">
        <v>18</v>
      </c>
      <c r="K61" s="10" t="s">
        <v>40</v>
      </c>
      <c r="L61" s="10" t="s">
        <v>41</v>
      </c>
      <c r="M61" s="37" t="s">
        <v>181</v>
      </c>
      <c r="N61" s="10" t="s">
        <v>182</v>
      </c>
    </row>
    <row r="62" spans="1:14" s="4" customFormat="1" ht="30" customHeight="1" x14ac:dyDescent="0.25">
      <c r="A62" s="9" t="s">
        <v>86</v>
      </c>
      <c r="B62" s="13">
        <f>VLOOKUP(Table245[[#This Row],[Cushing, OK]],'List source'!D$2:E$71,2,FALSE)</f>
        <v>150</v>
      </c>
      <c r="C62" s="17" t="s">
        <v>183</v>
      </c>
      <c r="D62" s="21" t="str">
        <f t="shared" si="1"/>
        <v>A061-150-25</v>
      </c>
      <c r="E62" s="38">
        <v>45791</v>
      </c>
      <c r="F62" s="38">
        <v>45791</v>
      </c>
      <c r="G62" s="38"/>
      <c r="H62" s="10" t="s">
        <v>127</v>
      </c>
      <c r="I62" s="10" t="s">
        <v>17</v>
      </c>
      <c r="J62" s="10" t="s">
        <v>82</v>
      </c>
      <c r="K62" s="10" t="s">
        <v>184</v>
      </c>
      <c r="L62" s="10" t="s">
        <v>185</v>
      </c>
      <c r="M62" s="37" t="s">
        <v>127</v>
      </c>
      <c r="N62" s="10" t="s">
        <v>185</v>
      </c>
    </row>
    <row r="63" spans="1:14" s="4" customFormat="1" ht="30" customHeight="1" x14ac:dyDescent="0.25">
      <c r="A63" s="9" t="s">
        <v>186</v>
      </c>
      <c r="B63" s="13">
        <f>VLOOKUP(Table245[[#This Row],[Cushing, OK]],'List source'!D$2:E$71,2,FALSE)</f>
        <v>136</v>
      </c>
      <c r="C63" s="17" t="s">
        <v>187</v>
      </c>
      <c r="D63" s="21" t="str">
        <f t="shared" si="1"/>
        <v>A062-136-25</v>
      </c>
      <c r="E63" s="38">
        <v>45785</v>
      </c>
      <c r="F63" s="38">
        <v>45785</v>
      </c>
      <c r="G63" s="38"/>
      <c r="H63" s="10" t="s">
        <v>127</v>
      </c>
      <c r="I63" s="10" t="s">
        <v>31</v>
      </c>
      <c r="J63" s="10" t="s">
        <v>109</v>
      </c>
      <c r="K63" s="10"/>
      <c r="L63" s="10" t="s">
        <v>185</v>
      </c>
      <c r="M63" s="37" t="s">
        <v>127</v>
      </c>
      <c r="N63" s="10"/>
    </row>
    <row r="64" spans="1:14" s="4" customFormat="1" ht="30" customHeight="1" x14ac:dyDescent="0.25">
      <c r="A64" s="9" t="s">
        <v>37</v>
      </c>
      <c r="B64" s="13">
        <f>VLOOKUP(Table245[[#This Row],[Cushing, OK]],'List source'!D$2:E$71,2,FALSE)</f>
        <v>210</v>
      </c>
      <c r="C64" s="17" t="s">
        <v>188</v>
      </c>
      <c r="D64" s="42" t="str">
        <f>"A" &amp; C64 &amp; "-" &amp; B64 &amp; "-" &amp; "25"</f>
        <v>A063-210-25</v>
      </c>
      <c r="E64" s="38">
        <v>45791</v>
      </c>
      <c r="F64" s="38">
        <v>45792</v>
      </c>
      <c r="G64" s="38">
        <v>45819</v>
      </c>
      <c r="H64" s="10" t="s">
        <v>127</v>
      </c>
      <c r="I64" s="10" t="s">
        <v>17</v>
      </c>
      <c r="J64" s="10" t="s">
        <v>189</v>
      </c>
      <c r="K64" s="10" t="s">
        <v>190</v>
      </c>
      <c r="L64" s="10" t="s">
        <v>185</v>
      </c>
      <c r="M64" s="37" t="s">
        <v>127</v>
      </c>
      <c r="N64" s="10" t="s">
        <v>191</v>
      </c>
    </row>
    <row r="65" spans="1:14" s="4" customFormat="1" ht="30" customHeight="1" x14ac:dyDescent="0.25">
      <c r="A65" s="9" t="s">
        <v>58</v>
      </c>
      <c r="B65" s="13">
        <f>VLOOKUP(Table245[[#This Row],[Cushing, OK]],'List source'!D$2:E$71,2,FALSE)</f>
        <v>146</v>
      </c>
      <c r="C65" s="17" t="s">
        <v>192</v>
      </c>
      <c r="D65" s="21" t="str">
        <f t="shared" si="1"/>
        <v>A064-146-25</v>
      </c>
      <c r="E65" s="38">
        <v>45701</v>
      </c>
      <c r="F65" s="38">
        <v>45701</v>
      </c>
      <c r="G65" s="38">
        <v>45722</v>
      </c>
      <c r="H65" s="10" t="s">
        <v>81</v>
      </c>
      <c r="I65" s="10" t="s">
        <v>66</v>
      </c>
      <c r="J65" s="10" t="s">
        <v>27</v>
      </c>
      <c r="K65" s="10" t="s">
        <v>193</v>
      </c>
      <c r="L65" s="10" t="s">
        <v>194</v>
      </c>
      <c r="M65" s="37"/>
      <c r="N65" s="10" t="s">
        <v>195</v>
      </c>
    </row>
    <row r="66" spans="1:14" s="4" customFormat="1" ht="30" customHeight="1" x14ac:dyDescent="0.25">
      <c r="A66" s="9" t="s">
        <v>94</v>
      </c>
      <c r="B66" s="13">
        <f>VLOOKUP(Table245[[#This Row],[Cushing, OK]],'List source'!D$2:E$71,2,FALSE)</f>
        <v>120</v>
      </c>
      <c r="C66" s="17" t="s">
        <v>196</v>
      </c>
      <c r="D66" s="21" t="str">
        <f t="shared" ref="D66:D97" si="2">"A" &amp; C66 &amp; "-" &amp; B66 &amp; "-" &amp; "25"</f>
        <v>A065-120-25</v>
      </c>
      <c r="E66" s="38">
        <v>45810</v>
      </c>
      <c r="F66" s="38">
        <v>45813</v>
      </c>
      <c r="G66" s="38">
        <v>45833</v>
      </c>
      <c r="H66" s="10" t="s">
        <v>16</v>
      </c>
      <c r="I66" s="10" t="s">
        <v>17</v>
      </c>
      <c r="J66" s="10" t="s">
        <v>48</v>
      </c>
      <c r="K66" s="10" t="s">
        <v>197</v>
      </c>
      <c r="L66" s="10" t="s">
        <v>20</v>
      </c>
      <c r="M66" s="37"/>
      <c r="N66" s="10" t="s">
        <v>21</v>
      </c>
    </row>
    <row r="67" spans="1:14" s="4" customFormat="1" ht="30" customHeight="1" x14ac:dyDescent="0.25">
      <c r="A67" s="9" t="s">
        <v>94</v>
      </c>
      <c r="B67" s="13">
        <f>VLOOKUP(Table245[[#This Row],[Cushing, OK]],'List source'!D$2:E$71,2,FALSE)</f>
        <v>120</v>
      </c>
      <c r="C67" s="17" t="s">
        <v>198</v>
      </c>
      <c r="D67" s="21" t="str">
        <f t="shared" si="2"/>
        <v>A066-120-25</v>
      </c>
      <c r="E67" s="38">
        <v>45810</v>
      </c>
      <c r="F67" s="38">
        <v>45813</v>
      </c>
      <c r="G67" s="38">
        <v>45833</v>
      </c>
      <c r="H67" s="10" t="s">
        <v>16</v>
      </c>
      <c r="I67" s="10" t="s">
        <v>31</v>
      </c>
      <c r="J67" s="10" t="s">
        <v>27</v>
      </c>
      <c r="K67" s="10" t="s">
        <v>197</v>
      </c>
      <c r="L67" s="10" t="s">
        <v>20</v>
      </c>
      <c r="M67" s="37"/>
      <c r="N67" s="10" t="s">
        <v>160</v>
      </c>
    </row>
    <row r="68" spans="1:14" s="4" customFormat="1" ht="30" customHeight="1" x14ac:dyDescent="0.25">
      <c r="A68" s="9" t="s">
        <v>94</v>
      </c>
      <c r="B68" s="13">
        <f>VLOOKUP(Table245[[#This Row],[Cushing, OK]],'List source'!D$2:E$71,2,FALSE)</f>
        <v>120</v>
      </c>
      <c r="C68" s="17" t="s">
        <v>199</v>
      </c>
      <c r="D68" s="21" t="str">
        <f t="shared" si="2"/>
        <v>A067-120-25</v>
      </c>
      <c r="E68" s="38">
        <v>45810</v>
      </c>
      <c r="F68" s="38">
        <v>45813</v>
      </c>
      <c r="G68" s="38">
        <v>45833</v>
      </c>
      <c r="H68" s="10" t="s">
        <v>16</v>
      </c>
      <c r="I68" s="10" t="s">
        <v>31</v>
      </c>
      <c r="J68" s="10" t="s">
        <v>18</v>
      </c>
      <c r="K68" s="10" t="s">
        <v>197</v>
      </c>
      <c r="L68" s="10" t="s">
        <v>20</v>
      </c>
      <c r="M68" s="10"/>
      <c r="N68" s="10" t="s">
        <v>162</v>
      </c>
    </row>
    <row r="69" spans="1:14" s="4" customFormat="1" ht="30" customHeight="1" x14ac:dyDescent="0.25">
      <c r="A69" s="9" t="s">
        <v>179</v>
      </c>
      <c r="B69" s="13">
        <f>VLOOKUP(Table245[[#This Row],[Cushing, OK]],'List source'!D$2:E$71,2,FALSE)</f>
        <v>189</v>
      </c>
      <c r="C69" s="17" t="s">
        <v>200</v>
      </c>
      <c r="D69" s="21" t="str">
        <f t="shared" si="2"/>
        <v>A068-189-25</v>
      </c>
      <c r="E69" s="38">
        <v>45804</v>
      </c>
      <c r="F69" s="38">
        <v>45807</v>
      </c>
      <c r="G69" s="38">
        <v>45820</v>
      </c>
      <c r="H69" s="10" t="s">
        <v>16</v>
      </c>
      <c r="I69" s="10" t="s">
        <v>17</v>
      </c>
      <c r="J69" s="10" t="s">
        <v>201</v>
      </c>
      <c r="K69" s="10" t="s">
        <v>202</v>
      </c>
      <c r="L69" s="10" t="s">
        <v>20</v>
      </c>
      <c r="M69" s="37"/>
      <c r="N69" s="10" t="s">
        <v>75</v>
      </c>
    </row>
    <row r="70" spans="1:14" s="4" customFormat="1" ht="30" customHeight="1" x14ac:dyDescent="0.25">
      <c r="A70" s="9" t="s">
        <v>203</v>
      </c>
      <c r="B70" s="13">
        <f>VLOOKUP(Table245[[#This Row],[Cushing, OK]],'List source'!D$2:E$71,2,FALSE)</f>
        <v>140</v>
      </c>
      <c r="C70" s="17" t="s">
        <v>204</v>
      </c>
      <c r="D70" s="21" t="str">
        <f t="shared" si="2"/>
        <v>A069-140-25</v>
      </c>
      <c r="E70" s="38">
        <v>45819</v>
      </c>
      <c r="F70" s="38">
        <v>45820</v>
      </c>
      <c r="G70" s="29">
        <v>45825</v>
      </c>
      <c r="H70" s="10" t="s">
        <v>16</v>
      </c>
      <c r="I70" s="10" t="s">
        <v>17</v>
      </c>
      <c r="J70" s="10" t="s">
        <v>18</v>
      </c>
      <c r="K70" s="10" t="s">
        <v>18</v>
      </c>
      <c r="L70" s="10" t="s">
        <v>20</v>
      </c>
      <c r="M70" s="37"/>
      <c r="N70" s="10" t="s">
        <v>75</v>
      </c>
    </row>
    <row r="71" spans="1:14" s="4" customFormat="1" ht="30" customHeight="1" x14ac:dyDescent="0.25">
      <c r="A71" s="9" t="s">
        <v>79</v>
      </c>
      <c r="B71" s="13">
        <f>VLOOKUP(Table245[[#This Row],[Cushing, OK]],'List source'!D$2:E$71,2,FALSE)</f>
        <v>160</v>
      </c>
      <c r="C71" s="17" t="s">
        <v>205</v>
      </c>
      <c r="D71" s="21" t="str">
        <f t="shared" si="2"/>
        <v>A070-160-25</v>
      </c>
      <c r="E71" s="38">
        <v>45810</v>
      </c>
      <c r="F71" s="38">
        <v>45814</v>
      </c>
      <c r="G71" s="38">
        <v>45817</v>
      </c>
      <c r="H71" s="10" t="s">
        <v>39</v>
      </c>
      <c r="I71" s="10" t="s">
        <v>31</v>
      </c>
      <c r="J71" s="10" t="s">
        <v>18</v>
      </c>
      <c r="K71" s="10" t="s">
        <v>206</v>
      </c>
      <c r="L71" s="10" t="s">
        <v>41</v>
      </c>
      <c r="M71" s="37"/>
      <c r="N71" s="10" t="s">
        <v>61</v>
      </c>
    </row>
    <row r="72" spans="1:14" s="4" customFormat="1" ht="30" customHeight="1" x14ac:dyDescent="0.25">
      <c r="A72" s="9" t="s">
        <v>25</v>
      </c>
      <c r="B72" s="13">
        <f>VLOOKUP(Table245[[#This Row],[Cushing, OK]],'List source'!D$2:E$71,2,FALSE)</f>
        <v>158</v>
      </c>
      <c r="C72" s="17" t="s">
        <v>207</v>
      </c>
      <c r="D72" s="21" t="str">
        <f t="shared" si="2"/>
        <v>A071-158-25</v>
      </c>
      <c r="E72" s="38">
        <v>45824</v>
      </c>
      <c r="F72" s="38"/>
      <c r="G72" s="38"/>
      <c r="H72" s="10" t="s">
        <v>39</v>
      </c>
      <c r="I72" s="10" t="s">
        <v>31</v>
      </c>
      <c r="J72" s="10" t="s">
        <v>18</v>
      </c>
      <c r="K72" s="10" t="s">
        <v>40</v>
      </c>
      <c r="L72" s="10" t="s">
        <v>41</v>
      </c>
      <c r="M72" s="37"/>
      <c r="N72" s="10" t="s">
        <v>61</v>
      </c>
    </row>
    <row r="73" spans="1:14" s="4" customFormat="1" ht="30" customHeight="1" x14ac:dyDescent="0.25">
      <c r="A73" s="9" t="s">
        <v>208</v>
      </c>
      <c r="B73" s="13">
        <f>VLOOKUP(Table245[[#This Row],[Cushing, OK]],'List source'!D$2:E$71,2,FALSE)</f>
        <v>137</v>
      </c>
      <c r="C73" s="17" t="s">
        <v>209</v>
      </c>
      <c r="D73" s="21" t="str">
        <f t="shared" si="2"/>
        <v>A072-137-25</v>
      </c>
      <c r="E73" s="38">
        <v>45824</v>
      </c>
      <c r="F73" s="38">
        <v>45824</v>
      </c>
      <c r="G73" s="38">
        <v>45835</v>
      </c>
      <c r="H73" s="10" t="s">
        <v>16</v>
      </c>
      <c r="I73" s="10" t="s">
        <v>17</v>
      </c>
      <c r="J73" s="10" t="s">
        <v>48</v>
      </c>
      <c r="K73" s="10" t="s">
        <v>210</v>
      </c>
      <c r="L73" s="10" t="s">
        <v>20</v>
      </c>
      <c r="M73" s="37"/>
      <c r="N73" s="10" t="s">
        <v>75</v>
      </c>
    </row>
    <row r="74" spans="1:14" s="4" customFormat="1" ht="30" customHeight="1" x14ac:dyDescent="0.25">
      <c r="A74" s="9" t="s">
        <v>211</v>
      </c>
      <c r="B74" s="13">
        <f>VLOOKUP(Table245[[#This Row],[Cushing, OK]],'List source'!D$2:E$71,2,FALSE)</f>
        <v>132</v>
      </c>
      <c r="C74" s="17" t="s">
        <v>212</v>
      </c>
      <c r="D74" s="21" t="str">
        <f t="shared" si="2"/>
        <v>A073-132-25</v>
      </c>
      <c r="E74" s="38">
        <v>45825</v>
      </c>
      <c r="F74" s="38">
        <v>45827</v>
      </c>
      <c r="G74" s="38">
        <v>45835</v>
      </c>
      <c r="H74" s="10" t="s">
        <v>16</v>
      </c>
      <c r="I74" s="10" t="s">
        <v>17</v>
      </c>
      <c r="J74" s="10" t="s">
        <v>48</v>
      </c>
      <c r="K74" s="10" t="s">
        <v>210</v>
      </c>
      <c r="L74" s="10" t="s">
        <v>20</v>
      </c>
      <c r="M74" s="37"/>
      <c r="N74" s="10" t="s">
        <v>162</v>
      </c>
    </row>
    <row r="75" spans="1:14" s="4" customFormat="1" ht="30" customHeight="1" x14ac:dyDescent="0.25">
      <c r="A75" s="9" t="s">
        <v>211</v>
      </c>
      <c r="B75" s="13">
        <f>VLOOKUP(Table245[[#This Row],[Cushing, OK]],'List source'!D$2:E$71,2,FALSE)</f>
        <v>132</v>
      </c>
      <c r="C75" s="17" t="s">
        <v>213</v>
      </c>
      <c r="D75" s="21" t="str">
        <f t="shared" si="2"/>
        <v>A074-132-25</v>
      </c>
      <c r="E75" s="38">
        <v>45825</v>
      </c>
      <c r="F75" s="38">
        <v>45827</v>
      </c>
      <c r="G75" s="38">
        <v>45835</v>
      </c>
      <c r="H75" s="10" t="s">
        <v>16</v>
      </c>
      <c r="I75" s="10" t="s">
        <v>31</v>
      </c>
      <c r="J75" s="10" t="s">
        <v>48</v>
      </c>
      <c r="K75" s="10" t="s">
        <v>210</v>
      </c>
      <c r="L75" s="10" t="s">
        <v>20</v>
      </c>
      <c r="M75" s="37"/>
      <c r="N75" s="10" t="s">
        <v>75</v>
      </c>
    </row>
    <row r="76" spans="1:14" s="4" customFormat="1" ht="30" customHeight="1" x14ac:dyDescent="0.25">
      <c r="A76" s="9" t="s">
        <v>179</v>
      </c>
      <c r="B76" s="13">
        <f>VLOOKUP(Table245[[#This Row],[Cushing, OK]],'List source'!D$2:E$71,2,FALSE)</f>
        <v>189</v>
      </c>
      <c r="C76" s="17" t="s">
        <v>214</v>
      </c>
      <c r="D76" s="21" t="str">
        <f t="shared" si="2"/>
        <v>A075-189-25</v>
      </c>
      <c r="E76" s="38">
        <v>45804</v>
      </c>
      <c r="F76" s="38">
        <v>45807</v>
      </c>
      <c r="G76" s="38">
        <v>45820</v>
      </c>
      <c r="H76" s="10" t="s">
        <v>16</v>
      </c>
      <c r="I76" s="10" t="s">
        <v>31</v>
      </c>
      <c r="J76" s="10" t="s">
        <v>201</v>
      </c>
      <c r="K76" s="10" t="s">
        <v>202</v>
      </c>
      <c r="L76" s="10" t="s">
        <v>20</v>
      </c>
      <c r="M76" s="37"/>
      <c r="N76" s="10" t="s">
        <v>138</v>
      </c>
    </row>
    <row r="77" spans="1:14" s="4" customFormat="1" ht="30" customHeight="1" x14ac:dyDescent="0.25">
      <c r="A77" s="9" t="s">
        <v>186</v>
      </c>
      <c r="B77" s="13">
        <f>VLOOKUP(Table245[[#This Row],[Cushing, OK]],'List source'!D$2:E$71,2,FALSE)</f>
        <v>136</v>
      </c>
      <c r="C77" s="17" t="s">
        <v>215</v>
      </c>
      <c r="D77" s="21" t="str">
        <f t="shared" si="2"/>
        <v>A076-136-25</v>
      </c>
      <c r="E77" s="38">
        <v>45770</v>
      </c>
      <c r="F77" s="38">
        <v>45770</v>
      </c>
      <c r="G77" s="29">
        <v>45819</v>
      </c>
      <c r="H77" s="10" t="s">
        <v>81</v>
      </c>
      <c r="I77" s="10" t="s">
        <v>31</v>
      </c>
      <c r="J77" s="10" t="s">
        <v>27</v>
      </c>
      <c r="K77" s="10" t="s">
        <v>216</v>
      </c>
      <c r="L77" s="10" t="s">
        <v>84</v>
      </c>
      <c r="M77" s="37"/>
      <c r="N77" s="10" t="s">
        <v>217</v>
      </c>
    </row>
    <row r="78" spans="1:14" s="4" customFormat="1" ht="30" customHeight="1" x14ac:dyDescent="0.25">
      <c r="A78" s="9" t="s">
        <v>218</v>
      </c>
      <c r="B78" s="13">
        <f>VLOOKUP(Table245[[#This Row],[Cushing, OK]],'List source'!D$2:E$71,2,FALSE)</f>
        <v>121</v>
      </c>
      <c r="C78" s="17" t="s">
        <v>219</v>
      </c>
      <c r="D78" s="21" t="str">
        <f t="shared" si="2"/>
        <v>A077-121-25</v>
      </c>
      <c r="E78" s="38">
        <v>45810</v>
      </c>
      <c r="F78" s="38">
        <v>45810</v>
      </c>
      <c r="G78" s="38">
        <v>45835</v>
      </c>
      <c r="H78" s="10" t="s">
        <v>16</v>
      </c>
      <c r="I78" s="10"/>
      <c r="J78" s="10"/>
      <c r="K78" s="10"/>
      <c r="L78" s="10"/>
      <c r="M78" s="37"/>
      <c r="N78" s="10" t="s">
        <v>75</v>
      </c>
    </row>
    <row r="79" spans="1:14" s="4" customFormat="1" ht="30" customHeight="1" x14ac:dyDescent="0.25">
      <c r="A79" s="9" t="s">
        <v>220</v>
      </c>
      <c r="B79" s="13">
        <f>VLOOKUP(Table245[[#This Row],[Cushing, OK]],'List source'!D$2:E$71,2,FALSE)</f>
        <v>197</v>
      </c>
      <c r="C79" s="17" t="s">
        <v>221</v>
      </c>
      <c r="D79" s="21" t="str">
        <f t="shared" si="2"/>
        <v>A078-197-25</v>
      </c>
      <c r="E79" s="38">
        <v>45831</v>
      </c>
      <c r="F79" s="38">
        <v>45841</v>
      </c>
      <c r="G79" s="38">
        <v>45862</v>
      </c>
      <c r="H79" s="10" t="s">
        <v>16</v>
      </c>
      <c r="I79" s="10" t="s">
        <v>17</v>
      </c>
      <c r="J79" s="10" t="s">
        <v>27</v>
      </c>
      <c r="K79" s="10" t="s">
        <v>222</v>
      </c>
      <c r="L79" s="10" t="s">
        <v>20</v>
      </c>
      <c r="M79" s="37"/>
      <c r="N79" s="10"/>
    </row>
    <row r="80" spans="1:14" s="4" customFormat="1" ht="30" customHeight="1" x14ac:dyDescent="0.25">
      <c r="A80" s="9" t="s">
        <v>220</v>
      </c>
      <c r="B80" s="13">
        <f>VLOOKUP(Table245[[#This Row],[Cushing, OK]],'List source'!D$2:E$71,2,FALSE)</f>
        <v>197</v>
      </c>
      <c r="C80" s="17" t="s">
        <v>223</v>
      </c>
      <c r="D80" s="21" t="str">
        <f t="shared" si="2"/>
        <v>A079-197-25</v>
      </c>
      <c r="E80" s="38">
        <v>45831</v>
      </c>
      <c r="F80" s="38">
        <v>45841</v>
      </c>
      <c r="G80" s="38">
        <v>45862</v>
      </c>
      <c r="H80" s="10" t="s">
        <v>16</v>
      </c>
      <c r="I80" s="10" t="s">
        <v>31</v>
      </c>
      <c r="J80" s="10" t="s">
        <v>27</v>
      </c>
      <c r="K80" s="10" t="s">
        <v>222</v>
      </c>
      <c r="L80" s="10" t="s">
        <v>20</v>
      </c>
      <c r="M80" s="37"/>
      <c r="N80" s="10"/>
    </row>
    <row r="81" spans="1:14" s="4" customFormat="1" ht="30" customHeight="1" x14ac:dyDescent="0.25">
      <c r="A81" s="9" t="s">
        <v>99</v>
      </c>
      <c r="B81" s="13">
        <f>VLOOKUP(Table245[[#This Row],[Cushing, OK]],'List source'!D$2:E$71,2,FALSE)</f>
        <v>198</v>
      </c>
      <c r="C81" s="17" t="s">
        <v>224</v>
      </c>
      <c r="D81" s="21" t="str">
        <f t="shared" si="2"/>
        <v>A080-198-25</v>
      </c>
      <c r="E81" s="38">
        <v>45999</v>
      </c>
      <c r="F81" s="38">
        <v>46048</v>
      </c>
      <c r="G81" s="38">
        <v>46044</v>
      </c>
      <c r="H81" s="10" t="s">
        <v>16</v>
      </c>
      <c r="I81" s="10" t="s">
        <v>17</v>
      </c>
      <c r="J81" s="10" t="s">
        <v>48</v>
      </c>
      <c r="K81" s="10" t="s">
        <v>48</v>
      </c>
      <c r="L81" s="10" t="s">
        <v>20</v>
      </c>
      <c r="M81" s="37"/>
      <c r="N81" s="10" t="s">
        <v>225</v>
      </c>
    </row>
    <row r="82" spans="1:14" s="4" customFormat="1" ht="30" customHeight="1" x14ac:dyDescent="0.25">
      <c r="A82" s="9" t="s">
        <v>46</v>
      </c>
      <c r="B82" s="13">
        <f>VLOOKUP(Table245[[#This Row],[Cushing, OK]],'List source'!D$2:E$71,2,FALSE)</f>
        <v>155</v>
      </c>
      <c r="C82" s="17" t="s">
        <v>226</v>
      </c>
      <c r="D82" s="21" t="str">
        <f t="shared" si="2"/>
        <v>A081-155-25</v>
      </c>
      <c r="E82" s="38">
        <v>45845</v>
      </c>
      <c r="F82" s="38">
        <v>45849</v>
      </c>
      <c r="G82" s="29"/>
      <c r="H82" s="10" t="s">
        <v>39</v>
      </c>
      <c r="I82" s="10" t="s">
        <v>31</v>
      </c>
      <c r="J82" s="10" t="s">
        <v>18</v>
      </c>
      <c r="K82" s="10" t="s">
        <v>206</v>
      </c>
      <c r="L82" s="10" t="s">
        <v>41</v>
      </c>
      <c r="M82" s="10"/>
      <c r="N82" s="10" t="s">
        <v>61</v>
      </c>
    </row>
    <row r="83" spans="1:14" s="4" customFormat="1" ht="30" customHeight="1" x14ac:dyDescent="0.25">
      <c r="A83" s="9" t="s">
        <v>58</v>
      </c>
      <c r="B83" s="13">
        <f>VLOOKUP(Table245[[#This Row],[Cushing, OK]],'List source'!D$2:E$71,2,FALSE)</f>
        <v>146</v>
      </c>
      <c r="C83" s="17" t="s">
        <v>227</v>
      </c>
      <c r="D83" s="21" t="str">
        <f t="shared" si="2"/>
        <v>A082-146-25</v>
      </c>
      <c r="E83" s="38">
        <v>45812</v>
      </c>
      <c r="F83" s="38">
        <v>45812</v>
      </c>
      <c r="G83" s="38">
        <v>45834</v>
      </c>
      <c r="H83" s="10" t="s">
        <v>127</v>
      </c>
      <c r="I83" s="10" t="s">
        <v>17</v>
      </c>
      <c r="J83" s="10" t="s">
        <v>27</v>
      </c>
      <c r="K83" s="120" t="s">
        <v>228</v>
      </c>
      <c r="L83" s="10" t="s">
        <v>185</v>
      </c>
      <c r="M83" s="10" t="s">
        <v>127</v>
      </c>
      <c r="N83" s="69" t="s">
        <v>229</v>
      </c>
    </row>
    <row r="84" spans="1:14" s="4" customFormat="1" ht="30" customHeight="1" x14ac:dyDescent="0.25">
      <c r="A84" s="9" t="s">
        <v>79</v>
      </c>
      <c r="B84" s="13">
        <f>VLOOKUP(Table245[[#This Row],[Cushing, OK]],'List source'!D$2:E$71,2,FALSE)</f>
        <v>160</v>
      </c>
      <c r="C84" s="17" t="s">
        <v>230</v>
      </c>
      <c r="D84" s="21" t="str">
        <f t="shared" si="2"/>
        <v>A083-160-25</v>
      </c>
      <c r="E84" s="38">
        <v>45814</v>
      </c>
      <c r="F84" s="38">
        <v>45814</v>
      </c>
      <c r="G84" s="38">
        <v>45947</v>
      </c>
      <c r="H84" s="10" t="s">
        <v>81</v>
      </c>
      <c r="I84" s="10" t="s">
        <v>17</v>
      </c>
      <c r="J84" s="10" t="s">
        <v>27</v>
      </c>
      <c r="K84" s="10" t="s">
        <v>231</v>
      </c>
      <c r="L84" s="10" t="s">
        <v>232</v>
      </c>
      <c r="M84" s="37"/>
      <c r="N84" s="10"/>
    </row>
    <row r="85" spans="1:14" s="4" customFormat="1" ht="30" customHeight="1" x14ac:dyDescent="0.25">
      <c r="A85" s="9" t="s">
        <v>54</v>
      </c>
      <c r="B85" s="13">
        <f>VLOOKUP(Table245[[#This Row],[Cushing, OK]],'List source'!D$2:E$71,2,FALSE)</f>
        <v>128</v>
      </c>
      <c r="C85" s="17" t="s">
        <v>233</v>
      </c>
      <c r="D85" s="21" t="str">
        <f t="shared" si="2"/>
        <v>A084-128-25</v>
      </c>
      <c r="E85" s="38">
        <v>45784</v>
      </c>
      <c r="F85" s="38">
        <v>45784</v>
      </c>
      <c r="G85" s="38">
        <v>45810</v>
      </c>
      <c r="H85" s="10" t="s">
        <v>127</v>
      </c>
      <c r="I85" s="10" t="s">
        <v>17</v>
      </c>
      <c r="J85" s="10" t="s">
        <v>27</v>
      </c>
      <c r="K85" s="10" t="s">
        <v>234</v>
      </c>
      <c r="L85" s="10" t="s">
        <v>235</v>
      </c>
      <c r="M85" s="37" t="s">
        <v>127</v>
      </c>
      <c r="N85" s="10" t="s">
        <v>236</v>
      </c>
    </row>
    <row r="86" spans="1:14" s="4" customFormat="1" ht="30" customHeight="1" x14ac:dyDescent="0.25">
      <c r="A86" s="9" t="s">
        <v>237</v>
      </c>
      <c r="B86" s="13">
        <f>VLOOKUP(Table245[[#This Row],[Cushing, OK]],'List source'!D$2:E$71,2,FALSE)</f>
        <v>171</v>
      </c>
      <c r="C86" s="17" t="s">
        <v>238</v>
      </c>
      <c r="D86" s="21" t="str">
        <f t="shared" si="2"/>
        <v>A085-171-25</v>
      </c>
      <c r="E86" s="38">
        <v>45818</v>
      </c>
      <c r="F86" s="38">
        <v>45819</v>
      </c>
      <c r="G86" s="38"/>
      <c r="H86" s="10" t="s">
        <v>81</v>
      </c>
      <c r="I86" s="10" t="s">
        <v>17</v>
      </c>
      <c r="J86" s="38" t="s">
        <v>27</v>
      </c>
      <c r="K86" s="38"/>
      <c r="L86" s="38" t="s">
        <v>239</v>
      </c>
      <c r="M86" s="37"/>
      <c r="N86" s="10"/>
    </row>
    <row r="87" spans="1:14" s="4" customFormat="1" ht="30" customHeight="1" x14ac:dyDescent="0.25">
      <c r="A87" s="9" t="s">
        <v>123</v>
      </c>
      <c r="B87" s="13">
        <f>VLOOKUP(Table245[[#This Row],[Cushing, OK]],'List source'!D$2:E$71,2,FALSE)</f>
        <v>192</v>
      </c>
      <c r="C87" s="17" t="s">
        <v>240</v>
      </c>
      <c r="D87" s="21" t="str">
        <f t="shared" si="2"/>
        <v>A086-192-25</v>
      </c>
      <c r="E87" s="38">
        <v>45873</v>
      </c>
      <c r="F87" s="38">
        <v>45873</v>
      </c>
      <c r="G87" s="29"/>
      <c r="H87" s="10"/>
      <c r="I87" s="10"/>
      <c r="J87" s="10" t="s">
        <v>27</v>
      </c>
      <c r="K87" s="10"/>
      <c r="L87" s="10" t="s">
        <v>241</v>
      </c>
      <c r="M87" s="37"/>
      <c r="N87" s="10"/>
    </row>
    <row r="88" spans="1:14" s="4" customFormat="1" ht="30" customHeight="1" x14ac:dyDescent="0.25">
      <c r="A88" s="9" t="s">
        <v>105</v>
      </c>
      <c r="B88" s="13">
        <f>VLOOKUP(Table245[[#This Row],[Cushing, OK]],'List source'!D$2:E$71,2,FALSE)</f>
        <v>215</v>
      </c>
      <c r="C88" s="17" t="s">
        <v>242</v>
      </c>
      <c r="D88" s="21" t="str">
        <f t="shared" si="2"/>
        <v>A087-215-25</v>
      </c>
      <c r="E88" s="38">
        <v>45846</v>
      </c>
      <c r="F88" s="38">
        <v>45846</v>
      </c>
      <c r="G88" s="38">
        <v>45855</v>
      </c>
      <c r="H88" s="10" t="s">
        <v>81</v>
      </c>
      <c r="I88" s="10" t="s">
        <v>17</v>
      </c>
      <c r="J88" s="10" t="s">
        <v>18</v>
      </c>
      <c r="K88" s="10" t="s">
        <v>243</v>
      </c>
      <c r="L88" s="10" t="s">
        <v>244</v>
      </c>
      <c r="M88" s="37"/>
      <c r="N88" s="10" t="s">
        <v>81</v>
      </c>
    </row>
    <row r="89" spans="1:14" s="4" customFormat="1" ht="30" customHeight="1" x14ac:dyDescent="0.25">
      <c r="A89" s="9" t="s">
        <v>107</v>
      </c>
      <c r="B89" s="13">
        <f>VLOOKUP(Table245[[#This Row],[Cushing, OK]],'List source'!D$2:E$71,2,FALSE)</f>
        <v>170</v>
      </c>
      <c r="C89" s="17" t="s">
        <v>245</v>
      </c>
      <c r="D89" s="21" t="str">
        <f t="shared" si="2"/>
        <v>A088-170-25</v>
      </c>
      <c r="E89" s="38">
        <v>45866</v>
      </c>
      <c r="F89" s="38">
        <v>45870</v>
      </c>
      <c r="G89" s="38">
        <v>45880</v>
      </c>
      <c r="H89" s="10" t="s">
        <v>39</v>
      </c>
      <c r="I89" s="10" t="s">
        <v>31</v>
      </c>
      <c r="J89" s="10" t="s">
        <v>18</v>
      </c>
      <c r="K89" s="10" t="s">
        <v>60</v>
      </c>
      <c r="L89" s="10" t="s">
        <v>41</v>
      </c>
      <c r="M89" s="37"/>
      <c r="N89" s="10" t="s">
        <v>61</v>
      </c>
    </row>
    <row r="90" spans="1:14" s="4" customFormat="1" ht="30" customHeight="1" x14ac:dyDescent="0.25">
      <c r="A90" s="9" t="s">
        <v>246</v>
      </c>
      <c r="B90" s="13">
        <f>VLOOKUP(Table245[[#This Row],[Cushing, OK]],'List source'!D$2:E$71,2,FALSE)</f>
        <v>188</v>
      </c>
      <c r="C90" s="17" t="s">
        <v>247</v>
      </c>
      <c r="D90" s="21" t="str">
        <f t="shared" si="2"/>
        <v>A089-188-25</v>
      </c>
      <c r="E90" s="38">
        <v>45845</v>
      </c>
      <c r="F90" s="38">
        <v>45847</v>
      </c>
      <c r="G90" s="38">
        <v>45868</v>
      </c>
      <c r="H90" s="10" t="s">
        <v>16</v>
      </c>
      <c r="I90" s="10" t="s">
        <v>17</v>
      </c>
      <c r="J90" s="10" t="s">
        <v>101</v>
      </c>
      <c r="K90" s="10" t="s">
        <v>101</v>
      </c>
      <c r="L90" s="10" t="s">
        <v>248</v>
      </c>
      <c r="M90" s="37"/>
      <c r="N90" s="10"/>
    </row>
    <row r="91" spans="1:14" s="4" customFormat="1" ht="30" customHeight="1" x14ac:dyDescent="0.25">
      <c r="A91" s="9" t="s">
        <v>249</v>
      </c>
      <c r="B91" s="13">
        <f>VLOOKUP(Table245[[#This Row],[Cushing, OK]],'List source'!D$2:E$71,2,FALSE)</f>
        <v>199</v>
      </c>
      <c r="C91" s="17" t="s">
        <v>250</v>
      </c>
      <c r="D91" s="21" t="str">
        <f t="shared" si="2"/>
        <v>A090-199-25</v>
      </c>
      <c r="E91" s="38">
        <v>45860</v>
      </c>
      <c r="F91" s="38">
        <v>45861</v>
      </c>
      <c r="G91" s="38"/>
      <c r="H91" s="10" t="s">
        <v>16</v>
      </c>
      <c r="I91" s="10" t="s">
        <v>66</v>
      </c>
      <c r="J91" s="10" t="s">
        <v>101</v>
      </c>
      <c r="K91" s="10" t="s">
        <v>101</v>
      </c>
      <c r="L91" s="10" t="s">
        <v>248</v>
      </c>
      <c r="M91" s="37"/>
      <c r="N91" s="10"/>
    </row>
    <row r="92" spans="1:14" s="4" customFormat="1" ht="30" customHeight="1" x14ac:dyDescent="0.25">
      <c r="A92" s="9" t="s">
        <v>44</v>
      </c>
      <c r="B92" s="13">
        <f>VLOOKUP(Table245[[#This Row],[Cushing, OK]],'List source'!D$2:E$71,2,FALSE)</f>
        <v>185</v>
      </c>
      <c r="C92" s="17" t="s">
        <v>251</v>
      </c>
      <c r="D92" s="21" t="str">
        <f t="shared" si="2"/>
        <v>A091-185-25</v>
      </c>
      <c r="E92" s="38">
        <v>45860</v>
      </c>
      <c r="F92" s="38">
        <v>45860</v>
      </c>
      <c r="G92" s="38">
        <v>45896</v>
      </c>
      <c r="H92" s="10" t="s">
        <v>81</v>
      </c>
      <c r="I92" s="10" t="s">
        <v>17</v>
      </c>
      <c r="J92" s="10" t="s">
        <v>252</v>
      </c>
      <c r="K92" s="10" t="s">
        <v>253</v>
      </c>
      <c r="L92" s="10" t="s">
        <v>169</v>
      </c>
      <c r="M92" s="37"/>
      <c r="N92" s="10" t="s">
        <v>170</v>
      </c>
    </row>
    <row r="93" spans="1:14" s="4" customFormat="1" ht="30" customHeight="1" x14ac:dyDescent="0.25">
      <c r="A93" s="9" t="s">
        <v>254</v>
      </c>
      <c r="B93" s="13">
        <f>VLOOKUP(Table245[[#This Row],[Cushing, OK]],'List source'!D$2:E$71,2,FALSE)</f>
        <v>133</v>
      </c>
      <c r="C93" s="17" t="s">
        <v>255</v>
      </c>
      <c r="D93" s="21" t="str">
        <f t="shared" si="2"/>
        <v>A092-133-25</v>
      </c>
      <c r="E93" s="38">
        <v>45860</v>
      </c>
      <c r="F93" s="38">
        <v>45860</v>
      </c>
      <c r="G93" s="38">
        <v>45876</v>
      </c>
      <c r="H93" s="10" t="s">
        <v>16</v>
      </c>
      <c r="I93" s="10" t="s">
        <v>17</v>
      </c>
      <c r="J93" s="10" t="s">
        <v>35</v>
      </c>
      <c r="K93" s="10" t="s">
        <v>256</v>
      </c>
      <c r="L93" s="10" t="s">
        <v>20</v>
      </c>
      <c r="M93" s="37"/>
      <c r="N93" s="10"/>
    </row>
    <row r="94" spans="1:14" s="4" customFormat="1" ht="30" customHeight="1" x14ac:dyDescent="0.25">
      <c r="A94" s="9" t="s">
        <v>257</v>
      </c>
      <c r="B94" s="13">
        <f>VLOOKUP(Table245[[#This Row],[Cushing, OK]],'List source'!D$2:E$71,2,FALSE)</f>
        <v>144</v>
      </c>
      <c r="C94" s="17" t="s">
        <v>258</v>
      </c>
      <c r="D94" s="21" t="str">
        <f t="shared" si="2"/>
        <v>A093-144-25</v>
      </c>
      <c r="E94" s="38">
        <v>45873</v>
      </c>
      <c r="F94" s="38">
        <v>45876</v>
      </c>
      <c r="G94" s="38">
        <v>45888</v>
      </c>
      <c r="H94" s="10" t="s">
        <v>16</v>
      </c>
      <c r="I94" s="10" t="s">
        <v>17</v>
      </c>
      <c r="J94" s="10" t="s">
        <v>27</v>
      </c>
      <c r="K94" s="10" t="s">
        <v>27</v>
      </c>
      <c r="L94" s="10" t="s">
        <v>20</v>
      </c>
      <c r="M94" s="37"/>
      <c r="N94" s="10" t="s">
        <v>75</v>
      </c>
    </row>
    <row r="95" spans="1:14" s="4" customFormat="1" ht="30" customHeight="1" x14ac:dyDescent="0.25">
      <c r="A95" s="9" t="s">
        <v>58</v>
      </c>
      <c r="B95" s="13">
        <f>VLOOKUP(Table245[[#This Row],[Cushing, OK]],'List source'!D$2:E$71,2,FALSE)</f>
        <v>146</v>
      </c>
      <c r="C95" s="17" t="s">
        <v>259</v>
      </c>
      <c r="D95" s="21" t="str">
        <f t="shared" si="2"/>
        <v>A094-146-25</v>
      </c>
      <c r="E95" s="38">
        <v>45853</v>
      </c>
      <c r="F95" s="38">
        <v>45853</v>
      </c>
      <c r="G95" s="29">
        <v>45862</v>
      </c>
      <c r="H95" s="10" t="s">
        <v>81</v>
      </c>
      <c r="I95" s="10" t="s">
        <v>31</v>
      </c>
      <c r="J95" s="10" t="s">
        <v>27</v>
      </c>
      <c r="K95" s="10" t="s">
        <v>260</v>
      </c>
      <c r="L95" s="10" t="s">
        <v>111</v>
      </c>
      <c r="M95" s="37"/>
      <c r="N95" s="10"/>
    </row>
    <row r="96" spans="1:14" s="4" customFormat="1" ht="30" customHeight="1" x14ac:dyDescent="0.25">
      <c r="A96" s="9" t="s">
        <v>14</v>
      </c>
      <c r="B96" s="13">
        <f>VLOOKUP(Table245[[#This Row],[Cushing, OK]],'List source'!D$2:E$71,2,FALSE)</f>
        <v>131</v>
      </c>
      <c r="C96" s="17" t="s">
        <v>261</v>
      </c>
      <c r="D96" s="21" t="str">
        <f t="shared" si="2"/>
        <v>A095-131-25</v>
      </c>
      <c r="E96" s="38">
        <v>45853</v>
      </c>
      <c r="F96" s="38">
        <v>45855</v>
      </c>
      <c r="G96" s="38">
        <v>45877</v>
      </c>
      <c r="H96" s="10" t="s">
        <v>16</v>
      </c>
      <c r="I96" s="10" t="s">
        <v>17</v>
      </c>
      <c r="J96" s="10" t="s">
        <v>48</v>
      </c>
      <c r="K96" s="10" t="s">
        <v>48</v>
      </c>
      <c r="L96" s="10" t="s">
        <v>20</v>
      </c>
      <c r="M96" s="37"/>
      <c r="N96" s="10" t="s">
        <v>262</v>
      </c>
    </row>
    <row r="97" spans="1:14" s="4" customFormat="1" ht="30" customHeight="1" x14ac:dyDescent="0.25">
      <c r="A97" s="9" t="s">
        <v>94</v>
      </c>
      <c r="B97" s="13">
        <f>VLOOKUP(Table245[[#This Row],[Cushing, OK]],'List source'!D$2:E$71,2,FALSE)</f>
        <v>120</v>
      </c>
      <c r="C97" s="17" t="s">
        <v>263</v>
      </c>
      <c r="D97" s="21" t="str">
        <f t="shared" si="2"/>
        <v>A096-120-25</v>
      </c>
      <c r="E97" s="38">
        <v>45839</v>
      </c>
      <c r="F97" s="38">
        <v>45839</v>
      </c>
      <c r="G97" s="38">
        <v>45896</v>
      </c>
      <c r="H97" s="10" t="s">
        <v>81</v>
      </c>
      <c r="I97" s="10" t="s">
        <v>31</v>
      </c>
      <c r="J97" s="10" t="s">
        <v>82</v>
      </c>
      <c r="K97" s="10" t="s">
        <v>264</v>
      </c>
      <c r="L97" s="10" t="s">
        <v>265</v>
      </c>
      <c r="M97" s="37"/>
      <c r="N97" s="10"/>
    </row>
    <row r="98" spans="1:14" s="4" customFormat="1" ht="30" customHeight="1" x14ac:dyDescent="0.25">
      <c r="A98" s="9" t="s">
        <v>37</v>
      </c>
      <c r="B98" s="13">
        <f>VLOOKUP(Table245[[#This Row],[Cushing, OK]],'List source'!D$2:E$71,2,FALSE)</f>
        <v>210</v>
      </c>
      <c r="C98" s="17" t="s">
        <v>266</v>
      </c>
      <c r="D98" s="21" t="str">
        <f t="shared" ref="D98:D129" si="3">"A" &amp; C98 &amp; "-" &amp; B98 &amp; "-" &amp; "25"</f>
        <v>A097-210-25</v>
      </c>
      <c r="E98" s="38">
        <v>45881</v>
      </c>
      <c r="F98" s="38">
        <v>45882</v>
      </c>
      <c r="G98" s="38">
        <v>45939</v>
      </c>
      <c r="H98" s="10" t="s">
        <v>127</v>
      </c>
      <c r="I98" s="10" t="s">
        <v>17</v>
      </c>
      <c r="J98" s="10" t="s">
        <v>189</v>
      </c>
      <c r="K98" s="10" t="s">
        <v>190</v>
      </c>
      <c r="L98" s="10" t="s">
        <v>185</v>
      </c>
      <c r="M98" s="37" t="s">
        <v>127</v>
      </c>
      <c r="N98" s="10" t="s">
        <v>267</v>
      </c>
    </row>
    <row r="99" spans="1:14" s="4" customFormat="1" ht="30" customHeight="1" x14ac:dyDescent="0.25">
      <c r="A99" s="9" t="s">
        <v>268</v>
      </c>
      <c r="B99" s="13">
        <f>VLOOKUP(Table245[[#This Row],[Cushing, OK]],'List source'!D$2:E$71,2,FALSE)</f>
        <v>124</v>
      </c>
      <c r="C99" s="17" t="s">
        <v>269</v>
      </c>
      <c r="D99" s="21" t="str">
        <f t="shared" si="3"/>
        <v>A098-124-25</v>
      </c>
      <c r="E99" s="38">
        <v>45873</v>
      </c>
      <c r="F99" s="38">
        <v>45874</v>
      </c>
      <c r="G99" s="29">
        <v>45884</v>
      </c>
      <c r="H99" s="10" t="s">
        <v>16</v>
      </c>
      <c r="I99" s="10" t="s">
        <v>17</v>
      </c>
      <c r="J99" s="10" t="s">
        <v>270</v>
      </c>
      <c r="K99" s="10" t="s">
        <v>270</v>
      </c>
      <c r="L99" s="10" t="s">
        <v>20</v>
      </c>
      <c r="M99" s="37"/>
      <c r="N99" s="10" t="s">
        <v>75</v>
      </c>
    </row>
    <row r="100" spans="1:14" s="4" customFormat="1" ht="30" customHeight="1" x14ac:dyDescent="0.25">
      <c r="A100" s="9" t="s">
        <v>94</v>
      </c>
      <c r="B100" s="13">
        <f>VLOOKUP(Table245[[#This Row],[Cushing, OK]],'List source'!D$2:E$71,2,FALSE)</f>
        <v>120</v>
      </c>
      <c r="C100" s="17" t="s">
        <v>271</v>
      </c>
      <c r="D100" s="21" t="str">
        <f t="shared" si="3"/>
        <v>A099-120-25</v>
      </c>
      <c r="E100" s="38">
        <v>45869</v>
      </c>
      <c r="F100" s="38">
        <v>45869</v>
      </c>
      <c r="G100" s="38"/>
      <c r="H100" s="10" t="s">
        <v>81</v>
      </c>
      <c r="I100" s="10" t="s">
        <v>17</v>
      </c>
      <c r="J100" s="10" t="s">
        <v>82</v>
      </c>
      <c r="K100" s="10" t="s">
        <v>272</v>
      </c>
      <c r="L100" s="10" t="s">
        <v>232</v>
      </c>
      <c r="M100" s="37"/>
      <c r="N100" s="10"/>
    </row>
    <row r="101" spans="1:14" s="4" customFormat="1" ht="30" customHeight="1" x14ac:dyDescent="0.25">
      <c r="A101" s="9" t="s">
        <v>76</v>
      </c>
      <c r="B101" s="13">
        <f>VLOOKUP(Table245[[#This Row],[Cushing, OK]],'List source'!D$2:E$71,2,FALSE)</f>
        <v>157</v>
      </c>
      <c r="C101" s="17" t="s">
        <v>273</v>
      </c>
      <c r="D101" s="21" t="str">
        <f t="shared" si="3"/>
        <v>A100-157-25</v>
      </c>
      <c r="E101" s="38">
        <v>45798</v>
      </c>
      <c r="F101" s="38">
        <v>45798</v>
      </c>
      <c r="G101" s="38">
        <v>45825</v>
      </c>
      <c r="H101" s="10" t="s">
        <v>39</v>
      </c>
      <c r="I101" s="10" t="s">
        <v>17</v>
      </c>
      <c r="J101" s="10" t="s">
        <v>82</v>
      </c>
      <c r="K101" s="10" t="s">
        <v>184</v>
      </c>
      <c r="L101" s="10" t="s">
        <v>185</v>
      </c>
      <c r="M101" s="37"/>
      <c r="N101" s="10"/>
    </row>
    <row r="102" spans="1:14" s="4" customFormat="1" ht="30" customHeight="1" x14ac:dyDescent="0.25">
      <c r="A102" s="9" t="s">
        <v>220</v>
      </c>
      <c r="B102" s="13">
        <f>VLOOKUP(Table245[[#This Row],[Cushing, OK]],'List source'!D$2:E$71,2,FALSE)</f>
        <v>197</v>
      </c>
      <c r="C102" s="17" t="s">
        <v>274</v>
      </c>
      <c r="D102" s="21" t="str">
        <f t="shared" si="3"/>
        <v>A101-197-25</v>
      </c>
      <c r="E102" s="38">
        <v>45881</v>
      </c>
      <c r="F102" s="38">
        <v>45884</v>
      </c>
      <c r="G102" s="38"/>
      <c r="H102" s="10" t="s">
        <v>39</v>
      </c>
      <c r="I102" s="10" t="s">
        <v>31</v>
      </c>
      <c r="J102" s="10" t="s">
        <v>48</v>
      </c>
      <c r="K102" s="10" t="s">
        <v>206</v>
      </c>
      <c r="L102" s="10" t="s">
        <v>41</v>
      </c>
      <c r="M102" s="37"/>
      <c r="N102" s="10" t="s">
        <v>61</v>
      </c>
    </row>
    <row r="103" spans="1:14" s="4" customFormat="1" ht="30" customHeight="1" x14ac:dyDescent="0.25">
      <c r="A103" s="9" t="s">
        <v>107</v>
      </c>
      <c r="B103" s="13">
        <f>VLOOKUP(Table245[[#This Row],[Cushing, OK]],'List source'!D$2:E$71,2,FALSE)</f>
        <v>170</v>
      </c>
      <c r="C103" s="17" t="s">
        <v>275</v>
      </c>
      <c r="D103" s="21" t="str">
        <f t="shared" si="3"/>
        <v>A102-170-25</v>
      </c>
      <c r="E103" s="38">
        <v>45882</v>
      </c>
      <c r="F103" s="38"/>
      <c r="G103" s="38"/>
      <c r="H103" s="10" t="s">
        <v>81</v>
      </c>
      <c r="I103" s="10" t="s">
        <v>31</v>
      </c>
      <c r="J103" s="10" t="s">
        <v>109</v>
      </c>
      <c r="K103" s="10" t="s">
        <v>276</v>
      </c>
      <c r="L103" s="10" t="s">
        <v>277</v>
      </c>
      <c r="M103" s="37"/>
      <c r="N103" s="10"/>
    </row>
    <row r="104" spans="1:14" s="4" customFormat="1" ht="30" customHeight="1" x14ac:dyDescent="0.25">
      <c r="A104" s="9" t="s">
        <v>278</v>
      </c>
      <c r="B104" s="13" t="str">
        <f>VLOOKUP(Table245[[#This Row],[Cushing, OK]],'List source'!D$2:E$71,2,FALSE)</f>
        <v>120W</v>
      </c>
      <c r="C104" s="17" t="s">
        <v>279</v>
      </c>
      <c r="D104" s="21" t="str">
        <f t="shared" si="3"/>
        <v>A103-120W-25</v>
      </c>
      <c r="E104" s="38">
        <v>45880</v>
      </c>
      <c r="F104" s="38">
        <v>45883</v>
      </c>
      <c r="G104" s="38">
        <v>45889</v>
      </c>
      <c r="H104" s="10" t="s">
        <v>16</v>
      </c>
      <c r="I104" s="10" t="s">
        <v>31</v>
      </c>
      <c r="J104" s="10" t="s">
        <v>18</v>
      </c>
      <c r="K104" s="10" t="s">
        <v>135</v>
      </c>
      <c r="L104" s="10" t="s">
        <v>20</v>
      </c>
      <c r="M104" s="37"/>
      <c r="N104" s="10" t="s">
        <v>280</v>
      </c>
    </row>
    <row r="105" spans="1:14" s="4" customFormat="1" ht="30" customHeight="1" x14ac:dyDescent="0.25">
      <c r="A105" s="9" t="s">
        <v>281</v>
      </c>
      <c r="B105" s="13">
        <f>VLOOKUP(Table245[[#This Row],[Cushing, OK]],'List source'!D$2:E$71,2,FALSE)</f>
        <v>129</v>
      </c>
      <c r="C105" s="17" t="s">
        <v>282</v>
      </c>
      <c r="D105" s="21" t="str">
        <f t="shared" si="3"/>
        <v>A104-129-25</v>
      </c>
      <c r="E105" s="38">
        <v>45861</v>
      </c>
      <c r="F105" s="38">
        <v>45861</v>
      </c>
      <c r="G105" s="38">
        <v>45903</v>
      </c>
      <c r="H105" s="10" t="s">
        <v>16</v>
      </c>
      <c r="I105" s="10" t="s">
        <v>17</v>
      </c>
      <c r="J105" s="10" t="s">
        <v>48</v>
      </c>
      <c r="K105" s="10" t="s">
        <v>256</v>
      </c>
      <c r="L105" s="10" t="s">
        <v>20</v>
      </c>
      <c r="M105" s="37"/>
      <c r="N105" s="10" t="s">
        <v>75</v>
      </c>
    </row>
    <row r="106" spans="1:14" s="4" customFormat="1" ht="30" customHeight="1" x14ac:dyDescent="0.25">
      <c r="A106" s="9" t="s">
        <v>254</v>
      </c>
      <c r="B106" s="13">
        <f>VLOOKUP(Table245[[#This Row],[Cushing, OK]],'List source'!D$2:E$71,2,FALSE)</f>
        <v>133</v>
      </c>
      <c r="C106" s="17" t="s">
        <v>283</v>
      </c>
      <c r="D106" s="21" t="str">
        <f t="shared" si="3"/>
        <v>A105-133-25</v>
      </c>
      <c r="E106" s="38">
        <v>45875</v>
      </c>
      <c r="F106" s="38">
        <v>45875</v>
      </c>
      <c r="G106" s="29">
        <v>45888</v>
      </c>
      <c r="H106" s="10" t="s">
        <v>81</v>
      </c>
      <c r="I106" s="10" t="s">
        <v>66</v>
      </c>
      <c r="J106" s="10" t="s">
        <v>167</v>
      </c>
      <c r="K106" s="10" t="s">
        <v>284</v>
      </c>
      <c r="L106" s="10" t="s">
        <v>169</v>
      </c>
      <c r="M106" s="37"/>
      <c r="N106" s="10"/>
    </row>
    <row r="107" spans="1:14" s="4" customFormat="1" ht="63.6" customHeight="1" x14ac:dyDescent="0.25">
      <c r="A107" s="9" t="s">
        <v>131</v>
      </c>
      <c r="B107" s="13">
        <f>VLOOKUP(Table245[[#This Row],[Cushing, OK]],'List source'!D$2:E$71,2,FALSE)</f>
        <v>145</v>
      </c>
      <c r="C107" s="17" t="s">
        <v>285</v>
      </c>
      <c r="D107" s="21" t="str">
        <f t="shared" si="3"/>
        <v>A106-145-25</v>
      </c>
      <c r="E107" s="38">
        <v>45883</v>
      </c>
      <c r="F107" s="38">
        <v>45883</v>
      </c>
      <c r="G107" s="38">
        <v>45888</v>
      </c>
      <c r="H107" s="10" t="s">
        <v>81</v>
      </c>
      <c r="I107" s="10" t="s">
        <v>66</v>
      </c>
      <c r="J107" s="10" t="s">
        <v>35</v>
      </c>
      <c r="K107" s="10" t="s">
        <v>286</v>
      </c>
      <c r="L107" s="10" t="s">
        <v>103</v>
      </c>
      <c r="M107" s="37"/>
      <c r="N107" s="10"/>
    </row>
    <row r="108" spans="1:14" s="4" customFormat="1" ht="30" customHeight="1" x14ac:dyDescent="0.25">
      <c r="A108" s="9" t="s">
        <v>287</v>
      </c>
      <c r="B108" s="13">
        <f>VLOOKUP(Table245[[#This Row],[Cushing, OK]],'List source'!D$2:E$71,2,FALSE)</f>
        <v>180</v>
      </c>
      <c r="C108" s="17" t="s">
        <v>288</v>
      </c>
      <c r="D108" s="21" t="str">
        <f t="shared" si="3"/>
        <v>A107-180-25</v>
      </c>
      <c r="E108" s="38">
        <v>45894</v>
      </c>
      <c r="F108" s="38">
        <v>45897</v>
      </c>
      <c r="G108" s="38">
        <v>45925</v>
      </c>
      <c r="H108" s="10" t="s">
        <v>16</v>
      </c>
      <c r="I108" s="10" t="s">
        <v>17</v>
      </c>
      <c r="J108" s="10" t="s">
        <v>48</v>
      </c>
      <c r="K108" s="10" t="s">
        <v>289</v>
      </c>
      <c r="L108" s="10" t="s">
        <v>20</v>
      </c>
      <c r="M108" s="37"/>
      <c r="N108" s="10" t="s">
        <v>75</v>
      </c>
    </row>
    <row r="109" spans="1:14" s="4" customFormat="1" ht="30" customHeight="1" x14ac:dyDescent="0.25">
      <c r="A109" s="9" t="s">
        <v>287</v>
      </c>
      <c r="B109" s="13">
        <f>VLOOKUP(Table245[[#This Row],[Cushing, OK]],'List source'!D$2:E$71,2,FALSE)</f>
        <v>180</v>
      </c>
      <c r="C109" s="17" t="s">
        <v>290</v>
      </c>
      <c r="D109" s="21" t="str">
        <f t="shared" si="3"/>
        <v>A108-180-25</v>
      </c>
      <c r="E109" s="38">
        <v>45894</v>
      </c>
      <c r="F109" s="38">
        <v>45897</v>
      </c>
      <c r="G109" s="29">
        <v>45925</v>
      </c>
      <c r="H109" s="10" t="s">
        <v>16</v>
      </c>
      <c r="I109" s="10" t="s">
        <v>31</v>
      </c>
      <c r="J109" s="10" t="s">
        <v>48</v>
      </c>
      <c r="K109" s="10" t="s">
        <v>289</v>
      </c>
      <c r="L109" s="10" t="s">
        <v>20</v>
      </c>
      <c r="M109" s="37"/>
      <c r="N109" s="10" t="s">
        <v>138</v>
      </c>
    </row>
    <row r="110" spans="1:14" s="4" customFormat="1" ht="45" customHeight="1" x14ac:dyDescent="0.25">
      <c r="A110" s="9" t="s">
        <v>249</v>
      </c>
      <c r="B110" s="13">
        <f>VLOOKUP(Table245[[#This Row],[Cushing, OK]],'List source'!D$2:E$71,2,FALSE)</f>
        <v>199</v>
      </c>
      <c r="C110" s="17" t="s">
        <v>291</v>
      </c>
      <c r="D110" s="21" t="str">
        <f t="shared" si="3"/>
        <v>A109-199-25</v>
      </c>
      <c r="E110" s="38">
        <v>45868</v>
      </c>
      <c r="F110" s="38">
        <v>45868</v>
      </c>
      <c r="G110" s="29">
        <v>45891</v>
      </c>
      <c r="H110" s="10" t="s">
        <v>81</v>
      </c>
      <c r="I110" s="10" t="s">
        <v>66</v>
      </c>
      <c r="J110" s="10" t="s">
        <v>101</v>
      </c>
      <c r="K110" s="10" t="s">
        <v>292</v>
      </c>
      <c r="L110" s="10" t="s">
        <v>103</v>
      </c>
      <c r="M110" s="37"/>
      <c r="N110" s="69" t="s">
        <v>293</v>
      </c>
    </row>
    <row r="111" spans="1:14" s="4" customFormat="1" ht="30" customHeight="1" x14ac:dyDescent="0.25">
      <c r="A111" s="9" t="s">
        <v>99</v>
      </c>
      <c r="B111" s="13">
        <f>VLOOKUP(Table245[[#This Row],[Cushing, OK]],'List source'!D$2:E$71,2,FALSE)</f>
        <v>198</v>
      </c>
      <c r="C111" s="17" t="s">
        <v>294</v>
      </c>
      <c r="D111" s="21" t="str">
        <f t="shared" si="3"/>
        <v>A110-198-25</v>
      </c>
      <c r="E111" s="38">
        <v>45869</v>
      </c>
      <c r="F111" s="38">
        <v>45869</v>
      </c>
      <c r="G111" s="38">
        <v>45891</v>
      </c>
      <c r="H111" s="10" t="s">
        <v>81</v>
      </c>
      <c r="I111" s="10" t="s">
        <v>66</v>
      </c>
      <c r="J111" s="10" t="s">
        <v>101</v>
      </c>
      <c r="K111" s="10" t="s">
        <v>295</v>
      </c>
      <c r="L111" s="10" t="s">
        <v>103</v>
      </c>
      <c r="M111" s="37"/>
      <c r="N111" s="10" t="s">
        <v>296</v>
      </c>
    </row>
    <row r="112" spans="1:14" s="4" customFormat="1" ht="30" customHeight="1" x14ac:dyDescent="0.25">
      <c r="A112" s="9" t="s">
        <v>246</v>
      </c>
      <c r="B112" s="13">
        <f>VLOOKUP(Table245[[#This Row],[Cushing, OK]],'List source'!D$2:E$71,2,FALSE)</f>
        <v>188</v>
      </c>
      <c r="C112" s="17" t="s">
        <v>297</v>
      </c>
      <c r="D112" s="21" t="str">
        <f t="shared" si="3"/>
        <v>A111-188-25</v>
      </c>
      <c r="E112" s="38">
        <v>45876</v>
      </c>
      <c r="F112" s="38">
        <v>45876</v>
      </c>
      <c r="G112" s="29">
        <v>45891</v>
      </c>
      <c r="H112" s="10" t="s">
        <v>81</v>
      </c>
      <c r="I112" s="10" t="s">
        <v>66</v>
      </c>
      <c r="J112" s="10" t="s">
        <v>101</v>
      </c>
      <c r="K112" s="10" t="s">
        <v>298</v>
      </c>
      <c r="L112" s="10" t="s">
        <v>103</v>
      </c>
      <c r="M112" s="37"/>
      <c r="N112" s="10" t="s">
        <v>293</v>
      </c>
    </row>
    <row r="113" spans="1:14" s="4" customFormat="1" ht="30" customHeight="1" x14ac:dyDescent="0.25">
      <c r="A113" s="9" t="s">
        <v>141</v>
      </c>
      <c r="B113" s="13">
        <f>VLOOKUP(Table245[[#This Row],[Cushing, OK]],'List source'!D$2:E$71,2,FALSE)</f>
        <v>165</v>
      </c>
      <c r="C113" s="17" t="s">
        <v>299</v>
      </c>
      <c r="D113" s="21" t="str">
        <f t="shared" si="3"/>
        <v>A112-165-25</v>
      </c>
      <c r="E113" s="38">
        <v>45902</v>
      </c>
      <c r="F113" s="38">
        <v>45905</v>
      </c>
      <c r="G113" s="38">
        <v>45905</v>
      </c>
      <c r="H113" s="10" t="s">
        <v>39</v>
      </c>
      <c r="I113" s="10" t="s">
        <v>31</v>
      </c>
      <c r="J113" s="10" t="s">
        <v>18</v>
      </c>
      <c r="K113" s="10" t="s">
        <v>60</v>
      </c>
      <c r="L113" s="10" t="s">
        <v>41</v>
      </c>
      <c r="M113" s="37"/>
      <c r="N113" s="10" t="s">
        <v>61</v>
      </c>
    </row>
    <row r="114" spans="1:14" s="4" customFormat="1" ht="30" customHeight="1" x14ac:dyDescent="0.25">
      <c r="A114" s="9" t="s">
        <v>203</v>
      </c>
      <c r="B114" s="13">
        <f>VLOOKUP(Table245[[#This Row],[Cushing, OK]],'List source'!D$2:E$71,2,FALSE)</f>
        <v>140</v>
      </c>
      <c r="C114" s="17" t="s">
        <v>300</v>
      </c>
      <c r="D114" s="21" t="str">
        <f t="shared" si="3"/>
        <v>A113-140-25</v>
      </c>
      <c r="E114" s="38">
        <v>45889</v>
      </c>
      <c r="F114" s="38">
        <v>45889</v>
      </c>
      <c r="G114" s="38"/>
      <c r="H114" s="10" t="s">
        <v>127</v>
      </c>
      <c r="I114" s="10" t="s">
        <v>17</v>
      </c>
      <c r="J114" s="10" t="s">
        <v>18</v>
      </c>
      <c r="K114" s="10"/>
      <c r="L114" s="10" t="s">
        <v>185</v>
      </c>
      <c r="M114" s="37"/>
      <c r="N114" s="10"/>
    </row>
    <row r="115" spans="1:14" s="4" customFormat="1" ht="30" customHeight="1" x14ac:dyDescent="0.25">
      <c r="A115" s="9" t="s">
        <v>37</v>
      </c>
      <c r="B115" s="13">
        <f>VLOOKUP(Table245[[#This Row],[Cushing, OK]],'List source'!D$2:E$71,2,FALSE)</f>
        <v>210</v>
      </c>
      <c r="C115" s="17" t="s">
        <v>301</v>
      </c>
      <c r="D115" s="21" t="str">
        <f t="shared" si="3"/>
        <v>A114-210-25</v>
      </c>
      <c r="E115" s="38">
        <v>45903</v>
      </c>
      <c r="F115" s="38">
        <v>45904</v>
      </c>
      <c r="G115" s="38">
        <v>45908</v>
      </c>
      <c r="H115" s="10" t="s">
        <v>16</v>
      </c>
      <c r="I115" s="10" t="s">
        <v>17</v>
      </c>
      <c r="J115" s="10" t="s">
        <v>35</v>
      </c>
      <c r="K115" s="10" t="s">
        <v>302</v>
      </c>
      <c r="L115" s="10" t="s">
        <v>20</v>
      </c>
      <c r="M115" s="37"/>
      <c r="N115" s="10" t="s">
        <v>75</v>
      </c>
    </row>
    <row r="116" spans="1:14" s="4" customFormat="1" ht="30" customHeight="1" x14ac:dyDescent="0.25">
      <c r="A116" s="9" t="s">
        <v>37</v>
      </c>
      <c r="B116" s="13">
        <f>VLOOKUP(Table245[[#This Row],[Cushing, OK]],'List source'!D$2:E$71,2,FALSE)</f>
        <v>210</v>
      </c>
      <c r="C116" s="17" t="s">
        <v>303</v>
      </c>
      <c r="D116" s="21" t="str">
        <f t="shared" si="3"/>
        <v>A115-210-25</v>
      </c>
      <c r="E116" s="38">
        <v>45903</v>
      </c>
      <c r="F116" s="38">
        <v>45904</v>
      </c>
      <c r="G116" s="38">
        <v>45908</v>
      </c>
      <c r="H116" s="10" t="s">
        <v>16</v>
      </c>
      <c r="I116" s="10" t="s">
        <v>31</v>
      </c>
      <c r="J116" s="10" t="s">
        <v>35</v>
      </c>
      <c r="K116" s="10" t="s">
        <v>302</v>
      </c>
      <c r="L116" s="10" t="s">
        <v>20</v>
      </c>
      <c r="M116" s="37"/>
      <c r="N116" s="10" t="s">
        <v>138</v>
      </c>
    </row>
    <row r="117" spans="1:14" s="4" customFormat="1" ht="30" customHeight="1" x14ac:dyDescent="0.25">
      <c r="A117" s="9" t="s">
        <v>58</v>
      </c>
      <c r="B117" s="13">
        <f>VLOOKUP(Table245[[#This Row],[Cushing, OK]],'List source'!D$2:E$71,2,FALSE)</f>
        <v>146</v>
      </c>
      <c r="C117" s="17" t="s">
        <v>304</v>
      </c>
      <c r="D117" s="21" t="str">
        <f t="shared" si="3"/>
        <v>A116-146-25</v>
      </c>
      <c r="E117" s="38">
        <v>45908</v>
      </c>
      <c r="F117" s="38">
        <v>45911</v>
      </c>
      <c r="G117" s="38">
        <v>45922</v>
      </c>
      <c r="H117" s="10" t="s">
        <v>16</v>
      </c>
      <c r="I117" s="10" t="s">
        <v>17</v>
      </c>
      <c r="J117" s="10" t="s">
        <v>48</v>
      </c>
      <c r="K117" s="10" t="s">
        <v>49</v>
      </c>
      <c r="L117" s="10" t="s">
        <v>20</v>
      </c>
      <c r="M117" s="37"/>
      <c r="N117" s="10" t="s">
        <v>75</v>
      </c>
    </row>
    <row r="118" spans="1:14" s="4" customFormat="1" ht="30" customHeight="1" x14ac:dyDescent="0.25">
      <c r="A118" s="9" t="s">
        <v>58</v>
      </c>
      <c r="B118" s="13">
        <f>VLOOKUP(Table245[[#This Row],[Cushing, OK]],'List source'!D$2:E$71,2,FALSE)</f>
        <v>146</v>
      </c>
      <c r="C118" s="17" t="s">
        <v>305</v>
      </c>
      <c r="D118" s="21" t="str">
        <f t="shared" si="3"/>
        <v>A117-146-25</v>
      </c>
      <c r="E118" s="38">
        <v>45908</v>
      </c>
      <c r="F118" s="38">
        <v>45911</v>
      </c>
      <c r="G118" s="38">
        <v>45922</v>
      </c>
      <c r="H118" s="10" t="s">
        <v>16</v>
      </c>
      <c r="I118" s="10" t="s">
        <v>31</v>
      </c>
      <c r="J118" s="10" t="s">
        <v>48</v>
      </c>
      <c r="K118" s="10" t="s">
        <v>49</v>
      </c>
      <c r="L118" s="10" t="s">
        <v>20</v>
      </c>
      <c r="M118" s="37"/>
      <c r="N118" s="10" t="s">
        <v>138</v>
      </c>
    </row>
    <row r="119" spans="1:14" s="4" customFormat="1" ht="30" customHeight="1" x14ac:dyDescent="0.25">
      <c r="A119" s="9" t="s">
        <v>0</v>
      </c>
      <c r="B119" s="13">
        <f>VLOOKUP(Table245[[#This Row],[Cushing, OK]],'List source'!D$2:E$71,2,FALSE)</f>
        <v>159</v>
      </c>
      <c r="C119" s="17" t="s">
        <v>306</v>
      </c>
      <c r="D119" s="21" t="str">
        <f t="shared" si="3"/>
        <v>A118-159-25</v>
      </c>
      <c r="E119" s="38">
        <v>45908</v>
      </c>
      <c r="F119" s="38">
        <v>45911</v>
      </c>
      <c r="G119" s="38">
        <v>45919</v>
      </c>
      <c r="H119" s="10" t="s">
        <v>16</v>
      </c>
      <c r="I119" s="10" t="s">
        <v>17</v>
      </c>
      <c r="J119" s="10" t="s">
        <v>27</v>
      </c>
      <c r="K119" s="223" t="s">
        <v>27</v>
      </c>
      <c r="L119" s="10" t="s">
        <v>20</v>
      </c>
      <c r="M119" s="37"/>
      <c r="N119" s="10" t="s">
        <v>75</v>
      </c>
    </row>
    <row r="120" spans="1:14" s="4" customFormat="1" ht="30" customHeight="1" x14ac:dyDescent="0.25">
      <c r="A120" s="9" t="s">
        <v>58</v>
      </c>
      <c r="B120" s="13">
        <f>VLOOKUP(Table245[[#This Row],[Cushing, OK]],'List source'!D$2:E$71,2,FALSE)</f>
        <v>146</v>
      </c>
      <c r="C120" s="17" t="s">
        <v>307</v>
      </c>
      <c r="D120" s="21" t="str">
        <f t="shared" si="3"/>
        <v>A119-146-25</v>
      </c>
      <c r="E120" s="38">
        <v>45757</v>
      </c>
      <c r="F120" s="38">
        <v>45757</v>
      </c>
      <c r="G120" s="38">
        <v>45757</v>
      </c>
      <c r="H120" s="10" t="s">
        <v>81</v>
      </c>
      <c r="I120" s="10" t="s">
        <v>17</v>
      </c>
      <c r="J120" s="10" t="s">
        <v>48</v>
      </c>
      <c r="K120" s="10" t="s">
        <v>110</v>
      </c>
      <c r="L120" s="10" t="s">
        <v>308</v>
      </c>
      <c r="M120" s="37"/>
      <c r="N120" s="10"/>
    </row>
    <row r="121" spans="1:14" s="4" customFormat="1" ht="30" customHeight="1" x14ac:dyDescent="0.25">
      <c r="A121" s="9" t="s">
        <v>73</v>
      </c>
      <c r="B121" s="13">
        <f>VLOOKUP(Table245[[#This Row],[Cushing, OK]],'List source'!D$2:E$71,2,FALSE)</f>
        <v>142</v>
      </c>
      <c r="C121" s="17" t="s">
        <v>309</v>
      </c>
      <c r="D121" s="21" t="str">
        <f t="shared" si="3"/>
        <v>A120-142-25</v>
      </c>
      <c r="E121" s="38">
        <v>45910</v>
      </c>
      <c r="F121" s="38">
        <v>45910</v>
      </c>
      <c r="G121" s="38">
        <v>45954</v>
      </c>
      <c r="H121" s="10" t="s">
        <v>127</v>
      </c>
      <c r="I121" s="10" t="s">
        <v>17</v>
      </c>
      <c r="J121" s="10" t="s">
        <v>18</v>
      </c>
      <c r="K121" s="10"/>
      <c r="L121" s="10" t="s">
        <v>185</v>
      </c>
      <c r="M121" s="37"/>
      <c r="N121" s="10"/>
    </row>
    <row r="122" spans="1:14" s="4" customFormat="1" ht="30" customHeight="1" x14ac:dyDescent="0.25">
      <c r="A122" s="9" t="s">
        <v>310</v>
      </c>
      <c r="B122" s="13">
        <f>VLOOKUP(Table245[[#This Row],[Cushing, OK]],'List source'!D$2:E$71,2,FALSE)</f>
        <v>147</v>
      </c>
      <c r="C122" s="17" t="s">
        <v>311</v>
      </c>
      <c r="D122" s="21" t="str">
        <f t="shared" si="3"/>
        <v>A121-147-25</v>
      </c>
      <c r="E122" s="38">
        <v>45915</v>
      </c>
      <c r="F122" s="38">
        <v>45915</v>
      </c>
      <c r="G122" s="38">
        <v>45922</v>
      </c>
      <c r="H122" s="10" t="s">
        <v>16</v>
      </c>
      <c r="I122" s="10" t="s">
        <v>66</v>
      </c>
      <c r="J122" s="10" t="s">
        <v>48</v>
      </c>
      <c r="K122" s="10" t="s">
        <v>48</v>
      </c>
      <c r="L122" s="10" t="s">
        <v>20</v>
      </c>
      <c r="M122" s="37"/>
      <c r="N122" s="10" t="s">
        <v>75</v>
      </c>
    </row>
    <row r="123" spans="1:14" s="4" customFormat="1" ht="30" customHeight="1" x14ac:dyDescent="0.25">
      <c r="A123" s="9" t="s">
        <v>73</v>
      </c>
      <c r="B123" s="13">
        <f>VLOOKUP(Table245[[#This Row],[Cushing, OK]],'List source'!D$2:E$71,2,FALSE)</f>
        <v>142</v>
      </c>
      <c r="C123" s="17" t="s">
        <v>312</v>
      </c>
      <c r="D123" s="21" t="str">
        <f>"A" &amp; C123 &amp; "-" &amp; B123 &amp; "-" &amp; "25"</f>
        <v>A122-142-25</v>
      </c>
      <c r="E123" s="38">
        <v>45890</v>
      </c>
      <c r="F123" s="38">
        <v>45890</v>
      </c>
      <c r="G123" s="38">
        <v>45916</v>
      </c>
      <c r="H123" s="10" t="s">
        <v>81</v>
      </c>
      <c r="I123" s="10" t="s">
        <v>66</v>
      </c>
      <c r="J123" s="10" t="s">
        <v>18</v>
      </c>
      <c r="K123" s="10" t="s">
        <v>313</v>
      </c>
      <c r="L123" s="10" t="s">
        <v>103</v>
      </c>
      <c r="M123" s="37"/>
      <c r="N123" s="10" t="s">
        <v>293</v>
      </c>
    </row>
    <row r="124" spans="1:14" s="4" customFormat="1" ht="44.1" customHeight="1" x14ac:dyDescent="0.25">
      <c r="A124" s="9" t="s">
        <v>153</v>
      </c>
      <c r="B124" s="13">
        <f>VLOOKUP(Table245[[#This Row],[Cushing, OK]],'List source'!D$2:E$71,2,FALSE)</f>
        <v>110</v>
      </c>
      <c r="C124" s="17" t="s">
        <v>314</v>
      </c>
      <c r="D124" s="21" t="str">
        <f t="shared" si="3"/>
        <v>A123-110-25</v>
      </c>
      <c r="E124" s="38">
        <v>45922</v>
      </c>
      <c r="F124" s="38">
        <v>45925</v>
      </c>
      <c r="G124" s="38">
        <v>45951</v>
      </c>
      <c r="H124" s="10" t="s">
        <v>16</v>
      </c>
      <c r="I124" s="10" t="s">
        <v>17</v>
      </c>
      <c r="J124" s="10" t="s">
        <v>315</v>
      </c>
      <c r="K124" s="10" t="s">
        <v>315</v>
      </c>
      <c r="L124" s="10" t="s">
        <v>20</v>
      </c>
      <c r="M124" s="37"/>
      <c r="N124" s="10" t="s">
        <v>75</v>
      </c>
    </row>
    <row r="125" spans="1:14" s="4" customFormat="1" ht="30" customHeight="1" x14ac:dyDescent="0.25">
      <c r="A125" s="9" t="s">
        <v>153</v>
      </c>
      <c r="B125" s="13">
        <f>VLOOKUP(Table245[[#This Row],[Cushing, OK]],'List source'!D$2:E$71,2,FALSE)</f>
        <v>110</v>
      </c>
      <c r="C125" s="17" t="s">
        <v>316</v>
      </c>
      <c r="D125" s="21" t="str">
        <f t="shared" si="3"/>
        <v>A124-110-25</v>
      </c>
      <c r="E125" s="38">
        <v>45922</v>
      </c>
      <c r="F125" s="38">
        <v>45925</v>
      </c>
      <c r="G125" s="38">
        <v>45951</v>
      </c>
      <c r="H125" s="10" t="s">
        <v>16</v>
      </c>
      <c r="I125" s="10" t="s">
        <v>31</v>
      </c>
      <c r="J125" s="10" t="s">
        <v>315</v>
      </c>
      <c r="K125" s="10" t="s">
        <v>315</v>
      </c>
      <c r="L125" s="10" t="s">
        <v>20</v>
      </c>
      <c r="M125" s="37"/>
      <c r="N125" s="10" t="s">
        <v>317</v>
      </c>
    </row>
    <row r="126" spans="1:14" s="4" customFormat="1" ht="30" customHeight="1" x14ac:dyDescent="0.25">
      <c r="A126" s="9" t="s">
        <v>131</v>
      </c>
      <c r="B126" s="13">
        <f>VLOOKUP(Table245[[#This Row],[Cushing, OK]],'List source'!D$2:E$71,2,FALSE)</f>
        <v>145</v>
      </c>
      <c r="C126" s="17" t="s">
        <v>318</v>
      </c>
      <c r="D126" s="21" t="str">
        <f t="shared" si="3"/>
        <v>A125-145-25</v>
      </c>
      <c r="E126" s="38">
        <v>45909</v>
      </c>
      <c r="F126" s="38">
        <v>45910</v>
      </c>
      <c r="G126" s="38">
        <v>45940</v>
      </c>
      <c r="H126" s="10" t="s">
        <v>81</v>
      </c>
      <c r="I126" s="10" t="s">
        <v>31</v>
      </c>
      <c r="J126" s="10" t="s">
        <v>18</v>
      </c>
      <c r="K126" s="10" t="s">
        <v>319</v>
      </c>
      <c r="L126" s="10" t="s">
        <v>265</v>
      </c>
      <c r="M126" s="37"/>
      <c r="N126" s="10"/>
    </row>
    <row r="127" spans="1:14" s="4" customFormat="1" ht="30" customHeight="1" x14ac:dyDescent="0.25">
      <c r="A127" s="9" t="s">
        <v>203</v>
      </c>
      <c r="B127" s="13">
        <f>VLOOKUP(Table245[[#This Row],[Cushing, OK]],'List source'!D$2:E$71,2,FALSE)</f>
        <v>140</v>
      </c>
      <c r="C127" s="17" t="s">
        <v>320</v>
      </c>
      <c r="D127" s="21" t="str">
        <f t="shared" si="3"/>
        <v>A126-140-25</v>
      </c>
      <c r="E127" s="38">
        <v>45911</v>
      </c>
      <c r="F127" s="38">
        <v>45912</v>
      </c>
      <c r="G127" s="38">
        <v>45940</v>
      </c>
      <c r="H127" s="10" t="s">
        <v>81</v>
      </c>
      <c r="I127" s="10" t="s">
        <v>31</v>
      </c>
      <c r="J127" s="10" t="s">
        <v>18</v>
      </c>
      <c r="K127" s="10" t="s">
        <v>319</v>
      </c>
      <c r="L127" s="10" t="s">
        <v>265</v>
      </c>
      <c r="M127" s="37"/>
      <c r="N127" s="10"/>
    </row>
    <row r="128" spans="1:14" s="4" customFormat="1" ht="30" customHeight="1" x14ac:dyDescent="0.25">
      <c r="A128" s="9" t="s">
        <v>105</v>
      </c>
      <c r="B128" s="13">
        <f>VLOOKUP(Table245[[#This Row],[Cushing, OK]],'List source'!D$2:E$71,2,FALSE)</f>
        <v>215</v>
      </c>
      <c r="C128" s="17" t="s">
        <v>321</v>
      </c>
      <c r="D128" s="21" t="str">
        <f t="shared" si="3"/>
        <v>A127-215-25</v>
      </c>
      <c r="E128" s="38">
        <v>45923</v>
      </c>
      <c r="F128" s="38">
        <v>45923</v>
      </c>
      <c r="G128" s="29"/>
      <c r="H128" s="10" t="s">
        <v>81</v>
      </c>
      <c r="I128" s="10" t="s">
        <v>17</v>
      </c>
      <c r="J128" s="10" t="s">
        <v>189</v>
      </c>
      <c r="K128" s="10"/>
      <c r="L128" s="10" t="s">
        <v>265</v>
      </c>
      <c r="M128" s="37"/>
      <c r="N128" s="10"/>
    </row>
    <row r="129" spans="1:14" s="4" customFormat="1" ht="30" customHeight="1" x14ac:dyDescent="0.25">
      <c r="A129" s="9" t="s">
        <v>257</v>
      </c>
      <c r="B129" s="13">
        <f>VLOOKUP(Table245[[#This Row],[Cushing, OK]],'List source'!D$2:E$71,2,FALSE)</f>
        <v>144</v>
      </c>
      <c r="C129" s="17" t="s">
        <v>322</v>
      </c>
      <c r="D129" s="21" t="str">
        <f t="shared" si="3"/>
        <v>A128-144-25</v>
      </c>
      <c r="E129" s="38">
        <v>45923</v>
      </c>
      <c r="F129" s="38">
        <v>45923</v>
      </c>
      <c r="G129" s="29"/>
      <c r="H129" s="10" t="s">
        <v>39</v>
      </c>
      <c r="I129" s="10" t="s">
        <v>17</v>
      </c>
      <c r="J129" s="10" t="s">
        <v>189</v>
      </c>
      <c r="K129" s="10" t="s">
        <v>323</v>
      </c>
      <c r="L129" s="10" t="s">
        <v>185</v>
      </c>
      <c r="M129" s="37" t="s">
        <v>127</v>
      </c>
      <c r="N129" s="10"/>
    </row>
    <row r="130" spans="1:14" s="4" customFormat="1" ht="30" customHeight="1" x14ac:dyDescent="0.25">
      <c r="A130" s="9" t="s">
        <v>287</v>
      </c>
      <c r="B130" s="13">
        <f>VLOOKUP(Table245[[#This Row],[Cushing, OK]],'List source'!D$2:E$71,2,FALSE)</f>
        <v>180</v>
      </c>
      <c r="C130" s="17" t="s">
        <v>324</v>
      </c>
      <c r="D130" s="21" t="str">
        <f t="shared" ref="D130:D161" si="4">"A" &amp; C130 &amp; "-" &amp; B130 &amp; "-" &amp; "25"</f>
        <v>A129-180-25</v>
      </c>
      <c r="E130" s="29">
        <v>45929</v>
      </c>
      <c r="F130" s="29">
        <v>45929</v>
      </c>
      <c r="G130" s="38">
        <v>45986</v>
      </c>
      <c r="H130" s="10" t="s">
        <v>39</v>
      </c>
      <c r="I130" s="10" t="s">
        <v>17</v>
      </c>
      <c r="J130" s="10" t="s">
        <v>189</v>
      </c>
      <c r="K130" s="10"/>
      <c r="L130" s="10" t="s">
        <v>185</v>
      </c>
      <c r="M130" s="37" t="s">
        <v>127</v>
      </c>
      <c r="N130" s="10"/>
    </row>
    <row r="131" spans="1:14" s="4" customFormat="1" ht="30" customHeight="1" x14ac:dyDescent="0.25">
      <c r="A131" s="9" t="s">
        <v>325</v>
      </c>
      <c r="B131" s="13" t="str">
        <f>VLOOKUP(Table245[[#This Row],[Cushing, OK]],'List source'!D$2:E$71,2,FALSE)</f>
        <v>155A</v>
      </c>
      <c r="C131" s="17" t="s">
        <v>326</v>
      </c>
      <c r="D131" s="21" t="str">
        <f t="shared" si="4"/>
        <v>A130-155A-25</v>
      </c>
      <c r="E131" s="38">
        <v>45930</v>
      </c>
      <c r="F131" s="38">
        <v>45931</v>
      </c>
      <c r="G131" s="29">
        <v>45944</v>
      </c>
      <c r="H131" s="10" t="s">
        <v>16</v>
      </c>
      <c r="I131" s="10" t="s">
        <v>17</v>
      </c>
      <c r="J131" s="10" t="s">
        <v>18</v>
      </c>
      <c r="K131" s="10" t="s">
        <v>18</v>
      </c>
      <c r="L131" s="10" t="s">
        <v>20</v>
      </c>
      <c r="M131" s="37"/>
      <c r="N131" s="10" t="s">
        <v>53</v>
      </c>
    </row>
    <row r="132" spans="1:14" s="4" customFormat="1" ht="30" customHeight="1" x14ac:dyDescent="0.25">
      <c r="A132" s="9" t="s">
        <v>156</v>
      </c>
      <c r="B132" s="13">
        <f>VLOOKUP(Table245[[#This Row],[Cushing, OK]],'List source'!D$2:E$71,2,FALSE)</f>
        <v>130</v>
      </c>
      <c r="C132" s="17" t="s">
        <v>327</v>
      </c>
      <c r="D132" s="21" t="str">
        <f t="shared" si="4"/>
        <v>A131-130-25</v>
      </c>
      <c r="E132" s="38">
        <v>45931</v>
      </c>
      <c r="F132" s="38">
        <v>45931</v>
      </c>
      <c r="G132" s="29"/>
      <c r="H132" s="10" t="s">
        <v>39</v>
      </c>
      <c r="I132" s="10" t="s">
        <v>31</v>
      </c>
      <c r="J132" s="10" t="s">
        <v>328</v>
      </c>
      <c r="K132" s="10" t="s">
        <v>115</v>
      </c>
      <c r="L132" s="10" t="s">
        <v>329</v>
      </c>
      <c r="M132" s="37" t="s">
        <v>181</v>
      </c>
      <c r="N132" s="10" t="s">
        <v>36</v>
      </c>
    </row>
    <row r="133" spans="1:14" s="4" customFormat="1" ht="30" customHeight="1" x14ac:dyDescent="0.25">
      <c r="A133" s="9" t="s">
        <v>330</v>
      </c>
      <c r="B133" s="13" t="str">
        <f>VLOOKUP(Table245[[#This Row],[Cushing, OK]],'List source'!D$2:E$71,2,FALSE)</f>
        <v>A&amp;B-NED</v>
      </c>
      <c r="C133" s="17" t="s">
        <v>331</v>
      </c>
      <c r="D133" s="21" t="str">
        <f t="shared" si="4"/>
        <v>A132-A&amp;B-NED-25</v>
      </c>
      <c r="E133" s="38">
        <v>45936</v>
      </c>
      <c r="F133" s="38">
        <v>45937</v>
      </c>
      <c r="G133" s="29">
        <v>46003</v>
      </c>
      <c r="H133" s="10" t="s">
        <v>16</v>
      </c>
      <c r="I133" s="10" t="s">
        <v>31</v>
      </c>
      <c r="J133" s="10" t="s">
        <v>27</v>
      </c>
      <c r="K133" s="10" t="s">
        <v>332</v>
      </c>
      <c r="L133" s="10" t="s">
        <v>20</v>
      </c>
      <c r="M133" s="37"/>
      <c r="N133" s="10" t="s">
        <v>333</v>
      </c>
    </row>
    <row r="134" spans="1:14" s="4" customFormat="1" ht="30" customHeight="1" x14ac:dyDescent="0.25">
      <c r="A134" s="9" t="s">
        <v>334</v>
      </c>
      <c r="B134" s="13" t="str">
        <f>VLOOKUP(Table245[[#This Row],[Cushing, OK]],'List source'!D$2:E$71,2,FALSE)</f>
        <v>A&amp;B-BR</v>
      </c>
      <c r="C134" s="17" t="s">
        <v>335</v>
      </c>
      <c r="D134" s="21" t="str">
        <f t="shared" si="4"/>
        <v>A133-A&amp;B-BR-25</v>
      </c>
      <c r="E134" s="38">
        <v>45938</v>
      </c>
      <c r="F134" s="38">
        <v>45939</v>
      </c>
      <c r="G134" s="38">
        <v>46003</v>
      </c>
      <c r="H134" s="10" t="s">
        <v>16</v>
      </c>
      <c r="I134" s="10" t="s">
        <v>31</v>
      </c>
      <c r="J134" s="10" t="s">
        <v>27</v>
      </c>
      <c r="K134" s="10" t="s">
        <v>332</v>
      </c>
      <c r="L134" s="10" t="s">
        <v>20</v>
      </c>
      <c r="M134" s="37"/>
      <c r="N134" s="10" t="s">
        <v>333</v>
      </c>
    </row>
    <row r="135" spans="1:14" s="4" customFormat="1" ht="30" customHeight="1" x14ac:dyDescent="0.25">
      <c r="A135" s="9" t="s">
        <v>336</v>
      </c>
      <c r="B135" s="13" t="str">
        <f>VLOOKUP(Table245[[#This Row],[Cushing, OK]],'List source'!D$2:E$71,2,FALSE)</f>
        <v>A&amp;B-HOU</v>
      </c>
      <c r="C135" s="17" t="s">
        <v>337</v>
      </c>
      <c r="D135" s="21" t="str">
        <f t="shared" si="4"/>
        <v>A134-A&amp;B-HOU-25</v>
      </c>
      <c r="E135" s="38">
        <v>45943</v>
      </c>
      <c r="F135" s="38">
        <v>45946</v>
      </c>
      <c r="G135" s="29">
        <v>46003</v>
      </c>
      <c r="H135" s="10" t="s">
        <v>16</v>
      </c>
      <c r="I135" s="10" t="s">
        <v>31</v>
      </c>
      <c r="J135" s="10" t="s">
        <v>48</v>
      </c>
      <c r="K135" s="10" t="s">
        <v>332</v>
      </c>
      <c r="L135" s="10" t="s">
        <v>20</v>
      </c>
      <c r="M135" s="37"/>
      <c r="N135" s="10" t="s">
        <v>333</v>
      </c>
    </row>
    <row r="136" spans="1:14" s="4" customFormat="1" ht="30" customHeight="1" x14ac:dyDescent="0.25">
      <c r="A136" s="9" t="s">
        <v>338</v>
      </c>
      <c r="B136" s="13">
        <f>VLOOKUP(Table245[[#This Row],[Cushing, OK]],'List source'!D$2:E$71,2,FALSE)</f>
        <v>191</v>
      </c>
      <c r="C136" s="17" t="s">
        <v>339</v>
      </c>
      <c r="D136" s="21" t="str">
        <f t="shared" si="4"/>
        <v>A135-191-25</v>
      </c>
      <c r="E136" s="38">
        <v>45944</v>
      </c>
      <c r="F136" s="38">
        <v>45946</v>
      </c>
      <c r="G136" s="29">
        <v>45961</v>
      </c>
      <c r="H136" s="10" t="s">
        <v>16</v>
      </c>
      <c r="I136" s="10" t="s">
        <v>17</v>
      </c>
      <c r="J136" s="10" t="s">
        <v>18</v>
      </c>
      <c r="K136" s="10" t="s">
        <v>18</v>
      </c>
      <c r="L136" s="10" t="s">
        <v>20</v>
      </c>
      <c r="M136" s="37"/>
      <c r="N136" s="10" t="s">
        <v>75</v>
      </c>
    </row>
    <row r="137" spans="1:14" s="4" customFormat="1" ht="30" customHeight="1" x14ac:dyDescent="0.25">
      <c r="A137" s="9" t="s">
        <v>338</v>
      </c>
      <c r="B137" s="13">
        <f>VLOOKUP(Table245[[#This Row],[Cushing, OK]],'List source'!D$2:E$71,2,FALSE)</f>
        <v>191</v>
      </c>
      <c r="C137" s="17" t="s">
        <v>340</v>
      </c>
      <c r="D137" s="21" t="str">
        <f t="shared" si="4"/>
        <v>A136-191-25</v>
      </c>
      <c r="E137" s="29">
        <v>45944</v>
      </c>
      <c r="F137" s="29">
        <v>45946</v>
      </c>
      <c r="G137" s="29">
        <v>45961</v>
      </c>
      <c r="H137" s="10" t="s">
        <v>16</v>
      </c>
      <c r="I137" s="10" t="s">
        <v>31</v>
      </c>
      <c r="J137" s="10" t="s">
        <v>18</v>
      </c>
      <c r="K137" s="10" t="s">
        <v>18</v>
      </c>
      <c r="L137" s="10" t="s">
        <v>20</v>
      </c>
      <c r="M137" s="37"/>
      <c r="N137" s="10" t="s">
        <v>138</v>
      </c>
    </row>
    <row r="138" spans="1:14" s="4" customFormat="1" ht="30" customHeight="1" x14ac:dyDescent="0.25">
      <c r="A138" s="9" t="s">
        <v>341</v>
      </c>
      <c r="B138" s="13">
        <f>VLOOKUP(Table245[[#This Row],[Cushing, OK]],'List source'!D$2:E$71,2,FALSE)</f>
        <v>135</v>
      </c>
      <c r="C138" s="17" t="s">
        <v>342</v>
      </c>
      <c r="D138" s="21" t="str">
        <f t="shared" si="4"/>
        <v>A137-135-25</v>
      </c>
      <c r="E138" s="38">
        <v>45943</v>
      </c>
      <c r="F138" s="38">
        <v>45944</v>
      </c>
      <c r="G138" s="29">
        <v>45964</v>
      </c>
      <c r="H138" s="10" t="s">
        <v>16</v>
      </c>
      <c r="I138" s="10" t="s">
        <v>66</v>
      </c>
      <c r="J138" s="10" t="s">
        <v>35</v>
      </c>
      <c r="K138" s="10" t="s">
        <v>343</v>
      </c>
      <c r="L138" s="10" t="s">
        <v>20</v>
      </c>
      <c r="M138" s="37"/>
      <c r="N138" s="10" t="s">
        <v>138</v>
      </c>
    </row>
    <row r="139" spans="1:14" s="4" customFormat="1" ht="30" customHeight="1" x14ac:dyDescent="0.25">
      <c r="A139" s="9" t="s">
        <v>287</v>
      </c>
      <c r="B139" s="13">
        <f>VLOOKUP(Table245[[#This Row],[Cushing, OK]],'List source'!D$2:E$71,2,FALSE)</f>
        <v>180</v>
      </c>
      <c r="C139" s="17" t="s">
        <v>344</v>
      </c>
      <c r="D139" s="21" t="str">
        <f t="shared" si="4"/>
        <v>A138-180-25</v>
      </c>
      <c r="E139" s="38">
        <v>45939</v>
      </c>
      <c r="F139" s="38">
        <v>45939</v>
      </c>
      <c r="G139" s="38"/>
      <c r="H139" s="10" t="s">
        <v>127</v>
      </c>
      <c r="I139" s="10" t="s">
        <v>31</v>
      </c>
      <c r="J139" s="10" t="s">
        <v>35</v>
      </c>
      <c r="K139" s="10" t="s">
        <v>345</v>
      </c>
      <c r="L139" s="10" t="s">
        <v>346</v>
      </c>
      <c r="M139" s="10" t="s">
        <v>346</v>
      </c>
      <c r="N139" s="10" t="s">
        <v>347</v>
      </c>
    </row>
    <row r="140" spans="1:14" s="4" customFormat="1" ht="30" customHeight="1" x14ac:dyDescent="0.25">
      <c r="A140" s="9" t="s">
        <v>287</v>
      </c>
      <c r="B140" s="13">
        <f>VLOOKUP(Table245[[#This Row],[Cushing, OK]],'List source'!D$2:E$71,2,FALSE)</f>
        <v>180</v>
      </c>
      <c r="C140" s="17" t="s">
        <v>348</v>
      </c>
      <c r="D140" s="21" t="str">
        <f t="shared" si="4"/>
        <v>A139-180-25</v>
      </c>
      <c r="E140" s="29">
        <v>45944</v>
      </c>
      <c r="F140" s="29">
        <v>45946</v>
      </c>
      <c r="G140" s="29"/>
      <c r="H140" s="10" t="s">
        <v>39</v>
      </c>
      <c r="I140" s="10" t="s">
        <v>31</v>
      </c>
      <c r="J140" s="10" t="s">
        <v>18</v>
      </c>
      <c r="K140" s="10" t="s">
        <v>60</v>
      </c>
      <c r="L140" s="10" t="s">
        <v>41</v>
      </c>
      <c r="M140" s="37" t="s">
        <v>39</v>
      </c>
      <c r="N140" s="10"/>
    </row>
    <row r="141" spans="1:14" s="4" customFormat="1" ht="30" customHeight="1" x14ac:dyDescent="0.25">
      <c r="A141" s="9" t="s">
        <v>51</v>
      </c>
      <c r="B141" s="13">
        <f>VLOOKUP(Table245[[#This Row],[Cushing, OK]],'List source'!D$2:E$71,2,FALSE)</f>
        <v>139</v>
      </c>
      <c r="C141" s="17" t="s">
        <v>349</v>
      </c>
      <c r="D141" s="21" t="str">
        <f t="shared" si="4"/>
        <v>A140-139-25</v>
      </c>
      <c r="E141" s="38">
        <v>45947</v>
      </c>
      <c r="F141" s="38">
        <v>45947</v>
      </c>
      <c r="G141" s="29">
        <v>46010</v>
      </c>
      <c r="H141" s="10" t="s">
        <v>39</v>
      </c>
      <c r="I141" s="10" t="s">
        <v>17</v>
      </c>
      <c r="J141" s="10" t="s">
        <v>48</v>
      </c>
      <c r="K141" s="10" t="s">
        <v>145</v>
      </c>
      <c r="L141" s="10" t="s">
        <v>146</v>
      </c>
      <c r="M141" s="37" t="s">
        <v>39</v>
      </c>
      <c r="N141" s="10" t="s">
        <v>350</v>
      </c>
    </row>
    <row r="142" spans="1:14" s="4" customFormat="1" ht="30" customHeight="1" x14ac:dyDescent="0.25">
      <c r="A142" s="9" t="s">
        <v>351</v>
      </c>
      <c r="B142" s="13">
        <f>VLOOKUP(Table245[[#This Row],[Cushing, OK]],'List source'!D$2:E$71,2,FALSE)</f>
        <v>195</v>
      </c>
      <c r="C142" s="17" t="s">
        <v>352</v>
      </c>
      <c r="D142" s="21" t="str">
        <f t="shared" si="4"/>
        <v>A141-195-25</v>
      </c>
      <c r="E142" s="38">
        <v>45952</v>
      </c>
      <c r="F142" s="38">
        <v>45952</v>
      </c>
      <c r="G142" s="38">
        <v>45961</v>
      </c>
      <c r="H142" s="10" t="s">
        <v>16</v>
      </c>
      <c r="I142" s="10" t="s">
        <v>66</v>
      </c>
      <c r="J142" s="10" t="s">
        <v>48</v>
      </c>
      <c r="K142" s="10" t="s">
        <v>48</v>
      </c>
      <c r="L142" s="10" t="s">
        <v>20</v>
      </c>
      <c r="M142" s="37"/>
      <c r="N142" s="10" t="s">
        <v>75</v>
      </c>
    </row>
    <row r="143" spans="1:14" s="4" customFormat="1" ht="30" customHeight="1" x14ac:dyDescent="0.25">
      <c r="A143" s="9" t="s">
        <v>79</v>
      </c>
      <c r="B143" s="13">
        <f>VLOOKUP(Table245[[#This Row],[Cushing, OK]],'List source'!D$2:E$71,2,FALSE)</f>
        <v>160</v>
      </c>
      <c r="C143" s="17" t="s">
        <v>353</v>
      </c>
      <c r="D143" s="42" t="str">
        <f t="shared" si="4"/>
        <v>A142-160-25</v>
      </c>
      <c r="E143" s="38">
        <v>45917</v>
      </c>
      <c r="F143" s="38">
        <v>45917</v>
      </c>
      <c r="G143" s="29">
        <v>45947</v>
      </c>
      <c r="H143" s="10" t="s">
        <v>81</v>
      </c>
      <c r="I143" s="10" t="s">
        <v>31</v>
      </c>
      <c r="J143" s="10" t="s">
        <v>82</v>
      </c>
      <c r="K143" s="10" t="s">
        <v>231</v>
      </c>
      <c r="L143" s="10" t="s">
        <v>169</v>
      </c>
      <c r="M143" s="37"/>
      <c r="N143" s="10"/>
    </row>
    <row r="144" spans="1:14" s="4" customFormat="1" ht="30" customHeight="1" x14ac:dyDescent="0.25">
      <c r="A144" s="9" t="s">
        <v>69</v>
      </c>
      <c r="B144" s="13">
        <f>VLOOKUP(Table245[[#This Row],[Cushing, OK]],'List source'!D$2:E$71,2,FALSE)</f>
        <v>141</v>
      </c>
      <c r="C144" s="17" t="s">
        <v>354</v>
      </c>
      <c r="D144" s="21" t="str">
        <f t="shared" si="4"/>
        <v>A143-141-25</v>
      </c>
      <c r="E144" s="29">
        <v>45931</v>
      </c>
      <c r="F144" s="29">
        <v>45931</v>
      </c>
      <c r="G144" s="29">
        <v>45950</v>
      </c>
      <c r="H144" s="10" t="s">
        <v>81</v>
      </c>
      <c r="I144" s="10" t="s">
        <v>66</v>
      </c>
      <c r="J144" s="10" t="s">
        <v>27</v>
      </c>
      <c r="K144" s="10"/>
      <c r="L144" s="10" t="s">
        <v>103</v>
      </c>
      <c r="M144" s="37"/>
      <c r="N144" s="10"/>
    </row>
    <row r="145" spans="1:14" s="4" customFormat="1" ht="48" customHeight="1" x14ac:dyDescent="0.25">
      <c r="A145" s="9" t="s">
        <v>14</v>
      </c>
      <c r="B145" s="13">
        <f>VLOOKUP(Table245[[#This Row],[Cushing, OK]],'List source'!D$2:E$71,2,FALSE)</f>
        <v>131</v>
      </c>
      <c r="C145" s="17" t="s">
        <v>355</v>
      </c>
      <c r="D145" s="21" t="str">
        <f>"A" &amp; C145 &amp; "-" &amp; B145 &amp; "-" &amp; "25"</f>
        <v>A144-131-25</v>
      </c>
      <c r="E145" s="38">
        <v>45952</v>
      </c>
      <c r="F145" s="38">
        <v>45952</v>
      </c>
      <c r="G145" s="29"/>
      <c r="H145" s="10" t="s">
        <v>81</v>
      </c>
      <c r="I145" s="10" t="s">
        <v>17</v>
      </c>
      <c r="J145" s="10" t="s">
        <v>167</v>
      </c>
      <c r="K145" s="10" t="s">
        <v>356</v>
      </c>
      <c r="L145" s="10" t="s">
        <v>111</v>
      </c>
      <c r="M145" s="37"/>
      <c r="N145" s="10" t="s">
        <v>357</v>
      </c>
    </row>
    <row r="146" spans="1:14" s="4" customFormat="1" ht="30" customHeight="1" x14ac:dyDescent="0.25">
      <c r="A146" s="9" t="s">
        <v>156</v>
      </c>
      <c r="B146" s="13">
        <f>VLOOKUP(Table245[[#This Row],[Cushing, OK]],'List source'!D$2:E$71,2,FALSE)</f>
        <v>130</v>
      </c>
      <c r="C146" s="17" t="s">
        <v>358</v>
      </c>
      <c r="D146" s="21" t="str">
        <f t="shared" si="4"/>
        <v>A145-130-25</v>
      </c>
      <c r="E146" s="38">
        <v>45981</v>
      </c>
      <c r="F146" s="38">
        <v>45981</v>
      </c>
      <c r="G146" s="38">
        <v>45982</v>
      </c>
      <c r="H146" s="10" t="s">
        <v>127</v>
      </c>
      <c r="I146" s="10" t="s">
        <v>17</v>
      </c>
      <c r="J146" s="10" t="s">
        <v>167</v>
      </c>
      <c r="K146" s="10" t="s">
        <v>359</v>
      </c>
      <c r="L146" s="10" t="s">
        <v>185</v>
      </c>
      <c r="M146" s="37" t="s">
        <v>127</v>
      </c>
      <c r="N146" s="10" t="s">
        <v>360</v>
      </c>
    </row>
    <row r="147" spans="1:14" s="4" customFormat="1" ht="30" customHeight="1" x14ac:dyDescent="0.25">
      <c r="A147" s="9" t="s">
        <v>361</v>
      </c>
      <c r="B147" s="13">
        <f>VLOOKUP(Table245[[#This Row],[Cushing, OK]],'List source'!D$2:E$71,2,FALSE)</f>
        <v>116</v>
      </c>
      <c r="C147" s="17" t="s">
        <v>362</v>
      </c>
      <c r="D147" s="21" t="str">
        <f t="shared" si="4"/>
        <v>A146-116-25</v>
      </c>
      <c r="E147" s="38">
        <v>45964</v>
      </c>
      <c r="F147" s="38">
        <v>45965</v>
      </c>
      <c r="G147" s="38">
        <v>46002</v>
      </c>
      <c r="H147" s="10" t="s">
        <v>16</v>
      </c>
      <c r="I147" s="10" t="s">
        <v>17</v>
      </c>
      <c r="J147" s="10" t="s">
        <v>48</v>
      </c>
      <c r="K147" s="10" t="s">
        <v>48</v>
      </c>
      <c r="L147" s="10" t="s">
        <v>20</v>
      </c>
      <c r="M147" s="37"/>
      <c r="N147" s="10" t="s">
        <v>75</v>
      </c>
    </row>
    <row r="148" spans="1:14" s="4" customFormat="1" ht="30" customHeight="1" x14ac:dyDescent="0.25">
      <c r="A148" s="9" t="s">
        <v>237</v>
      </c>
      <c r="B148" s="13">
        <f>VLOOKUP(Table245[[#This Row],[Cushing, OK]],'List source'!D$2:E$71,2,FALSE)</f>
        <v>171</v>
      </c>
      <c r="C148" s="17" t="s">
        <v>363</v>
      </c>
      <c r="D148" s="21" t="str">
        <f t="shared" si="4"/>
        <v>A147-171-25</v>
      </c>
      <c r="E148" s="38">
        <v>45966</v>
      </c>
      <c r="F148" s="38">
        <v>45967</v>
      </c>
      <c r="G148" s="38">
        <v>46000</v>
      </c>
      <c r="H148" s="10" t="s">
        <v>16</v>
      </c>
      <c r="I148" s="10" t="s">
        <v>17</v>
      </c>
      <c r="J148" s="10" t="s">
        <v>48</v>
      </c>
      <c r="K148" s="10" t="s">
        <v>48</v>
      </c>
      <c r="L148" s="10" t="s">
        <v>20</v>
      </c>
      <c r="M148" s="37"/>
      <c r="N148" s="10" t="s">
        <v>75</v>
      </c>
    </row>
    <row r="149" spans="1:14" s="4" customFormat="1" ht="30" customHeight="1" x14ac:dyDescent="0.25">
      <c r="A149" s="9" t="s">
        <v>364</v>
      </c>
      <c r="B149" s="13" t="str">
        <f>VLOOKUP(Table245[[#This Row],[Cushing, OK]],'List source'!D$2:E$71,2,FALSE)</f>
        <v>A&amp;B-TEM</v>
      </c>
      <c r="C149" s="17" t="s">
        <v>365</v>
      </c>
      <c r="D149" s="21" t="str">
        <f t="shared" si="4"/>
        <v>A148-A&amp;B-TEM-25</v>
      </c>
      <c r="E149" s="38">
        <v>45957</v>
      </c>
      <c r="F149" s="38">
        <v>45959</v>
      </c>
      <c r="G149" s="29">
        <v>46003</v>
      </c>
      <c r="H149" s="10" t="s">
        <v>16</v>
      </c>
      <c r="I149" s="10" t="s">
        <v>31</v>
      </c>
      <c r="J149" s="13" t="s">
        <v>27</v>
      </c>
      <c r="K149" s="10" t="s">
        <v>27</v>
      </c>
      <c r="L149" s="11" t="s">
        <v>20</v>
      </c>
      <c r="M149" s="37"/>
      <c r="N149" s="10" t="s">
        <v>333</v>
      </c>
    </row>
    <row r="150" spans="1:14" s="4" customFormat="1" ht="30" customHeight="1" x14ac:dyDescent="0.25">
      <c r="A150" s="9" t="s">
        <v>151</v>
      </c>
      <c r="B150" s="13">
        <f>VLOOKUP(Table245[[#This Row],[Cushing, OK]],'List source'!D$2:E$71,2,FALSE)</f>
        <v>115</v>
      </c>
      <c r="C150" s="17" t="s">
        <v>366</v>
      </c>
      <c r="D150" s="21" t="str">
        <f t="shared" si="4"/>
        <v>A149-115-25</v>
      </c>
      <c r="E150" s="38">
        <v>45964</v>
      </c>
      <c r="F150" s="29">
        <v>45966</v>
      </c>
      <c r="G150" s="29">
        <v>45972</v>
      </c>
      <c r="H150" s="10" t="s">
        <v>16</v>
      </c>
      <c r="I150" s="10" t="s">
        <v>17</v>
      </c>
      <c r="J150" s="13" t="s">
        <v>18</v>
      </c>
      <c r="K150" s="10" t="s">
        <v>135</v>
      </c>
      <c r="L150" s="11" t="s">
        <v>20</v>
      </c>
      <c r="M150" s="37"/>
      <c r="N150" s="10" t="s">
        <v>75</v>
      </c>
    </row>
    <row r="151" spans="1:14" s="4" customFormat="1" ht="30" customHeight="1" x14ac:dyDescent="0.25">
      <c r="A151" s="9" t="s">
        <v>69</v>
      </c>
      <c r="B151" s="13">
        <f>VLOOKUP(Table245[[#This Row],[Cushing, OK]],'List source'!D$2:E$71,2,FALSE)</f>
        <v>141</v>
      </c>
      <c r="C151" s="17" t="s">
        <v>367</v>
      </c>
      <c r="D151" s="21" t="str">
        <f t="shared" si="4"/>
        <v>A150-141-25</v>
      </c>
      <c r="E151" s="38">
        <v>45965</v>
      </c>
      <c r="F151" s="38">
        <v>45965</v>
      </c>
      <c r="G151" s="29">
        <v>45981</v>
      </c>
      <c r="H151" s="10" t="s">
        <v>81</v>
      </c>
      <c r="I151" s="10" t="s">
        <v>31</v>
      </c>
      <c r="J151" s="13" t="s">
        <v>18</v>
      </c>
      <c r="K151" s="10" t="s">
        <v>102</v>
      </c>
      <c r="L151" s="11" t="s">
        <v>103</v>
      </c>
      <c r="M151" s="37"/>
      <c r="N151" s="13"/>
    </row>
    <row r="152" spans="1:14" ht="30" customHeight="1" x14ac:dyDescent="0.25">
      <c r="A152" s="9" t="s">
        <v>73</v>
      </c>
      <c r="B152" s="13">
        <f>VLOOKUP(Table245[[#This Row],[Cushing, OK]],'List source'!D$2:E$71,2,FALSE)</f>
        <v>142</v>
      </c>
      <c r="C152" s="17" t="s">
        <v>368</v>
      </c>
      <c r="D152" s="21" t="str">
        <f t="shared" si="4"/>
        <v>A151-142-25</v>
      </c>
      <c r="E152" s="38">
        <v>45966</v>
      </c>
      <c r="F152" s="38">
        <v>45966</v>
      </c>
      <c r="G152" s="38"/>
      <c r="H152" s="10" t="s">
        <v>81</v>
      </c>
      <c r="I152" s="10" t="s">
        <v>31</v>
      </c>
      <c r="J152" s="10" t="s">
        <v>18</v>
      </c>
      <c r="K152" s="10" t="s">
        <v>102</v>
      </c>
      <c r="L152" s="10" t="s">
        <v>103</v>
      </c>
      <c r="M152" s="37"/>
      <c r="N152" s="10"/>
    </row>
    <row r="153" spans="1:14" ht="30" customHeight="1" x14ac:dyDescent="0.25">
      <c r="A153" s="9" t="s">
        <v>153</v>
      </c>
      <c r="B153" s="13">
        <f>VLOOKUP(Table245[[#This Row],[Cushing, OK]],'List source'!D$2:E$71,2,FALSE)</f>
        <v>110</v>
      </c>
      <c r="C153" s="17" t="s">
        <v>369</v>
      </c>
      <c r="D153" s="21" t="str">
        <f t="shared" si="4"/>
        <v>A152-110-25</v>
      </c>
      <c r="E153" s="38">
        <v>45938</v>
      </c>
      <c r="F153" s="38">
        <v>45938</v>
      </c>
      <c r="G153" s="38">
        <v>45945</v>
      </c>
      <c r="H153" s="10" t="s">
        <v>81</v>
      </c>
      <c r="I153" s="10" t="s">
        <v>66</v>
      </c>
      <c r="J153" s="10" t="s">
        <v>18</v>
      </c>
      <c r="K153" s="10"/>
      <c r="L153" s="10" t="s">
        <v>103</v>
      </c>
      <c r="M153" s="37"/>
      <c r="N153" s="10"/>
    </row>
    <row r="154" spans="1:14" ht="30" customHeight="1" x14ac:dyDescent="0.25">
      <c r="A154" s="9" t="s">
        <v>153</v>
      </c>
      <c r="B154" s="13">
        <f>VLOOKUP(Table245[[#This Row],[Cushing, OK]],'List source'!D$2:E$71,2,FALSE)</f>
        <v>110</v>
      </c>
      <c r="C154" s="17" t="s">
        <v>370</v>
      </c>
      <c r="D154" s="21" t="str">
        <f t="shared" si="4"/>
        <v>A153-110-25</v>
      </c>
      <c r="E154" s="38">
        <v>45964</v>
      </c>
      <c r="F154" s="38"/>
      <c r="G154" s="38"/>
      <c r="H154" s="10" t="s">
        <v>81</v>
      </c>
      <c r="I154" s="10" t="s">
        <v>31</v>
      </c>
      <c r="J154" s="10" t="s">
        <v>252</v>
      </c>
      <c r="K154" s="10" t="s">
        <v>371</v>
      </c>
      <c r="L154" s="10" t="s">
        <v>372</v>
      </c>
      <c r="M154" s="37"/>
      <c r="N154" s="10"/>
    </row>
    <row r="155" spans="1:14" ht="30" customHeight="1" x14ac:dyDescent="0.25">
      <c r="A155" s="9" t="s">
        <v>94</v>
      </c>
      <c r="B155" s="13">
        <f>VLOOKUP(Table245[[#This Row],[Cushing, OK]],'List source'!D$2:E$71,2,FALSE)</f>
        <v>120</v>
      </c>
      <c r="C155" s="17" t="s">
        <v>373</v>
      </c>
      <c r="D155" s="21" t="str">
        <f t="shared" si="4"/>
        <v>A154-120-25</v>
      </c>
      <c r="E155" s="38">
        <v>45971</v>
      </c>
      <c r="F155" s="38">
        <v>45972</v>
      </c>
      <c r="G155" s="38"/>
      <c r="H155" s="10" t="s">
        <v>81</v>
      </c>
      <c r="I155" s="10" t="s">
        <v>31</v>
      </c>
      <c r="J155" s="10" t="s">
        <v>252</v>
      </c>
      <c r="K155" s="10" t="s">
        <v>371</v>
      </c>
      <c r="L155" s="10" t="s">
        <v>372</v>
      </c>
      <c r="M155" s="37"/>
      <c r="N155" s="10"/>
    </row>
    <row r="156" spans="1:14" ht="30" customHeight="1" x14ac:dyDescent="0.25">
      <c r="A156" s="9" t="s">
        <v>156</v>
      </c>
      <c r="B156" s="13">
        <f>VLOOKUP(Table245[[#This Row],[Cushing, OK]],'List source'!D$2:E$71,2,FALSE)</f>
        <v>130</v>
      </c>
      <c r="C156" s="17" t="s">
        <v>374</v>
      </c>
      <c r="D156" s="21" t="str">
        <f t="shared" si="4"/>
        <v>A155-130-25</v>
      </c>
      <c r="E156" s="38">
        <v>45971</v>
      </c>
      <c r="F156" s="38">
        <v>45973</v>
      </c>
      <c r="G156" s="38">
        <v>45973</v>
      </c>
      <c r="H156" s="10" t="s">
        <v>39</v>
      </c>
      <c r="I156" s="10" t="s">
        <v>31</v>
      </c>
      <c r="J156" s="10" t="s">
        <v>375</v>
      </c>
      <c r="K156" s="10" t="s">
        <v>376</v>
      </c>
      <c r="L156" s="11" t="s">
        <v>41</v>
      </c>
      <c r="M156" s="10" t="s">
        <v>377</v>
      </c>
      <c r="N156" s="13"/>
    </row>
    <row r="157" spans="1:14" ht="30" customHeight="1" x14ac:dyDescent="0.25">
      <c r="A157" s="9" t="s">
        <v>51</v>
      </c>
      <c r="B157" s="13">
        <f>VLOOKUP(Table245[[#This Row],[Cushing, OK]],'List source'!D$2:E$71,2,FALSE)</f>
        <v>139</v>
      </c>
      <c r="C157" s="17" t="s">
        <v>378</v>
      </c>
      <c r="D157" s="21" t="str">
        <f t="shared" si="4"/>
        <v>A156-139-25</v>
      </c>
      <c r="E157" s="38">
        <v>45978</v>
      </c>
      <c r="F157" s="38">
        <v>45980</v>
      </c>
      <c r="G157" s="38">
        <v>45996</v>
      </c>
      <c r="H157" s="10" t="s">
        <v>16</v>
      </c>
      <c r="I157" s="10" t="s">
        <v>17</v>
      </c>
      <c r="J157" s="10" t="s">
        <v>48</v>
      </c>
      <c r="K157" s="10" t="s">
        <v>48</v>
      </c>
      <c r="L157" s="11" t="s">
        <v>20</v>
      </c>
      <c r="M157" s="37"/>
      <c r="N157" s="10" t="s">
        <v>75</v>
      </c>
    </row>
    <row r="158" spans="1:14" ht="30" customHeight="1" x14ac:dyDescent="0.25">
      <c r="A158" s="9" t="s">
        <v>211</v>
      </c>
      <c r="B158" s="13">
        <f>VLOOKUP(Table245[[#This Row],[Cushing, OK]],'List source'!D$2:E$71,2,FALSE)</f>
        <v>132</v>
      </c>
      <c r="C158" s="17" t="s">
        <v>379</v>
      </c>
      <c r="D158" s="21" t="str">
        <f t="shared" si="4"/>
        <v>A157-132-25</v>
      </c>
      <c r="E158" s="38">
        <v>45979</v>
      </c>
      <c r="F158" s="38">
        <v>45981</v>
      </c>
      <c r="G158" s="38">
        <v>45981</v>
      </c>
      <c r="H158" s="10" t="s">
        <v>39</v>
      </c>
      <c r="I158" s="10" t="s">
        <v>31</v>
      </c>
      <c r="J158" s="10" t="s">
        <v>18</v>
      </c>
      <c r="K158" s="38" t="s">
        <v>376</v>
      </c>
      <c r="L158" s="38" t="s">
        <v>20</v>
      </c>
      <c r="M158" s="10" t="s">
        <v>377</v>
      </c>
      <c r="N158" s="10"/>
    </row>
    <row r="159" spans="1:14" ht="30" customHeight="1" x14ac:dyDescent="0.25">
      <c r="A159" s="9" t="s">
        <v>105</v>
      </c>
      <c r="B159" s="13">
        <f>VLOOKUP(Table245[[#This Row],[Cushing, OK]],'List source'!D$2:E$71,2,FALSE)</f>
        <v>215</v>
      </c>
      <c r="C159" s="17" t="s">
        <v>380</v>
      </c>
      <c r="D159" s="21" t="str">
        <f t="shared" si="4"/>
        <v>A158-215-25</v>
      </c>
      <c r="E159" s="38">
        <v>45992</v>
      </c>
      <c r="F159" s="38">
        <v>45994</v>
      </c>
      <c r="G159" s="38">
        <v>46010</v>
      </c>
      <c r="H159" s="10" t="s">
        <v>16</v>
      </c>
      <c r="I159" s="10" t="s">
        <v>17</v>
      </c>
      <c r="J159" s="10" t="s">
        <v>18</v>
      </c>
      <c r="K159" s="10" t="s">
        <v>88</v>
      </c>
      <c r="L159" s="10" t="s">
        <v>20</v>
      </c>
      <c r="M159" s="37"/>
      <c r="N159" s="10" t="s">
        <v>75</v>
      </c>
    </row>
    <row r="160" spans="1:14" ht="30" customHeight="1" x14ac:dyDescent="0.25">
      <c r="A160" s="9" t="s">
        <v>381</v>
      </c>
      <c r="B160" s="13">
        <f>VLOOKUP(Table245[[#This Row],[Cushing, OK]],'List source'!D$2:E$71,2,FALSE)</f>
        <v>179</v>
      </c>
      <c r="C160" s="17" t="s">
        <v>382</v>
      </c>
      <c r="D160" s="21" t="str">
        <f t="shared" si="4"/>
        <v>A159-179-25</v>
      </c>
      <c r="E160" s="38">
        <v>45993</v>
      </c>
      <c r="F160" s="38">
        <v>45995</v>
      </c>
      <c r="G160" s="38">
        <v>46037</v>
      </c>
      <c r="H160" s="10" t="s">
        <v>16</v>
      </c>
      <c r="I160" s="10" t="s">
        <v>17</v>
      </c>
      <c r="J160" s="10" t="s">
        <v>27</v>
      </c>
      <c r="K160" s="10" t="s">
        <v>27</v>
      </c>
      <c r="L160" s="10" t="s">
        <v>20</v>
      </c>
      <c r="M160" s="37"/>
      <c r="N160" s="10" t="s">
        <v>75</v>
      </c>
    </row>
    <row r="161" spans="1:14" ht="30" customHeight="1" x14ac:dyDescent="0.25">
      <c r="A161" s="9" t="s">
        <v>153</v>
      </c>
      <c r="B161" s="13">
        <f>VLOOKUP(Table245[[#This Row],[Cushing, OK]],'List source'!D$2:E$71,2,FALSE)</f>
        <v>110</v>
      </c>
      <c r="C161" s="17" t="s">
        <v>383</v>
      </c>
      <c r="D161" s="21" t="str">
        <f t="shared" si="4"/>
        <v>A160-110-25</v>
      </c>
      <c r="E161" s="38">
        <v>45994</v>
      </c>
      <c r="F161" s="38">
        <v>45994</v>
      </c>
      <c r="G161" s="38"/>
      <c r="H161" s="10" t="s">
        <v>39</v>
      </c>
      <c r="I161" s="10" t="s">
        <v>31</v>
      </c>
      <c r="J161" s="10" t="s">
        <v>27</v>
      </c>
      <c r="K161" s="10" t="s">
        <v>384</v>
      </c>
      <c r="L161" s="10" t="s">
        <v>97</v>
      </c>
      <c r="M161" s="37" t="s">
        <v>39</v>
      </c>
      <c r="N161" s="10" t="s">
        <v>385</v>
      </c>
    </row>
    <row r="162" spans="1:14" ht="30" customHeight="1" x14ac:dyDescent="0.25">
      <c r="A162" s="9" t="s">
        <v>37</v>
      </c>
      <c r="B162" s="13">
        <f>VLOOKUP(Table245[[#This Row],[Cushing, OK]],'List source'!D$2:E$71,2,FALSE)</f>
        <v>210</v>
      </c>
      <c r="C162" s="17" t="s">
        <v>386</v>
      </c>
      <c r="D162" s="21" t="str">
        <f t="shared" ref="D162:D193" si="5">"A" &amp; C162 &amp; "-" &amp; B162 &amp; "-" &amp; "25"</f>
        <v>A161-210-25</v>
      </c>
      <c r="E162" s="38">
        <v>45992</v>
      </c>
      <c r="F162" s="38">
        <v>45993</v>
      </c>
      <c r="G162" s="38"/>
      <c r="H162" s="10" t="s">
        <v>39</v>
      </c>
      <c r="I162" s="10" t="s">
        <v>31</v>
      </c>
      <c r="J162" s="10" t="s">
        <v>387</v>
      </c>
      <c r="K162" s="10" t="s">
        <v>388</v>
      </c>
      <c r="L162" s="10" t="s">
        <v>41</v>
      </c>
      <c r="M162" s="10" t="s">
        <v>377</v>
      </c>
      <c r="N162" s="10" t="s">
        <v>182</v>
      </c>
    </row>
    <row r="163" spans="1:14" ht="30" customHeight="1" x14ac:dyDescent="0.25">
      <c r="A163" s="9" t="s">
        <v>389</v>
      </c>
      <c r="B163" s="13">
        <f>VLOOKUP(Table245[[#This Row],[Cushing, OK]],'List source'!D$2:E$71,2,FALSE)</f>
        <v>161</v>
      </c>
      <c r="C163" s="17" t="s">
        <v>390</v>
      </c>
      <c r="D163" s="21" t="str">
        <f t="shared" si="5"/>
        <v>A162-161-25</v>
      </c>
      <c r="E163" s="38">
        <v>45999</v>
      </c>
      <c r="F163" s="38">
        <v>46000</v>
      </c>
      <c r="G163" s="38">
        <v>46003</v>
      </c>
      <c r="H163" s="10" t="s">
        <v>16</v>
      </c>
      <c r="I163" s="10" t="s">
        <v>66</v>
      </c>
      <c r="J163" s="10" t="s">
        <v>135</v>
      </c>
      <c r="K163" s="10" t="s">
        <v>391</v>
      </c>
      <c r="L163" s="10" t="s">
        <v>20</v>
      </c>
      <c r="M163" s="10"/>
      <c r="N163" s="10" t="s">
        <v>75</v>
      </c>
    </row>
    <row r="164" spans="1:14" ht="30" customHeight="1" x14ac:dyDescent="0.25">
      <c r="A164" s="9" t="s">
        <v>389</v>
      </c>
      <c r="B164" s="13">
        <f>VLOOKUP(Table245[[#This Row],[Cushing, OK]],'List source'!D$2:E$71,2,FALSE)</f>
        <v>161</v>
      </c>
      <c r="C164" s="17" t="s">
        <v>392</v>
      </c>
      <c r="D164" s="21" t="str">
        <f t="shared" si="5"/>
        <v>A163-161-25</v>
      </c>
      <c r="E164" s="38"/>
      <c r="F164" s="38"/>
      <c r="G164" s="38"/>
      <c r="H164" s="10" t="s">
        <v>39</v>
      </c>
      <c r="I164" s="10" t="s">
        <v>66</v>
      </c>
      <c r="J164" s="10"/>
      <c r="K164" s="10"/>
      <c r="L164" s="10" t="s">
        <v>185</v>
      </c>
      <c r="M164" s="10"/>
      <c r="N164" s="10"/>
    </row>
    <row r="165" spans="1:14" ht="30" customHeight="1" x14ac:dyDescent="0.25">
      <c r="A165" s="9" t="s">
        <v>186</v>
      </c>
      <c r="B165" s="13">
        <f>VLOOKUP(Table245[[#This Row],[Cushing, OK]],'List source'!D$2:E$71,2,FALSE)</f>
        <v>136</v>
      </c>
      <c r="C165" s="17" t="s">
        <v>393</v>
      </c>
      <c r="D165" s="21" t="str">
        <f t="shared" si="5"/>
        <v>A164-136-25</v>
      </c>
      <c r="E165" s="38">
        <v>46007</v>
      </c>
      <c r="F165" s="38">
        <v>46009</v>
      </c>
      <c r="G165" s="38">
        <v>46041</v>
      </c>
      <c r="H165" s="10" t="s">
        <v>16</v>
      </c>
      <c r="I165" s="10" t="s">
        <v>17</v>
      </c>
      <c r="J165" s="10" t="s">
        <v>27</v>
      </c>
      <c r="K165" s="10" t="s">
        <v>394</v>
      </c>
      <c r="L165" s="10" t="s">
        <v>20</v>
      </c>
      <c r="M165" s="10"/>
      <c r="N165" s="10" t="s">
        <v>75</v>
      </c>
    </row>
    <row r="166" spans="1:14" ht="30" customHeight="1" x14ac:dyDescent="0.25">
      <c r="A166" s="9" t="s">
        <v>287</v>
      </c>
      <c r="B166" s="13">
        <f>VLOOKUP(Table245[[#This Row],[Cushing, OK]],'List source'!D$2:E$71,2,FALSE)</f>
        <v>180</v>
      </c>
      <c r="C166" s="17" t="s">
        <v>395</v>
      </c>
      <c r="D166" s="21" t="str">
        <f t="shared" si="5"/>
        <v>A165-180-25</v>
      </c>
      <c r="E166" s="38">
        <v>46001</v>
      </c>
      <c r="F166" s="38">
        <v>46003</v>
      </c>
      <c r="G166" s="38">
        <v>46020</v>
      </c>
      <c r="H166" s="10" t="s">
        <v>39</v>
      </c>
      <c r="I166" s="10" t="s">
        <v>31</v>
      </c>
      <c r="J166" s="10" t="s">
        <v>48</v>
      </c>
      <c r="K166" s="10" t="s">
        <v>396</v>
      </c>
      <c r="L166" s="10" t="s">
        <v>397</v>
      </c>
      <c r="M166" s="10" t="s">
        <v>377</v>
      </c>
      <c r="N166" s="10"/>
    </row>
    <row r="167" spans="1:14" ht="30" customHeight="1" x14ac:dyDescent="0.25">
      <c r="A167" s="9" t="s">
        <v>62</v>
      </c>
      <c r="B167" s="13">
        <f>VLOOKUP(Table245[[#This Row],[Cushing, OK]],'List source'!D$2:E$71,2,FALSE)</f>
        <v>178</v>
      </c>
      <c r="C167" s="17" t="s">
        <v>398</v>
      </c>
      <c r="D167" s="21" t="str">
        <f t="shared" si="5"/>
        <v>A166-178-25</v>
      </c>
      <c r="E167" s="38">
        <v>45980</v>
      </c>
      <c r="F167" s="38">
        <v>45980</v>
      </c>
      <c r="G167" s="38"/>
      <c r="H167" s="10" t="s">
        <v>81</v>
      </c>
      <c r="I167" s="10" t="s">
        <v>31</v>
      </c>
      <c r="J167" s="10" t="s">
        <v>109</v>
      </c>
      <c r="K167" s="10" t="s">
        <v>399</v>
      </c>
      <c r="L167" s="10" t="s">
        <v>400</v>
      </c>
      <c r="M167" s="10"/>
      <c r="N167" s="10"/>
    </row>
    <row r="168" spans="1:14" ht="30" customHeight="1" x14ac:dyDescent="0.25">
      <c r="A168" s="9"/>
      <c r="B168" s="13" t="e">
        <f>VLOOKUP(Table245[[#This Row],[Cushing, OK]],'List source'!D$2:E$71,2,FALSE)</f>
        <v>#N/A</v>
      </c>
      <c r="C168" s="17" t="s">
        <v>401</v>
      </c>
      <c r="D168" s="21" t="e">
        <f t="shared" si="5"/>
        <v>#N/A</v>
      </c>
      <c r="E168" s="38"/>
      <c r="F168" s="38"/>
      <c r="G168" s="38"/>
      <c r="H168" s="10"/>
      <c r="I168" s="10"/>
      <c r="J168" s="10"/>
      <c r="K168" s="10"/>
      <c r="L168" s="10"/>
      <c r="M168" s="10"/>
      <c r="N168" s="10"/>
    </row>
    <row r="169" spans="1:14" ht="30" customHeight="1" x14ac:dyDescent="0.25">
      <c r="A169" s="9"/>
      <c r="B169" s="13" t="e">
        <f>VLOOKUP(Table245[[#This Row],[Cushing, OK]],'List source'!D$2:E$71,2,FALSE)</f>
        <v>#N/A</v>
      </c>
      <c r="C169" s="17" t="s">
        <v>402</v>
      </c>
      <c r="D169" s="21" t="e">
        <f t="shared" si="5"/>
        <v>#N/A</v>
      </c>
      <c r="E169" s="38"/>
      <c r="F169" s="38"/>
      <c r="G169" s="38"/>
      <c r="H169" s="10"/>
      <c r="I169" s="10"/>
      <c r="J169" s="10"/>
      <c r="K169" s="10"/>
      <c r="L169" s="10"/>
      <c r="M169" s="10"/>
      <c r="N169" s="10"/>
    </row>
    <row r="170" spans="1:14" ht="30" customHeight="1" x14ac:dyDescent="0.25">
      <c r="A170" s="9"/>
      <c r="B170" s="13" t="e">
        <f>VLOOKUP(Table245[[#This Row],[Cushing, OK]],'List source'!D$2:E$71,2,FALSE)</f>
        <v>#N/A</v>
      </c>
      <c r="C170" s="17" t="s">
        <v>403</v>
      </c>
      <c r="D170" s="21" t="e">
        <f t="shared" si="5"/>
        <v>#N/A</v>
      </c>
      <c r="E170" s="38"/>
      <c r="F170" s="38"/>
      <c r="G170" s="38"/>
      <c r="H170" s="10"/>
      <c r="I170" s="10"/>
      <c r="J170" s="10"/>
      <c r="K170" s="10"/>
      <c r="L170" s="10"/>
      <c r="M170" s="10"/>
      <c r="N170" s="10"/>
    </row>
    <row r="171" spans="1:14" ht="30" customHeight="1" x14ac:dyDescent="0.25">
      <c r="A171" s="9"/>
      <c r="B171" s="13" t="e">
        <f>VLOOKUP(Table245[[#This Row],[Cushing, OK]],'List source'!D$2:E$71,2,FALSE)</f>
        <v>#N/A</v>
      </c>
      <c r="C171" s="17" t="s">
        <v>404</v>
      </c>
      <c r="D171" s="21" t="e">
        <f t="shared" si="5"/>
        <v>#N/A</v>
      </c>
      <c r="E171" s="38"/>
      <c r="F171" s="38"/>
      <c r="G171" s="38"/>
      <c r="H171" s="10"/>
      <c r="I171" s="10"/>
      <c r="J171" s="10"/>
      <c r="K171" s="10"/>
      <c r="L171" s="10"/>
      <c r="M171" s="10"/>
      <c r="N171" s="10"/>
    </row>
    <row r="172" spans="1:14" ht="30" customHeight="1" x14ac:dyDescent="0.25">
      <c r="A172" s="9"/>
      <c r="B172" s="13" t="e">
        <f>VLOOKUP(Table245[[#This Row],[Cushing, OK]],'List source'!D$2:E$71,2,FALSE)</f>
        <v>#N/A</v>
      </c>
      <c r="C172" s="17" t="s">
        <v>405</v>
      </c>
      <c r="D172" s="21" t="e">
        <f t="shared" si="5"/>
        <v>#N/A</v>
      </c>
      <c r="E172" s="38"/>
      <c r="F172" s="38"/>
      <c r="G172" s="38"/>
      <c r="H172" s="10"/>
      <c r="I172" s="10"/>
      <c r="J172" s="10"/>
      <c r="K172" s="10"/>
      <c r="L172" s="10"/>
      <c r="M172" s="10"/>
      <c r="N172" s="10"/>
    </row>
    <row r="173" spans="1:14" ht="30" customHeight="1" x14ac:dyDescent="0.25">
      <c r="A173" s="9"/>
      <c r="B173" s="13" t="e">
        <f>VLOOKUP(Table245[[#This Row],[Cushing, OK]],'List source'!D$2:E$71,2,FALSE)</f>
        <v>#N/A</v>
      </c>
      <c r="C173" s="17" t="s">
        <v>406</v>
      </c>
      <c r="D173" s="21" t="e">
        <f t="shared" si="5"/>
        <v>#N/A</v>
      </c>
      <c r="E173" s="38"/>
      <c r="F173" s="38"/>
      <c r="G173" s="38"/>
      <c r="H173" s="10"/>
      <c r="I173" s="10"/>
      <c r="J173" s="10"/>
      <c r="K173" s="10"/>
      <c r="L173" s="10"/>
      <c r="M173" s="10"/>
      <c r="N173" s="10"/>
    </row>
    <row r="174" spans="1:14" ht="30" customHeight="1" x14ac:dyDescent="0.25">
      <c r="A174" s="9"/>
      <c r="B174" s="13" t="e">
        <f>VLOOKUP(Table245[[#This Row],[Cushing, OK]],'List source'!D$2:E$71,2,FALSE)</f>
        <v>#N/A</v>
      </c>
      <c r="C174" s="17" t="s">
        <v>407</v>
      </c>
      <c r="D174" s="21" t="e">
        <f t="shared" si="5"/>
        <v>#N/A</v>
      </c>
      <c r="E174" s="38"/>
      <c r="F174" s="38"/>
      <c r="G174" s="38"/>
      <c r="H174" s="10"/>
      <c r="I174" s="10"/>
      <c r="J174" s="10"/>
      <c r="K174" s="10"/>
      <c r="L174" s="10"/>
      <c r="M174" s="10"/>
      <c r="N174" s="10"/>
    </row>
    <row r="175" spans="1:14" ht="30" customHeight="1" x14ac:dyDescent="0.25">
      <c r="A175" s="9"/>
      <c r="B175" s="13" t="e">
        <f>VLOOKUP(Table245[[#This Row],[Cushing, OK]],'List source'!D$2:E$71,2,FALSE)</f>
        <v>#N/A</v>
      </c>
      <c r="C175" s="17" t="s">
        <v>408</v>
      </c>
      <c r="D175" s="21" t="e">
        <f t="shared" si="5"/>
        <v>#N/A</v>
      </c>
      <c r="E175" s="38"/>
      <c r="F175" s="38"/>
      <c r="G175" s="38"/>
      <c r="H175" s="10"/>
      <c r="I175" s="10"/>
      <c r="J175" s="10"/>
      <c r="K175" s="10"/>
      <c r="L175" s="10"/>
      <c r="M175" s="10"/>
      <c r="N175" s="10"/>
    </row>
    <row r="176" spans="1:14" ht="30" customHeight="1" x14ac:dyDescent="0.25">
      <c r="A176" s="9"/>
      <c r="B176" s="13" t="e">
        <f>VLOOKUP(Table245[[#This Row],[Cushing, OK]],'List source'!D$2:E$71,2,FALSE)</f>
        <v>#N/A</v>
      </c>
      <c r="C176" s="17" t="s">
        <v>409</v>
      </c>
      <c r="D176" s="21" t="e">
        <f t="shared" si="5"/>
        <v>#N/A</v>
      </c>
      <c r="E176" s="38"/>
      <c r="F176" s="38"/>
      <c r="G176" s="38"/>
      <c r="H176" s="10"/>
      <c r="I176" s="10"/>
      <c r="J176" s="10"/>
      <c r="K176" s="10"/>
      <c r="L176" s="10"/>
      <c r="M176" s="10"/>
      <c r="N176" s="10"/>
    </row>
    <row r="177" spans="1:14" ht="30" customHeight="1" x14ac:dyDescent="0.25">
      <c r="A177" s="9"/>
      <c r="B177" s="13" t="e">
        <f>VLOOKUP(Table245[[#This Row],[Cushing, OK]],'List source'!D$2:E$71,2,FALSE)</f>
        <v>#N/A</v>
      </c>
      <c r="C177" s="17" t="s">
        <v>410</v>
      </c>
      <c r="D177" s="21" t="e">
        <f t="shared" si="5"/>
        <v>#N/A</v>
      </c>
      <c r="E177" s="38"/>
      <c r="F177" s="38"/>
      <c r="G177" s="38"/>
      <c r="H177" s="10"/>
      <c r="I177" s="10"/>
      <c r="J177" s="10"/>
      <c r="K177" s="10"/>
      <c r="L177" s="10"/>
      <c r="M177" s="10"/>
      <c r="N177" s="10"/>
    </row>
    <row r="178" spans="1:14" ht="30" customHeight="1" x14ac:dyDescent="0.25">
      <c r="A178" s="9"/>
      <c r="B178" s="13" t="e">
        <f>VLOOKUP(Table245[[#This Row],[Cushing, OK]],'List source'!D$2:E$71,2,FALSE)</f>
        <v>#N/A</v>
      </c>
      <c r="C178" s="17" t="s">
        <v>411</v>
      </c>
      <c r="D178" s="21" t="e">
        <f t="shared" si="5"/>
        <v>#N/A</v>
      </c>
      <c r="E178" s="38"/>
      <c r="F178" s="38"/>
      <c r="G178" s="38"/>
      <c r="H178" s="10"/>
      <c r="I178" s="10"/>
      <c r="J178" s="10"/>
      <c r="K178" s="10"/>
      <c r="L178" s="10"/>
      <c r="M178" s="10"/>
      <c r="N178" s="10"/>
    </row>
    <row r="179" spans="1:14" ht="30" customHeight="1" x14ac:dyDescent="0.25">
      <c r="A179" s="9"/>
      <c r="B179" s="13" t="e">
        <f>VLOOKUP(Table245[[#This Row],[Cushing, OK]],'List source'!D$2:E$71,2,FALSE)</f>
        <v>#N/A</v>
      </c>
      <c r="C179" s="17" t="s">
        <v>412</v>
      </c>
      <c r="D179" s="21" t="e">
        <f t="shared" si="5"/>
        <v>#N/A</v>
      </c>
      <c r="E179" s="38"/>
      <c r="F179" s="38"/>
      <c r="G179" s="38"/>
      <c r="H179" s="10"/>
      <c r="I179" s="10"/>
      <c r="J179" s="10"/>
      <c r="K179" s="10"/>
      <c r="L179" s="10"/>
      <c r="M179" s="10"/>
      <c r="N179" s="10"/>
    </row>
    <row r="180" spans="1:14" ht="30" customHeight="1" x14ac:dyDescent="0.25">
      <c r="A180" s="9"/>
      <c r="B180" s="13" t="e">
        <f>VLOOKUP(Table245[[#This Row],[Cushing, OK]],'List source'!D$2:E$71,2,FALSE)</f>
        <v>#N/A</v>
      </c>
      <c r="C180" s="17" t="s">
        <v>413</v>
      </c>
      <c r="D180" s="21" t="e">
        <f t="shared" si="5"/>
        <v>#N/A</v>
      </c>
      <c r="E180" s="38"/>
      <c r="F180" s="38"/>
      <c r="G180" s="38"/>
      <c r="H180" s="10"/>
      <c r="I180" s="10"/>
      <c r="J180" s="10"/>
      <c r="K180" s="10"/>
      <c r="L180" s="10"/>
      <c r="M180" s="10"/>
      <c r="N180" s="10"/>
    </row>
    <row r="181" spans="1:14" ht="30" customHeight="1" x14ac:dyDescent="0.25">
      <c r="A181" s="9"/>
      <c r="B181" s="13" t="e">
        <f>VLOOKUP(Table245[[#This Row],[Cushing, OK]],'List source'!D$2:E$71,2,FALSE)</f>
        <v>#N/A</v>
      </c>
      <c r="C181" s="17" t="s">
        <v>414</v>
      </c>
      <c r="D181" s="21" t="e">
        <f t="shared" si="5"/>
        <v>#N/A</v>
      </c>
      <c r="E181" s="38"/>
      <c r="F181" s="38"/>
      <c r="G181" s="38"/>
      <c r="H181" s="10"/>
      <c r="I181" s="10"/>
      <c r="J181" s="10"/>
      <c r="K181" s="10"/>
      <c r="L181" s="10"/>
      <c r="M181" s="10"/>
      <c r="N181" s="10"/>
    </row>
    <row r="182" spans="1:14" ht="30" customHeight="1" x14ac:dyDescent="0.25">
      <c r="A182" s="9"/>
      <c r="B182" s="13" t="e">
        <f>VLOOKUP(Table245[[#This Row],[Cushing, OK]],'List source'!D$2:E$71,2,FALSE)</f>
        <v>#N/A</v>
      </c>
      <c r="C182" s="17" t="s">
        <v>415</v>
      </c>
      <c r="D182" s="21" t="e">
        <f t="shared" si="5"/>
        <v>#N/A</v>
      </c>
      <c r="E182" s="38"/>
      <c r="F182" s="38"/>
      <c r="G182" s="38"/>
      <c r="H182" s="10"/>
      <c r="I182" s="10"/>
      <c r="J182" s="10"/>
      <c r="K182" s="10"/>
      <c r="L182" s="10"/>
      <c r="M182" s="10"/>
      <c r="N182" s="10"/>
    </row>
    <row r="183" spans="1:14" ht="30" customHeight="1" x14ac:dyDescent="0.25">
      <c r="A183" s="9"/>
      <c r="B183" s="13" t="e">
        <f>VLOOKUP(Table245[[#This Row],[Cushing, OK]],'List source'!D$2:E$71,2,FALSE)</f>
        <v>#N/A</v>
      </c>
      <c r="C183" s="17" t="s">
        <v>416</v>
      </c>
      <c r="D183" s="21" t="e">
        <f t="shared" si="5"/>
        <v>#N/A</v>
      </c>
      <c r="E183" s="38"/>
      <c r="F183" s="38"/>
      <c r="G183" s="38"/>
      <c r="H183" s="10"/>
      <c r="I183" s="10"/>
      <c r="J183" s="10"/>
      <c r="K183" s="10"/>
      <c r="L183" s="10"/>
      <c r="M183" s="10"/>
      <c r="N183" s="10"/>
    </row>
    <row r="184" spans="1:14" ht="30" customHeight="1" x14ac:dyDescent="0.25">
      <c r="A184" s="71"/>
      <c r="B184" s="13" t="e">
        <f>VLOOKUP(Table245[[#This Row],[Cushing, OK]],'List source'!D$2:E$71,2,FALSE)</f>
        <v>#N/A</v>
      </c>
      <c r="C184" s="17" t="s">
        <v>417</v>
      </c>
      <c r="D184" s="21" t="e">
        <f t="shared" si="5"/>
        <v>#N/A</v>
      </c>
      <c r="E184" s="106"/>
      <c r="F184" s="106"/>
      <c r="G184" s="106"/>
      <c r="H184" s="75"/>
      <c r="I184" s="75"/>
      <c r="J184" s="75"/>
      <c r="K184" s="75"/>
      <c r="L184" s="75"/>
      <c r="M184" s="75"/>
      <c r="N184" s="75"/>
    </row>
    <row r="185" spans="1:14" ht="30" customHeight="1" x14ac:dyDescent="0.25">
      <c r="A185" s="9"/>
      <c r="B185" s="13" t="e">
        <f>VLOOKUP(Table245[[#This Row],[Cushing, OK]],'List source'!D$2:E$71,2,FALSE)</f>
        <v>#N/A</v>
      </c>
      <c r="C185" s="17" t="s">
        <v>418</v>
      </c>
      <c r="D185" s="21" t="e">
        <f t="shared" si="5"/>
        <v>#N/A</v>
      </c>
      <c r="E185" s="38"/>
      <c r="F185" s="38"/>
      <c r="G185" s="38"/>
      <c r="H185" s="10"/>
      <c r="I185" s="10"/>
      <c r="J185" s="10"/>
      <c r="K185" s="10"/>
      <c r="L185" s="10"/>
      <c r="M185" s="10"/>
      <c r="N185" s="10"/>
    </row>
    <row r="186" spans="1:14" ht="30" customHeight="1" x14ac:dyDescent="0.25">
      <c r="A186" s="9"/>
      <c r="B186" s="13" t="e">
        <f>VLOOKUP(Table245[[#This Row],[Cushing, OK]],'List source'!D$2:E$71,2,FALSE)</f>
        <v>#N/A</v>
      </c>
      <c r="C186" s="17" t="s">
        <v>419</v>
      </c>
      <c r="D186" s="21" t="e">
        <f t="shared" si="5"/>
        <v>#N/A</v>
      </c>
      <c r="E186" s="38"/>
      <c r="F186" s="38"/>
      <c r="G186" s="38"/>
      <c r="H186" s="10"/>
      <c r="I186" s="10"/>
      <c r="J186" s="10"/>
      <c r="K186" s="10"/>
      <c r="L186" s="10"/>
      <c r="M186" s="10"/>
      <c r="N186" s="10"/>
    </row>
    <row r="187" spans="1:14" ht="30" customHeight="1" x14ac:dyDescent="0.25">
      <c r="A187" s="9"/>
      <c r="B187" s="13" t="e">
        <f>VLOOKUP(Table245[[#This Row],[Cushing, OK]],'List source'!D$2:E$71,2,FALSE)</f>
        <v>#N/A</v>
      </c>
      <c r="C187" s="17" t="s">
        <v>420</v>
      </c>
      <c r="D187" s="21" t="e">
        <f t="shared" si="5"/>
        <v>#N/A</v>
      </c>
      <c r="E187" s="38"/>
      <c r="F187" s="38"/>
      <c r="G187" s="38"/>
      <c r="H187" s="10"/>
      <c r="I187" s="10"/>
      <c r="J187" s="10"/>
      <c r="K187" s="10"/>
      <c r="L187" s="10"/>
      <c r="M187" s="10"/>
      <c r="N187" s="10"/>
    </row>
    <row r="188" spans="1:14" ht="30" customHeight="1" x14ac:dyDescent="0.25">
      <c r="A188" s="9"/>
      <c r="B188" s="13" t="e">
        <f>VLOOKUP(Table245[[#This Row],[Cushing, OK]],'List source'!D$2:E$71,2,FALSE)</f>
        <v>#N/A</v>
      </c>
      <c r="C188" s="17" t="s">
        <v>421</v>
      </c>
      <c r="D188" s="21" t="e">
        <f t="shared" si="5"/>
        <v>#N/A</v>
      </c>
      <c r="E188" s="38"/>
      <c r="F188" s="38"/>
      <c r="G188" s="38"/>
      <c r="H188" s="10"/>
      <c r="I188" s="10"/>
      <c r="J188" s="10"/>
      <c r="K188" s="10"/>
      <c r="L188" s="10"/>
      <c r="M188" s="10"/>
      <c r="N188" s="10"/>
    </row>
    <row r="189" spans="1:14" ht="30" customHeight="1" x14ac:dyDescent="0.25">
      <c r="A189" s="9"/>
      <c r="B189" s="13" t="e">
        <f>VLOOKUP(Table245[[#This Row],[Cushing, OK]],'List source'!D$2:E$71,2,FALSE)</f>
        <v>#N/A</v>
      </c>
      <c r="C189" s="17" t="s">
        <v>422</v>
      </c>
      <c r="D189" s="21" t="e">
        <f t="shared" si="5"/>
        <v>#N/A</v>
      </c>
      <c r="E189" s="38"/>
      <c r="F189" s="38"/>
      <c r="G189" s="38"/>
      <c r="H189" s="10"/>
      <c r="I189" s="10"/>
      <c r="J189" s="10"/>
      <c r="K189" s="10"/>
      <c r="L189" s="10"/>
      <c r="M189" s="10"/>
      <c r="N189" s="10"/>
    </row>
    <row r="190" spans="1:14" ht="30" customHeight="1" x14ac:dyDescent="0.25">
      <c r="A190" s="9"/>
      <c r="B190" s="13" t="e">
        <f>VLOOKUP(Table245[[#This Row],[Cushing, OK]],'List source'!D$2:E$71,2,FALSE)</f>
        <v>#N/A</v>
      </c>
      <c r="C190" s="17" t="s">
        <v>423</v>
      </c>
      <c r="D190" s="21" t="e">
        <f t="shared" si="5"/>
        <v>#N/A</v>
      </c>
      <c r="E190" s="38"/>
      <c r="F190" s="38"/>
      <c r="G190" s="38"/>
      <c r="H190" s="10"/>
      <c r="I190" s="10"/>
      <c r="J190" s="10"/>
      <c r="K190" s="10"/>
      <c r="L190" s="10"/>
      <c r="M190" s="10"/>
      <c r="N190" s="10"/>
    </row>
    <row r="191" spans="1:14" ht="30" customHeight="1" x14ac:dyDescent="0.25">
      <c r="A191" s="9"/>
      <c r="B191" s="13" t="e">
        <f>VLOOKUP(Table245[[#This Row],[Cushing, OK]],'List source'!D$2:E$71,2,FALSE)</f>
        <v>#N/A</v>
      </c>
      <c r="C191" s="17" t="s">
        <v>424</v>
      </c>
      <c r="D191" s="21" t="e">
        <f t="shared" si="5"/>
        <v>#N/A</v>
      </c>
      <c r="E191" s="38"/>
      <c r="F191" s="38"/>
      <c r="G191" s="38"/>
      <c r="H191" s="10"/>
      <c r="I191" s="10"/>
      <c r="J191" s="10"/>
      <c r="K191" s="10"/>
      <c r="L191" s="10"/>
      <c r="M191" s="10"/>
      <c r="N191" s="10"/>
    </row>
    <row r="192" spans="1:14" ht="30" customHeight="1" x14ac:dyDescent="0.25">
      <c r="A192" s="9"/>
      <c r="B192" s="13" t="e">
        <f>VLOOKUP(Table245[[#This Row],[Cushing, OK]],'List source'!D$2:E$71,2,FALSE)</f>
        <v>#N/A</v>
      </c>
      <c r="C192" s="17" t="s">
        <v>425</v>
      </c>
      <c r="D192" s="21" t="e">
        <f t="shared" si="5"/>
        <v>#N/A</v>
      </c>
      <c r="E192" s="38"/>
      <c r="F192" s="38"/>
      <c r="G192" s="38"/>
      <c r="H192" s="10"/>
      <c r="I192" s="10"/>
      <c r="J192" s="10"/>
      <c r="K192" s="10"/>
      <c r="L192" s="10"/>
      <c r="M192" s="10"/>
      <c r="N192" s="10"/>
    </row>
    <row r="193" spans="1:14" ht="30" customHeight="1" x14ac:dyDescent="0.25">
      <c r="A193" s="9"/>
      <c r="B193" s="13" t="e">
        <f>VLOOKUP(Table245[[#This Row],[Cushing, OK]],'List source'!D$2:E$71,2,FALSE)</f>
        <v>#N/A</v>
      </c>
      <c r="C193" s="17" t="s">
        <v>426</v>
      </c>
      <c r="D193" s="21" t="e">
        <f t="shared" si="5"/>
        <v>#N/A</v>
      </c>
      <c r="E193" s="38"/>
      <c r="F193" s="38"/>
      <c r="G193" s="38"/>
      <c r="H193" s="10"/>
      <c r="I193" s="10"/>
      <c r="J193" s="10"/>
      <c r="K193" s="10"/>
      <c r="L193" s="10"/>
      <c r="M193" s="10"/>
      <c r="N193" s="10"/>
    </row>
    <row r="194" spans="1:14" ht="30" customHeight="1" x14ac:dyDescent="0.25">
      <c r="A194" s="9"/>
      <c r="B194" s="13" t="e">
        <f>VLOOKUP(Table245[[#This Row],[Cushing, OK]],'List source'!D$2:E$71,2,FALSE)</f>
        <v>#N/A</v>
      </c>
      <c r="C194" s="17" t="s">
        <v>427</v>
      </c>
      <c r="D194" s="21" t="e">
        <f t="shared" ref="D194:D201" si="6">"A" &amp; C194 &amp; "-" &amp; B194 &amp; "-" &amp; "25"</f>
        <v>#N/A</v>
      </c>
      <c r="E194" s="38"/>
      <c r="F194" s="38"/>
      <c r="G194" s="38"/>
      <c r="H194" s="10"/>
      <c r="I194" s="10"/>
      <c r="J194" s="10"/>
      <c r="K194" s="10"/>
      <c r="L194" s="10"/>
      <c r="M194" s="10"/>
      <c r="N194" s="10"/>
    </row>
    <row r="195" spans="1:14" ht="30" customHeight="1" x14ac:dyDescent="0.25">
      <c r="A195" s="9"/>
      <c r="B195" s="13" t="e">
        <f>VLOOKUP(Table245[[#This Row],[Cushing, OK]],'List source'!D$2:E$71,2,FALSE)</f>
        <v>#N/A</v>
      </c>
      <c r="C195" s="17" t="s">
        <v>428</v>
      </c>
      <c r="D195" s="21" t="e">
        <f t="shared" si="6"/>
        <v>#N/A</v>
      </c>
      <c r="E195" s="38"/>
      <c r="F195" s="38"/>
      <c r="G195" s="38"/>
      <c r="H195" s="10"/>
      <c r="I195" s="10"/>
      <c r="J195" s="10"/>
      <c r="K195" s="10"/>
      <c r="L195" s="10"/>
      <c r="M195" s="10"/>
      <c r="N195" s="10"/>
    </row>
    <row r="196" spans="1:14" ht="30" customHeight="1" x14ac:dyDescent="0.25">
      <c r="A196" s="9"/>
      <c r="B196" s="13" t="e">
        <f>VLOOKUP(Table245[[#This Row],[Cushing, OK]],'List source'!D$2:E$71,2,FALSE)</f>
        <v>#N/A</v>
      </c>
      <c r="C196" s="17" t="s">
        <v>429</v>
      </c>
      <c r="D196" s="21" t="e">
        <f t="shared" si="6"/>
        <v>#N/A</v>
      </c>
      <c r="E196" s="38"/>
      <c r="F196" s="38"/>
      <c r="G196" s="38"/>
      <c r="H196" s="10"/>
      <c r="I196" s="10"/>
      <c r="J196" s="10"/>
      <c r="K196" s="10"/>
      <c r="L196" s="10"/>
      <c r="M196" s="10"/>
      <c r="N196" s="10"/>
    </row>
    <row r="197" spans="1:14" ht="30" customHeight="1" x14ac:dyDescent="0.25">
      <c r="A197" s="9"/>
      <c r="B197" s="13" t="e">
        <f>VLOOKUP(Table245[[#This Row],[Cushing, OK]],'List source'!D$2:E$71,2,FALSE)</f>
        <v>#N/A</v>
      </c>
      <c r="C197" s="17" t="s">
        <v>430</v>
      </c>
      <c r="D197" s="21" t="e">
        <f t="shared" si="6"/>
        <v>#N/A</v>
      </c>
      <c r="E197" s="38"/>
      <c r="F197" s="38"/>
      <c r="G197" s="38"/>
      <c r="H197" s="10"/>
      <c r="I197" s="10"/>
      <c r="J197" s="10"/>
      <c r="K197" s="10"/>
      <c r="L197" s="10"/>
      <c r="M197" s="10"/>
      <c r="N197" s="10"/>
    </row>
    <row r="198" spans="1:14" ht="30" customHeight="1" x14ac:dyDescent="0.25">
      <c r="A198" s="9"/>
      <c r="B198" s="13" t="e">
        <f>VLOOKUP(Table245[[#This Row],[Cushing, OK]],'List source'!D$2:E$71,2,FALSE)</f>
        <v>#N/A</v>
      </c>
      <c r="C198" s="17" t="s">
        <v>431</v>
      </c>
      <c r="D198" s="21" t="e">
        <f t="shared" si="6"/>
        <v>#N/A</v>
      </c>
      <c r="E198" s="38"/>
      <c r="F198" s="38"/>
      <c r="G198" s="38"/>
      <c r="H198" s="10"/>
      <c r="I198" s="10"/>
      <c r="J198" s="10"/>
      <c r="K198" s="10"/>
      <c r="L198" s="10"/>
      <c r="M198" s="10"/>
      <c r="N198" s="10"/>
    </row>
    <row r="199" spans="1:14" ht="30" customHeight="1" x14ac:dyDescent="0.25">
      <c r="A199" s="9"/>
      <c r="B199" s="13" t="e">
        <f>VLOOKUP(Table245[[#This Row],[Cushing, OK]],'List source'!D$2:E$71,2,FALSE)</f>
        <v>#N/A</v>
      </c>
      <c r="C199" s="17" t="s">
        <v>432</v>
      </c>
      <c r="D199" s="21" t="e">
        <f t="shared" si="6"/>
        <v>#N/A</v>
      </c>
      <c r="E199" s="38"/>
      <c r="F199" s="38"/>
      <c r="G199" s="38"/>
      <c r="H199" s="10"/>
      <c r="I199" s="10"/>
      <c r="J199" s="10"/>
      <c r="K199" s="10"/>
      <c r="L199" s="10"/>
      <c r="M199" s="10"/>
      <c r="N199" s="10"/>
    </row>
    <row r="200" spans="1:14" ht="30" customHeight="1" x14ac:dyDescent="0.25">
      <c r="A200" s="9"/>
      <c r="B200" s="13" t="e">
        <f>VLOOKUP(Table245[[#This Row],[Cushing, OK]],'List source'!D$2:E$71,2,FALSE)</f>
        <v>#N/A</v>
      </c>
      <c r="C200" s="17" t="s">
        <v>433</v>
      </c>
      <c r="D200" s="21" t="e">
        <f t="shared" si="6"/>
        <v>#N/A</v>
      </c>
      <c r="E200" s="38"/>
      <c r="F200" s="38"/>
      <c r="G200" s="38"/>
      <c r="H200" s="10"/>
      <c r="I200" s="10"/>
      <c r="J200" s="10"/>
      <c r="K200" s="10"/>
      <c r="L200" s="10"/>
      <c r="M200" s="10"/>
      <c r="N200" s="10"/>
    </row>
    <row r="201" spans="1:14" ht="30" customHeight="1" x14ac:dyDescent="0.25">
      <c r="A201" s="9"/>
      <c r="B201" s="13" t="e">
        <f>VLOOKUP(Table245[[#This Row],[Cushing, OK]],'List source'!D$2:E$71,2,FALSE)</f>
        <v>#N/A</v>
      </c>
      <c r="C201" s="17" t="s">
        <v>434</v>
      </c>
      <c r="D201" s="21" t="e">
        <f t="shared" si="6"/>
        <v>#N/A</v>
      </c>
      <c r="E201" s="38"/>
      <c r="F201" s="38"/>
      <c r="G201" s="38"/>
      <c r="H201" s="10"/>
      <c r="I201" s="10"/>
      <c r="J201" s="10"/>
      <c r="K201" s="10"/>
      <c r="L201" s="10"/>
      <c r="M201" s="10"/>
      <c r="N201" s="10"/>
    </row>
  </sheetData>
  <phoneticPr fontId="4" type="noConversion"/>
  <pageMargins left="0.7" right="0.7" top="0.75" bottom="0.75" header="0.3" footer="0.3"/>
  <pageSetup scale="38" fitToHeight="0" orientation="landscape"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7A823B04-A3FE-4E0B-A863-EBB28A7079B2}">
          <x14:formula1>
            <xm:f>'List source'!$A$25:$A$29</xm:f>
          </x14:formula1>
          <xm:sqref>H2:H201</xm:sqref>
        </x14:dataValidation>
        <x14:dataValidation type="list" allowBlank="1" showInputMessage="1" showErrorMessage="1" xr:uid="{DE4447E7-CC6D-4691-BB4D-90A1AD11933D}">
          <x14:formula1>
            <xm:f>'List source'!$B$22:$B$25</xm:f>
          </x14:formula1>
          <xm:sqref>I2:I201</xm:sqref>
        </x14:dataValidation>
        <x14:dataValidation type="list" allowBlank="1" showInputMessage="1" showErrorMessage="1" xr:uid="{F0B2EAAF-F803-4715-9954-E1755F055EB5}">
          <x14:formula1>
            <xm:f>'List source'!$A$32:$A$35</xm:f>
          </x14:formula1>
          <xm:sqref>M2:M54 M56:M138 M140:M155 M157 M159:M161</xm:sqref>
        </x14:dataValidation>
        <x14:dataValidation type="list" allowBlank="1" showInputMessage="1" showErrorMessage="1" xr:uid="{62D004DA-5445-41BF-83FE-017C02567B8A}">
          <x14:formula1>
            <xm:f>'List source'!$D$6:$D$71</xm:f>
          </x14:formula1>
          <xm:sqref>A1 A202:A1048576</xm:sqref>
        </x14:dataValidation>
        <x14:dataValidation type="list" allowBlank="1" showInputMessage="1" showErrorMessage="1" xr:uid="{EB47D6DE-DBA4-4B1B-9FE7-89F63CD0CBA3}">
          <x14:formula1>
            <xm:f>'List source'!$D$2:$D$71</xm:f>
          </x14:formula1>
          <xm:sqref>A2:A201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70C0"/>
    <pageSetUpPr fitToPage="1"/>
  </sheetPr>
  <dimension ref="A1:S1000"/>
  <sheetViews>
    <sheetView showGridLines="0" topLeftCell="G1" zoomScale="70" zoomScaleNormal="70" workbookViewId="0">
      <pane ySplit="1" topLeftCell="A347" activePane="bottomLeft" state="frozen"/>
      <selection activeCell="D1" sqref="D1"/>
      <selection pane="bottomLeft" activeCell="M360" sqref="M360"/>
    </sheetView>
  </sheetViews>
  <sheetFormatPr defaultColWidth="8.7109375" defaultRowHeight="15" x14ac:dyDescent="0.25"/>
  <cols>
    <col min="1" max="1" width="25.28515625" style="5" bestFit="1" customWidth="1"/>
    <col min="2" max="2" width="12.42578125" bestFit="1" customWidth="1"/>
    <col min="3" max="3" width="6.42578125" bestFit="1" customWidth="1"/>
    <col min="4" max="4" width="16.5703125" bestFit="1" customWidth="1"/>
    <col min="5" max="5" width="41.28515625" style="125" bestFit="1" customWidth="1"/>
    <col min="6" max="6" width="29.7109375" style="3" bestFit="1" customWidth="1"/>
    <col min="7" max="7" width="79.42578125" style="90" customWidth="1"/>
    <col min="8" max="8" width="15.85546875" style="6" bestFit="1" customWidth="1"/>
    <col min="9" max="9" width="12.7109375" style="6" bestFit="1" customWidth="1"/>
    <col min="10" max="10" width="13.42578125" style="8" customWidth="1"/>
    <col min="11" max="11" width="20.140625" style="8" bestFit="1" customWidth="1"/>
    <col min="12" max="12" width="14" style="8" bestFit="1" customWidth="1"/>
    <col min="13" max="13" width="15.85546875" style="8" customWidth="1"/>
    <col min="14" max="14" width="20.42578125" style="8" customWidth="1"/>
    <col min="15" max="15" width="18" bestFit="1" customWidth="1"/>
    <col min="16" max="16" width="13.42578125" bestFit="1" customWidth="1"/>
    <col min="17" max="17" width="50.5703125" style="6" bestFit="1" customWidth="1"/>
    <col min="18" max="18" width="47.42578125" bestFit="1" customWidth="1"/>
    <col min="19" max="19" width="24.85546875" style="1" bestFit="1" customWidth="1"/>
  </cols>
  <sheetData>
    <row r="1" spans="1:19" s="2" customFormat="1" ht="86.85" customHeight="1" x14ac:dyDescent="0.25">
      <c r="A1" s="100" t="s">
        <v>435</v>
      </c>
      <c r="B1" s="101" t="s">
        <v>1</v>
      </c>
      <c r="C1" s="101" t="s">
        <v>2</v>
      </c>
      <c r="D1" s="101" t="s">
        <v>436</v>
      </c>
      <c r="E1" s="124" t="s">
        <v>437</v>
      </c>
      <c r="F1" s="101" t="s">
        <v>438</v>
      </c>
      <c r="G1" s="102" t="s">
        <v>439</v>
      </c>
      <c r="H1" s="102" t="s">
        <v>440</v>
      </c>
      <c r="I1" s="102" t="s">
        <v>441</v>
      </c>
      <c r="J1" s="343" t="s">
        <v>442</v>
      </c>
      <c r="K1" s="102" t="s">
        <v>443</v>
      </c>
      <c r="L1" s="343" t="s">
        <v>444</v>
      </c>
      <c r="M1" s="102" t="s">
        <v>445</v>
      </c>
      <c r="N1" s="102" t="s">
        <v>446</v>
      </c>
      <c r="O1" s="102" t="s">
        <v>447</v>
      </c>
      <c r="P1" s="102" t="s">
        <v>448</v>
      </c>
      <c r="Q1" s="331" t="s">
        <v>449</v>
      </c>
      <c r="R1" s="13" t="s">
        <v>450</v>
      </c>
      <c r="S1" s="13" t="s">
        <v>451</v>
      </c>
    </row>
    <row r="2" spans="1:19" s="4" customFormat="1" ht="36" customHeight="1" x14ac:dyDescent="0.25">
      <c r="A2" s="9" t="s">
        <v>79</v>
      </c>
      <c r="B2" s="13">
        <f>VLOOKUP(Table2[[#This Row],[Location 
(drop-down)]],'List source'!D$2:E$71,2,FALSE)</f>
        <v>160</v>
      </c>
      <c r="C2" s="13">
        <v>164</v>
      </c>
      <c r="D2" s="212" t="str">
        <f t="shared" ref="D2:D65" si="0">"C" &amp; C2 &amp;"-" &amp; B2 &amp; "-" &amp; "25"</f>
        <v>C164-160-25</v>
      </c>
      <c r="E2" s="234" t="s">
        <v>452</v>
      </c>
      <c r="F2" s="10" t="s">
        <v>453</v>
      </c>
      <c r="G2" s="206" t="s">
        <v>454</v>
      </c>
      <c r="H2" s="10" t="s">
        <v>455</v>
      </c>
      <c r="I2" s="12" t="s">
        <v>35</v>
      </c>
      <c r="J2" s="166">
        <v>45744</v>
      </c>
      <c r="K2" s="166"/>
      <c r="L2" s="166"/>
      <c r="M2" s="63">
        <v>45782</v>
      </c>
      <c r="N2" s="166"/>
      <c r="O2" s="63"/>
      <c r="P2" s="196"/>
      <c r="Q2" s="37"/>
      <c r="R2" s="93"/>
      <c r="S2" s="13" t="str">
        <f ca="1">IF(ISBLANK(Table2[[#This Row],[Complete corrective actions (Approved Date)]]), TODAY()-Table2[[#This Row],[CAR initialized date]], "CLOSED")</f>
        <v>CLOSED</v>
      </c>
    </row>
    <row r="3" spans="1:19" s="4" customFormat="1" ht="36" customHeight="1" x14ac:dyDescent="0.25">
      <c r="A3" s="9" t="s">
        <v>211</v>
      </c>
      <c r="B3" s="13">
        <f>VLOOKUP(Table2[[#This Row],[Location 
(drop-down)]],'List source'!D$2:E$71,2,FALSE)</f>
        <v>132</v>
      </c>
      <c r="C3" s="11" t="s">
        <v>15</v>
      </c>
      <c r="D3" s="212" t="str">
        <f t="shared" si="0"/>
        <v>C001-132-25</v>
      </c>
      <c r="E3" s="11" t="s">
        <v>452</v>
      </c>
      <c r="F3" s="11" t="s">
        <v>456</v>
      </c>
      <c r="G3" s="80" t="s">
        <v>457</v>
      </c>
      <c r="H3" s="10" t="s">
        <v>458</v>
      </c>
      <c r="I3" s="20" t="s">
        <v>167</v>
      </c>
      <c r="J3" s="166">
        <v>45664</v>
      </c>
      <c r="K3" s="166"/>
      <c r="L3" s="166"/>
      <c r="M3" s="63">
        <v>45678</v>
      </c>
      <c r="N3" s="166"/>
      <c r="O3" s="63"/>
      <c r="P3" s="196"/>
      <c r="Q3" s="37" t="s">
        <v>459</v>
      </c>
      <c r="R3" s="93"/>
      <c r="S3" s="13" t="str">
        <f ca="1">IF(ISBLANK(Table2[[#This Row],[Complete corrective actions (Approved Date)]]), TODAY()-Table2[[#This Row],[CAR initialized date]], "CLOSED")</f>
        <v>CLOSED</v>
      </c>
    </row>
    <row r="4" spans="1:19" s="4" customFormat="1" ht="36" customHeight="1" x14ac:dyDescent="0.25">
      <c r="A4" s="9" t="s">
        <v>211</v>
      </c>
      <c r="B4" s="13">
        <f>VLOOKUP(Table2[[#This Row],[Location 
(drop-down)]],'List source'!D$2:E$71,2,FALSE)</f>
        <v>132</v>
      </c>
      <c r="C4" s="11" t="s">
        <v>22</v>
      </c>
      <c r="D4" s="212" t="str">
        <f t="shared" si="0"/>
        <v>C002-132-25</v>
      </c>
      <c r="E4" s="11" t="s">
        <v>460</v>
      </c>
      <c r="F4" s="11" t="s">
        <v>248</v>
      </c>
      <c r="G4" s="80" t="s">
        <v>461</v>
      </c>
      <c r="H4" s="10" t="s">
        <v>458</v>
      </c>
      <c r="I4" s="20" t="s">
        <v>167</v>
      </c>
      <c r="J4" s="166">
        <v>45664</v>
      </c>
      <c r="K4" s="166"/>
      <c r="L4" s="166"/>
      <c r="M4" s="63">
        <v>45671</v>
      </c>
      <c r="N4" s="166"/>
      <c r="O4" s="63"/>
      <c r="P4" s="196"/>
      <c r="Q4" s="247"/>
      <c r="R4" s="93"/>
      <c r="S4" s="13" t="str">
        <f ca="1">IF(ISBLANK(Table2[[#This Row],[Complete corrective actions (Approved Date)]]), TODAY()-Table2[[#This Row],[CAR initialized date]], "CLOSED")</f>
        <v>CLOSED</v>
      </c>
    </row>
    <row r="5" spans="1:19" s="4" customFormat="1" ht="36" customHeight="1" x14ac:dyDescent="0.25">
      <c r="A5" s="9" t="s">
        <v>14</v>
      </c>
      <c r="B5" s="13">
        <f>VLOOKUP(Table2[[#This Row],[Location 
(drop-down)]],'List source'!D$2:E$71,2,FALSE)</f>
        <v>131</v>
      </c>
      <c r="C5" s="11" t="s">
        <v>26</v>
      </c>
      <c r="D5" s="212" t="str">
        <f t="shared" si="0"/>
        <v>C003-131-25</v>
      </c>
      <c r="E5" s="11" t="s">
        <v>460</v>
      </c>
      <c r="F5" s="11" t="s">
        <v>248</v>
      </c>
      <c r="G5" s="70" t="s">
        <v>462</v>
      </c>
      <c r="H5" s="10" t="s">
        <v>458</v>
      </c>
      <c r="I5" s="20" t="s">
        <v>167</v>
      </c>
      <c r="J5" s="166">
        <v>45666</v>
      </c>
      <c r="K5" s="166"/>
      <c r="L5" s="166"/>
      <c r="M5" s="63">
        <v>45679</v>
      </c>
      <c r="N5" s="166"/>
      <c r="O5" s="63"/>
      <c r="P5" s="196"/>
      <c r="Q5" s="247"/>
      <c r="R5" s="93"/>
      <c r="S5" s="13" t="str">
        <f ca="1">IF(ISBLANK(Table2[[#This Row],[Complete corrective actions (Approved Date)]]), TODAY()-Table2[[#This Row],[CAR initialized date]], "CLOSED")</f>
        <v>CLOSED</v>
      </c>
    </row>
    <row r="6" spans="1:19" s="4" customFormat="1" ht="36" customHeight="1" x14ac:dyDescent="0.25">
      <c r="A6" s="9" t="s">
        <v>69</v>
      </c>
      <c r="B6" s="13">
        <f>VLOOKUP(Table2[[#This Row],[Location 
(drop-down)]],'List source'!D$2:E$71,2,FALSE)</f>
        <v>141</v>
      </c>
      <c r="C6" s="11" t="s">
        <v>30</v>
      </c>
      <c r="D6" s="212" t="str">
        <f t="shared" si="0"/>
        <v>C004-141-25</v>
      </c>
      <c r="E6" s="11" t="s">
        <v>452</v>
      </c>
      <c r="F6" s="11" t="s">
        <v>463</v>
      </c>
      <c r="G6" s="9" t="s">
        <v>464</v>
      </c>
      <c r="H6" s="10" t="s">
        <v>458</v>
      </c>
      <c r="I6" s="20" t="s">
        <v>35</v>
      </c>
      <c r="J6" s="166">
        <v>45667</v>
      </c>
      <c r="K6" s="166"/>
      <c r="L6" s="166"/>
      <c r="M6" s="63">
        <v>45674</v>
      </c>
      <c r="N6" s="166"/>
      <c r="O6" s="63"/>
      <c r="P6" s="196"/>
      <c r="Q6" s="37"/>
      <c r="R6" s="93"/>
      <c r="S6" s="13" t="str">
        <f ca="1">IF(ISBLANK(Table2[[#This Row],[Complete corrective actions (Approved Date)]]), TODAY()-Table2[[#This Row],[CAR initialized date]], "CLOSED")</f>
        <v>CLOSED</v>
      </c>
    </row>
    <row r="7" spans="1:19" s="4" customFormat="1" ht="36" customHeight="1" x14ac:dyDescent="0.25">
      <c r="A7" s="9" t="s">
        <v>14</v>
      </c>
      <c r="B7" s="13">
        <f>VLOOKUP(Table2[[#This Row],[Location 
(drop-down)]],'List source'!D$2:E$71,2,FALSE)</f>
        <v>131</v>
      </c>
      <c r="C7" s="11" t="s">
        <v>34</v>
      </c>
      <c r="D7" s="212" t="str">
        <f t="shared" si="0"/>
        <v>C005-131-25</v>
      </c>
      <c r="E7" s="11" t="s">
        <v>465</v>
      </c>
      <c r="F7" s="11" t="s">
        <v>111</v>
      </c>
      <c r="G7" s="79" t="s">
        <v>466</v>
      </c>
      <c r="H7" s="10" t="s">
        <v>455</v>
      </c>
      <c r="I7" s="20" t="s">
        <v>167</v>
      </c>
      <c r="J7" s="166">
        <v>45671</v>
      </c>
      <c r="K7" s="166"/>
      <c r="L7" s="166"/>
      <c r="M7" s="63">
        <v>45698</v>
      </c>
      <c r="N7" s="166"/>
      <c r="O7" s="63"/>
      <c r="P7" s="196"/>
      <c r="Q7" s="37"/>
      <c r="R7" s="93" t="s">
        <v>467</v>
      </c>
      <c r="S7" s="13" t="str">
        <f ca="1">IF(ISBLANK(Table2[[#This Row],[Complete corrective actions (Approved Date)]]), TODAY()-Table2[[#This Row],[CAR initialized date]], "CLOSED")</f>
        <v>CLOSED</v>
      </c>
    </row>
    <row r="8" spans="1:19" s="4" customFormat="1" ht="36" customHeight="1" x14ac:dyDescent="0.25">
      <c r="A8" s="9" t="s">
        <v>14</v>
      </c>
      <c r="B8" s="13">
        <f>VLOOKUP(Table2[[#This Row],[Location 
(drop-down)]],'List source'!D$2:E$71,2,FALSE)</f>
        <v>131</v>
      </c>
      <c r="C8" s="11" t="s">
        <v>38</v>
      </c>
      <c r="D8" s="212" t="str">
        <f t="shared" si="0"/>
        <v>C006-131-25</v>
      </c>
      <c r="E8" s="11" t="s">
        <v>465</v>
      </c>
      <c r="F8" s="11" t="s">
        <v>111</v>
      </c>
      <c r="G8" s="79" t="s">
        <v>468</v>
      </c>
      <c r="H8" s="10" t="s">
        <v>455</v>
      </c>
      <c r="I8" s="20" t="s">
        <v>167</v>
      </c>
      <c r="J8" s="166">
        <v>45671</v>
      </c>
      <c r="K8" s="166"/>
      <c r="L8" s="166"/>
      <c r="M8" s="63">
        <v>45707</v>
      </c>
      <c r="N8" s="166"/>
      <c r="O8" s="63"/>
      <c r="P8" s="196"/>
      <c r="Q8" s="37"/>
      <c r="R8" s="93" t="s">
        <v>467</v>
      </c>
      <c r="S8" s="13" t="str">
        <f ca="1">IF(ISBLANK(Table2[[#This Row],[Complete corrective actions (Approved Date)]]), TODAY()-Table2[[#This Row],[CAR initialized date]], "CLOSED")</f>
        <v>CLOSED</v>
      </c>
    </row>
    <row r="9" spans="1:19" s="4" customFormat="1" ht="36" customHeight="1" x14ac:dyDescent="0.25">
      <c r="A9" s="9" t="s">
        <v>14</v>
      </c>
      <c r="B9" s="13">
        <f>VLOOKUP(Table2[[#This Row],[Location 
(drop-down)]],'List source'!D$2:E$71,2,FALSE)</f>
        <v>131</v>
      </c>
      <c r="C9" s="11" t="s">
        <v>45</v>
      </c>
      <c r="D9" s="212" t="str">
        <f t="shared" si="0"/>
        <v>C007-131-25</v>
      </c>
      <c r="E9" s="11" t="s">
        <v>465</v>
      </c>
      <c r="F9" s="11" t="s">
        <v>111</v>
      </c>
      <c r="G9" s="79" t="s">
        <v>469</v>
      </c>
      <c r="H9" s="10" t="s">
        <v>455</v>
      </c>
      <c r="I9" s="20" t="s">
        <v>167</v>
      </c>
      <c r="J9" s="166">
        <v>45671</v>
      </c>
      <c r="K9" s="166"/>
      <c r="L9" s="166"/>
      <c r="M9" s="63">
        <v>45792</v>
      </c>
      <c r="N9" s="166"/>
      <c r="O9" s="63"/>
      <c r="P9" s="196"/>
      <c r="Q9" s="37"/>
      <c r="R9" s="93" t="s">
        <v>467</v>
      </c>
      <c r="S9" s="13" t="str">
        <f ca="1">IF(ISBLANK(Table2[[#This Row],[Complete corrective actions (Approved Date)]]), TODAY()-Table2[[#This Row],[CAR initialized date]], "CLOSED")</f>
        <v>CLOSED</v>
      </c>
    </row>
    <row r="10" spans="1:19" s="4" customFormat="1" ht="36" customHeight="1" x14ac:dyDescent="0.25">
      <c r="A10" s="9" t="s">
        <v>14</v>
      </c>
      <c r="B10" s="13">
        <f>VLOOKUP(Table2[[#This Row],[Location 
(drop-down)]],'List source'!D$2:E$71,2,FALSE)</f>
        <v>131</v>
      </c>
      <c r="C10" s="11" t="s">
        <v>47</v>
      </c>
      <c r="D10" s="212" t="str">
        <f t="shared" si="0"/>
        <v>C008-131-25</v>
      </c>
      <c r="E10" s="11" t="s">
        <v>465</v>
      </c>
      <c r="F10" s="11" t="s">
        <v>111</v>
      </c>
      <c r="G10" s="79" t="s">
        <v>470</v>
      </c>
      <c r="H10" s="10" t="s">
        <v>455</v>
      </c>
      <c r="I10" s="20" t="s">
        <v>167</v>
      </c>
      <c r="J10" s="166">
        <v>45671</v>
      </c>
      <c r="K10" s="166"/>
      <c r="L10" s="166"/>
      <c r="M10" s="63">
        <v>45722</v>
      </c>
      <c r="N10" s="166"/>
      <c r="O10" s="63"/>
      <c r="P10" s="196"/>
      <c r="Q10" s="37"/>
      <c r="R10" s="93" t="s">
        <v>471</v>
      </c>
      <c r="S10" s="13" t="str">
        <f ca="1">IF(ISBLANK(Table2[[#This Row],[Complete corrective actions (Approved Date)]]), TODAY()-Table2[[#This Row],[CAR initialized date]], "CLOSED")</f>
        <v>CLOSED</v>
      </c>
    </row>
    <row r="11" spans="1:19" s="4" customFormat="1" ht="36" customHeight="1" x14ac:dyDescent="0.25">
      <c r="A11" s="9" t="s">
        <v>33</v>
      </c>
      <c r="B11" s="13" t="str">
        <f>VLOOKUP(Table2[[#This Row],[Location 
(drop-down)]],'List source'!D$2:E$71,2,FALSE)</f>
        <v>120a</v>
      </c>
      <c r="C11" s="11" t="s">
        <v>50</v>
      </c>
      <c r="D11" s="212" t="str">
        <f t="shared" si="0"/>
        <v>C009-120a-25</v>
      </c>
      <c r="E11" s="11" t="s">
        <v>472</v>
      </c>
      <c r="F11" s="11"/>
      <c r="G11" s="79" t="s">
        <v>473</v>
      </c>
      <c r="H11" s="10" t="s">
        <v>455</v>
      </c>
      <c r="I11" s="20" t="s">
        <v>35</v>
      </c>
      <c r="J11" s="166">
        <v>45681</v>
      </c>
      <c r="K11" s="166"/>
      <c r="L11" s="166"/>
      <c r="M11" s="63">
        <v>45725</v>
      </c>
      <c r="N11" s="166"/>
      <c r="O11" s="63"/>
      <c r="P11" s="196"/>
      <c r="Q11" s="37"/>
      <c r="R11" s="93" t="s">
        <v>467</v>
      </c>
      <c r="S11" s="13" t="str">
        <f ca="1">IF(ISBLANK(Table2[[#This Row],[Complete corrective actions (Approved Date)]]), TODAY()-Table2[[#This Row],[CAR initialized date]], "CLOSED")</f>
        <v>CLOSED</v>
      </c>
    </row>
    <row r="12" spans="1:19" s="4" customFormat="1" ht="36" customHeight="1" x14ac:dyDescent="0.25">
      <c r="A12" s="9" t="s">
        <v>33</v>
      </c>
      <c r="B12" s="13" t="str">
        <f>VLOOKUP(Table2[[#This Row],[Location 
(drop-down)]],'List source'!D$2:E$71,2,FALSE)</f>
        <v>120a</v>
      </c>
      <c r="C12" s="11" t="s">
        <v>52</v>
      </c>
      <c r="D12" s="212" t="str">
        <f t="shared" si="0"/>
        <v>C010-120a-25</v>
      </c>
      <c r="E12" s="11" t="s">
        <v>472</v>
      </c>
      <c r="F12" s="11"/>
      <c r="G12" s="79" t="s">
        <v>474</v>
      </c>
      <c r="H12" s="10" t="s">
        <v>455</v>
      </c>
      <c r="I12" s="20" t="s">
        <v>35</v>
      </c>
      <c r="J12" s="166">
        <v>45681</v>
      </c>
      <c r="K12" s="166"/>
      <c r="L12" s="166"/>
      <c r="M12" s="63">
        <v>45727</v>
      </c>
      <c r="N12" s="166"/>
      <c r="O12" s="63"/>
      <c r="P12" s="196"/>
      <c r="Q12" s="37"/>
      <c r="R12" s="93" t="s">
        <v>467</v>
      </c>
      <c r="S12" s="13" t="str">
        <f ca="1">IF(ISBLANK(Table2[[#This Row],[Complete corrective actions (Approved Date)]]), TODAY()-Table2[[#This Row],[CAR initialized date]], "CLOSED")</f>
        <v>CLOSED</v>
      </c>
    </row>
    <row r="13" spans="1:19" s="4" customFormat="1" ht="36" customHeight="1" x14ac:dyDescent="0.25">
      <c r="A13" s="9" t="s">
        <v>33</v>
      </c>
      <c r="B13" s="13" t="str">
        <f>VLOOKUP(Table2[[#This Row],[Location 
(drop-down)]],'List source'!D$2:E$71,2,FALSE)</f>
        <v>120a</v>
      </c>
      <c r="C13" s="11" t="s">
        <v>55</v>
      </c>
      <c r="D13" s="212" t="str">
        <f t="shared" si="0"/>
        <v>C011-120a-25</v>
      </c>
      <c r="E13" s="11" t="s">
        <v>472</v>
      </c>
      <c r="F13" s="11"/>
      <c r="G13" s="79" t="s">
        <v>475</v>
      </c>
      <c r="H13" s="10" t="s">
        <v>455</v>
      </c>
      <c r="I13" s="20" t="s">
        <v>35</v>
      </c>
      <c r="J13" s="166">
        <v>45681</v>
      </c>
      <c r="K13" s="166"/>
      <c r="L13" s="166"/>
      <c r="M13" s="63">
        <v>45727</v>
      </c>
      <c r="N13" s="166"/>
      <c r="O13" s="63"/>
      <c r="P13" s="196"/>
      <c r="Q13" s="248"/>
      <c r="R13" s="93" t="s">
        <v>467</v>
      </c>
      <c r="S13" s="13" t="str">
        <f ca="1">IF(ISBLANK(Table2[[#This Row],[Complete corrective actions (Approved Date)]]), TODAY()-Table2[[#This Row],[CAR initialized date]], "CLOSED")</f>
        <v>CLOSED</v>
      </c>
    </row>
    <row r="14" spans="1:19" s="4" customFormat="1" ht="36" customHeight="1" x14ac:dyDescent="0.25">
      <c r="A14" s="9" t="s">
        <v>476</v>
      </c>
      <c r="B14" s="13">
        <f>VLOOKUP(Table2[[#This Row],[Location 
(drop-down)]],'List source'!D$2:E$71,2,FALSE)</f>
        <v>101</v>
      </c>
      <c r="C14" s="11" t="s">
        <v>59</v>
      </c>
      <c r="D14" s="212" t="str">
        <f t="shared" si="0"/>
        <v>C012-101-25</v>
      </c>
      <c r="E14" s="11" t="s">
        <v>460</v>
      </c>
      <c r="F14" s="11" t="s">
        <v>477</v>
      </c>
      <c r="G14" s="156" t="s">
        <v>478</v>
      </c>
      <c r="H14" s="10" t="s">
        <v>455</v>
      </c>
      <c r="I14" s="20" t="s">
        <v>35</v>
      </c>
      <c r="J14" s="166">
        <v>45681</v>
      </c>
      <c r="K14" s="166"/>
      <c r="L14" s="166"/>
      <c r="M14" s="63">
        <v>45699</v>
      </c>
      <c r="N14" s="166"/>
      <c r="O14" s="63"/>
      <c r="P14" s="196"/>
      <c r="Q14" s="37"/>
      <c r="R14" s="93"/>
      <c r="S14" s="13" t="str">
        <f ca="1">IF(ISBLANK(Table2[[#This Row],[Complete corrective actions (Approved Date)]]), TODAY()-Table2[[#This Row],[CAR initialized date]], "CLOSED")</f>
        <v>CLOSED</v>
      </c>
    </row>
    <row r="15" spans="1:19" s="4" customFormat="1" ht="36" customHeight="1" x14ac:dyDescent="0.25">
      <c r="A15" s="9" t="s">
        <v>25</v>
      </c>
      <c r="B15" s="13">
        <f>VLOOKUP(Table2[[#This Row],[Location 
(drop-down)]],'List source'!D$2:E$71,2,FALSE)</f>
        <v>158</v>
      </c>
      <c r="C15" s="11" t="s">
        <v>63</v>
      </c>
      <c r="D15" s="212" t="str">
        <f t="shared" si="0"/>
        <v>C013-158-25</v>
      </c>
      <c r="E15" s="11" t="s">
        <v>472</v>
      </c>
      <c r="F15" s="11"/>
      <c r="G15" s="156" t="s">
        <v>479</v>
      </c>
      <c r="H15" s="10" t="s">
        <v>458</v>
      </c>
      <c r="I15" s="20" t="s">
        <v>27</v>
      </c>
      <c r="J15" s="166">
        <v>45684</v>
      </c>
      <c r="K15" s="166"/>
      <c r="L15" s="166"/>
      <c r="M15" s="63">
        <v>45769</v>
      </c>
      <c r="N15" s="166"/>
      <c r="O15" s="63"/>
      <c r="P15" s="196"/>
      <c r="Q15" s="37"/>
      <c r="R15" s="93" t="s">
        <v>467</v>
      </c>
      <c r="S15" s="13" t="str">
        <f ca="1">IF(ISBLANK(Table2[[#This Row],[Complete corrective actions (Approved Date)]]), TODAY()-Table2[[#This Row],[CAR initialized date]], "CLOSED")</f>
        <v>CLOSED</v>
      </c>
    </row>
    <row r="16" spans="1:19" s="4" customFormat="1" ht="36" customHeight="1" x14ac:dyDescent="0.25">
      <c r="A16" s="9" t="s">
        <v>25</v>
      </c>
      <c r="B16" s="13">
        <f>VLOOKUP(Table2[[#This Row],[Location 
(drop-down)]],'List source'!D$2:E$71,2,FALSE)</f>
        <v>158</v>
      </c>
      <c r="C16" s="11" t="s">
        <v>65</v>
      </c>
      <c r="D16" s="212" t="str">
        <f t="shared" si="0"/>
        <v>C014-158-25</v>
      </c>
      <c r="E16" s="11" t="s">
        <v>472</v>
      </c>
      <c r="F16" s="17"/>
      <c r="G16" s="9" t="s">
        <v>480</v>
      </c>
      <c r="H16" s="10" t="s">
        <v>455</v>
      </c>
      <c r="I16" s="20" t="s">
        <v>27</v>
      </c>
      <c r="J16" s="166">
        <v>45684</v>
      </c>
      <c r="K16" s="166"/>
      <c r="L16" s="166"/>
      <c r="M16" s="63">
        <v>45768</v>
      </c>
      <c r="N16" s="166"/>
      <c r="O16" s="63"/>
      <c r="P16" s="196"/>
      <c r="Q16" s="37"/>
      <c r="R16" s="93" t="s">
        <v>467</v>
      </c>
      <c r="S16" s="13" t="str">
        <f ca="1">IF(ISBLANK(Table2[[#This Row],[Complete corrective actions (Approved Date)]]), TODAY()-Table2[[#This Row],[CAR initialized date]], "CLOSED")</f>
        <v>CLOSED</v>
      </c>
    </row>
    <row r="17" spans="1:19" s="4" customFormat="1" ht="36" customHeight="1" x14ac:dyDescent="0.25">
      <c r="A17" s="9" t="s">
        <v>25</v>
      </c>
      <c r="B17" s="13">
        <f>VLOOKUP(Table2[[#This Row],[Location 
(drop-down)]],'List source'!D$2:E$71,2,FALSE)</f>
        <v>158</v>
      </c>
      <c r="C17" s="11" t="s">
        <v>68</v>
      </c>
      <c r="D17" s="212" t="str">
        <f t="shared" si="0"/>
        <v>C015-158-25</v>
      </c>
      <c r="E17" s="11" t="s">
        <v>472</v>
      </c>
      <c r="F17" s="17"/>
      <c r="G17" s="9" t="s">
        <v>481</v>
      </c>
      <c r="H17" s="10" t="s">
        <v>455</v>
      </c>
      <c r="I17" s="20" t="s">
        <v>27</v>
      </c>
      <c r="J17" s="166">
        <v>45684</v>
      </c>
      <c r="K17" s="166"/>
      <c r="L17" s="166"/>
      <c r="M17" s="63">
        <v>45818</v>
      </c>
      <c r="N17" s="166"/>
      <c r="O17" s="63"/>
      <c r="P17" s="196"/>
      <c r="Q17" s="37"/>
      <c r="R17" s="93" t="s">
        <v>467</v>
      </c>
      <c r="S17" s="13" t="str">
        <f ca="1">IF(ISBLANK(Table2[[#This Row],[Complete corrective actions (Approved Date)]]), TODAY()-Table2[[#This Row],[CAR initialized date]], "CLOSED")</f>
        <v>CLOSED</v>
      </c>
    </row>
    <row r="18" spans="1:19" s="4" customFormat="1" ht="36" customHeight="1" x14ac:dyDescent="0.25">
      <c r="A18" s="9" t="s">
        <v>25</v>
      </c>
      <c r="B18" s="13">
        <f>VLOOKUP(Table2[[#This Row],[Location 
(drop-down)]],'List source'!D$2:E$71,2,FALSE)</f>
        <v>158</v>
      </c>
      <c r="C18" s="11" t="s">
        <v>70</v>
      </c>
      <c r="D18" s="212" t="str">
        <f t="shared" si="0"/>
        <v>C016-158-25</v>
      </c>
      <c r="E18" s="11" t="s">
        <v>472</v>
      </c>
      <c r="F18" s="234"/>
      <c r="G18" s="9" t="s">
        <v>482</v>
      </c>
      <c r="H18" s="10" t="s">
        <v>455</v>
      </c>
      <c r="I18" s="20" t="s">
        <v>27</v>
      </c>
      <c r="J18" s="166">
        <v>45684</v>
      </c>
      <c r="K18" s="166"/>
      <c r="L18" s="166"/>
      <c r="M18" s="63">
        <v>45768</v>
      </c>
      <c r="N18" s="166"/>
      <c r="O18" s="63"/>
      <c r="P18" s="196"/>
      <c r="Q18" s="37"/>
      <c r="R18" s="93" t="s">
        <v>467</v>
      </c>
      <c r="S18" s="13" t="str">
        <f ca="1">IF(ISBLANK(Table2[[#This Row],[Complete corrective actions (Approved Date)]]), TODAY()-Table2[[#This Row],[CAR initialized date]], "CLOSED")</f>
        <v>CLOSED</v>
      </c>
    </row>
    <row r="19" spans="1:19" s="4" customFormat="1" ht="36" customHeight="1" x14ac:dyDescent="0.25">
      <c r="A19" s="9" t="s">
        <v>25</v>
      </c>
      <c r="B19" s="13">
        <f>VLOOKUP(Table2[[#This Row],[Location 
(drop-down)]],'List source'!D$2:E$71,2,FALSE)</f>
        <v>158</v>
      </c>
      <c r="C19" s="11" t="s">
        <v>72</v>
      </c>
      <c r="D19" s="212" t="str">
        <f t="shared" si="0"/>
        <v>C017-158-25</v>
      </c>
      <c r="E19" s="11" t="s">
        <v>472</v>
      </c>
      <c r="F19" s="238"/>
      <c r="G19" s="9" t="s">
        <v>483</v>
      </c>
      <c r="H19" s="10" t="s">
        <v>455</v>
      </c>
      <c r="I19" s="20" t="s">
        <v>27</v>
      </c>
      <c r="J19" s="166">
        <v>45684</v>
      </c>
      <c r="K19" s="166"/>
      <c r="L19" s="166"/>
      <c r="M19" s="63">
        <v>45743</v>
      </c>
      <c r="N19" s="166"/>
      <c r="O19" s="63"/>
      <c r="P19" s="196"/>
      <c r="Q19" s="37"/>
      <c r="R19" s="93" t="s">
        <v>484</v>
      </c>
      <c r="S19" s="13" t="str">
        <f ca="1">IF(ISBLANK(Table2[[#This Row],[Complete corrective actions (Approved Date)]]), TODAY()-Table2[[#This Row],[CAR initialized date]], "CLOSED")</f>
        <v>CLOSED</v>
      </c>
    </row>
    <row r="20" spans="1:19" s="4" customFormat="1" ht="36" customHeight="1" x14ac:dyDescent="0.25">
      <c r="A20" s="9" t="s">
        <v>25</v>
      </c>
      <c r="B20" s="13">
        <f>VLOOKUP(Table2[[#This Row],[Location 
(drop-down)]],'List source'!D$2:E$71,2,FALSE)</f>
        <v>158</v>
      </c>
      <c r="C20" s="11" t="s">
        <v>74</v>
      </c>
      <c r="D20" s="212" t="str">
        <f t="shared" si="0"/>
        <v>C018-158-25</v>
      </c>
      <c r="E20" s="11" t="s">
        <v>472</v>
      </c>
      <c r="F20" s="11"/>
      <c r="G20" s="9" t="s">
        <v>485</v>
      </c>
      <c r="H20" s="10" t="s">
        <v>455</v>
      </c>
      <c r="I20" s="20" t="s">
        <v>27</v>
      </c>
      <c r="J20" s="166">
        <v>45684</v>
      </c>
      <c r="K20" s="166"/>
      <c r="L20" s="166"/>
      <c r="M20" s="63">
        <v>45721</v>
      </c>
      <c r="N20" s="166"/>
      <c r="O20" s="63"/>
      <c r="P20" s="196"/>
      <c r="Q20" s="37"/>
      <c r="R20" s="93" t="s">
        <v>467</v>
      </c>
      <c r="S20" s="13" t="str">
        <f ca="1">IF(ISBLANK(Table2[[#This Row],[Complete corrective actions (Approved Date)]]), TODAY()-Table2[[#This Row],[CAR initialized date]], "CLOSED")</f>
        <v>CLOSED</v>
      </c>
    </row>
    <row r="21" spans="1:19" s="4" customFormat="1" ht="36" customHeight="1" x14ac:dyDescent="0.25">
      <c r="A21" s="9" t="s">
        <v>25</v>
      </c>
      <c r="B21" s="13">
        <f>VLOOKUP(Table2[[#This Row],[Location 
(drop-down)]],'List source'!D$2:E$71,2,FALSE)</f>
        <v>158</v>
      </c>
      <c r="C21" s="11" t="s">
        <v>77</v>
      </c>
      <c r="D21" s="212" t="str">
        <f t="shared" si="0"/>
        <v>C019-158-25</v>
      </c>
      <c r="E21" s="11" t="s">
        <v>472</v>
      </c>
      <c r="F21" s="234"/>
      <c r="G21" s="9" t="s">
        <v>486</v>
      </c>
      <c r="H21" s="10" t="s">
        <v>455</v>
      </c>
      <c r="I21" s="20" t="s">
        <v>27</v>
      </c>
      <c r="J21" s="166">
        <v>45684</v>
      </c>
      <c r="K21" s="166"/>
      <c r="L21" s="166"/>
      <c r="M21" s="63">
        <v>45807</v>
      </c>
      <c r="N21" s="166"/>
      <c r="O21" s="63"/>
      <c r="P21" s="196"/>
      <c r="Q21" s="249"/>
      <c r="R21" s="256" t="s">
        <v>467</v>
      </c>
      <c r="S21" s="13" t="str">
        <f ca="1">IF(ISBLANK(Table2[[#This Row],[Complete corrective actions (Approved Date)]]), TODAY()-Table2[[#This Row],[CAR initialized date]], "CLOSED")</f>
        <v>CLOSED</v>
      </c>
    </row>
    <row r="22" spans="1:19" s="4" customFormat="1" ht="47.25" customHeight="1" x14ac:dyDescent="0.25">
      <c r="A22" s="9" t="s">
        <v>58</v>
      </c>
      <c r="B22" s="13">
        <f>VLOOKUP(Table2[[#This Row],[Location 
(drop-down)]],'List source'!D$2:E$71,2,FALSE)</f>
        <v>146</v>
      </c>
      <c r="C22" s="11" t="s">
        <v>80</v>
      </c>
      <c r="D22" s="212" t="str">
        <f t="shared" si="0"/>
        <v>C020-146-25</v>
      </c>
      <c r="E22" s="11" t="s">
        <v>460</v>
      </c>
      <c r="F22" s="11"/>
      <c r="G22" s="9" t="s">
        <v>487</v>
      </c>
      <c r="H22" s="10" t="s">
        <v>455</v>
      </c>
      <c r="I22" s="20" t="s">
        <v>35</v>
      </c>
      <c r="J22" s="166">
        <v>45681</v>
      </c>
      <c r="K22" s="166"/>
      <c r="L22" s="166"/>
      <c r="M22" s="63">
        <v>45825</v>
      </c>
      <c r="N22" s="166"/>
      <c r="O22" s="63"/>
      <c r="P22" s="196"/>
      <c r="Q22" s="37"/>
      <c r="R22" s="93"/>
      <c r="S22" s="13" t="str">
        <f ca="1">IF(ISBLANK(Table2[[#This Row],[Complete corrective actions (Approved Date)]]), TODAY()-Table2[[#This Row],[CAR initialized date]], "CLOSED")</f>
        <v>CLOSED</v>
      </c>
    </row>
    <row r="23" spans="1:19" s="4" customFormat="1" ht="36" customHeight="1" x14ac:dyDescent="0.25">
      <c r="A23" s="9" t="s">
        <v>211</v>
      </c>
      <c r="B23" s="13">
        <f>VLOOKUP(Table2[[#This Row],[Location 
(drop-down)]],'List source'!D$2:E$71,2,FALSE)</f>
        <v>132</v>
      </c>
      <c r="C23" s="11" t="s">
        <v>87</v>
      </c>
      <c r="D23" s="212" t="str">
        <f t="shared" si="0"/>
        <v>C021-132-25</v>
      </c>
      <c r="E23" s="11" t="s">
        <v>460</v>
      </c>
      <c r="F23" s="11" t="s">
        <v>20</v>
      </c>
      <c r="G23" s="9" t="s">
        <v>488</v>
      </c>
      <c r="H23" s="10" t="s">
        <v>458</v>
      </c>
      <c r="I23" s="20" t="s">
        <v>167</v>
      </c>
      <c r="J23" s="166">
        <v>45684</v>
      </c>
      <c r="K23" s="166"/>
      <c r="L23" s="166"/>
      <c r="M23" s="63">
        <v>45701</v>
      </c>
      <c r="N23" s="166"/>
      <c r="O23" s="63"/>
      <c r="P23" s="196"/>
      <c r="Q23" s="37"/>
      <c r="R23" s="93"/>
      <c r="S23" s="13" t="str">
        <f ca="1">IF(ISBLANK(Table2[[#This Row],[Complete corrective actions (Approved Date)]]), TODAY()-Table2[[#This Row],[CAR initialized date]], "CLOSED")</f>
        <v>CLOSED</v>
      </c>
    </row>
    <row r="24" spans="1:19" s="4" customFormat="1" ht="36" customHeight="1" x14ac:dyDescent="0.25">
      <c r="A24" s="9" t="s">
        <v>211</v>
      </c>
      <c r="B24" s="13">
        <f>VLOOKUP(Table2[[#This Row],[Location 
(drop-down)]],'List source'!D$2:E$71,2,FALSE)</f>
        <v>132</v>
      </c>
      <c r="C24" s="11" t="s">
        <v>89</v>
      </c>
      <c r="D24" s="212" t="str">
        <f t="shared" si="0"/>
        <v>C022-132-25</v>
      </c>
      <c r="E24" s="11" t="s">
        <v>460</v>
      </c>
      <c r="F24" s="11" t="s">
        <v>20</v>
      </c>
      <c r="G24" s="9" t="s">
        <v>489</v>
      </c>
      <c r="H24" s="10" t="s">
        <v>455</v>
      </c>
      <c r="I24" s="20" t="s">
        <v>167</v>
      </c>
      <c r="J24" s="166">
        <v>45685</v>
      </c>
      <c r="K24" s="166"/>
      <c r="L24" s="166"/>
      <c r="M24" s="63">
        <v>45688</v>
      </c>
      <c r="N24" s="166"/>
      <c r="O24" s="63"/>
      <c r="P24" s="196"/>
      <c r="Q24" s="247"/>
      <c r="R24" s="93"/>
      <c r="S24" s="13" t="str">
        <f ca="1">IF(ISBLANK(Table2[[#This Row],[Complete corrective actions (Approved Date)]]), TODAY()-Table2[[#This Row],[CAR initialized date]], "CLOSED")</f>
        <v>CLOSED</v>
      </c>
    </row>
    <row r="25" spans="1:19" s="4" customFormat="1" ht="36" customHeight="1" x14ac:dyDescent="0.25">
      <c r="A25" s="9" t="s">
        <v>153</v>
      </c>
      <c r="B25" s="13">
        <f>VLOOKUP(Table2[[#This Row],[Location 
(drop-down)]],'List source'!D$2:E$71,2,FALSE)</f>
        <v>110</v>
      </c>
      <c r="C25" s="11" t="s">
        <v>92</v>
      </c>
      <c r="D25" s="212" t="str">
        <f t="shared" si="0"/>
        <v>C023-110-25</v>
      </c>
      <c r="E25" s="11" t="s">
        <v>452</v>
      </c>
      <c r="F25" s="11" t="s">
        <v>103</v>
      </c>
      <c r="G25" s="9" t="s">
        <v>490</v>
      </c>
      <c r="H25" s="10" t="s">
        <v>458</v>
      </c>
      <c r="I25" s="20" t="s">
        <v>35</v>
      </c>
      <c r="J25" s="166">
        <v>45686</v>
      </c>
      <c r="K25" s="166"/>
      <c r="L25" s="166"/>
      <c r="M25" s="63">
        <v>45687</v>
      </c>
      <c r="N25" s="166"/>
      <c r="O25" s="63"/>
      <c r="P25" s="196"/>
      <c r="Q25" s="37"/>
      <c r="R25" s="93"/>
      <c r="S25" s="13" t="str">
        <f ca="1">IF(ISBLANK(Table2[[#This Row],[Complete corrective actions (Approved Date)]]), TODAY()-Table2[[#This Row],[CAR initialized date]], "CLOSED")</f>
        <v>CLOSED</v>
      </c>
    </row>
    <row r="26" spans="1:19" s="4" customFormat="1" ht="36" customHeight="1" x14ac:dyDescent="0.25">
      <c r="A26" s="9" t="s">
        <v>14</v>
      </c>
      <c r="B26" s="13">
        <f>VLOOKUP(Table2[[#This Row],[Location 
(drop-down)]],'List source'!D$2:E$71,2,FALSE)</f>
        <v>131</v>
      </c>
      <c r="C26" s="11" t="s">
        <v>93</v>
      </c>
      <c r="D26" s="212" t="str">
        <f t="shared" si="0"/>
        <v>C024-131-25</v>
      </c>
      <c r="E26" s="11" t="s">
        <v>472</v>
      </c>
      <c r="F26" s="11"/>
      <c r="G26" s="9" t="s">
        <v>491</v>
      </c>
      <c r="H26" s="10" t="s">
        <v>455</v>
      </c>
      <c r="I26" s="20" t="s">
        <v>18</v>
      </c>
      <c r="J26" s="202">
        <v>45687</v>
      </c>
      <c r="K26" s="202"/>
      <c r="L26" s="202"/>
      <c r="M26" s="63">
        <v>45742</v>
      </c>
      <c r="N26" s="202"/>
      <c r="O26" s="63"/>
      <c r="P26" s="196"/>
      <c r="Q26" s="37"/>
      <c r="R26" s="93" t="s">
        <v>484</v>
      </c>
      <c r="S26" s="13" t="str">
        <f ca="1">IF(ISBLANK(Table2[[#This Row],[Complete corrective actions (Approved Date)]]), TODAY()-Table2[[#This Row],[CAR initialized date]], "CLOSED")</f>
        <v>CLOSED</v>
      </c>
    </row>
    <row r="27" spans="1:19" s="4" customFormat="1" ht="36" customHeight="1" x14ac:dyDescent="0.25">
      <c r="A27" s="9" t="s">
        <v>14</v>
      </c>
      <c r="B27" s="13">
        <f>VLOOKUP(Table2[[#This Row],[Location 
(drop-down)]],'List source'!D$2:E$71,2,FALSE)</f>
        <v>131</v>
      </c>
      <c r="C27" s="11" t="s">
        <v>95</v>
      </c>
      <c r="D27" s="212" t="str">
        <f t="shared" si="0"/>
        <v>C025-131-25</v>
      </c>
      <c r="E27" s="11" t="s">
        <v>472</v>
      </c>
      <c r="F27" s="11"/>
      <c r="G27" s="9" t="s">
        <v>492</v>
      </c>
      <c r="H27" s="10" t="s">
        <v>458</v>
      </c>
      <c r="I27" s="20" t="s">
        <v>18</v>
      </c>
      <c r="J27" s="166">
        <v>45687</v>
      </c>
      <c r="K27" s="166"/>
      <c r="L27" s="166"/>
      <c r="M27" s="63">
        <v>45742</v>
      </c>
      <c r="N27" s="166"/>
      <c r="O27" s="63"/>
      <c r="P27" s="196"/>
      <c r="Q27" s="37"/>
      <c r="R27" s="93" t="s">
        <v>467</v>
      </c>
      <c r="S27" s="13" t="str">
        <f ca="1">IF(ISBLANK(Table2[[#This Row],[Complete corrective actions (Approved Date)]]), TODAY()-Table2[[#This Row],[CAR initialized date]], "CLOSED")</f>
        <v>CLOSED</v>
      </c>
    </row>
    <row r="28" spans="1:19" s="4" customFormat="1" ht="36" customHeight="1" x14ac:dyDescent="0.25">
      <c r="A28" s="9" t="s">
        <v>14</v>
      </c>
      <c r="B28" s="13">
        <f>VLOOKUP(Table2[[#This Row],[Location 
(drop-down)]],'List source'!D$2:E$71,2,FALSE)</f>
        <v>131</v>
      </c>
      <c r="C28" s="11" t="s">
        <v>100</v>
      </c>
      <c r="D28" s="212" t="str">
        <f t="shared" si="0"/>
        <v>C026-131-25</v>
      </c>
      <c r="E28" s="11" t="s">
        <v>472</v>
      </c>
      <c r="F28" s="11"/>
      <c r="G28" s="9" t="s">
        <v>493</v>
      </c>
      <c r="H28" s="10" t="s">
        <v>494</v>
      </c>
      <c r="I28" s="20" t="s">
        <v>18</v>
      </c>
      <c r="J28" s="166">
        <v>45687</v>
      </c>
      <c r="K28" s="166"/>
      <c r="L28" s="166"/>
      <c r="M28" s="63">
        <v>45777</v>
      </c>
      <c r="N28" s="166"/>
      <c r="O28" s="63"/>
      <c r="P28" s="196"/>
      <c r="Q28" s="37"/>
      <c r="R28" s="93" t="s">
        <v>484</v>
      </c>
      <c r="S28" s="13" t="str">
        <f ca="1">IF(ISBLANK(Table2[[#This Row],[Complete corrective actions (Approved Date)]]), TODAY()-Table2[[#This Row],[CAR initialized date]], "CLOSED")</f>
        <v>CLOSED</v>
      </c>
    </row>
    <row r="29" spans="1:19" s="4" customFormat="1" ht="36" customHeight="1" x14ac:dyDescent="0.25">
      <c r="A29" s="9" t="s">
        <v>14</v>
      </c>
      <c r="B29" s="13">
        <f>VLOOKUP(Table2[[#This Row],[Location 
(drop-down)]],'List source'!D$2:E$71,2,FALSE)</f>
        <v>131</v>
      </c>
      <c r="C29" s="11" t="s">
        <v>106</v>
      </c>
      <c r="D29" s="212" t="str">
        <f t="shared" si="0"/>
        <v>C027-131-25</v>
      </c>
      <c r="E29" s="11" t="s">
        <v>472</v>
      </c>
      <c r="F29" s="11"/>
      <c r="G29" s="9" t="s">
        <v>495</v>
      </c>
      <c r="H29" s="10" t="s">
        <v>455</v>
      </c>
      <c r="I29" s="20" t="s">
        <v>18</v>
      </c>
      <c r="J29" s="166">
        <v>45687</v>
      </c>
      <c r="K29" s="166"/>
      <c r="L29" s="166"/>
      <c r="M29" s="63">
        <v>45705</v>
      </c>
      <c r="N29" s="166"/>
      <c r="O29" s="63"/>
      <c r="P29" s="196"/>
      <c r="Q29" s="250"/>
      <c r="R29" s="93" t="s">
        <v>484</v>
      </c>
      <c r="S29" s="13" t="str">
        <f ca="1">IF(ISBLANK(Table2[[#This Row],[Complete corrective actions (Approved Date)]]), TODAY()-Table2[[#This Row],[CAR initialized date]], "CLOSED")</f>
        <v>CLOSED</v>
      </c>
    </row>
    <row r="30" spans="1:19" s="4" customFormat="1" ht="36" customHeight="1" x14ac:dyDescent="0.25">
      <c r="A30" s="9" t="s">
        <v>14</v>
      </c>
      <c r="B30" s="13">
        <f>VLOOKUP(Table2[[#This Row],[Location 
(drop-down)]],'List source'!D$2:E$71,2,FALSE)</f>
        <v>131</v>
      </c>
      <c r="C30" s="11" t="s">
        <v>108</v>
      </c>
      <c r="D30" s="212" t="str">
        <f t="shared" si="0"/>
        <v>C028-131-25</v>
      </c>
      <c r="E30" s="11" t="s">
        <v>472</v>
      </c>
      <c r="F30" s="11"/>
      <c r="G30" s="9" t="s">
        <v>496</v>
      </c>
      <c r="H30" s="10" t="s">
        <v>455</v>
      </c>
      <c r="I30" s="20" t="s">
        <v>18</v>
      </c>
      <c r="J30" s="166">
        <v>45687</v>
      </c>
      <c r="K30" s="166"/>
      <c r="L30" s="166"/>
      <c r="M30" s="63">
        <v>45756</v>
      </c>
      <c r="N30" s="166"/>
      <c r="O30" s="63"/>
      <c r="P30" s="196"/>
      <c r="Q30" s="37"/>
      <c r="R30" s="93" t="s">
        <v>484</v>
      </c>
      <c r="S30" s="13" t="str">
        <f ca="1">IF(ISBLANK(Table2[[#This Row],[Complete corrective actions (Approved Date)]]), TODAY()-Table2[[#This Row],[CAR initialized date]], "CLOSED")</f>
        <v>CLOSED</v>
      </c>
    </row>
    <row r="31" spans="1:19" s="4" customFormat="1" ht="36" customHeight="1" x14ac:dyDescent="0.25">
      <c r="A31" s="9" t="s">
        <v>14</v>
      </c>
      <c r="B31" s="13">
        <f>VLOOKUP(Table2[[#This Row],[Location 
(drop-down)]],'List source'!D$2:E$71,2,FALSE)</f>
        <v>131</v>
      </c>
      <c r="C31" s="11" t="s">
        <v>113</v>
      </c>
      <c r="D31" s="212" t="str">
        <f t="shared" si="0"/>
        <v>C029-131-25</v>
      </c>
      <c r="E31" s="11" t="s">
        <v>472</v>
      </c>
      <c r="F31" s="11"/>
      <c r="G31" s="9" t="s">
        <v>497</v>
      </c>
      <c r="H31" s="10" t="s">
        <v>455</v>
      </c>
      <c r="I31" s="20" t="s">
        <v>18</v>
      </c>
      <c r="J31" s="166">
        <v>45687</v>
      </c>
      <c r="K31" s="166"/>
      <c r="L31" s="166"/>
      <c r="M31" s="63">
        <v>45806</v>
      </c>
      <c r="N31" s="166"/>
      <c r="O31" s="63"/>
      <c r="P31" s="196"/>
      <c r="Q31" s="37"/>
      <c r="R31" s="93" t="s">
        <v>484</v>
      </c>
      <c r="S31" s="13" t="str">
        <f ca="1">IF(ISBLANK(Table2[[#This Row],[Complete corrective actions (Approved Date)]]), TODAY()-Table2[[#This Row],[CAR initialized date]], "CLOSED")</f>
        <v>CLOSED</v>
      </c>
    </row>
    <row r="32" spans="1:19" s="4" customFormat="1" ht="36" customHeight="1" x14ac:dyDescent="0.25">
      <c r="A32" s="9" t="s">
        <v>14</v>
      </c>
      <c r="B32" s="13">
        <f>VLOOKUP(Table2[[#This Row],[Location 
(drop-down)]],'List source'!D$2:E$71,2,FALSE)</f>
        <v>131</v>
      </c>
      <c r="C32" s="11" t="s">
        <v>114</v>
      </c>
      <c r="D32" s="212" t="str">
        <f t="shared" si="0"/>
        <v>C030-131-25</v>
      </c>
      <c r="E32" s="11" t="s">
        <v>472</v>
      </c>
      <c r="F32" s="11"/>
      <c r="G32" s="76" t="s">
        <v>498</v>
      </c>
      <c r="H32" s="10" t="s">
        <v>455</v>
      </c>
      <c r="I32" s="20" t="s">
        <v>18</v>
      </c>
      <c r="J32" s="166">
        <v>45687</v>
      </c>
      <c r="K32" s="166"/>
      <c r="L32" s="166"/>
      <c r="M32" s="63">
        <v>45799</v>
      </c>
      <c r="N32" s="166"/>
      <c r="O32" s="63"/>
      <c r="P32" s="196"/>
      <c r="Q32" s="37"/>
      <c r="R32" s="93" t="s">
        <v>484</v>
      </c>
      <c r="S32" s="13" t="str">
        <f ca="1">IF(ISBLANK(Table2[[#This Row],[Complete corrective actions (Approved Date)]]), TODAY()-Table2[[#This Row],[CAR initialized date]], "CLOSED")</f>
        <v>CLOSED</v>
      </c>
    </row>
    <row r="33" spans="1:19" s="4" customFormat="1" ht="36" customHeight="1" x14ac:dyDescent="0.25">
      <c r="A33" s="9" t="s">
        <v>14</v>
      </c>
      <c r="B33" s="13">
        <f>VLOOKUP(Table2[[#This Row],[Location 
(drop-down)]],'List source'!D$2:E$71,2,FALSE)</f>
        <v>131</v>
      </c>
      <c r="C33" s="11" t="s">
        <v>118</v>
      </c>
      <c r="D33" s="212" t="str">
        <f t="shared" si="0"/>
        <v>C031-131-25</v>
      </c>
      <c r="E33" s="11" t="s">
        <v>472</v>
      </c>
      <c r="F33" s="11"/>
      <c r="G33" s="76" t="s">
        <v>499</v>
      </c>
      <c r="H33" s="10" t="s">
        <v>455</v>
      </c>
      <c r="I33" s="20" t="s">
        <v>18</v>
      </c>
      <c r="J33" s="166">
        <v>45687</v>
      </c>
      <c r="K33" s="166"/>
      <c r="L33" s="166"/>
      <c r="M33" s="63">
        <v>45756</v>
      </c>
      <c r="N33" s="166"/>
      <c r="O33" s="63"/>
      <c r="P33" s="196"/>
      <c r="Q33" s="188"/>
      <c r="R33" s="93" t="s">
        <v>467</v>
      </c>
      <c r="S33" s="13" t="str">
        <f ca="1">IF(ISBLANK(Table2[[#This Row],[Complete corrective actions (Approved Date)]]), TODAY()-Table2[[#This Row],[CAR initialized date]], "CLOSED")</f>
        <v>CLOSED</v>
      </c>
    </row>
    <row r="34" spans="1:19" s="4" customFormat="1" ht="36" customHeight="1" x14ac:dyDescent="0.25">
      <c r="A34" s="9" t="s">
        <v>14</v>
      </c>
      <c r="B34" s="13">
        <f>VLOOKUP(Table2[[#This Row],[Location 
(drop-down)]],'List source'!D$2:E$71,2,FALSE)</f>
        <v>131</v>
      </c>
      <c r="C34" s="11" t="s">
        <v>119</v>
      </c>
      <c r="D34" s="212" t="str">
        <f t="shared" si="0"/>
        <v>C032-131-25</v>
      </c>
      <c r="E34" s="11" t="s">
        <v>472</v>
      </c>
      <c r="F34" s="11"/>
      <c r="G34" s="9" t="s">
        <v>500</v>
      </c>
      <c r="H34" s="10" t="s">
        <v>455</v>
      </c>
      <c r="I34" s="20" t="s">
        <v>18</v>
      </c>
      <c r="J34" s="166">
        <v>45687</v>
      </c>
      <c r="K34" s="166"/>
      <c r="L34" s="166"/>
      <c r="M34" s="63">
        <v>45916</v>
      </c>
      <c r="N34" s="166"/>
      <c r="O34" s="63"/>
      <c r="P34" s="196"/>
      <c r="Q34" s="247"/>
      <c r="R34" s="93"/>
      <c r="S34" s="13" t="str">
        <f ca="1">IF(ISBLANK(Table2[[#This Row],[Complete corrective actions (Approved Date)]]), TODAY()-Table2[[#This Row],[CAR initialized date]], "CLOSED")</f>
        <v>CLOSED</v>
      </c>
    </row>
    <row r="35" spans="1:19" s="4" customFormat="1" ht="36" customHeight="1" x14ac:dyDescent="0.25">
      <c r="A35" s="9" t="s">
        <v>14</v>
      </c>
      <c r="B35" s="13">
        <f>VLOOKUP(Table2[[#This Row],[Location 
(drop-down)]],'List source'!D$2:E$71,2,FALSE)</f>
        <v>131</v>
      </c>
      <c r="C35" s="11" t="s">
        <v>120</v>
      </c>
      <c r="D35" s="212" t="str">
        <f t="shared" si="0"/>
        <v>C033-131-25</v>
      </c>
      <c r="E35" s="11" t="s">
        <v>472</v>
      </c>
      <c r="F35" s="11"/>
      <c r="G35" s="78" t="s">
        <v>501</v>
      </c>
      <c r="H35" s="10" t="s">
        <v>455</v>
      </c>
      <c r="I35" s="20" t="s">
        <v>18</v>
      </c>
      <c r="J35" s="166">
        <v>45687</v>
      </c>
      <c r="K35" s="166"/>
      <c r="L35" s="166"/>
      <c r="M35" s="63">
        <v>45799</v>
      </c>
      <c r="N35" s="166"/>
      <c r="O35" s="63"/>
      <c r="P35" s="196"/>
      <c r="Q35" s="247"/>
      <c r="R35" s="93" t="s">
        <v>484</v>
      </c>
      <c r="S35" s="13" t="str">
        <f ca="1">IF(ISBLANK(Table2[[#This Row],[Complete corrective actions (Approved Date)]]), TODAY()-Table2[[#This Row],[CAR initialized date]], "CLOSED")</f>
        <v>CLOSED</v>
      </c>
    </row>
    <row r="36" spans="1:19" s="4" customFormat="1" ht="36" customHeight="1" x14ac:dyDescent="0.25">
      <c r="A36" s="9" t="s">
        <v>14</v>
      </c>
      <c r="B36" s="13">
        <f>VLOOKUP(Table2[[#This Row],[Location 
(drop-down)]],'List source'!D$2:E$71,2,FALSE)</f>
        <v>131</v>
      </c>
      <c r="C36" s="11" t="s">
        <v>121</v>
      </c>
      <c r="D36" s="212" t="str">
        <f t="shared" si="0"/>
        <v>C034-131-25</v>
      </c>
      <c r="E36" s="11" t="s">
        <v>472</v>
      </c>
      <c r="F36" s="11"/>
      <c r="G36" s="9" t="s">
        <v>502</v>
      </c>
      <c r="H36" s="10" t="s">
        <v>494</v>
      </c>
      <c r="I36" s="20" t="s">
        <v>18</v>
      </c>
      <c r="J36" s="166">
        <v>45687</v>
      </c>
      <c r="K36" s="166"/>
      <c r="L36" s="166"/>
      <c r="M36" s="63">
        <v>45777</v>
      </c>
      <c r="N36" s="166"/>
      <c r="O36" s="63"/>
      <c r="P36" s="196"/>
      <c r="Q36" s="37"/>
      <c r="R36" s="93" t="s">
        <v>467</v>
      </c>
      <c r="S36" s="13" t="str">
        <f ca="1">IF(ISBLANK(Table2[[#This Row],[Complete corrective actions (Approved Date)]]), TODAY()-Table2[[#This Row],[CAR initialized date]], "CLOSED")</f>
        <v>CLOSED</v>
      </c>
    </row>
    <row r="37" spans="1:19" s="4" customFormat="1" ht="36" customHeight="1" x14ac:dyDescent="0.25">
      <c r="A37" s="9" t="s">
        <v>14</v>
      </c>
      <c r="B37" s="13">
        <f>VLOOKUP(Table2[[#This Row],[Location 
(drop-down)]],'List source'!D$2:E$71,2,FALSE)</f>
        <v>131</v>
      </c>
      <c r="C37" s="11" t="s">
        <v>124</v>
      </c>
      <c r="D37" s="212" t="str">
        <f t="shared" si="0"/>
        <v>C035-131-25</v>
      </c>
      <c r="E37" s="11" t="s">
        <v>472</v>
      </c>
      <c r="F37" s="11"/>
      <c r="G37" s="9" t="s">
        <v>480</v>
      </c>
      <c r="H37" s="10" t="s">
        <v>455</v>
      </c>
      <c r="I37" s="20" t="s">
        <v>18</v>
      </c>
      <c r="J37" s="166">
        <v>45687</v>
      </c>
      <c r="K37" s="166"/>
      <c r="L37" s="166"/>
      <c r="M37" s="63">
        <v>45799</v>
      </c>
      <c r="N37" s="166"/>
      <c r="O37" s="63"/>
      <c r="P37" s="196"/>
      <c r="Q37" s="37"/>
      <c r="R37" s="93" t="s">
        <v>467</v>
      </c>
      <c r="S37" s="13" t="str">
        <f ca="1">IF(ISBLANK(Table2[[#This Row],[Complete corrective actions (Approved Date)]]), TODAY()-Table2[[#This Row],[CAR initialized date]], "CLOSED")</f>
        <v>CLOSED</v>
      </c>
    </row>
    <row r="38" spans="1:19" s="4" customFormat="1" ht="36" customHeight="1" x14ac:dyDescent="0.25">
      <c r="A38" s="9" t="s">
        <v>14</v>
      </c>
      <c r="B38" s="13">
        <f>VLOOKUP(Table2[[#This Row],[Location 
(drop-down)]],'List source'!D$2:E$71,2,FALSE)</f>
        <v>131</v>
      </c>
      <c r="C38" s="11" t="s">
        <v>126</v>
      </c>
      <c r="D38" s="212" t="str">
        <f t="shared" si="0"/>
        <v>C036-131-25</v>
      </c>
      <c r="E38" s="11" t="s">
        <v>472</v>
      </c>
      <c r="F38" s="11"/>
      <c r="G38" s="9" t="s">
        <v>481</v>
      </c>
      <c r="H38" s="10" t="s">
        <v>455</v>
      </c>
      <c r="I38" s="20" t="s">
        <v>18</v>
      </c>
      <c r="J38" s="166">
        <v>45687</v>
      </c>
      <c r="K38" s="166"/>
      <c r="L38" s="166"/>
      <c r="M38" s="269">
        <v>45777</v>
      </c>
      <c r="N38" s="268"/>
      <c r="O38" s="269">
        <v>45861</v>
      </c>
      <c r="P38" s="270" t="s">
        <v>503</v>
      </c>
      <c r="Q38" s="271" t="s">
        <v>504</v>
      </c>
      <c r="R38" s="93" t="s">
        <v>467</v>
      </c>
      <c r="S38" s="13" t="str">
        <f ca="1">IF(ISBLANK(Table2[[#This Row],[Complete corrective actions (Approved Date)]]), TODAY()-Table2[[#This Row],[CAR initialized date]], "CLOSED")</f>
        <v>CLOSED</v>
      </c>
    </row>
    <row r="39" spans="1:19" s="4" customFormat="1" ht="36" customHeight="1" x14ac:dyDescent="0.25">
      <c r="A39" s="9" t="s">
        <v>14</v>
      </c>
      <c r="B39" s="13">
        <f>VLOOKUP(Table2[[#This Row],[Location 
(drop-down)]],'List source'!D$2:E$71,2,FALSE)</f>
        <v>131</v>
      </c>
      <c r="C39" s="11" t="s">
        <v>132</v>
      </c>
      <c r="D39" s="212" t="str">
        <f t="shared" si="0"/>
        <v>C037-131-25</v>
      </c>
      <c r="E39" s="11" t="s">
        <v>472</v>
      </c>
      <c r="F39" s="11"/>
      <c r="G39" s="9" t="s">
        <v>505</v>
      </c>
      <c r="H39" s="10" t="s">
        <v>455</v>
      </c>
      <c r="I39" s="20" t="s">
        <v>18</v>
      </c>
      <c r="J39" s="166">
        <v>45687</v>
      </c>
      <c r="K39" s="166"/>
      <c r="L39" s="166"/>
      <c r="M39" s="63">
        <v>45868</v>
      </c>
      <c r="N39" s="166"/>
      <c r="O39" s="63"/>
      <c r="P39" s="196"/>
      <c r="Q39" s="37"/>
      <c r="R39" s="93" t="s">
        <v>484</v>
      </c>
      <c r="S39" s="13" t="str">
        <f ca="1">IF(ISBLANK(Table2[[#This Row],[Complete corrective actions (Approved Date)]]), TODAY()-Table2[[#This Row],[CAR initialized date]], "CLOSED")</f>
        <v>CLOSED</v>
      </c>
    </row>
    <row r="40" spans="1:19" s="4" customFormat="1" ht="36" customHeight="1" x14ac:dyDescent="0.25">
      <c r="A40" s="9" t="s">
        <v>14</v>
      </c>
      <c r="B40" s="13">
        <f>VLOOKUP(Table2[[#This Row],[Location 
(drop-down)]],'List source'!D$2:E$71,2,FALSE)</f>
        <v>131</v>
      </c>
      <c r="C40" s="11" t="s">
        <v>134</v>
      </c>
      <c r="D40" s="212" t="str">
        <f t="shared" si="0"/>
        <v>C038-131-25</v>
      </c>
      <c r="E40" s="11" t="s">
        <v>472</v>
      </c>
      <c r="F40" s="11"/>
      <c r="G40" s="9" t="s">
        <v>482</v>
      </c>
      <c r="H40" s="10" t="s">
        <v>455</v>
      </c>
      <c r="I40" s="20" t="s">
        <v>18</v>
      </c>
      <c r="J40" s="268">
        <v>45687</v>
      </c>
      <c r="K40" s="268"/>
      <c r="L40" s="268"/>
      <c r="M40" s="269">
        <v>45777</v>
      </c>
      <c r="N40" s="268"/>
      <c r="O40" s="269">
        <v>45877</v>
      </c>
      <c r="P40" s="270" t="s">
        <v>506</v>
      </c>
      <c r="Q40" s="271" t="s">
        <v>507</v>
      </c>
      <c r="R40" s="93" t="s">
        <v>467</v>
      </c>
      <c r="S40" s="13" t="str">
        <f ca="1">IF(ISBLANK(Table2[[#This Row],[Complete corrective actions (Approved Date)]]), TODAY()-Table2[[#This Row],[CAR initialized date]], "CLOSED")</f>
        <v>CLOSED</v>
      </c>
    </row>
    <row r="41" spans="1:19" s="4" customFormat="1" ht="36" customHeight="1" x14ac:dyDescent="0.25">
      <c r="A41" s="9" t="s">
        <v>14</v>
      </c>
      <c r="B41" s="13">
        <f>VLOOKUP(Table2[[#This Row],[Location 
(drop-down)]],'List source'!D$2:E$71,2,FALSE)</f>
        <v>131</v>
      </c>
      <c r="C41" s="11" t="s">
        <v>137</v>
      </c>
      <c r="D41" s="212" t="str">
        <f t="shared" si="0"/>
        <v>C039-131-25</v>
      </c>
      <c r="E41" s="11" t="s">
        <v>472</v>
      </c>
      <c r="F41" s="11"/>
      <c r="G41" s="9" t="s">
        <v>508</v>
      </c>
      <c r="H41" s="10" t="s">
        <v>455</v>
      </c>
      <c r="I41" s="20" t="s">
        <v>18</v>
      </c>
      <c r="J41" s="166">
        <v>45687</v>
      </c>
      <c r="K41" s="166"/>
      <c r="L41" s="166"/>
      <c r="M41" s="63">
        <v>45742</v>
      </c>
      <c r="N41" s="166"/>
      <c r="O41" s="63"/>
      <c r="P41" s="196"/>
      <c r="Q41" s="37"/>
      <c r="R41" s="93" t="s">
        <v>484</v>
      </c>
      <c r="S41" s="13" t="str">
        <f ca="1">IF(ISBLANK(Table2[[#This Row],[Complete corrective actions (Approved Date)]]), TODAY()-Table2[[#This Row],[CAR initialized date]], "CLOSED")</f>
        <v>CLOSED</v>
      </c>
    </row>
    <row r="42" spans="1:19" s="4" customFormat="1" ht="36" customHeight="1" x14ac:dyDescent="0.25">
      <c r="A42" s="9" t="s">
        <v>156</v>
      </c>
      <c r="B42" s="13">
        <f>VLOOKUP(Table2[[#This Row],[Location 
(drop-down)]],'List source'!D$2:E$71,2,FALSE)</f>
        <v>130</v>
      </c>
      <c r="C42" s="11" t="s">
        <v>140</v>
      </c>
      <c r="D42" s="212" t="str">
        <f t="shared" si="0"/>
        <v>C040-130-25</v>
      </c>
      <c r="E42" s="11" t="s">
        <v>460</v>
      </c>
      <c r="F42" s="11" t="s">
        <v>456</v>
      </c>
      <c r="G42" s="9" t="s">
        <v>509</v>
      </c>
      <c r="H42" s="10" t="s">
        <v>458</v>
      </c>
      <c r="I42" s="20" t="s">
        <v>167</v>
      </c>
      <c r="J42" s="166">
        <v>45691</v>
      </c>
      <c r="K42" s="166"/>
      <c r="L42" s="166"/>
      <c r="M42" s="63">
        <v>45776</v>
      </c>
      <c r="N42" s="166"/>
      <c r="O42" s="63">
        <v>45890</v>
      </c>
      <c r="P42" s="196" t="s">
        <v>506</v>
      </c>
      <c r="Q42" s="37" t="s">
        <v>510</v>
      </c>
      <c r="R42" s="93"/>
      <c r="S42" s="13" t="str">
        <f ca="1">IF(ISBLANK(Table2[[#This Row],[Complete corrective actions (Approved Date)]]), TODAY()-Table2[[#This Row],[CAR initialized date]], "CLOSED")</f>
        <v>CLOSED</v>
      </c>
    </row>
    <row r="43" spans="1:19" s="4" customFormat="1" ht="36" customHeight="1" x14ac:dyDescent="0.25">
      <c r="A43" s="9" t="s">
        <v>62</v>
      </c>
      <c r="B43" s="13">
        <f>VLOOKUP(Table2[[#This Row],[Location 
(drop-down)]],'List source'!D$2:E$71,2,FALSE)</f>
        <v>178</v>
      </c>
      <c r="C43" s="11" t="s">
        <v>142</v>
      </c>
      <c r="D43" s="212" t="str">
        <f t="shared" si="0"/>
        <v>C041-178-25</v>
      </c>
      <c r="E43" s="11" t="s">
        <v>472</v>
      </c>
      <c r="F43" s="11"/>
      <c r="G43" s="70" t="s">
        <v>511</v>
      </c>
      <c r="H43" s="10" t="s">
        <v>494</v>
      </c>
      <c r="I43" s="20" t="s">
        <v>35</v>
      </c>
      <c r="J43" s="166">
        <v>45695</v>
      </c>
      <c r="K43" s="166"/>
      <c r="L43" s="166"/>
      <c r="M43" s="63">
        <v>45729</v>
      </c>
      <c r="N43" s="166"/>
      <c r="O43" s="63"/>
      <c r="P43" s="196"/>
      <c r="Q43" s="247"/>
      <c r="R43" s="93" t="s">
        <v>467</v>
      </c>
      <c r="S43" s="13" t="str">
        <f ca="1">IF(ISBLANK(Table2[[#This Row],[Complete corrective actions (Approved Date)]]), TODAY()-Table2[[#This Row],[CAR initialized date]], "CLOSED")</f>
        <v>CLOSED</v>
      </c>
    </row>
    <row r="44" spans="1:19" s="4" customFormat="1" ht="36" customHeight="1" x14ac:dyDescent="0.25">
      <c r="A44" s="9" t="s">
        <v>62</v>
      </c>
      <c r="B44" s="13">
        <f>VLOOKUP(Table2[[#This Row],[Location 
(drop-down)]],'List source'!D$2:E$71,2,FALSE)</f>
        <v>178</v>
      </c>
      <c r="C44" s="11" t="s">
        <v>143</v>
      </c>
      <c r="D44" s="212" t="str">
        <f t="shared" si="0"/>
        <v>C042-178-25</v>
      </c>
      <c r="E44" s="11" t="s">
        <v>472</v>
      </c>
      <c r="F44" s="11"/>
      <c r="G44" s="9" t="s">
        <v>512</v>
      </c>
      <c r="H44" s="10" t="s">
        <v>458</v>
      </c>
      <c r="I44" s="20" t="s">
        <v>35</v>
      </c>
      <c r="J44" s="166">
        <v>45695</v>
      </c>
      <c r="K44" s="166"/>
      <c r="L44" s="166"/>
      <c r="M44" s="63">
        <v>45754</v>
      </c>
      <c r="N44" s="166"/>
      <c r="O44" s="63"/>
      <c r="P44" s="196"/>
      <c r="Q44" s="37"/>
      <c r="R44" s="93" t="s">
        <v>484</v>
      </c>
      <c r="S44" s="13" t="str">
        <f ca="1">IF(ISBLANK(Table2[[#This Row],[Complete corrective actions (Approved Date)]]), TODAY()-Table2[[#This Row],[CAR initialized date]], "CLOSED")</f>
        <v>CLOSED</v>
      </c>
    </row>
    <row r="45" spans="1:19" s="4" customFormat="1" ht="36" customHeight="1" x14ac:dyDescent="0.25">
      <c r="A45" s="9" t="s">
        <v>62</v>
      </c>
      <c r="B45" s="13">
        <f>VLOOKUP(Table2[[#This Row],[Location 
(drop-down)]],'List source'!D$2:E$71,2,FALSE)</f>
        <v>178</v>
      </c>
      <c r="C45" s="11" t="s">
        <v>144</v>
      </c>
      <c r="D45" s="212" t="str">
        <f t="shared" si="0"/>
        <v>C043-178-25</v>
      </c>
      <c r="E45" s="11" t="s">
        <v>472</v>
      </c>
      <c r="F45" s="11"/>
      <c r="G45" s="9" t="s">
        <v>513</v>
      </c>
      <c r="H45" s="10" t="s">
        <v>458</v>
      </c>
      <c r="I45" s="20" t="s">
        <v>35</v>
      </c>
      <c r="J45" s="166">
        <v>45695</v>
      </c>
      <c r="K45" s="166"/>
      <c r="L45" s="166"/>
      <c r="M45" s="63">
        <v>45754</v>
      </c>
      <c r="N45" s="166"/>
      <c r="O45" s="63"/>
      <c r="P45" s="196"/>
      <c r="Q45" s="37"/>
      <c r="R45" s="93" t="s">
        <v>467</v>
      </c>
      <c r="S45" s="13" t="str">
        <f ca="1">IF(ISBLANK(Table2[[#This Row],[Complete corrective actions (Approved Date)]]), TODAY()-Table2[[#This Row],[CAR initialized date]], "CLOSED")</f>
        <v>CLOSED</v>
      </c>
    </row>
    <row r="46" spans="1:19" s="4" customFormat="1" ht="36" customHeight="1" x14ac:dyDescent="0.25">
      <c r="A46" s="9" t="s">
        <v>62</v>
      </c>
      <c r="B46" s="13">
        <f>VLOOKUP(Table2[[#This Row],[Location 
(drop-down)]],'List source'!D$2:E$71,2,FALSE)</f>
        <v>178</v>
      </c>
      <c r="C46" s="11" t="s">
        <v>148</v>
      </c>
      <c r="D46" s="212" t="str">
        <f t="shared" si="0"/>
        <v>C044-178-25</v>
      </c>
      <c r="E46" s="11" t="s">
        <v>472</v>
      </c>
      <c r="F46" s="11"/>
      <c r="G46" s="9" t="s">
        <v>514</v>
      </c>
      <c r="H46" s="10" t="s">
        <v>455</v>
      </c>
      <c r="I46" s="20" t="s">
        <v>35</v>
      </c>
      <c r="J46" s="166">
        <v>45695</v>
      </c>
      <c r="K46" s="166"/>
      <c r="L46" s="166"/>
      <c r="M46" s="63">
        <v>45728</v>
      </c>
      <c r="N46" s="166"/>
      <c r="O46" s="63"/>
      <c r="P46" s="196"/>
      <c r="Q46" s="37"/>
      <c r="R46" s="93" t="s">
        <v>467</v>
      </c>
      <c r="S46" s="13" t="str">
        <f ca="1">IF(ISBLANK(Table2[[#This Row],[Complete corrective actions (Approved Date)]]), TODAY()-Table2[[#This Row],[CAR initialized date]], "CLOSED")</f>
        <v>CLOSED</v>
      </c>
    </row>
    <row r="47" spans="1:19" s="4" customFormat="1" ht="36" customHeight="1" x14ac:dyDescent="0.25">
      <c r="A47" s="9" t="s">
        <v>62</v>
      </c>
      <c r="B47" s="13">
        <f>VLOOKUP(Table2[[#This Row],[Location 
(drop-down)]],'List source'!D$2:E$71,2,FALSE)</f>
        <v>178</v>
      </c>
      <c r="C47" s="11" t="s">
        <v>149</v>
      </c>
      <c r="D47" s="212" t="str">
        <f t="shared" si="0"/>
        <v>C045-178-25</v>
      </c>
      <c r="E47" s="11" t="s">
        <v>472</v>
      </c>
      <c r="F47" s="11"/>
      <c r="G47" s="9" t="s">
        <v>515</v>
      </c>
      <c r="H47" s="10" t="s">
        <v>455</v>
      </c>
      <c r="I47" s="20" t="s">
        <v>35</v>
      </c>
      <c r="J47" s="166">
        <v>45695</v>
      </c>
      <c r="K47" s="166"/>
      <c r="L47" s="166"/>
      <c r="M47" s="63">
        <v>45722</v>
      </c>
      <c r="N47" s="166"/>
      <c r="O47" s="63"/>
      <c r="P47" s="196"/>
      <c r="Q47" s="37"/>
      <c r="R47" s="93" t="s">
        <v>467</v>
      </c>
      <c r="S47" s="13" t="str">
        <f ca="1">IF(ISBLANK(Table2[[#This Row],[Complete corrective actions (Approved Date)]]), TODAY()-Table2[[#This Row],[CAR initialized date]], "CLOSED")</f>
        <v>CLOSED</v>
      </c>
    </row>
    <row r="48" spans="1:19" s="4" customFormat="1" ht="36" customHeight="1" x14ac:dyDescent="0.25">
      <c r="A48" s="9" t="s">
        <v>62</v>
      </c>
      <c r="B48" s="13">
        <f>VLOOKUP(Table2[[#This Row],[Location 
(drop-down)]],'List source'!D$2:E$71,2,FALSE)</f>
        <v>178</v>
      </c>
      <c r="C48" s="11" t="s">
        <v>150</v>
      </c>
      <c r="D48" s="212" t="str">
        <f t="shared" si="0"/>
        <v>C046-178-25</v>
      </c>
      <c r="E48" s="11" t="s">
        <v>472</v>
      </c>
      <c r="F48" s="11"/>
      <c r="G48" s="9" t="s">
        <v>475</v>
      </c>
      <c r="H48" s="10" t="s">
        <v>455</v>
      </c>
      <c r="I48" s="20" t="s">
        <v>35</v>
      </c>
      <c r="J48" s="166">
        <v>45695</v>
      </c>
      <c r="K48" s="166"/>
      <c r="L48" s="166"/>
      <c r="M48" s="63">
        <v>45712</v>
      </c>
      <c r="N48" s="166"/>
      <c r="O48" s="63"/>
      <c r="P48" s="196"/>
      <c r="Q48" s="250"/>
      <c r="R48" s="93" t="s">
        <v>484</v>
      </c>
      <c r="S48" s="13" t="str">
        <f ca="1">IF(ISBLANK(Table2[[#This Row],[Complete corrective actions (Approved Date)]]), TODAY()-Table2[[#This Row],[CAR initialized date]], "CLOSED")</f>
        <v>CLOSED</v>
      </c>
    </row>
    <row r="49" spans="1:19" s="4" customFormat="1" ht="36" customHeight="1" x14ac:dyDescent="0.25">
      <c r="A49" s="9" t="s">
        <v>51</v>
      </c>
      <c r="B49" s="13">
        <f>VLOOKUP(Table2[[#This Row],[Location 
(drop-down)]],'List source'!D$2:E$71,2,FALSE)</f>
        <v>139</v>
      </c>
      <c r="C49" s="11" t="s">
        <v>152</v>
      </c>
      <c r="D49" s="212" t="str">
        <f t="shared" si="0"/>
        <v>C047-139-25</v>
      </c>
      <c r="E49" s="11" t="s">
        <v>472</v>
      </c>
      <c r="F49" s="11"/>
      <c r="G49" s="76" t="s">
        <v>516</v>
      </c>
      <c r="H49" s="10" t="s">
        <v>494</v>
      </c>
      <c r="I49" s="20" t="s">
        <v>18</v>
      </c>
      <c r="J49" s="166">
        <v>45698</v>
      </c>
      <c r="K49" s="166"/>
      <c r="L49" s="166"/>
      <c r="M49" s="63">
        <v>45735</v>
      </c>
      <c r="N49" s="166"/>
      <c r="O49" s="63"/>
      <c r="P49" s="196"/>
      <c r="Q49" s="37"/>
      <c r="R49" s="93" t="s">
        <v>467</v>
      </c>
      <c r="S49" s="13" t="str">
        <f ca="1">IF(ISBLANK(Table2[[#This Row],[Complete corrective actions (Approved Date)]]), TODAY()-Table2[[#This Row],[CAR initialized date]], "CLOSED")</f>
        <v>CLOSED</v>
      </c>
    </row>
    <row r="50" spans="1:19" s="4" customFormat="1" ht="36" customHeight="1" x14ac:dyDescent="0.25">
      <c r="A50" s="9" t="s">
        <v>51</v>
      </c>
      <c r="B50" s="13">
        <f>VLOOKUP(Table2[[#This Row],[Location 
(drop-down)]],'List source'!D$2:E$71,2,FALSE)</f>
        <v>139</v>
      </c>
      <c r="C50" s="11" t="s">
        <v>154</v>
      </c>
      <c r="D50" s="212" t="str">
        <f t="shared" si="0"/>
        <v>C048-139-25</v>
      </c>
      <c r="E50" s="11" t="s">
        <v>472</v>
      </c>
      <c r="F50" s="11"/>
      <c r="G50" s="9" t="s">
        <v>517</v>
      </c>
      <c r="H50" s="10" t="s">
        <v>458</v>
      </c>
      <c r="I50" s="20" t="s">
        <v>18</v>
      </c>
      <c r="J50" s="166">
        <v>45698</v>
      </c>
      <c r="K50" s="166"/>
      <c r="L50" s="166"/>
      <c r="M50" s="63">
        <v>45726</v>
      </c>
      <c r="N50" s="166"/>
      <c r="O50" s="63"/>
      <c r="P50" s="196"/>
      <c r="Q50" s="37"/>
      <c r="R50" s="93" t="s">
        <v>467</v>
      </c>
      <c r="S50" s="13" t="str">
        <f ca="1">IF(ISBLANK(Table2[[#This Row],[Complete corrective actions (Approved Date)]]), TODAY()-Table2[[#This Row],[CAR initialized date]], "CLOSED")</f>
        <v>CLOSED</v>
      </c>
    </row>
    <row r="51" spans="1:19" s="4" customFormat="1" ht="36" customHeight="1" x14ac:dyDescent="0.25">
      <c r="A51" s="9" t="s">
        <v>51</v>
      </c>
      <c r="B51" s="13">
        <f>VLOOKUP(Table2[[#This Row],[Location 
(drop-down)]],'List source'!D$2:E$71,2,FALSE)</f>
        <v>139</v>
      </c>
      <c r="C51" s="11" t="s">
        <v>155</v>
      </c>
      <c r="D51" s="212" t="str">
        <f t="shared" si="0"/>
        <v>C049-139-25</v>
      </c>
      <c r="E51" s="11" t="s">
        <v>472</v>
      </c>
      <c r="F51" s="11"/>
      <c r="G51" s="9" t="s">
        <v>514</v>
      </c>
      <c r="H51" s="10" t="s">
        <v>455</v>
      </c>
      <c r="I51" s="20" t="s">
        <v>18</v>
      </c>
      <c r="J51" s="166">
        <v>45698</v>
      </c>
      <c r="K51" s="166"/>
      <c r="L51" s="166"/>
      <c r="M51" s="63">
        <v>45735</v>
      </c>
      <c r="N51" s="166"/>
      <c r="O51" s="63"/>
      <c r="P51" s="196"/>
      <c r="Q51" s="37"/>
      <c r="R51" s="93" t="s">
        <v>467</v>
      </c>
      <c r="S51" s="13" t="str">
        <f ca="1">IF(ISBLANK(Table2[[#This Row],[Complete corrective actions (Approved Date)]]), TODAY()-Table2[[#This Row],[CAR initialized date]], "CLOSED")</f>
        <v>CLOSED</v>
      </c>
    </row>
    <row r="52" spans="1:19" s="4" customFormat="1" ht="36" customHeight="1" x14ac:dyDescent="0.25">
      <c r="A52" s="9" t="s">
        <v>51</v>
      </c>
      <c r="B52" s="13">
        <f>VLOOKUP(Table2[[#This Row],[Location 
(drop-down)]],'List source'!D$2:E$71,2,FALSE)</f>
        <v>139</v>
      </c>
      <c r="C52" s="11" t="s">
        <v>157</v>
      </c>
      <c r="D52" s="212" t="str">
        <f t="shared" si="0"/>
        <v>C050-139-25</v>
      </c>
      <c r="E52" s="11" t="s">
        <v>472</v>
      </c>
      <c r="F52" s="11"/>
      <c r="G52" s="9" t="s">
        <v>475</v>
      </c>
      <c r="H52" s="10" t="s">
        <v>455</v>
      </c>
      <c r="I52" s="20" t="s">
        <v>18</v>
      </c>
      <c r="J52" s="166">
        <v>45698</v>
      </c>
      <c r="K52" s="166"/>
      <c r="L52" s="166"/>
      <c r="M52" s="63">
        <v>45735</v>
      </c>
      <c r="N52" s="166"/>
      <c r="O52" s="63"/>
      <c r="P52" s="196"/>
      <c r="Q52" s="37"/>
      <c r="R52" s="93" t="s">
        <v>467</v>
      </c>
      <c r="S52" s="13" t="str">
        <f ca="1">IF(ISBLANK(Table2[[#This Row],[Complete corrective actions (Approved Date)]]), TODAY()-Table2[[#This Row],[CAR initialized date]], "CLOSED")</f>
        <v>CLOSED</v>
      </c>
    </row>
    <row r="53" spans="1:19" s="4" customFormat="1" ht="36" customHeight="1" x14ac:dyDescent="0.25">
      <c r="A53" s="9" t="s">
        <v>51</v>
      </c>
      <c r="B53" s="13">
        <f>VLOOKUP(Table2[[#This Row],[Location 
(drop-down)]],'List source'!D$2:E$71,2,FALSE)</f>
        <v>139</v>
      </c>
      <c r="C53" s="11" t="s">
        <v>159</v>
      </c>
      <c r="D53" s="212" t="str">
        <f t="shared" si="0"/>
        <v>C051-139-25</v>
      </c>
      <c r="E53" s="11" t="s">
        <v>472</v>
      </c>
      <c r="F53" s="11"/>
      <c r="G53" s="76" t="s">
        <v>518</v>
      </c>
      <c r="H53" s="10" t="s">
        <v>455</v>
      </c>
      <c r="I53" s="20" t="s">
        <v>18</v>
      </c>
      <c r="J53" s="166">
        <v>45698</v>
      </c>
      <c r="K53" s="166"/>
      <c r="L53" s="166"/>
      <c r="M53" s="63">
        <v>45735</v>
      </c>
      <c r="N53" s="166"/>
      <c r="O53" s="63"/>
      <c r="P53" s="196"/>
      <c r="Q53" s="37"/>
      <c r="R53" s="93" t="s">
        <v>484</v>
      </c>
      <c r="S53" s="13" t="str">
        <f ca="1">IF(ISBLANK(Table2[[#This Row],[Complete corrective actions (Approved Date)]]), TODAY()-Table2[[#This Row],[CAR initialized date]], "CLOSED")</f>
        <v>CLOSED</v>
      </c>
    </row>
    <row r="54" spans="1:19" s="4" customFormat="1" ht="36" customHeight="1" x14ac:dyDescent="0.25">
      <c r="A54" s="9" t="s">
        <v>58</v>
      </c>
      <c r="B54" s="13">
        <f>VLOOKUP(Table2[[#This Row],[Location 
(drop-down)]],'List source'!D$2:E$71,2,FALSE)</f>
        <v>146</v>
      </c>
      <c r="C54" s="11" t="s">
        <v>161</v>
      </c>
      <c r="D54" s="212" t="str">
        <f t="shared" si="0"/>
        <v>C052-146-25</v>
      </c>
      <c r="E54" s="11" t="s">
        <v>519</v>
      </c>
      <c r="F54" s="11" t="s">
        <v>41</v>
      </c>
      <c r="G54" s="9" t="s">
        <v>520</v>
      </c>
      <c r="H54" s="10" t="s">
        <v>455</v>
      </c>
      <c r="I54" s="20" t="s">
        <v>48</v>
      </c>
      <c r="J54" s="166">
        <v>45694</v>
      </c>
      <c r="K54" s="166"/>
      <c r="L54" s="166"/>
      <c r="M54" s="63">
        <v>45911</v>
      </c>
      <c r="N54" s="166"/>
      <c r="O54" s="63"/>
      <c r="P54" s="196"/>
      <c r="Q54" s="37"/>
      <c r="R54" s="93"/>
      <c r="S54" s="13" t="str">
        <f ca="1">IF(ISBLANK(Table2[[#This Row],[Complete corrective actions (Approved Date)]]), TODAY()-Table2[[#This Row],[CAR initialized date]], "CLOSED")</f>
        <v>CLOSED</v>
      </c>
    </row>
    <row r="55" spans="1:19" s="4" customFormat="1" ht="36" customHeight="1" x14ac:dyDescent="0.25">
      <c r="A55" s="9" t="s">
        <v>58</v>
      </c>
      <c r="B55" s="13">
        <f>VLOOKUP(Table2[[#This Row],[Location 
(drop-down)]],'List source'!D$2:E$71,2,FALSE)</f>
        <v>146</v>
      </c>
      <c r="C55" s="11" t="s">
        <v>163</v>
      </c>
      <c r="D55" s="212" t="str">
        <f t="shared" si="0"/>
        <v>C053-146-25</v>
      </c>
      <c r="E55" s="11" t="s">
        <v>519</v>
      </c>
      <c r="F55" s="11" t="s">
        <v>41</v>
      </c>
      <c r="G55" s="9" t="s">
        <v>521</v>
      </c>
      <c r="H55" s="10" t="s">
        <v>455</v>
      </c>
      <c r="I55" s="20" t="s">
        <v>48</v>
      </c>
      <c r="J55" s="166">
        <v>45694</v>
      </c>
      <c r="K55" s="166"/>
      <c r="L55" s="166"/>
      <c r="M55" s="63">
        <v>45744</v>
      </c>
      <c r="N55" s="166"/>
      <c r="O55" s="63"/>
      <c r="P55" s="196"/>
      <c r="Q55" s="37"/>
      <c r="R55" s="93" t="s">
        <v>484</v>
      </c>
      <c r="S55" s="13" t="str">
        <f ca="1">IF(ISBLANK(Table2[[#This Row],[Complete corrective actions (Approved Date)]]), TODAY()-Table2[[#This Row],[CAR initialized date]], "CLOSED")</f>
        <v>CLOSED</v>
      </c>
    </row>
    <row r="56" spans="1:19" s="4" customFormat="1" ht="36" customHeight="1" x14ac:dyDescent="0.25">
      <c r="A56" s="9" t="s">
        <v>58</v>
      </c>
      <c r="B56" s="13">
        <f>VLOOKUP(Table2[[#This Row],[Location 
(drop-down)]],'List source'!D$2:E$71,2,FALSE)</f>
        <v>146</v>
      </c>
      <c r="C56" s="11" t="s">
        <v>165</v>
      </c>
      <c r="D56" s="212" t="str">
        <f t="shared" si="0"/>
        <v>C054-146-25</v>
      </c>
      <c r="E56" s="11" t="s">
        <v>519</v>
      </c>
      <c r="F56" s="11" t="s">
        <v>41</v>
      </c>
      <c r="G56" s="9" t="s">
        <v>522</v>
      </c>
      <c r="H56" s="10" t="s">
        <v>455</v>
      </c>
      <c r="I56" s="20" t="s">
        <v>48</v>
      </c>
      <c r="J56" s="166">
        <v>45694</v>
      </c>
      <c r="K56" s="166"/>
      <c r="L56" s="166"/>
      <c r="M56" s="63">
        <v>45721</v>
      </c>
      <c r="N56" s="166"/>
      <c r="O56" s="63"/>
      <c r="P56" s="196"/>
      <c r="Q56" s="37"/>
      <c r="R56" s="93" t="s">
        <v>467</v>
      </c>
      <c r="S56" s="13" t="str">
        <f ca="1">IF(ISBLANK(Table2[[#This Row],[Complete corrective actions (Approved Date)]]), TODAY()-Table2[[#This Row],[CAR initialized date]], "CLOSED")</f>
        <v>CLOSED</v>
      </c>
    </row>
    <row r="57" spans="1:19" s="4" customFormat="1" ht="36" customHeight="1" x14ac:dyDescent="0.25">
      <c r="A57" s="9" t="s">
        <v>58</v>
      </c>
      <c r="B57" s="13">
        <f>VLOOKUP(Table2[[#This Row],[Location 
(drop-down)]],'List source'!D$2:E$71,2,FALSE)</f>
        <v>146</v>
      </c>
      <c r="C57" s="11" t="s">
        <v>166</v>
      </c>
      <c r="D57" s="212" t="str">
        <f t="shared" si="0"/>
        <v>C055-146-25</v>
      </c>
      <c r="E57" s="11" t="s">
        <v>519</v>
      </c>
      <c r="F57" s="11" t="s">
        <v>41</v>
      </c>
      <c r="G57" s="9" t="s">
        <v>523</v>
      </c>
      <c r="H57" s="10" t="s">
        <v>455</v>
      </c>
      <c r="I57" s="20" t="s">
        <v>48</v>
      </c>
      <c r="J57" s="166">
        <v>45694</v>
      </c>
      <c r="K57" s="166"/>
      <c r="L57" s="166"/>
      <c r="M57" s="63">
        <v>45741</v>
      </c>
      <c r="N57" s="166"/>
      <c r="O57" s="63"/>
      <c r="P57" s="196"/>
      <c r="Q57" s="37"/>
      <c r="R57" s="93" t="s">
        <v>467</v>
      </c>
      <c r="S57" s="13" t="str">
        <f ca="1">IF(ISBLANK(Table2[[#This Row],[Complete corrective actions (Approved Date)]]), TODAY()-Table2[[#This Row],[CAR initialized date]], "CLOSED")</f>
        <v>CLOSED</v>
      </c>
    </row>
    <row r="58" spans="1:19" s="4" customFormat="1" ht="36" customHeight="1" x14ac:dyDescent="0.25">
      <c r="A58" s="9" t="s">
        <v>64</v>
      </c>
      <c r="B58" s="13">
        <f>VLOOKUP(Table2[[#This Row],[Location 
(drop-down)]],'List source'!D$2:E$71,2,FALSE)</f>
        <v>111</v>
      </c>
      <c r="C58" s="11" t="s">
        <v>171</v>
      </c>
      <c r="D58" s="212" t="str">
        <f t="shared" si="0"/>
        <v>C056-111-25</v>
      </c>
      <c r="E58" s="11" t="s">
        <v>472</v>
      </c>
      <c r="F58" s="11"/>
      <c r="G58" s="9" t="s">
        <v>524</v>
      </c>
      <c r="H58" s="10" t="s">
        <v>455</v>
      </c>
      <c r="I58" s="20" t="s">
        <v>48</v>
      </c>
      <c r="J58" s="166">
        <v>45705</v>
      </c>
      <c r="K58" s="166"/>
      <c r="L58" s="166"/>
      <c r="M58" s="63"/>
      <c r="N58" s="166"/>
      <c r="O58" s="63"/>
      <c r="P58" s="196"/>
      <c r="Q58" s="37"/>
      <c r="R58" s="93"/>
      <c r="S58" s="13">
        <f ca="1">IF(ISBLANK(Table2[[#This Row],[Complete corrective actions (Approved Date)]]), TODAY()-Table2[[#This Row],[CAR initialized date]], "CLOSED")</f>
        <v>372</v>
      </c>
    </row>
    <row r="59" spans="1:19" s="4" customFormat="1" ht="36" customHeight="1" x14ac:dyDescent="0.25">
      <c r="A59" s="9" t="s">
        <v>64</v>
      </c>
      <c r="B59" s="13">
        <f>VLOOKUP(Table2[[#This Row],[Location 
(drop-down)]],'List source'!D$2:E$71,2,FALSE)</f>
        <v>111</v>
      </c>
      <c r="C59" s="11" t="s">
        <v>173</v>
      </c>
      <c r="D59" s="212" t="str">
        <f t="shared" si="0"/>
        <v>C057-111-25</v>
      </c>
      <c r="E59" s="11" t="s">
        <v>472</v>
      </c>
      <c r="F59" s="11"/>
      <c r="G59" s="9" t="s">
        <v>525</v>
      </c>
      <c r="H59" s="10" t="s">
        <v>455</v>
      </c>
      <c r="I59" s="20" t="s">
        <v>48</v>
      </c>
      <c r="J59" s="166">
        <v>45705</v>
      </c>
      <c r="K59" s="166"/>
      <c r="L59" s="166"/>
      <c r="M59" s="63"/>
      <c r="N59" s="166"/>
      <c r="O59" s="63"/>
      <c r="P59" s="196"/>
      <c r="Q59" s="37"/>
      <c r="R59" s="93"/>
      <c r="S59" s="13">
        <f ca="1">IF(ISBLANK(Table2[[#This Row],[Complete corrective actions (Approved Date)]]), TODAY()-Table2[[#This Row],[CAR initialized date]], "CLOSED")</f>
        <v>372</v>
      </c>
    </row>
    <row r="60" spans="1:19" s="4" customFormat="1" ht="36" customHeight="1" x14ac:dyDescent="0.25">
      <c r="A60" s="9" t="s">
        <v>44</v>
      </c>
      <c r="B60" s="13">
        <f>VLOOKUP(Table2[[#This Row],[Location 
(drop-down)]],'List source'!D$2:E$71,2,FALSE)</f>
        <v>185</v>
      </c>
      <c r="C60" s="11" t="s">
        <v>176</v>
      </c>
      <c r="D60" s="212" t="str">
        <f t="shared" si="0"/>
        <v>C058-185-25</v>
      </c>
      <c r="E60" s="11" t="s">
        <v>472</v>
      </c>
      <c r="F60" s="11"/>
      <c r="G60" s="9" t="s">
        <v>526</v>
      </c>
      <c r="H60" s="10" t="s">
        <v>455</v>
      </c>
      <c r="I60" s="20" t="s">
        <v>27</v>
      </c>
      <c r="J60" s="166">
        <v>45706</v>
      </c>
      <c r="K60" s="166"/>
      <c r="L60" s="166"/>
      <c r="M60" s="63">
        <v>45782</v>
      </c>
      <c r="N60" s="166"/>
      <c r="O60" s="63"/>
      <c r="P60" s="196"/>
      <c r="Q60" s="37"/>
      <c r="R60" s="93" t="s">
        <v>484</v>
      </c>
      <c r="S60" s="13" t="str">
        <f ca="1">IF(ISBLANK(Table2[[#This Row],[Complete corrective actions (Approved Date)]]), TODAY()-Table2[[#This Row],[CAR initialized date]], "CLOSED")</f>
        <v>CLOSED</v>
      </c>
    </row>
    <row r="61" spans="1:19" s="4" customFormat="1" ht="36" customHeight="1" x14ac:dyDescent="0.25">
      <c r="A61" s="9" t="s">
        <v>44</v>
      </c>
      <c r="B61" s="13">
        <f>VLOOKUP(Table2[[#This Row],[Location 
(drop-down)]],'List source'!D$2:E$71,2,FALSE)</f>
        <v>185</v>
      </c>
      <c r="C61" s="11" t="s">
        <v>178</v>
      </c>
      <c r="D61" s="212" t="str">
        <f t="shared" si="0"/>
        <v>C059-185-25</v>
      </c>
      <c r="E61" s="11" t="s">
        <v>472</v>
      </c>
      <c r="F61" s="11"/>
      <c r="G61" s="9" t="s">
        <v>527</v>
      </c>
      <c r="H61" s="10" t="s">
        <v>455</v>
      </c>
      <c r="I61" s="20" t="s">
        <v>27</v>
      </c>
      <c r="J61" s="166">
        <v>45706</v>
      </c>
      <c r="K61" s="166"/>
      <c r="L61" s="166"/>
      <c r="M61" s="63">
        <v>45796</v>
      </c>
      <c r="N61" s="166"/>
      <c r="O61" s="63"/>
      <c r="P61" s="196"/>
      <c r="Q61" s="37"/>
      <c r="R61" s="93" t="s">
        <v>484</v>
      </c>
      <c r="S61" s="13" t="str">
        <f ca="1">IF(ISBLANK(Table2[[#This Row],[Complete corrective actions (Approved Date)]]), TODAY()-Table2[[#This Row],[CAR initialized date]], "CLOSED")</f>
        <v>CLOSED</v>
      </c>
    </row>
    <row r="62" spans="1:19" s="4" customFormat="1" ht="36" customHeight="1" x14ac:dyDescent="0.25">
      <c r="A62" s="9" t="s">
        <v>44</v>
      </c>
      <c r="B62" s="13">
        <f>VLOOKUP(Table2[[#This Row],[Location 
(drop-down)]],'List source'!D$2:E$71,2,FALSE)</f>
        <v>185</v>
      </c>
      <c r="C62" s="11" t="s">
        <v>180</v>
      </c>
      <c r="D62" s="212" t="str">
        <f t="shared" si="0"/>
        <v>C060-185-25</v>
      </c>
      <c r="E62" s="11" t="s">
        <v>472</v>
      </c>
      <c r="F62" s="11"/>
      <c r="G62" s="9" t="s">
        <v>528</v>
      </c>
      <c r="H62" s="10" t="s">
        <v>455</v>
      </c>
      <c r="I62" s="20" t="s">
        <v>27</v>
      </c>
      <c r="J62" s="166">
        <v>45706</v>
      </c>
      <c r="K62" s="166"/>
      <c r="L62" s="166"/>
      <c r="M62" s="63">
        <v>45785</v>
      </c>
      <c r="N62" s="166"/>
      <c r="O62" s="63"/>
      <c r="P62" s="196"/>
      <c r="Q62" s="37"/>
      <c r="R62" s="93" t="s">
        <v>484</v>
      </c>
      <c r="S62" s="13" t="str">
        <f ca="1">IF(ISBLANK(Table2[[#This Row],[Complete corrective actions (Approved Date)]]), TODAY()-Table2[[#This Row],[CAR initialized date]], "CLOSED")</f>
        <v>CLOSED</v>
      </c>
    </row>
    <row r="63" spans="1:19" s="4" customFormat="1" ht="36" customHeight="1" x14ac:dyDescent="0.25">
      <c r="A63" s="9" t="s">
        <v>44</v>
      </c>
      <c r="B63" s="13">
        <f>VLOOKUP(Table2[[#This Row],[Location 
(drop-down)]],'List source'!D$2:E$71,2,FALSE)</f>
        <v>185</v>
      </c>
      <c r="C63" s="11" t="s">
        <v>183</v>
      </c>
      <c r="D63" s="212" t="str">
        <f t="shared" si="0"/>
        <v>C061-185-25</v>
      </c>
      <c r="E63" s="11" t="s">
        <v>472</v>
      </c>
      <c r="F63" s="11"/>
      <c r="G63" s="9" t="s">
        <v>529</v>
      </c>
      <c r="H63" s="10" t="s">
        <v>455</v>
      </c>
      <c r="I63" s="20" t="s">
        <v>27</v>
      </c>
      <c r="J63" s="166">
        <v>45706</v>
      </c>
      <c r="K63" s="166"/>
      <c r="L63" s="166"/>
      <c r="M63" s="63">
        <v>45807</v>
      </c>
      <c r="N63" s="166"/>
      <c r="O63" s="63"/>
      <c r="P63" s="196"/>
      <c r="Q63" s="37"/>
      <c r="R63" s="93" t="s">
        <v>530</v>
      </c>
      <c r="S63" s="13" t="str">
        <f ca="1">IF(ISBLANK(Table2[[#This Row],[Complete corrective actions (Approved Date)]]), TODAY()-Table2[[#This Row],[CAR initialized date]], "CLOSED")</f>
        <v>CLOSED</v>
      </c>
    </row>
    <row r="64" spans="1:19" s="4" customFormat="1" ht="36" customHeight="1" x14ac:dyDescent="0.25">
      <c r="A64" s="9" t="s">
        <v>44</v>
      </c>
      <c r="B64" s="13">
        <f>VLOOKUP(Table2[[#This Row],[Location 
(drop-down)]],'List source'!D$2:E$71,2,FALSE)</f>
        <v>185</v>
      </c>
      <c r="C64" s="11" t="s">
        <v>187</v>
      </c>
      <c r="D64" s="212" t="str">
        <f t="shared" si="0"/>
        <v>C062-185-25</v>
      </c>
      <c r="E64" s="11" t="s">
        <v>472</v>
      </c>
      <c r="F64" s="11"/>
      <c r="G64" s="9" t="s">
        <v>531</v>
      </c>
      <c r="H64" s="10" t="s">
        <v>455</v>
      </c>
      <c r="I64" s="20" t="s">
        <v>27</v>
      </c>
      <c r="J64" s="166">
        <v>45706</v>
      </c>
      <c r="K64" s="166"/>
      <c r="L64" s="166"/>
      <c r="M64" s="63">
        <v>45817</v>
      </c>
      <c r="N64" s="166"/>
      <c r="O64" s="63"/>
      <c r="P64" s="196"/>
      <c r="Q64" s="37"/>
      <c r="R64" s="93" t="s">
        <v>467</v>
      </c>
      <c r="S64" s="13" t="str">
        <f ca="1">IF(ISBLANK(Table2[[#This Row],[Complete corrective actions (Approved Date)]]), TODAY()-Table2[[#This Row],[CAR initialized date]], "CLOSED")</f>
        <v>CLOSED</v>
      </c>
    </row>
    <row r="65" spans="1:19" s="4" customFormat="1" ht="36" customHeight="1" x14ac:dyDescent="0.25">
      <c r="A65" s="9" t="s">
        <v>44</v>
      </c>
      <c r="B65" s="13">
        <f>VLOOKUP(Table2[[#This Row],[Location 
(drop-down)]],'List source'!D$2:E$71,2,FALSE)</f>
        <v>185</v>
      </c>
      <c r="C65" s="11" t="s">
        <v>188</v>
      </c>
      <c r="D65" s="212" t="str">
        <f t="shared" si="0"/>
        <v>C063-185-25</v>
      </c>
      <c r="E65" s="11" t="s">
        <v>472</v>
      </c>
      <c r="F65" s="11"/>
      <c r="G65" s="9" t="s">
        <v>532</v>
      </c>
      <c r="H65" s="10" t="s">
        <v>455</v>
      </c>
      <c r="I65" s="20" t="s">
        <v>27</v>
      </c>
      <c r="J65" s="166">
        <v>45706</v>
      </c>
      <c r="K65" s="166"/>
      <c r="L65" s="166"/>
      <c r="M65" s="63">
        <v>45818</v>
      </c>
      <c r="N65" s="166"/>
      <c r="O65" s="63"/>
      <c r="P65" s="196"/>
      <c r="Q65" s="37"/>
      <c r="R65" s="93"/>
      <c r="S65" s="13" t="str">
        <f ca="1">IF(ISBLANK(Table2[[#This Row],[Complete corrective actions (Approved Date)]]), TODAY()-Table2[[#This Row],[CAR initialized date]], "CLOSED")</f>
        <v>CLOSED</v>
      </c>
    </row>
    <row r="66" spans="1:19" s="4" customFormat="1" ht="36" customHeight="1" x14ac:dyDescent="0.25">
      <c r="A66" s="9" t="s">
        <v>44</v>
      </c>
      <c r="B66" s="13">
        <f>VLOOKUP(Table2[[#This Row],[Location 
(drop-down)]],'List source'!D$2:E$71,2,FALSE)</f>
        <v>185</v>
      </c>
      <c r="C66" s="11" t="s">
        <v>192</v>
      </c>
      <c r="D66" s="212" t="str">
        <f t="shared" ref="D66:D129" si="1">"C" &amp; C66 &amp;"-" &amp; B66 &amp; "-" &amp; "25"</f>
        <v>C064-185-25</v>
      </c>
      <c r="E66" s="11" t="s">
        <v>472</v>
      </c>
      <c r="F66" s="11"/>
      <c r="G66" s="9" t="s">
        <v>533</v>
      </c>
      <c r="H66" s="10" t="s">
        <v>455</v>
      </c>
      <c r="I66" s="20" t="s">
        <v>27</v>
      </c>
      <c r="J66" s="166">
        <v>45706</v>
      </c>
      <c r="K66" s="166"/>
      <c r="L66" s="166"/>
      <c r="M66" s="63">
        <v>45856</v>
      </c>
      <c r="N66" s="166"/>
      <c r="O66" s="63"/>
      <c r="P66" s="196"/>
      <c r="Q66" s="37"/>
      <c r="R66" s="93"/>
      <c r="S66" s="13" t="str">
        <f ca="1">IF(ISBLANK(Table2[[#This Row],[Complete corrective actions (Approved Date)]]), TODAY()-Table2[[#This Row],[CAR initialized date]], "CLOSED")</f>
        <v>CLOSED</v>
      </c>
    </row>
    <row r="67" spans="1:19" s="4" customFormat="1" ht="36" customHeight="1" x14ac:dyDescent="0.25">
      <c r="A67" s="9" t="s">
        <v>46</v>
      </c>
      <c r="B67" s="13">
        <f>VLOOKUP(Table2[[#This Row],[Location 
(drop-down)]],'List source'!D$2:E$71,2,FALSE)</f>
        <v>155</v>
      </c>
      <c r="C67" s="11" t="s">
        <v>196</v>
      </c>
      <c r="D67" s="212" t="str">
        <f t="shared" si="1"/>
        <v>C065-155-25</v>
      </c>
      <c r="E67" s="11" t="s">
        <v>472</v>
      </c>
      <c r="F67" s="11"/>
      <c r="G67" s="9" t="s">
        <v>525</v>
      </c>
      <c r="H67" s="10" t="s">
        <v>494</v>
      </c>
      <c r="I67" s="20" t="s">
        <v>48</v>
      </c>
      <c r="J67" s="166">
        <v>45706</v>
      </c>
      <c r="K67" s="166"/>
      <c r="L67" s="166"/>
      <c r="M67" s="63">
        <v>45769</v>
      </c>
      <c r="N67" s="166"/>
      <c r="O67" s="63"/>
      <c r="P67" s="196"/>
      <c r="Q67" s="37"/>
      <c r="R67" s="93" t="s">
        <v>530</v>
      </c>
      <c r="S67" s="13" t="str">
        <f ca="1">IF(ISBLANK(Table2[[#This Row],[Complete corrective actions (Approved Date)]]), TODAY()-Table2[[#This Row],[CAR initialized date]], "CLOSED")</f>
        <v>CLOSED</v>
      </c>
    </row>
    <row r="68" spans="1:19" s="4" customFormat="1" ht="36" customHeight="1" x14ac:dyDescent="0.25">
      <c r="A68" s="9" t="s">
        <v>46</v>
      </c>
      <c r="B68" s="13">
        <f>VLOOKUP(Table2[[#This Row],[Location 
(drop-down)]],'List source'!D$2:E$71,2,FALSE)</f>
        <v>155</v>
      </c>
      <c r="C68" s="11" t="s">
        <v>198</v>
      </c>
      <c r="D68" s="212" t="str">
        <f t="shared" si="1"/>
        <v>C066-155-25</v>
      </c>
      <c r="E68" s="11" t="s">
        <v>472</v>
      </c>
      <c r="F68" s="11"/>
      <c r="G68" s="90" t="s">
        <v>534</v>
      </c>
      <c r="H68" s="10" t="s">
        <v>458</v>
      </c>
      <c r="I68" s="20" t="s">
        <v>48</v>
      </c>
      <c r="J68" s="166">
        <v>45706</v>
      </c>
      <c r="K68" s="166"/>
      <c r="L68" s="166"/>
      <c r="M68" s="63">
        <v>45754</v>
      </c>
      <c r="N68" s="166"/>
      <c r="O68" s="63"/>
      <c r="P68" s="196"/>
      <c r="Q68" s="37"/>
      <c r="R68" s="93" t="s">
        <v>467</v>
      </c>
      <c r="S68" s="13" t="str">
        <f ca="1">IF(ISBLANK(Table2[[#This Row],[Complete corrective actions (Approved Date)]]), TODAY()-Table2[[#This Row],[CAR initialized date]], "CLOSED")</f>
        <v>CLOSED</v>
      </c>
    </row>
    <row r="69" spans="1:19" s="4" customFormat="1" ht="36" customHeight="1" x14ac:dyDescent="0.25">
      <c r="A69" s="9" t="s">
        <v>46</v>
      </c>
      <c r="B69" s="13">
        <f>VLOOKUP(Table2[[#This Row],[Location 
(drop-down)]],'List source'!D$2:E$71,2,FALSE)</f>
        <v>155</v>
      </c>
      <c r="C69" s="11" t="s">
        <v>199</v>
      </c>
      <c r="D69" s="212" t="str">
        <f t="shared" si="1"/>
        <v>C067-155-25</v>
      </c>
      <c r="E69" s="11" t="s">
        <v>472</v>
      </c>
      <c r="F69" s="11"/>
      <c r="G69" s="9" t="s">
        <v>535</v>
      </c>
      <c r="H69" s="10" t="s">
        <v>455</v>
      </c>
      <c r="I69" s="20" t="s">
        <v>48</v>
      </c>
      <c r="J69" s="166">
        <v>45706</v>
      </c>
      <c r="K69" s="166"/>
      <c r="L69" s="166"/>
      <c r="M69" s="63">
        <v>45800</v>
      </c>
      <c r="N69" s="166"/>
      <c r="O69" s="63"/>
      <c r="P69" s="188"/>
      <c r="Q69" s="37"/>
      <c r="R69" s="93" t="s">
        <v>484</v>
      </c>
      <c r="S69" s="13" t="str">
        <f ca="1">IF(ISBLANK(Table2[[#This Row],[Complete corrective actions (Approved Date)]]), TODAY()-Table2[[#This Row],[CAR initialized date]], "CLOSED")</f>
        <v>CLOSED</v>
      </c>
    </row>
    <row r="70" spans="1:19" s="4" customFormat="1" ht="36" customHeight="1" x14ac:dyDescent="0.25">
      <c r="A70" s="9" t="s">
        <v>46</v>
      </c>
      <c r="B70" s="13">
        <f>VLOOKUP(Table2[[#This Row],[Location 
(drop-down)]],'List source'!D$2:E$71,2,FALSE)</f>
        <v>155</v>
      </c>
      <c r="C70" s="11" t="s">
        <v>200</v>
      </c>
      <c r="D70" s="212" t="str">
        <f t="shared" si="1"/>
        <v>C068-155-25</v>
      </c>
      <c r="E70" s="11" t="s">
        <v>472</v>
      </c>
      <c r="F70" s="11"/>
      <c r="G70" s="76" t="s">
        <v>536</v>
      </c>
      <c r="H70" s="10" t="s">
        <v>455</v>
      </c>
      <c r="I70" s="20" t="s">
        <v>48</v>
      </c>
      <c r="J70" s="166">
        <v>45706</v>
      </c>
      <c r="K70" s="166"/>
      <c r="L70" s="166"/>
      <c r="M70" s="63">
        <v>45807</v>
      </c>
      <c r="N70" s="166"/>
      <c r="O70" s="63"/>
      <c r="P70" s="196"/>
      <c r="Q70" s="37"/>
      <c r="R70" s="93" t="s">
        <v>484</v>
      </c>
      <c r="S70" s="13" t="str">
        <f ca="1">IF(ISBLANK(Table2[[#This Row],[Complete corrective actions (Approved Date)]]), TODAY()-Table2[[#This Row],[CAR initialized date]], "CLOSED")</f>
        <v>CLOSED</v>
      </c>
    </row>
    <row r="71" spans="1:19" s="4" customFormat="1" ht="36" customHeight="1" x14ac:dyDescent="0.25">
      <c r="A71" s="9" t="s">
        <v>46</v>
      </c>
      <c r="B71" s="13">
        <f>VLOOKUP(Table2[[#This Row],[Location 
(drop-down)]],'List source'!D$2:E$71,2,FALSE)</f>
        <v>155</v>
      </c>
      <c r="C71" s="11" t="s">
        <v>204</v>
      </c>
      <c r="D71" s="212" t="str">
        <f t="shared" si="1"/>
        <v>C069-155-25</v>
      </c>
      <c r="E71" s="11" t="s">
        <v>472</v>
      </c>
      <c r="F71" s="10"/>
      <c r="G71" s="9" t="s">
        <v>537</v>
      </c>
      <c r="H71" s="10" t="s">
        <v>455</v>
      </c>
      <c r="I71" s="20" t="s">
        <v>48</v>
      </c>
      <c r="J71" s="166">
        <v>45706</v>
      </c>
      <c r="K71" s="166"/>
      <c r="L71" s="166"/>
      <c r="M71" s="63"/>
      <c r="N71" s="166"/>
      <c r="O71" s="63"/>
      <c r="P71" s="196"/>
      <c r="Q71" s="37"/>
      <c r="R71" s="93"/>
      <c r="S71" s="13">
        <f ca="1">IF(ISBLANK(Table2[[#This Row],[Complete corrective actions (Approved Date)]]), TODAY()-Table2[[#This Row],[CAR initialized date]], "CLOSED")</f>
        <v>371</v>
      </c>
    </row>
    <row r="72" spans="1:19" s="4" customFormat="1" ht="36" customHeight="1" x14ac:dyDescent="0.25">
      <c r="A72" s="9" t="s">
        <v>46</v>
      </c>
      <c r="B72" s="13">
        <f>VLOOKUP(Table2[[#This Row],[Location 
(drop-down)]],'List source'!D$2:E$71,2,FALSE)</f>
        <v>155</v>
      </c>
      <c r="C72" s="11" t="s">
        <v>205</v>
      </c>
      <c r="D72" s="212" t="str">
        <f t="shared" si="1"/>
        <v>C070-155-25</v>
      </c>
      <c r="E72" s="11" t="s">
        <v>472</v>
      </c>
      <c r="F72" s="10"/>
      <c r="G72" s="9" t="s">
        <v>538</v>
      </c>
      <c r="H72" s="10" t="s">
        <v>455</v>
      </c>
      <c r="I72" s="20" t="s">
        <v>48</v>
      </c>
      <c r="J72" s="166">
        <v>45706</v>
      </c>
      <c r="K72" s="166"/>
      <c r="L72" s="166"/>
      <c r="M72" s="63">
        <v>45725</v>
      </c>
      <c r="N72" s="166"/>
      <c r="O72" s="63"/>
      <c r="P72" s="196"/>
      <c r="Q72" s="37"/>
      <c r="R72" s="93" t="s">
        <v>467</v>
      </c>
      <c r="S72" s="13" t="str">
        <f ca="1">IF(ISBLANK(Table2[[#This Row],[Complete corrective actions (Approved Date)]]), TODAY()-Table2[[#This Row],[CAR initialized date]], "CLOSED")</f>
        <v>CLOSED</v>
      </c>
    </row>
    <row r="73" spans="1:19" s="4" customFormat="1" ht="36" customHeight="1" x14ac:dyDescent="0.25">
      <c r="A73" s="9" t="s">
        <v>46</v>
      </c>
      <c r="B73" s="13">
        <f>VLOOKUP(Table2[[#This Row],[Location 
(drop-down)]],'List source'!D$2:E$71,2,FALSE)</f>
        <v>155</v>
      </c>
      <c r="C73" s="11" t="s">
        <v>207</v>
      </c>
      <c r="D73" s="212" t="str">
        <f t="shared" si="1"/>
        <v>C071-155-25</v>
      </c>
      <c r="E73" s="11" t="s">
        <v>472</v>
      </c>
      <c r="F73" s="11"/>
      <c r="G73" s="9" t="s">
        <v>539</v>
      </c>
      <c r="H73" s="10" t="s">
        <v>455</v>
      </c>
      <c r="I73" s="20" t="s">
        <v>48</v>
      </c>
      <c r="J73" s="166">
        <v>45706</v>
      </c>
      <c r="K73" s="166"/>
      <c r="L73" s="166"/>
      <c r="M73" s="63">
        <v>45868</v>
      </c>
      <c r="N73" s="166"/>
      <c r="O73" s="63"/>
      <c r="P73" s="196"/>
      <c r="Q73" s="37"/>
      <c r="R73" s="93" t="s">
        <v>467</v>
      </c>
      <c r="S73" s="13" t="str">
        <f ca="1">IF(ISBLANK(Table2[[#This Row],[Complete corrective actions (Approved Date)]]), TODAY()-Table2[[#This Row],[CAR initialized date]], "CLOSED")</f>
        <v>CLOSED</v>
      </c>
    </row>
    <row r="74" spans="1:19" s="4" customFormat="1" ht="36" customHeight="1" x14ac:dyDescent="0.25">
      <c r="A74" s="9" t="s">
        <v>46</v>
      </c>
      <c r="B74" s="13">
        <f>VLOOKUP(Table2[[#This Row],[Location 
(drop-down)]],'List source'!D$2:E$71,2,FALSE)</f>
        <v>155</v>
      </c>
      <c r="C74" s="11" t="s">
        <v>209</v>
      </c>
      <c r="D74" s="212" t="str">
        <f t="shared" si="1"/>
        <v>C072-155-25</v>
      </c>
      <c r="E74" s="11" t="s">
        <v>472</v>
      </c>
      <c r="F74" s="11"/>
      <c r="G74" s="9" t="s">
        <v>540</v>
      </c>
      <c r="H74" s="10" t="s">
        <v>455</v>
      </c>
      <c r="I74" s="20" t="s">
        <v>48</v>
      </c>
      <c r="J74" s="166">
        <v>45706</v>
      </c>
      <c r="K74" s="166"/>
      <c r="L74" s="166"/>
      <c r="M74" s="63">
        <v>45838</v>
      </c>
      <c r="N74" s="166"/>
      <c r="O74" s="63"/>
      <c r="P74" s="196"/>
      <c r="Q74" s="37"/>
      <c r="R74" s="93" t="s">
        <v>467</v>
      </c>
      <c r="S74" s="13" t="str">
        <f ca="1">IF(ISBLANK(Table2[[#This Row],[Complete corrective actions (Approved Date)]]), TODAY()-Table2[[#This Row],[CAR initialized date]], "CLOSED")</f>
        <v>CLOSED</v>
      </c>
    </row>
    <row r="75" spans="1:19" s="4" customFormat="1" ht="36" customHeight="1" x14ac:dyDescent="0.25">
      <c r="A75" s="9" t="s">
        <v>46</v>
      </c>
      <c r="B75" s="13">
        <f>VLOOKUP(Table2[[#This Row],[Location 
(drop-down)]],'List source'!D$2:E$71,2,FALSE)</f>
        <v>155</v>
      </c>
      <c r="C75" s="11" t="s">
        <v>212</v>
      </c>
      <c r="D75" s="212" t="str">
        <f t="shared" si="1"/>
        <v>C073-155-25</v>
      </c>
      <c r="E75" s="11" t="s">
        <v>472</v>
      </c>
      <c r="F75" s="11"/>
      <c r="G75" s="78" t="s">
        <v>541</v>
      </c>
      <c r="H75" s="10" t="s">
        <v>455</v>
      </c>
      <c r="I75" s="20" t="s">
        <v>48</v>
      </c>
      <c r="J75" s="166">
        <v>45706</v>
      </c>
      <c r="K75" s="166"/>
      <c r="L75" s="166"/>
      <c r="M75" s="63">
        <v>45807</v>
      </c>
      <c r="N75" s="166"/>
      <c r="O75" s="63"/>
      <c r="P75" s="196"/>
      <c r="Q75" s="37"/>
      <c r="R75" s="93" t="s">
        <v>467</v>
      </c>
      <c r="S75" s="13" t="str">
        <f ca="1">IF(ISBLANK(Table2[[#This Row],[Complete corrective actions (Approved Date)]]), TODAY()-Table2[[#This Row],[CAR initialized date]], "CLOSED")</f>
        <v>CLOSED</v>
      </c>
    </row>
    <row r="76" spans="1:19" s="4" customFormat="1" ht="36" customHeight="1" x14ac:dyDescent="0.25">
      <c r="A76" s="9" t="s">
        <v>46</v>
      </c>
      <c r="B76" s="13">
        <f>VLOOKUP(Table2[[#This Row],[Location 
(drop-down)]],'List source'!D$2:E$71,2,FALSE)</f>
        <v>155</v>
      </c>
      <c r="C76" s="11" t="s">
        <v>213</v>
      </c>
      <c r="D76" s="212" t="str">
        <f t="shared" si="1"/>
        <v>C074-155-25</v>
      </c>
      <c r="E76" s="11" t="s">
        <v>472</v>
      </c>
      <c r="F76" s="11"/>
      <c r="G76" s="9" t="s">
        <v>542</v>
      </c>
      <c r="H76" s="10" t="s">
        <v>455</v>
      </c>
      <c r="I76" s="20" t="s">
        <v>48</v>
      </c>
      <c r="J76" s="166">
        <v>45706</v>
      </c>
      <c r="K76" s="166"/>
      <c r="L76" s="166"/>
      <c r="M76" s="63">
        <v>45800</v>
      </c>
      <c r="N76" s="166"/>
      <c r="O76" s="63"/>
      <c r="P76" s="196"/>
      <c r="Q76" s="37"/>
      <c r="R76" s="93" t="s">
        <v>467</v>
      </c>
      <c r="S76" s="13" t="str">
        <f ca="1">IF(ISBLANK(Table2[[#This Row],[Complete corrective actions (Approved Date)]]), TODAY()-Table2[[#This Row],[CAR initialized date]], "CLOSED")</f>
        <v>CLOSED</v>
      </c>
    </row>
    <row r="77" spans="1:19" s="4" customFormat="1" ht="36" customHeight="1" x14ac:dyDescent="0.25">
      <c r="A77" s="9" t="s">
        <v>46</v>
      </c>
      <c r="B77" s="13">
        <f>VLOOKUP(Table2[[#This Row],[Location 
(drop-down)]],'List source'!D$2:E$71,2,FALSE)</f>
        <v>155</v>
      </c>
      <c r="C77" s="11" t="s">
        <v>214</v>
      </c>
      <c r="D77" s="212" t="str">
        <f t="shared" si="1"/>
        <v>C075-155-25</v>
      </c>
      <c r="E77" s="11" t="s">
        <v>472</v>
      </c>
      <c r="F77" s="11"/>
      <c r="G77" s="78" t="s">
        <v>543</v>
      </c>
      <c r="H77" s="10" t="s">
        <v>455</v>
      </c>
      <c r="I77" s="20" t="s">
        <v>48</v>
      </c>
      <c r="J77" s="166">
        <v>45706</v>
      </c>
      <c r="K77" s="166"/>
      <c r="L77" s="166"/>
      <c r="M77" s="63">
        <v>45958</v>
      </c>
      <c r="N77" s="166"/>
      <c r="O77" s="63"/>
      <c r="P77" s="196"/>
      <c r="Q77" s="37"/>
      <c r="R77" s="93" t="s">
        <v>467</v>
      </c>
      <c r="S77" s="13" t="str">
        <f ca="1">IF(ISBLANK(Table2[[#This Row],[Complete corrective actions (Approved Date)]]), TODAY()-Table2[[#This Row],[CAR initialized date]], "CLOSED")</f>
        <v>CLOSED</v>
      </c>
    </row>
    <row r="78" spans="1:19" s="4" customFormat="1" ht="36" customHeight="1" x14ac:dyDescent="0.25">
      <c r="A78" s="9" t="s">
        <v>46</v>
      </c>
      <c r="B78" s="13">
        <f>VLOOKUP(Table2[[#This Row],[Location 
(drop-down)]],'List source'!D$2:E$71,2,FALSE)</f>
        <v>155</v>
      </c>
      <c r="C78" s="11" t="s">
        <v>215</v>
      </c>
      <c r="D78" s="212" t="str">
        <f t="shared" si="1"/>
        <v>C076-155-25</v>
      </c>
      <c r="E78" s="11" t="s">
        <v>472</v>
      </c>
      <c r="F78" s="11"/>
      <c r="G78" s="78" t="s">
        <v>544</v>
      </c>
      <c r="H78" s="10" t="s">
        <v>455</v>
      </c>
      <c r="I78" s="20" t="s">
        <v>48</v>
      </c>
      <c r="J78" s="166">
        <v>45706</v>
      </c>
      <c r="K78" s="166"/>
      <c r="L78" s="166"/>
      <c r="M78" s="63">
        <v>45838</v>
      </c>
      <c r="N78" s="166"/>
      <c r="O78" s="63"/>
      <c r="P78" s="196"/>
      <c r="Q78" s="250"/>
      <c r="R78" s="93" t="s">
        <v>467</v>
      </c>
      <c r="S78" s="13" t="str">
        <f ca="1">IF(ISBLANK(Table2[[#This Row],[Complete corrective actions (Approved Date)]]), TODAY()-Table2[[#This Row],[CAR initialized date]], "CLOSED")</f>
        <v>CLOSED</v>
      </c>
    </row>
    <row r="79" spans="1:19" s="4" customFormat="1" ht="36" customHeight="1" x14ac:dyDescent="0.25">
      <c r="A79" s="9" t="s">
        <v>46</v>
      </c>
      <c r="B79" s="13">
        <f>VLOOKUP(Table2[[#This Row],[Location 
(drop-down)]],'List source'!D$2:E$71,2,FALSE)</f>
        <v>155</v>
      </c>
      <c r="C79" s="11" t="s">
        <v>219</v>
      </c>
      <c r="D79" s="212" t="str">
        <f t="shared" si="1"/>
        <v>C077-155-25</v>
      </c>
      <c r="E79" s="11" t="s">
        <v>472</v>
      </c>
      <c r="F79" s="11"/>
      <c r="G79" s="78" t="s">
        <v>545</v>
      </c>
      <c r="H79" s="10" t="s">
        <v>455</v>
      </c>
      <c r="I79" s="20" t="s">
        <v>48</v>
      </c>
      <c r="J79" s="166">
        <v>45706</v>
      </c>
      <c r="K79" s="166"/>
      <c r="L79" s="166"/>
      <c r="M79" s="63">
        <v>45951</v>
      </c>
      <c r="N79" s="166"/>
      <c r="O79" s="63"/>
      <c r="P79" s="196"/>
      <c r="Q79" s="250"/>
      <c r="R79" s="93"/>
      <c r="S79" s="13" t="str">
        <f ca="1">IF(ISBLANK(Table2[[#This Row],[Complete corrective actions (Approved Date)]]), TODAY()-Table2[[#This Row],[CAR initialized date]], "CLOSED")</f>
        <v>CLOSED</v>
      </c>
    </row>
    <row r="80" spans="1:19" s="4" customFormat="1" ht="36" customHeight="1" x14ac:dyDescent="0.25">
      <c r="A80" s="9" t="s">
        <v>46</v>
      </c>
      <c r="B80" s="13">
        <f>VLOOKUP(Table2[[#This Row],[Location 
(drop-down)]],'List source'!D$2:E$71,2,FALSE)</f>
        <v>155</v>
      </c>
      <c r="C80" s="11" t="s">
        <v>221</v>
      </c>
      <c r="D80" s="212" t="str">
        <f t="shared" si="1"/>
        <v>C078-155-25</v>
      </c>
      <c r="E80" s="11" t="s">
        <v>472</v>
      </c>
      <c r="F80" s="11"/>
      <c r="G80" s="78" t="s">
        <v>546</v>
      </c>
      <c r="H80" s="10" t="s">
        <v>455</v>
      </c>
      <c r="I80" s="20" t="s">
        <v>48</v>
      </c>
      <c r="J80" s="166">
        <v>45706</v>
      </c>
      <c r="K80" s="166"/>
      <c r="L80" s="166"/>
      <c r="M80" s="63"/>
      <c r="N80" s="166"/>
      <c r="O80" s="63"/>
      <c r="P80" s="196"/>
      <c r="Q80" s="37"/>
      <c r="R80" s="93"/>
      <c r="S80" s="13">
        <f ca="1">IF(ISBLANK(Table2[[#This Row],[Complete corrective actions (Approved Date)]]), TODAY()-Table2[[#This Row],[CAR initialized date]], "CLOSED")</f>
        <v>371</v>
      </c>
    </row>
    <row r="81" spans="1:19" s="4" customFormat="1" ht="36" customHeight="1" x14ac:dyDescent="0.25">
      <c r="A81" s="9" t="s">
        <v>476</v>
      </c>
      <c r="B81" s="13">
        <f>VLOOKUP(Table2[[#This Row],[Location 
(drop-down)]],'List source'!D$2:E$71,2,FALSE)</f>
        <v>101</v>
      </c>
      <c r="C81" s="11" t="s">
        <v>223</v>
      </c>
      <c r="D81" s="212" t="str">
        <f t="shared" si="1"/>
        <v>C079-101-25</v>
      </c>
      <c r="E81" s="11" t="s">
        <v>460</v>
      </c>
      <c r="F81" s="11"/>
      <c r="G81" s="70" t="s">
        <v>547</v>
      </c>
      <c r="H81" s="10" t="s">
        <v>458</v>
      </c>
      <c r="I81" s="20" t="s">
        <v>48</v>
      </c>
      <c r="J81" s="166">
        <v>45707</v>
      </c>
      <c r="K81" s="166"/>
      <c r="L81" s="166"/>
      <c r="M81" s="63">
        <v>45763</v>
      </c>
      <c r="N81" s="166"/>
      <c r="O81" s="63"/>
      <c r="P81" s="196"/>
      <c r="Q81" s="37" t="s">
        <v>548</v>
      </c>
      <c r="R81" s="93"/>
      <c r="S81" s="13" t="str">
        <f ca="1">IF(ISBLANK(Table2[[#This Row],[Complete corrective actions (Approved Date)]]), TODAY()-Table2[[#This Row],[CAR initialized date]], "CLOSED")</f>
        <v>CLOSED</v>
      </c>
    </row>
    <row r="82" spans="1:19" s="4" customFormat="1" ht="36" customHeight="1" x14ac:dyDescent="0.25">
      <c r="A82" s="9" t="s">
        <v>76</v>
      </c>
      <c r="B82" s="13">
        <f>VLOOKUP(Table2[[#This Row],[Location 
(drop-down)]],'List source'!D$2:E$71,2,FALSE)</f>
        <v>157</v>
      </c>
      <c r="C82" s="11" t="s">
        <v>224</v>
      </c>
      <c r="D82" s="212" t="str">
        <f t="shared" si="1"/>
        <v>C080-157-25</v>
      </c>
      <c r="E82" s="11" t="s">
        <v>472</v>
      </c>
      <c r="F82" s="11"/>
      <c r="G82" s="78" t="s">
        <v>549</v>
      </c>
      <c r="H82" s="10" t="s">
        <v>455</v>
      </c>
      <c r="I82" s="20" t="s">
        <v>18</v>
      </c>
      <c r="J82" s="166">
        <v>45707</v>
      </c>
      <c r="K82" s="166"/>
      <c r="L82" s="166"/>
      <c r="M82" s="63">
        <v>45737</v>
      </c>
      <c r="N82" s="166"/>
      <c r="O82" s="63"/>
      <c r="P82" s="196"/>
      <c r="Q82" s="37"/>
      <c r="R82" s="93" t="s">
        <v>467</v>
      </c>
      <c r="S82" s="13" t="str">
        <f ca="1">IF(ISBLANK(Table2[[#This Row],[Complete corrective actions (Approved Date)]]), TODAY()-Table2[[#This Row],[CAR initialized date]], "CLOSED")</f>
        <v>CLOSED</v>
      </c>
    </row>
    <row r="83" spans="1:19" s="4" customFormat="1" ht="36" customHeight="1" x14ac:dyDescent="0.25">
      <c r="A83" s="9" t="s">
        <v>76</v>
      </c>
      <c r="B83" s="13">
        <f>VLOOKUP(Table2[[#This Row],[Location 
(drop-down)]],'List source'!D$2:E$71,2,FALSE)</f>
        <v>157</v>
      </c>
      <c r="C83" s="11" t="s">
        <v>226</v>
      </c>
      <c r="D83" s="212" t="str">
        <f t="shared" si="1"/>
        <v>C081-157-25</v>
      </c>
      <c r="E83" s="11" t="s">
        <v>472</v>
      </c>
      <c r="F83" s="11"/>
      <c r="G83" s="78" t="s">
        <v>550</v>
      </c>
      <c r="H83" s="10" t="s">
        <v>455</v>
      </c>
      <c r="I83" s="20" t="s">
        <v>18</v>
      </c>
      <c r="J83" s="166">
        <v>45707</v>
      </c>
      <c r="K83" s="166"/>
      <c r="L83" s="166"/>
      <c r="M83" s="63">
        <v>45737</v>
      </c>
      <c r="N83" s="166"/>
      <c r="O83" s="63"/>
      <c r="P83" s="196"/>
      <c r="Q83" s="37"/>
      <c r="R83" s="93" t="s">
        <v>484</v>
      </c>
      <c r="S83" s="13" t="str">
        <f ca="1">IF(ISBLANK(Table2[[#This Row],[Complete corrective actions (Approved Date)]]), TODAY()-Table2[[#This Row],[CAR initialized date]], "CLOSED")</f>
        <v>CLOSED</v>
      </c>
    </row>
    <row r="84" spans="1:19" s="4" customFormat="1" ht="36" customHeight="1" x14ac:dyDescent="0.25">
      <c r="A84" s="9" t="s">
        <v>76</v>
      </c>
      <c r="B84" s="13">
        <f>VLOOKUP(Table2[[#This Row],[Location 
(drop-down)]],'List source'!D$2:E$71,2,FALSE)</f>
        <v>157</v>
      </c>
      <c r="C84" s="11" t="s">
        <v>227</v>
      </c>
      <c r="D84" s="212" t="str">
        <f t="shared" si="1"/>
        <v>C082-157-25</v>
      </c>
      <c r="E84" s="11" t="s">
        <v>472</v>
      </c>
      <c r="F84" s="11"/>
      <c r="G84" s="78" t="s">
        <v>551</v>
      </c>
      <c r="H84" s="10" t="s">
        <v>455</v>
      </c>
      <c r="I84" s="20" t="s">
        <v>18</v>
      </c>
      <c r="J84" s="166">
        <v>45707</v>
      </c>
      <c r="K84" s="166"/>
      <c r="L84" s="166"/>
      <c r="M84" s="63">
        <v>45737</v>
      </c>
      <c r="N84" s="166"/>
      <c r="O84" s="63"/>
      <c r="P84" s="196"/>
      <c r="Q84" s="37"/>
      <c r="R84" s="93" t="s">
        <v>484</v>
      </c>
      <c r="S84" s="13" t="str">
        <f ca="1">IF(ISBLANK(Table2[[#This Row],[Complete corrective actions (Approved Date)]]), TODAY()-Table2[[#This Row],[CAR initialized date]], "CLOSED")</f>
        <v>CLOSED</v>
      </c>
    </row>
    <row r="85" spans="1:19" s="4" customFormat="1" ht="36" customHeight="1" x14ac:dyDescent="0.25">
      <c r="A85" s="9" t="s">
        <v>76</v>
      </c>
      <c r="B85" s="13">
        <f>VLOOKUP(Table2[[#This Row],[Location 
(drop-down)]],'List source'!D$2:E$71,2,FALSE)</f>
        <v>157</v>
      </c>
      <c r="C85" s="11" t="s">
        <v>230</v>
      </c>
      <c r="D85" s="212" t="str">
        <f t="shared" si="1"/>
        <v>C083-157-25</v>
      </c>
      <c r="E85" s="11" t="s">
        <v>472</v>
      </c>
      <c r="F85" s="11"/>
      <c r="G85" s="9" t="s">
        <v>525</v>
      </c>
      <c r="H85" s="10" t="s">
        <v>494</v>
      </c>
      <c r="I85" s="20" t="s">
        <v>18</v>
      </c>
      <c r="J85" s="166">
        <v>45707</v>
      </c>
      <c r="K85" s="166"/>
      <c r="L85" s="166"/>
      <c r="M85" s="63">
        <v>45737</v>
      </c>
      <c r="N85" s="166"/>
      <c r="O85" s="63"/>
      <c r="P85" s="196"/>
      <c r="Q85" s="37"/>
      <c r="R85" s="93" t="s">
        <v>467</v>
      </c>
      <c r="S85" s="13" t="str">
        <f ca="1">IF(ISBLANK(Table2[[#This Row],[Complete corrective actions (Approved Date)]]), TODAY()-Table2[[#This Row],[CAR initialized date]], "CLOSED")</f>
        <v>CLOSED</v>
      </c>
    </row>
    <row r="86" spans="1:19" s="4" customFormat="1" ht="36" customHeight="1" x14ac:dyDescent="0.25">
      <c r="A86" s="9" t="s">
        <v>76</v>
      </c>
      <c r="B86" s="13">
        <f>VLOOKUP(Table2[[#This Row],[Location 
(drop-down)]],'List source'!D$2:E$71,2,FALSE)</f>
        <v>157</v>
      </c>
      <c r="C86" s="11" t="s">
        <v>233</v>
      </c>
      <c r="D86" s="212" t="str">
        <f t="shared" si="1"/>
        <v>C084-157-25</v>
      </c>
      <c r="E86" s="11" t="s">
        <v>472</v>
      </c>
      <c r="F86" s="11"/>
      <c r="G86" s="9" t="s">
        <v>552</v>
      </c>
      <c r="H86" s="14" t="s">
        <v>494</v>
      </c>
      <c r="I86" s="20" t="s">
        <v>18</v>
      </c>
      <c r="J86" s="166">
        <v>45707</v>
      </c>
      <c r="K86" s="166"/>
      <c r="L86" s="166"/>
      <c r="M86" s="167">
        <v>45740</v>
      </c>
      <c r="N86" s="166"/>
      <c r="O86" s="63"/>
      <c r="P86" s="258"/>
      <c r="Q86" s="37" t="s">
        <v>553</v>
      </c>
      <c r="R86" s="93" t="s">
        <v>467</v>
      </c>
      <c r="S86" s="13" t="str">
        <f ca="1">IF(ISBLANK(Table2[[#This Row],[Complete corrective actions (Approved Date)]]), TODAY()-Table2[[#This Row],[CAR initialized date]], "CLOSED")</f>
        <v>CLOSED</v>
      </c>
    </row>
    <row r="87" spans="1:19" s="4" customFormat="1" ht="36" customHeight="1" x14ac:dyDescent="0.25">
      <c r="A87" s="9" t="s">
        <v>76</v>
      </c>
      <c r="B87" s="13">
        <f>VLOOKUP(Table2[[#This Row],[Location 
(drop-down)]],'List source'!D$2:E$71,2,FALSE)</f>
        <v>157</v>
      </c>
      <c r="C87" s="11" t="s">
        <v>238</v>
      </c>
      <c r="D87" s="212" t="str">
        <f t="shared" si="1"/>
        <v>C085-157-25</v>
      </c>
      <c r="E87" s="11" t="s">
        <v>472</v>
      </c>
      <c r="F87" s="11"/>
      <c r="G87" s="9" t="s">
        <v>554</v>
      </c>
      <c r="H87" s="10" t="s">
        <v>455</v>
      </c>
      <c r="I87" s="20" t="s">
        <v>18</v>
      </c>
      <c r="J87" s="166">
        <v>45707</v>
      </c>
      <c r="K87" s="166"/>
      <c r="L87" s="166"/>
      <c r="M87" s="242">
        <v>45737</v>
      </c>
      <c r="N87" s="166"/>
      <c r="O87" s="63"/>
      <c r="P87" s="276"/>
      <c r="Q87" s="37"/>
      <c r="R87" s="93" t="s">
        <v>467</v>
      </c>
      <c r="S87" s="13" t="str">
        <f ca="1">IF(ISBLANK(Table2[[#This Row],[Complete corrective actions (Approved Date)]]), TODAY()-Table2[[#This Row],[CAR initialized date]], "CLOSED")</f>
        <v>CLOSED</v>
      </c>
    </row>
    <row r="88" spans="1:19" s="4" customFormat="1" ht="36" customHeight="1" x14ac:dyDescent="0.25">
      <c r="A88" s="9" t="s">
        <v>310</v>
      </c>
      <c r="B88" s="13">
        <f>VLOOKUP(Table2[[#This Row],[Location 
(drop-down)]],'List source'!D$2:E$71,2,FALSE)</f>
        <v>147</v>
      </c>
      <c r="C88" s="11" t="s">
        <v>240</v>
      </c>
      <c r="D88" s="212" t="str">
        <f t="shared" si="1"/>
        <v>C086-147-25</v>
      </c>
      <c r="E88" s="11" t="s">
        <v>452</v>
      </c>
      <c r="F88" s="11" t="s">
        <v>84</v>
      </c>
      <c r="G88" s="89" t="s">
        <v>555</v>
      </c>
      <c r="H88" s="10" t="s">
        <v>458</v>
      </c>
      <c r="I88" s="20" t="s">
        <v>109</v>
      </c>
      <c r="J88" s="166">
        <v>45708</v>
      </c>
      <c r="K88" s="166"/>
      <c r="L88" s="166"/>
      <c r="M88" s="242">
        <v>45726</v>
      </c>
      <c r="N88" s="166"/>
      <c r="O88" s="63"/>
      <c r="P88" s="259"/>
      <c r="Q88" s="37"/>
      <c r="R88" s="93"/>
      <c r="S88" s="13" t="str">
        <f ca="1">IF(ISBLANK(Table2[[#This Row],[Complete corrective actions (Approved Date)]]), TODAY()-Table2[[#This Row],[CAR initialized date]], "CLOSED")</f>
        <v>CLOSED</v>
      </c>
    </row>
    <row r="89" spans="1:19" s="4" customFormat="1" ht="36" customHeight="1" x14ac:dyDescent="0.25">
      <c r="A89" s="9" t="s">
        <v>476</v>
      </c>
      <c r="B89" s="13">
        <f>VLOOKUP(Table2[[#This Row],[Location 
(drop-down)]],'List source'!D$2:E$71,2,FALSE)</f>
        <v>101</v>
      </c>
      <c r="C89" s="11" t="s">
        <v>242</v>
      </c>
      <c r="D89" s="212" t="str">
        <f t="shared" si="1"/>
        <v>C087-101-25</v>
      </c>
      <c r="E89" s="11" t="s">
        <v>452</v>
      </c>
      <c r="F89" s="11" t="s">
        <v>103</v>
      </c>
      <c r="G89" s="9" t="s">
        <v>556</v>
      </c>
      <c r="H89" s="10" t="s">
        <v>458</v>
      </c>
      <c r="I89" s="20" t="s">
        <v>101</v>
      </c>
      <c r="J89" s="166">
        <v>45708</v>
      </c>
      <c r="K89" s="166"/>
      <c r="L89" s="166"/>
      <c r="M89" s="161">
        <v>45793</v>
      </c>
      <c r="N89" s="166"/>
      <c r="O89" s="63"/>
      <c r="P89" s="188"/>
      <c r="Q89" s="37" t="s">
        <v>557</v>
      </c>
      <c r="R89" s="93"/>
      <c r="S89" s="13" t="str">
        <f ca="1">IF(ISBLANK(Table2[[#This Row],[Complete corrective actions (Approved Date)]]), TODAY()-Table2[[#This Row],[CAR initialized date]], "CLOSED")</f>
        <v>CLOSED</v>
      </c>
    </row>
    <row r="90" spans="1:19" s="4" customFormat="1" ht="36" customHeight="1" x14ac:dyDescent="0.25">
      <c r="A90" s="9" t="s">
        <v>54</v>
      </c>
      <c r="B90" s="13">
        <f>VLOOKUP(Table2[[#This Row],[Location 
(drop-down)]],'List source'!D$2:E$71,2,FALSE)</f>
        <v>128</v>
      </c>
      <c r="C90" s="11" t="s">
        <v>245</v>
      </c>
      <c r="D90" s="212" t="str">
        <f t="shared" si="1"/>
        <v>C088-128-25</v>
      </c>
      <c r="E90" s="11" t="s">
        <v>472</v>
      </c>
      <c r="F90" s="11"/>
      <c r="G90" s="9" t="s">
        <v>558</v>
      </c>
      <c r="H90" s="10" t="s">
        <v>458</v>
      </c>
      <c r="I90" s="20" t="s">
        <v>27</v>
      </c>
      <c r="J90" s="166">
        <v>45709</v>
      </c>
      <c r="K90" s="166"/>
      <c r="L90" s="166"/>
      <c r="M90" s="63">
        <v>45727</v>
      </c>
      <c r="N90" s="166"/>
      <c r="O90" s="63"/>
      <c r="P90" s="196"/>
      <c r="Q90" s="37"/>
      <c r="R90" s="93" t="s">
        <v>467</v>
      </c>
      <c r="S90" s="13" t="str">
        <f ca="1">IF(ISBLANK(Table2[[#This Row],[Complete corrective actions (Approved Date)]]), TODAY()-Table2[[#This Row],[CAR initialized date]], "CLOSED")</f>
        <v>CLOSED</v>
      </c>
    </row>
    <row r="91" spans="1:19" s="4" customFormat="1" ht="36" customHeight="1" x14ac:dyDescent="0.25">
      <c r="A91" s="9" t="s">
        <v>54</v>
      </c>
      <c r="B91" s="13">
        <f>VLOOKUP(Table2[[#This Row],[Location 
(drop-down)]],'List source'!D$2:E$71,2,FALSE)</f>
        <v>128</v>
      </c>
      <c r="C91" s="11" t="s">
        <v>247</v>
      </c>
      <c r="D91" s="212" t="str">
        <f t="shared" si="1"/>
        <v>C089-128-25</v>
      </c>
      <c r="E91" s="11" t="s">
        <v>472</v>
      </c>
      <c r="F91" s="11"/>
      <c r="G91" s="9" t="s">
        <v>559</v>
      </c>
      <c r="H91" s="10" t="s">
        <v>458</v>
      </c>
      <c r="I91" s="20" t="s">
        <v>27</v>
      </c>
      <c r="J91" s="166">
        <v>45709</v>
      </c>
      <c r="K91" s="166"/>
      <c r="L91" s="166"/>
      <c r="M91" s="63">
        <v>45733</v>
      </c>
      <c r="N91" s="166"/>
      <c r="O91" s="63"/>
      <c r="P91" s="196"/>
      <c r="Q91" s="37"/>
      <c r="R91" s="93" t="s">
        <v>467</v>
      </c>
      <c r="S91" s="13" t="str">
        <f ca="1">IF(ISBLANK(Table2[[#This Row],[Complete corrective actions (Approved Date)]]), TODAY()-Table2[[#This Row],[CAR initialized date]], "CLOSED")</f>
        <v>CLOSED</v>
      </c>
    </row>
    <row r="92" spans="1:19" s="4" customFormat="1" ht="36" customHeight="1" x14ac:dyDescent="0.25">
      <c r="A92" s="9" t="s">
        <v>54</v>
      </c>
      <c r="B92" s="13">
        <f>VLOOKUP(Table2[[#This Row],[Location 
(drop-down)]],'List source'!D$2:E$71,2,FALSE)</f>
        <v>128</v>
      </c>
      <c r="C92" s="11" t="s">
        <v>250</v>
      </c>
      <c r="D92" s="212" t="str">
        <f t="shared" si="1"/>
        <v>C090-128-25</v>
      </c>
      <c r="E92" s="11" t="s">
        <v>472</v>
      </c>
      <c r="F92" s="11"/>
      <c r="G92" s="79" t="s">
        <v>560</v>
      </c>
      <c r="H92" s="10" t="s">
        <v>455</v>
      </c>
      <c r="I92" s="20" t="s">
        <v>27</v>
      </c>
      <c r="J92" s="166">
        <v>45709</v>
      </c>
      <c r="K92" s="166"/>
      <c r="L92" s="166"/>
      <c r="M92" s="63">
        <v>45725</v>
      </c>
      <c r="N92" s="166"/>
      <c r="O92" s="63"/>
      <c r="P92" s="196"/>
      <c r="Q92" s="37"/>
      <c r="R92" s="93" t="s">
        <v>467</v>
      </c>
      <c r="S92" s="13" t="str">
        <f ca="1">IF(ISBLANK(Table2[[#This Row],[Complete corrective actions (Approved Date)]]), TODAY()-Table2[[#This Row],[CAR initialized date]], "CLOSED")</f>
        <v>CLOSED</v>
      </c>
    </row>
    <row r="93" spans="1:19" s="4" customFormat="1" ht="36" customHeight="1" x14ac:dyDescent="0.25">
      <c r="A93" s="9" t="s">
        <v>54</v>
      </c>
      <c r="B93" s="13">
        <f>VLOOKUP(Table2[[#This Row],[Location 
(drop-down)]],'List source'!D$2:E$71,2,FALSE)</f>
        <v>128</v>
      </c>
      <c r="C93" s="11" t="s">
        <v>251</v>
      </c>
      <c r="D93" s="212" t="str">
        <f t="shared" si="1"/>
        <v>C091-128-25</v>
      </c>
      <c r="E93" s="11" t="s">
        <v>472</v>
      </c>
      <c r="F93" s="11"/>
      <c r="G93" s="9" t="s">
        <v>528</v>
      </c>
      <c r="H93" s="10" t="s">
        <v>455</v>
      </c>
      <c r="I93" s="20" t="s">
        <v>27</v>
      </c>
      <c r="J93" s="166">
        <v>45709</v>
      </c>
      <c r="K93" s="166"/>
      <c r="L93" s="166"/>
      <c r="M93" s="63">
        <v>45768</v>
      </c>
      <c r="N93" s="166"/>
      <c r="O93" s="63"/>
      <c r="P93" s="196"/>
      <c r="Q93" s="37"/>
      <c r="R93" s="93" t="s">
        <v>530</v>
      </c>
      <c r="S93" s="13" t="str">
        <f ca="1">IF(ISBLANK(Table2[[#This Row],[Complete corrective actions (Approved Date)]]), TODAY()-Table2[[#This Row],[CAR initialized date]], "CLOSED")</f>
        <v>CLOSED</v>
      </c>
    </row>
    <row r="94" spans="1:19" s="4" customFormat="1" ht="36" customHeight="1" x14ac:dyDescent="0.25">
      <c r="A94" s="9" t="s">
        <v>54</v>
      </c>
      <c r="B94" s="13">
        <f>VLOOKUP(Table2[[#This Row],[Location 
(drop-down)]],'List source'!D$2:E$71,2,FALSE)</f>
        <v>128</v>
      </c>
      <c r="C94" s="11" t="s">
        <v>255</v>
      </c>
      <c r="D94" s="212" t="str">
        <f t="shared" si="1"/>
        <v>C092-128-25</v>
      </c>
      <c r="E94" s="11" t="s">
        <v>472</v>
      </c>
      <c r="F94" s="11"/>
      <c r="G94" s="9" t="s">
        <v>561</v>
      </c>
      <c r="H94" s="10" t="s">
        <v>455</v>
      </c>
      <c r="I94" s="20" t="s">
        <v>27</v>
      </c>
      <c r="J94" s="166">
        <v>45709</v>
      </c>
      <c r="K94" s="166"/>
      <c r="L94" s="166"/>
      <c r="M94" s="63">
        <v>45800</v>
      </c>
      <c r="N94" s="166"/>
      <c r="O94" s="63"/>
      <c r="P94" s="196"/>
      <c r="Q94" s="249"/>
      <c r="R94" s="93" t="s">
        <v>530</v>
      </c>
      <c r="S94" s="13" t="str">
        <f ca="1">IF(ISBLANK(Table2[[#This Row],[Complete corrective actions (Approved Date)]]), TODAY()-Table2[[#This Row],[CAR initialized date]], "CLOSED")</f>
        <v>CLOSED</v>
      </c>
    </row>
    <row r="95" spans="1:19" s="4" customFormat="1" ht="36" customHeight="1" x14ac:dyDescent="0.25">
      <c r="A95" s="9" t="s">
        <v>54</v>
      </c>
      <c r="B95" s="13">
        <f>VLOOKUP(Table2[[#This Row],[Location 
(drop-down)]],'List source'!D$2:E$71,2,FALSE)</f>
        <v>128</v>
      </c>
      <c r="C95" s="11" t="s">
        <v>258</v>
      </c>
      <c r="D95" s="212" t="str">
        <f t="shared" si="1"/>
        <v>C093-128-25</v>
      </c>
      <c r="E95" s="11" t="s">
        <v>472</v>
      </c>
      <c r="F95" s="11"/>
      <c r="G95" s="9" t="s">
        <v>529</v>
      </c>
      <c r="H95" s="10" t="s">
        <v>455</v>
      </c>
      <c r="I95" s="20" t="s">
        <v>27</v>
      </c>
      <c r="J95" s="166">
        <v>45709</v>
      </c>
      <c r="K95" s="166"/>
      <c r="L95" s="166"/>
      <c r="M95" s="63">
        <v>45797</v>
      </c>
      <c r="N95" s="166"/>
      <c r="O95" s="63"/>
      <c r="P95" s="196"/>
      <c r="Q95" s="247"/>
      <c r="R95" s="93" t="s">
        <v>467</v>
      </c>
      <c r="S95" s="13" t="str">
        <f ca="1">IF(ISBLANK(Table2[[#This Row],[Complete corrective actions (Approved Date)]]), TODAY()-Table2[[#This Row],[CAR initialized date]], "CLOSED")</f>
        <v>CLOSED</v>
      </c>
    </row>
    <row r="96" spans="1:19" s="4" customFormat="1" ht="36" customHeight="1" x14ac:dyDescent="0.25">
      <c r="A96" s="9" t="s">
        <v>54</v>
      </c>
      <c r="B96" s="13">
        <f>VLOOKUP(Table2[[#This Row],[Location 
(drop-down)]],'List source'!D$2:E$71,2,FALSE)</f>
        <v>128</v>
      </c>
      <c r="C96" s="11" t="s">
        <v>259</v>
      </c>
      <c r="D96" s="212" t="str">
        <f t="shared" si="1"/>
        <v>C094-128-25</v>
      </c>
      <c r="E96" s="11" t="s">
        <v>472</v>
      </c>
      <c r="F96" s="11"/>
      <c r="G96" s="9" t="s">
        <v>562</v>
      </c>
      <c r="H96" s="10" t="s">
        <v>455</v>
      </c>
      <c r="I96" s="20" t="s">
        <v>27</v>
      </c>
      <c r="J96" s="166">
        <v>45709</v>
      </c>
      <c r="K96" s="166"/>
      <c r="L96" s="166"/>
      <c r="M96" s="63">
        <v>45755</v>
      </c>
      <c r="N96" s="166"/>
      <c r="O96" s="63"/>
      <c r="P96" s="196"/>
      <c r="Q96" s="37"/>
      <c r="R96" s="93" t="s">
        <v>484</v>
      </c>
      <c r="S96" s="13" t="str">
        <f ca="1">IF(ISBLANK(Table2[[#This Row],[Complete corrective actions (Approved Date)]]), TODAY()-Table2[[#This Row],[CAR initialized date]], "CLOSED")</f>
        <v>CLOSED</v>
      </c>
    </row>
    <row r="97" spans="1:19" s="4" customFormat="1" ht="36" customHeight="1" x14ac:dyDescent="0.25">
      <c r="A97" s="9" t="s">
        <v>54</v>
      </c>
      <c r="B97" s="13">
        <f>VLOOKUP(Table2[[#This Row],[Location 
(drop-down)]],'List source'!D$2:E$71,2,FALSE)</f>
        <v>128</v>
      </c>
      <c r="C97" s="11" t="s">
        <v>261</v>
      </c>
      <c r="D97" s="212" t="str">
        <f t="shared" si="1"/>
        <v>C095-128-25</v>
      </c>
      <c r="E97" s="11" t="s">
        <v>472</v>
      </c>
      <c r="F97" s="11"/>
      <c r="G97" s="9" t="s">
        <v>563</v>
      </c>
      <c r="H97" s="10" t="s">
        <v>494</v>
      </c>
      <c r="I97" s="20" t="s">
        <v>27</v>
      </c>
      <c r="J97" s="166">
        <v>45709</v>
      </c>
      <c r="K97" s="166"/>
      <c r="L97" s="166"/>
      <c r="M97" s="63">
        <v>45768</v>
      </c>
      <c r="N97" s="166"/>
      <c r="O97" s="63"/>
      <c r="P97" s="196"/>
      <c r="Q97" s="247"/>
      <c r="R97" s="93" t="s">
        <v>467</v>
      </c>
      <c r="S97" s="13" t="str">
        <f ca="1">IF(ISBLANK(Table2[[#This Row],[Complete corrective actions (Approved Date)]]), TODAY()-Table2[[#This Row],[CAR initialized date]], "CLOSED")</f>
        <v>CLOSED</v>
      </c>
    </row>
    <row r="98" spans="1:19" s="4" customFormat="1" ht="36" customHeight="1" x14ac:dyDescent="0.25">
      <c r="A98" s="9" t="s">
        <v>54</v>
      </c>
      <c r="B98" s="13">
        <f>VLOOKUP(Table2[[#This Row],[Location 
(drop-down)]],'List source'!D$2:E$71,2,FALSE)</f>
        <v>128</v>
      </c>
      <c r="C98" s="11" t="s">
        <v>263</v>
      </c>
      <c r="D98" s="212" t="str">
        <f t="shared" si="1"/>
        <v>C096-128-25</v>
      </c>
      <c r="E98" s="11" t="s">
        <v>472</v>
      </c>
      <c r="F98" s="11"/>
      <c r="G98" s="9" t="s">
        <v>564</v>
      </c>
      <c r="H98" s="10" t="s">
        <v>455</v>
      </c>
      <c r="I98" s="20" t="s">
        <v>27</v>
      </c>
      <c r="J98" s="166">
        <v>45709</v>
      </c>
      <c r="K98" s="166"/>
      <c r="L98" s="166"/>
      <c r="M98" s="63">
        <v>45725</v>
      </c>
      <c r="N98" s="166"/>
      <c r="O98" s="63"/>
      <c r="P98" s="196"/>
      <c r="Q98" s="37"/>
      <c r="R98" s="93" t="s">
        <v>467</v>
      </c>
      <c r="S98" s="13" t="str">
        <f ca="1">IF(ISBLANK(Table2[[#This Row],[Complete corrective actions (Approved Date)]]), TODAY()-Table2[[#This Row],[CAR initialized date]], "CLOSED")</f>
        <v>CLOSED</v>
      </c>
    </row>
    <row r="99" spans="1:19" s="4" customFormat="1" ht="30.6" customHeight="1" x14ac:dyDescent="0.25">
      <c r="A99" s="9" t="s">
        <v>54</v>
      </c>
      <c r="B99" s="13">
        <f>VLOOKUP(Table2[[#This Row],[Location 
(drop-down)]],'List source'!D$2:E$71,2,FALSE)</f>
        <v>128</v>
      </c>
      <c r="C99" s="11" t="s">
        <v>266</v>
      </c>
      <c r="D99" s="212" t="str">
        <f t="shared" si="1"/>
        <v>C097-128-25</v>
      </c>
      <c r="E99" s="11" t="s">
        <v>472</v>
      </c>
      <c r="F99" s="11"/>
      <c r="G99" s="9" t="s">
        <v>565</v>
      </c>
      <c r="H99" s="10" t="s">
        <v>494</v>
      </c>
      <c r="I99" s="20" t="s">
        <v>27</v>
      </c>
      <c r="J99" s="166">
        <v>45709</v>
      </c>
      <c r="K99" s="166"/>
      <c r="L99" s="166"/>
      <c r="M99" s="63">
        <v>45725</v>
      </c>
      <c r="N99" s="166"/>
      <c r="O99" s="63"/>
      <c r="P99" s="196"/>
      <c r="Q99" s="37"/>
      <c r="R99" s="93" t="s">
        <v>467</v>
      </c>
      <c r="S99" s="13" t="str">
        <f ca="1">IF(ISBLANK(Table2[[#This Row],[Complete corrective actions (Approved Date)]]), TODAY()-Table2[[#This Row],[CAR initialized date]], "CLOSED")</f>
        <v>CLOSED</v>
      </c>
    </row>
    <row r="100" spans="1:19" s="4" customFormat="1" ht="30" x14ac:dyDescent="0.25">
      <c r="A100" s="9" t="s">
        <v>54</v>
      </c>
      <c r="B100" s="13">
        <f>VLOOKUP(Table2[[#This Row],[Location 
(drop-down)]],'List source'!D$2:E$71,2,FALSE)</f>
        <v>128</v>
      </c>
      <c r="C100" s="11" t="s">
        <v>269</v>
      </c>
      <c r="D100" s="212" t="str">
        <f t="shared" si="1"/>
        <v>C098-128-25</v>
      </c>
      <c r="E100" s="11" t="s">
        <v>472</v>
      </c>
      <c r="F100" s="11"/>
      <c r="G100" s="9" t="s">
        <v>533</v>
      </c>
      <c r="H100" s="10" t="s">
        <v>494</v>
      </c>
      <c r="I100" s="20" t="s">
        <v>27</v>
      </c>
      <c r="J100" s="166">
        <v>45709</v>
      </c>
      <c r="K100" s="166"/>
      <c r="L100" s="166"/>
      <c r="M100" s="63">
        <v>45828</v>
      </c>
      <c r="N100" s="166"/>
      <c r="O100" s="63"/>
      <c r="P100" s="196"/>
      <c r="Q100" s="37"/>
      <c r="R100" s="93" t="s">
        <v>467</v>
      </c>
      <c r="S100" s="13" t="str">
        <f ca="1">IF(ISBLANK(Table2[[#This Row],[Complete corrective actions (Approved Date)]]), TODAY()-Table2[[#This Row],[CAR initialized date]], "CLOSED")</f>
        <v>CLOSED</v>
      </c>
    </row>
    <row r="101" spans="1:19" s="4" customFormat="1" ht="36" customHeight="1" x14ac:dyDescent="0.25">
      <c r="A101" s="9" t="s">
        <v>14</v>
      </c>
      <c r="B101" s="13">
        <f>VLOOKUP(Table2[[#This Row],[Location 
(drop-down)]],'List source'!D$2:E$71,2,FALSE)</f>
        <v>131</v>
      </c>
      <c r="C101" s="11" t="s">
        <v>271</v>
      </c>
      <c r="D101" s="212" t="str">
        <f t="shared" si="1"/>
        <v>C099-131-25</v>
      </c>
      <c r="E101" s="11" t="s">
        <v>460</v>
      </c>
      <c r="F101" s="11" t="s">
        <v>277</v>
      </c>
      <c r="G101" s="9" t="s">
        <v>566</v>
      </c>
      <c r="H101" s="10" t="s">
        <v>455</v>
      </c>
      <c r="I101" s="20" t="s">
        <v>167</v>
      </c>
      <c r="J101" s="166">
        <v>45709</v>
      </c>
      <c r="K101" s="166"/>
      <c r="L101" s="166"/>
      <c r="M101" s="63">
        <v>45715</v>
      </c>
      <c r="N101" s="166"/>
      <c r="O101" s="63"/>
      <c r="P101" s="196"/>
      <c r="Q101" s="37"/>
      <c r="R101" s="93"/>
      <c r="S101" s="13" t="str">
        <f ca="1">IF(ISBLANK(Table2[[#This Row],[Complete corrective actions (Approved Date)]]), TODAY()-Table2[[#This Row],[CAR initialized date]], "CLOSED")</f>
        <v>CLOSED</v>
      </c>
    </row>
    <row r="102" spans="1:19" s="4" customFormat="1" ht="36" customHeight="1" x14ac:dyDescent="0.25">
      <c r="A102" s="9" t="s">
        <v>67</v>
      </c>
      <c r="B102" s="13">
        <f>VLOOKUP(Table2[[#This Row],[Location 
(drop-down)]],'List source'!D$2:E$71,2,FALSE)</f>
        <v>138</v>
      </c>
      <c r="C102" s="11" t="s">
        <v>273</v>
      </c>
      <c r="D102" s="212" t="str">
        <f t="shared" si="1"/>
        <v>C100-138-25</v>
      </c>
      <c r="E102" s="11" t="s">
        <v>472</v>
      </c>
      <c r="F102" s="11"/>
      <c r="G102" s="9" t="s">
        <v>567</v>
      </c>
      <c r="H102" s="10" t="s">
        <v>494</v>
      </c>
      <c r="I102" s="20" t="s">
        <v>35</v>
      </c>
      <c r="J102" s="166">
        <v>45716</v>
      </c>
      <c r="K102" s="166"/>
      <c r="L102" s="166"/>
      <c r="M102" s="63">
        <v>45768</v>
      </c>
      <c r="N102" s="166"/>
      <c r="O102" s="63"/>
      <c r="P102" s="196"/>
      <c r="Q102" s="37"/>
      <c r="R102" s="93" t="s">
        <v>467</v>
      </c>
      <c r="S102" s="13" t="str">
        <f ca="1">IF(ISBLANK(Table2[[#This Row],[Complete corrective actions (Approved Date)]]), TODAY()-Table2[[#This Row],[CAR initialized date]], "CLOSED")</f>
        <v>CLOSED</v>
      </c>
    </row>
    <row r="103" spans="1:19" s="4" customFormat="1" ht="36" customHeight="1" x14ac:dyDescent="0.25">
      <c r="A103" s="9" t="s">
        <v>67</v>
      </c>
      <c r="B103" s="13">
        <f>VLOOKUP(Table2[[#This Row],[Location 
(drop-down)]],'List source'!D$2:E$71,2,FALSE)</f>
        <v>138</v>
      </c>
      <c r="C103" s="11" t="s">
        <v>274</v>
      </c>
      <c r="D103" s="212" t="str">
        <f t="shared" si="1"/>
        <v>C101-138-25</v>
      </c>
      <c r="E103" s="11" t="s">
        <v>472</v>
      </c>
      <c r="F103" s="11"/>
      <c r="G103" s="9" t="s">
        <v>568</v>
      </c>
      <c r="H103" s="10" t="s">
        <v>458</v>
      </c>
      <c r="I103" s="20" t="s">
        <v>35</v>
      </c>
      <c r="J103" s="166">
        <v>45716</v>
      </c>
      <c r="K103" s="166"/>
      <c r="L103" s="166"/>
      <c r="M103" s="63"/>
      <c r="N103" s="166"/>
      <c r="O103" s="63"/>
      <c r="P103" s="196"/>
      <c r="Q103" s="37"/>
      <c r="R103" s="93"/>
      <c r="S103" s="13">
        <f ca="1">IF(ISBLANK(Table2[[#This Row],[Complete corrective actions (Approved Date)]]), TODAY()-Table2[[#This Row],[CAR initialized date]], "CLOSED")</f>
        <v>361</v>
      </c>
    </row>
    <row r="104" spans="1:19" s="4" customFormat="1" ht="36" customHeight="1" x14ac:dyDescent="0.25">
      <c r="A104" s="9" t="s">
        <v>67</v>
      </c>
      <c r="B104" s="13">
        <f>VLOOKUP(Table2[[#This Row],[Location 
(drop-down)]],'List source'!D$2:E$71,2,FALSE)</f>
        <v>138</v>
      </c>
      <c r="C104" s="11" t="s">
        <v>275</v>
      </c>
      <c r="D104" s="212" t="str">
        <f t="shared" si="1"/>
        <v>C102-138-25</v>
      </c>
      <c r="E104" s="11" t="s">
        <v>472</v>
      </c>
      <c r="F104" s="11"/>
      <c r="G104" s="9" t="s">
        <v>569</v>
      </c>
      <c r="H104" s="10" t="s">
        <v>458</v>
      </c>
      <c r="I104" s="20" t="s">
        <v>35</v>
      </c>
      <c r="J104" s="166">
        <v>45716</v>
      </c>
      <c r="K104" s="166"/>
      <c r="L104" s="166"/>
      <c r="M104" s="63"/>
      <c r="N104" s="166"/>
      <c r="O104" s="63"/>
      <c r="P104" s="196"/>
      <c r="Q104" s="37"/>
      <c r="R104" s="93"/>
      <c r="S104" s="13">
        <f ca="1">IF(ISBLANK(Table2[[#This Row],[Complete corrective actions (Approved Date)]]), TODAY()-Table2[[#This Row],[CAR initialized date]], "CLOSED")</f>
        <v>361</v>
      </c>
    </row>
    <row r="105" spans="1:19" s="4" customFormat="1" ht="36" customHeight="1" x14ac:dyDescent="0.25">
      <c r="A105" s="9" t="s">
        <v>67</v>
      </c>
      <c r="B105" s="13">
        <f>VLOOKUP(Table2[[#This Row],[Location 
(drop-down)]],'List source'!D$2:E$71,2,FALSE)</f>
        <v>138</v>
      </c>
      <c r="C105" s="11" t="s">
        <v>279</v>
      </c>
      <c r="D105" s="212" t="str">
        <f t="shared" si="1"/>
        <v>C103-138-25</v>
      </c>
      <c r="E105" s="11" t="s">
        <v>472</v>
      </c>
      <c r="F105" s="11"/>
      <c r="G105" s="70" t="s">
        <v>570</v>
      </c>
      <c r="H105" s="10" t="s">
        <v>455</v>
      </c>
      <c r="I105" s="20" t="s">
        <v>35</v>
      </c>
      <c r="J105" s="166">
        <v>45716</v>
      </c>
      <c r="K105" s="166"/>
      <c r="L105" s="166"/>
      <c r="M105" s="63">
        <v>45768</v>
      </c>
      <c r="N105" s="166"/>
      <c r="O105" s="63"/>
      <c r="P105" s="196"/>
      <c r="Q105" s="37"/>
      <c r="R105" s="93" t="s">
        <v>467</v>
      </c>
      <c r="S105" s="13" t="str">
        <f ca="1">IF(ISBLANK(Table2[[#This Row],[Complete corrective actions (Approved Date)]]), TODAY()-Table2[[#This Row],[CAR initialized date]], "CLOSED")</f>
        <v>CLOSED</v>
      </c>
    </row>
    <row r="106" spans="1:19" s="4" customFormat="1" ht="36" customHeight="1" x14ac:dyDescent="0.25">
      <c r="A106" s="9" t="s">
        <v>67</v>
      </c>
      <c r="B106" s="13">
        <f>VLOOKUP(Table2[[#This Row],[Location 
(drop-down)]],'List source'!D$2:E$71,2,FALSE)</f>
        <v>138</v>
      </c>
      <c r="C106" s="11" t="s">
        <v>282</v>
      </c>
      <c r="D106" s="212" t="str">
        <f t="shared" si="1"/>
        <v>C104-138-25</v>
      </c>
      <c r="E106" s="11" t="s">
        <v>472</v>
      </c>
      <c r="F106" s="11"/>
      <c r="G106" s="9" t="s">
        <v>514</v>
      </c>
      <c r="H106" s="10" t="s">
        <v>455</v>
      </c>
      <c r="I106" s="20" t="s">
        <v>35</v>
      </c>
      <c r="J106" s="166">
        <v>45716</v>
      </c>
      <c r="K106" s="166"/>
      <c r="L106" s="166"/>
      <c r="M106" s="63">
        <v>45770</v>
      </c>
      <c r="N106" s="166"/>
      <c r="O106" s="63"/>
      <c r="P106" s="196"/>
      <c r="Q106" s="37"/>
      <c r="R106" s="93" t="s">
        <v>467</v>
      </c>
      <c r="S106" s="13" t="str">
        <f ca="1">IF(ISBLANK(Table2[[#This Row],[Complete corrective actions (Approved Date)]]), TODAY()-Table2[[#This Row],[CAR initialized date]], "CLOSED")</f>
        <v>CLOSED</v>
      </c>
    </row>
    <row r="107" spans="1:19" s="4" customFormat="1" ht="36" customHeight="1" x14ac:dyDescent="0.25">
      <c r="A107" s="9" t="s">
        <v>67</v>
      </c>
      <c r="B107" s="13">
        <f>VLOOKUP(Table2[[#This Row],[Location 
(drop-down)]],'List source'!D$2:E$71,2,FALSE)</f>
        <v>138</v>
      </c>
      <c r="C107" s="11" t="s">
        <v>283</v>
      </c>
      <c r="D107" s="212" t="str">
        <f t="shared" si="1"/>
        <v>C105-138-25</v>
      </c>
      <c r="E107" s="11" t="s">
        <v>472</v>
      </c>
      <c r="F107" s="11"/>
      <c r="G107" s="9" t="s">
        <v>475</v>
      </c>
      <c r="H107" s="10" t="s">
        <v>455</v>
      </c>
      <c r="I107" s="20" t="s">
        <v>35</v>
      </c>
      <c r="J107" s="166">
        <v>45716</v>
      </c>
      <c r="K107" s="166"/>
      <c r="L107" s="166"/>
      <c r="M107" s="63">
        <v>45883</v>
      </c>
      <c r="N107" s="166"/>
      <c r="O107" s="63"/>
      <c r="P107" s="196"/>
      <c r="Q107" s="37"/>
      <c r="R107" s="93"/>
      <c r="S107" s="13" t="str">
        <f ca="1">IF(ISBLANK(Table2[[#This Row],[Complete corrective actions (Approved Date)]]), TODAY()-Table2[[#This Row],[CAR initialized date]], "CLOSED")</f>
        <v>CLOSED</v>
      </c>
    </row>
    <row r="108" spans="1:19" s="4" customFormat="1" ht="36" customHeight="1" x14ac:dyDescent="0.25">
      <c r="A108" s="9" t="s">
        <v>91</v>
      </c>
      <c r="B108" s="13">
        <f>VLOOKUP(Table2[[#This Row],[Location 
(drop-down)]],'List source'!D$2:E$71,2,FALSE)</f>
        <v>190</v>
      </c>
      <c r="C108" s="11" t="s">
        <v>285</v>
      </c>
      <c r="D108" s="212" t="str">
        <f t="shared" si="1"/>
        <v>C106-190-25</v>
      </c>
      <c r="E108" s="11" t="s">
        <v>460</v>
      </c>
      <c r="F108" s="11"/>
      <c r="G108" s="9" t="s">
        <v>571</v>
      </c>
      <c r="H108" s="10" t="s">
        <v>455</v>
      </c>
      <c r="I108" s="20" t="s">
        <v>572</v>
      </c>
      <c r="J108" s="166">
        <v>45713</v>
      </c>
      <c r="K108" s="166"/>
      <c r="L108" s="166"/>
      <c r="M108" s="63">
        <v>45791</v>
      </c>
      <c r="N108" s="166"/>
      <c r="O108" s="63"/>
      <c r="P108" s="196"/>
      <c r="Q108" s="251" t="s">
        <v>573</v>
      </c>
      <c r="R108" s="93"/>
      <c r="S108" s="13" t="str">
        <f ca="1">IF(ISBLANK(Table2[[#This Row],[Complete corrective actions (Approved Date)]]), TODAY()-Table2[[#This Row],[CAR initialized date]], "CLOSED")</f>
        <v>CLOSED</v>
      </c>
    </row>
    <row r="109" spans="1:19" s="4" customFormat="1" ht="36" customHeight="1" x14ac:dyDescent="0.25">
      <c r="A109" s="9" t="s">
        <v>79</v>
      </c>
      <c r="B109" s="13">
        <f>VLOOKUP(Table2[[#This Row],[Location 
(drop-down)]],'List source'!D$2:E$71,2,FALSE)</f>
        <v>160</v>
      </c>
      <c r="C109" s="11" t="s">
        <v>288</v>
      </c>
      <c r="D109" s="212" t="str">
        <f t="shared" si="1"/>
        <v>C107-160-25</v>
      </c>
      <c r="E109" s="11" t="s">
        <v>465</v>
      </c>
      <c r="F109" s="11" t="s">
        <v>84</v>
      </c>
      <c r="G109" s="9" t="s">
        <v>574</v>
      </c>
      <c r="H109" s="10" t="s">
        <v>455</v>
      </c>
      <c r="I109" s="20" t="s">
        <v>82</v>
      </c>
      <c r="J109" s="166">
        <v>45713</v>
      </c>
      <c r="K109" s="166"/>
      <c r="L109" s="166"/>
      <c r="M109" s="63">
        <v>45735</v>
      </c>
      <c r="N109" s="166"/>
      <c r="O109" s="63"/>
      <c r="P109" s="196"/>
      <c r="Q109" s="37"/>
      <c r="R109" s="93" t="s">
        <v>467</v>
      </c>
      <c r="S109" s="13" t="str">
        <f ca="1">IF(ISBLANK(Table2[[#This Row],[Complete corrective actions (Approved Date)]]), TODAY()-Table2[[#This Row],[CAR initialized date]], "CLOSED")</f>
        <v>CLOSED</v>
      </c>
    </row>
    <row r="110" spans="1:19" s="4" customFormat="1" ht="36" customHeight="1" x14ac:dyDescent="0.25">
      <c r="A110" s="9" t="s">
        <v>69</v>
      </c>
      <c r="B110" s="13">
        <f>VLOOKUP(Table2[[#This Row],[Location 
(drop-down)]],'List source'!D$2:E$71,2,FALSE)</f>
        <v>141</v>
      </c>
      <c r="C110" s="11" t="s">
        <v>290</v>
      </c>
      <c r="D110" s="212" t="str">
        <f t="shared" si="1"/>
        <v>C108-141-25</v>
      </c>
      <c r="E110" s="11" t="s">
        <v>472</v>
      </c>
      <c r="F110" s="11"/>
      <c r="G110" s="9" t="s">
        <v>575</v>
      </c>
      <c r="H110" s="10" t="s">
        <v>455</v>
      </c>
      <c r="I110" s="20" t="s">
        <v>48</v>
      </c>
      <c r="J110" s="166">
        <v>45716</v>
      </c>
      <c r="K110" s="166"/>
      <c r="L110" s="166"/>
      <c r="M110" s="63">
        <v>45742</v>
      </c>
      <c r="N110" s="166"/>
      <c r="O110" s="63"/>
      <c r="P110" s="196"/>
      <c r="Q110" s="37"/>
      <c r="R110" s="93" t="s">
        <v>467</v>
      </c>
      <c r="S110" s="13" t="str">
        <f ca="1">IF(ISBLANK(Table2[[#This Row],[Complete corrective actions (Approved Date)]]), TODAY()-Table2[[#This Row],[CAR initialized date]], "CLOSED")</f>
        <v>CLOSED</v>
      </c>
    </row>
    <row r="111" spans="1:19" s="4" customFormat="1" ht="36" customHeight="1" x14ac:dyDescent="0.25">
      <c r="A111" s="9" t="s">
        <v>69</v>
      </c>
      <c r="B111" s="13">
        <f>VLOOKUP(Table2[[#This Row],[Location 
(drop-down)]],'List source'!D$2:E$71,2,FALSE)</f>
        <v>141</v>
      </c>
      <c r="C111" s="11" t="s">
        <v>291</v>
      </c>
      <c r="D111" s="212" t="str">
        <f t="shared" si="1"/>
        <v>C109-141-25</v>
      </c>
      <c r="E111" s="11" t="s">
        <v>472</v>
      </c>
      <c r="F111" s="11"/>
      <c r="G111" s="9" t="s">
        <v>576</v>
      </c>
      <c r="H111" s="10" t="s">
        <v>458</v>
      </c>
      <c r="I111" s="20" t="s">
        <v>48</v>
      </c>
      <c r="J111" s="166">
        <v>45716</v>
      </c>
      <c r="K111" s="166"/>
      <c r="L111" s="166"/>
      <c r="M111" s="63">
        <v>45813</v>
      </c>
      <c r="N111" s="166"/>
      <c r="O111" s="63"/>
      <c r="P111" s="196"/>
      <c r="Q111" s="37"/>
      <c r="R111" s="93" t="s">
        <v>484</v>
      </c>
      <c r="S111" s="13" t="str">
        <f ca="1">IF(ISBLANK(Table2[[#This Row],[Complete corrective actions (Approved Date)]]), TODAY()-Table2[[#This Row],[CAR initialized date]], "CLOSED")</f>
        <v>CLOSED</v>
      </c>
    </row>
    <row r="112" spans="1:19" s="4" customFormat="1" ht="36" customHeight="1" x14ac:dyDescent="0.25">
      <c r="A112" s="9" t="s">
        <v>69</v>
      </c>
      <c r="B112" s="13">
        <f>VLOOKUP(Table2[[#This Row],[Location 
(drop-down)]],'List source'!D$2:E$71,2,FALSE)</f>
        <v>141</v>
      </c>
      <c r="C112" s="11" t="s">
        <v>294</v>
      </c>
      <c r="D112" s="212" t="str">
        <f t="shared" si="1"/>
        <v>C110-141-25</v>
      </c>
      <c r="E112" s="11" t="s">
        <v>472</v>
      </c>
      <c r="F112" s="11"/>
      <c r="G112" s="9" t="s">
        <v>577</v>
      </c>
      <c r="H112" s="10" t="s">
        <v>458</v>
      </c>
      <c r="I112" s="20" t="s">
        <v>48</v>
      </c>
      <c r="J112" s="166">
        <v>45716</v>
      </c>
      <c r="K112" s="166"/>
      <c r="L112" s="166"/>
      <c r="M112" s="63">
        <v>45791</v>
      </c>
      <c r="N112" s="166"/>
      <c r="O112" s="63"/>
      <c r="P112" s="196"/>
      <c r="Q112" s="37"/>
      <c r="R112" s="93" t="s">
        <v>467</v>
      </c>
      <c r="S112" s="13" t="str">
        <f ca="1">IF(ISBLANK(Table2[[#This Row],[Complete corrective actions (Approved Date)]]), TODAY()-Table2[[#This Row],[CAR initialized date]], "CLOSED")</f>
        <v>CLOSED</v>
      </c>
    </row>
    <row r="113" spans="1:19" s="4" customFormat="1" ht="36" customHeight="1" x14ac:dyDescent="0.25">
      <c r="A113" s="9" t="s">
        <v>69</v>
      </c>
      <c r="B113" s="13">
        <f>VLOOKUP(Table2[[#This Row],[Location 
(drop-down)]],'List source'!D$2:E$71,2,FALSE)</f>
        <v>141</v>
      </c>
      <c r="C113" s="11" t="s">
        <v>297</v>
      </c>
      <c r="D113" s="212" t="str">
        <f t="shared" si="1"/>
        <v>C111-141-25</v>
      </c>
      <c r="E113" s="11" t="s">
        <v>472</v>
      </c>
      <c r="F113" s="11"/>
      <c r="G113" s="9" t="s">
        <v>578</v>
      </c>
      <c r="H113" s="10" t="s">
        <v>455</v>
      </c>
      <c r="I113" s="20" t="s">
        <v>48</v>
      </c>
      <c r="J113" s="166">
        <v>45716</v>
      </c>
      <c r="K113" s="166"/>
      <c r="L113" s="166"/>
      <c r="M113" s="63">
        <v>45742</v>
      </c>
      <c r="N113" s="166"/>
      <c r="O113" s="63"/>
      <c r="P113" s="196"/>
      <c r="Q113" s="37"/>
      <c r="R113" s="93" t="s">
        <v>467</v>
      </c>
      <c r="S113" s="13" t="str">
        <f ca="1">IF(ISBLANK(Table2[[#This Row],[Complete corrective actions (Approved Date)]]), TODAY()-Table2[[#This Row],[CAR initialized date]], "CLOSED")</f>
        <v>CLOSED</v>
      </c>
    </row>
    <row r="114" spans="1:19" s="4" customFormat="1" ht="36" customHeight="1" x14ac:dyDescent="0.25">
      <c r="A114" s="9" t="s">
        <v>69</v>
      </c>
      <c r="B114" s="13">
        <f>VLOOKUP(Table2[[#This Row],[Location 
(drop-down)]],'List source'!D$2:E$71,2,FALSE)</f>
        <v>141</v>
      </c>
      <c r="C114" s="11" t="s">
        <v>299</v>
      </c>
      <c r="D114" s="212" t="str">
        <f t="shared" si="1"/>
        <v>C112-141-25</v>
      </c>
      <c r="E114" s="11" t="s">
        <v>472</v>
      </c>
      <c r="F114" s="11"/>
      <c r="G114" s="162" t="s">
        <v>579</v>
      </c>
      <c r="H114" s="10" t="s">
        <v>455</v>
      </c>
      <c r="I114" s="20" t="s">
        <v>48</v>
      </c>
      <c r="J114" s="166">
        <v>45716</v>
      </c>
      <c r="K114" s="166"/>
      <c r="L114" s="166"/>
      <c r="M114" s="63">
        <v>45742</v>
      </c>
      <c r="N114" s="166"/>
      <c r="O114" s="63"/>
      <c r="P114" s="196"/>
      <c r="Q114" s="37"/>
      <c r="R114" s="93" t="s">
        <v>484</v>
      </c>
      <c r="S114" s="13" t="str">
        <f ca="1">IF(ISBLANK(Table2[[#This Row],[Complete corrective actions (Approved Date)]]), TODAY()-Table2[[#This Row],[CAR initialized date]], "CLOSED")</f>
        <v>CLOSED</v>
      </c>
    </row>
    <row r="115" spans="1:19" s="4" customFormat="1" ht="36" customHeight="1" x14ac:dyDescent="0.25">
      <c r="A115" s="9" t="s">
        <v>73</v>
      </c>
      <c r="B115" s="13">
        <f>VLOOKUP(Table2[[#This Row],[Location 
(drop-down)]],'List source'!D$2:E$71,2,FALSE)</f>
        <v>142</v>
      </c>
      <c r="C115" s="11" t="s">
        <v>300</v>
      </c>
      <c r="D115" s="212" t="str">
        <f t="shared" si="1"/>
        <v>C113-142-25</v>
      </c>
      <c r="E115" s="11" t="s">
        <v>472</v>
      </c>
      <c r="F115" s="11"/>
      <c r="G115" s="9" t="s">
        <v>580</v>
      </c>
      <c r="H115" s="10" t="s">
        <v>494</v>
      </c>
      <c r="I115" s="20" t="s">
        <v>18</v>
      </c>
      <c r="J115" s="166">
        <v>45720</v>
      </c>
      <c r="K115" s="166" t="s">
        <v>503</v>
      </c>
      <c r="L115" s="166"/>
      <c r="M115" s="63">
        <v>46024</v>
      </c>
      <c r="N115" s="166" t="s">
        <v>503</v>
      </c>
      <c r="O115" s="63"/>
      <c r="P115" s="196"/>
      <c r="Q115" s="37"/>
      <c r="R115" s="93"/>
      <c r="S115" s="13" t="str">
        <f ca="1">IF(ISBLANK(Table2[[#This Row],[Complete corrective actions (Approved Date)]]), TODAY()-Table2[[#This Row],[CAR initialized date]], "CLOSED")</f>
        <v>CLOSED</v>
      </c>
    </row>
    <row r="116" spans="1:19" s="4" customFormat="1" ht="36" customHeight="1" x14ac:dyDescent="0.25">
      <c r="A116" s="9" t="s">
        <v>73</v>
      </c>
      <c r="B116" s="13">
        <f>VLOOKUP(Table2[[#This Row],[Location 
(drop-down)]],'List source'!D$2:E$71,2,FALSE)</f>
        <v>142</v>
      </c>
      <c r="C116" s="11" t="s">
        <v>301</v>
      </c>
      <c r="D116" s="212" t="str">
        <f t="shared" si="1"/>
        <v>C114-142-25</v>
      </c>
      <c r="E116" s="11" t="s">
        <v>472</v>
      </c>
      <c r="F116" s="11"/>
      <c r="G116" s="9" t="s">
        <v>581</v>
      </c>
      <c r="H116" s="10" t="s">
        <v>455</v>
      </c>
      <c r="I116" s="20" t="s">
        <v>18</v>
      </c>
      <c r="J116" s="166">
        <v>45720</v>
      </c>
      <c r="K116" s="166" t="s">
        <v>503</v>
      </c>
      <c r="L116" s="166" t="s">
        <v>503</v>
      </c>
      <c r="M116" s="63">
        <v>46029</v>
      </c>
      <c r="N116" s="166" t="s">
        <v>503</v>
      </c>
      <c r="O116" s="63"/>
      <c r="P116" s="196"/>
      <c r="Q116" s="37"/>
      <c r="R116" s="93"/>
      <c r="S116" s="13" t="str">
        <f ca="1">IF(ISBLANK(Table2[[#This Row],[Complete corrective actions (Approved Date)]]), TODAY()-Table2[[#This Row],[CAR initialized date]], "CLOSED")</f>
        <v>CLOSED</v>
      </c>
    </row>
    <row r="117" spans="1:19" s="4" customFormat="1" ht="36" customHeight="1" x14ac:dyDescent="0.25">
      <c r="A117" s="9" t="s">
        <v>73</v>
      </c>
      <c r="B117" s="13">
        <f>VLOOKUP(Table2[[#This Row],[Location 
(drop-down)]],'List source'!D$2:E$71,2,FALSE)</f>
        <v>142</v>
      </c>
      <c r="C117" s="11" t="s">
        <v>303</v>
      </c>
      <c r="D117" s="212" t="str">
        <f t="shared" si="1"/>
        <v>C115-142-25</v>
      </c>
      <c r="E117" s="11" t="s">
        <v>472</v>
      </c>
      <c r="F117" s="11"/>
      <c r="G117" s="9" t="s">
        <v>582</v>
      </c>
      <c r="H117" s="10" t="s">
        <v>455</v>
      </c>
      <c r="I117" s="20" t="s">
        <v>18</v>
      </c>
      <c r="J117" s="166">
        <v>45720</v>
      </c>
      <c r="K117" s="166" t="s">
        <v>503</v>
      </c>
      <c r="L117" s="166" t="s">
        <v>503</v>
      </c>
      <c r="M117" s="63">
        <v>46035</v>
      </c>
      <c r="N117" s="166" t="s">
        <v>503</v>
      </c>
      <c r="O117" s="63"/>
      <c r="P117" s="196"/>
      <c r="Q117" s="37"/>
      <c r="R117" s="93"/>
      <c r="S117" s="13" t="str">
        <f ca="1">IF(ISBLANK(Table2[[#This Row],[Complete corrective actions (Approved Date)]]), TODAY()-Table2[[#This Row],[CAR initialized date]], "CLOSED")</f>
        <v>CLOSED</v>
      </c>
    </row>
    <row r="118" spans="1:19" s="4" customFormat="1" ht="36" customHeight="1" x14ac:dyDescent="0.25">
      <c r="A118" s="9" t="s">
        <v>94</v>
      </c>
      <c r="B118" s="13">
        <f>VLOOKUP(Table2[[#This Row],[Location 
(drop-down)]],'List source'!D$2:E$71,2,FALSE)</f>
        <v>120</v>
      </c>
      <c r="C118" s="11" t="s">
        <v>304</v>
      </c>
      <c r="D118" s="212" t="str">
        <f t="shared" si="1"/>
        <v>C116-120-25</v>
      </c>
      <c r="E118" s="11" t="s">
        <v>519</v>
      </c>
      <c r="F118" s="11" t="s">
        <v>583</v>
      </c>
      <c r="G118" s="9" t="s">
        <v>584</v>
      </c>
      <c r="H118" s="10" t="s">
        <v>455</v>
      </c>
      <c r="I118" s="20" t="s">
        <v>27</v>
      </c>
      <c r="J118" s="166">
        <v>45721</v>
      </c>
      <c r="K118" s="166"/>
      <c r="L118" s="166"/>
      <c r="M118" s="63">
        <v>45758</v>
      </c>
      <c r="N118" s="166"/>
      <c r="O118" s="63"/>
      <c r="P118" s="196"/>
      <c r="Q118" s="37" t="s">
        <v>585</v>
      </c>
      <c r="R118" s="93" t="s">
        <v>467</v>
      </c>
      <c r="S118" s="13" t="str">
        <f ca="1">IF(ISBLANK(Table2[[#This Row],[Complete corrective actions (Approved Date)]]), TODAY()-Table2[[#This Row],[CAR initialized date]], "CLOSED")</f>
        <v>CLOSED</v>
      </c>
    </row>
    <row r="119" spans="1:19" s="4" customFormat="1" ht="42.75" customHeight="1" x14ac:dyDescent="0.25">
      <c r="A119" s="9" t="s">
        <v>94</v>
      </c>
      <c r="B119" s="13">
        <f>VLOOKUP(Table2[[#This Row],[Location 
(drop-down)]],'List source'!D$2:E$71,2,FALSE)</f>
        <v>120</v>
      </c>
      <c r="C119" s="11" t="s">
        <v>305</v>
      </c>
      <c r="D119" s="212" t="str">
        <f t="shared" si="1"/>
        <v>C117-120-25</v>
      </c>
      <c r="E119" s="11" t="s">
        <v>519</v>
      </c>
      <c r="F119" s="11" t="s">
        <v>583</v>
      </c>
      <c r="G119" s="9" t="s">
        <v>586</v>
      </c>
      <c r="H119" s="10" t="s">
        <v>455</v>
      </c>
      <c r="I119" s="20" t="s">
        <v>27</v>
      </c>
      <c r="J119" s="166">
        <v>45721</v>
      </c>
      <c r="K119" s="166"/>
      <c r="L119" s="166"/>
      <c r="M119" s="63">
        <v>45755</v>
      </c>
      <c r="N119" s="166"/>
      <c r="O119" s="63"/>
      <c r="P119" s="196"/>
      <c r="Q119" s="37" t="s">
        <v>585</v>
      </c>
      <c r="R119" s="93" t="s">
        <v>467</v>
      </c>
      <c r="S119" s="13" t="str">
        <f ca="1">IF(ISBLANK(Table2[[#This Row],[Complete corrective actions (Approved Date)]]), TODAY()-Table2[[#This Row],[CAR initialized date]], "CLOSED")</f>
        <v>CLOSED</v>
      </c>
    </row>
    <row r="120" spans="1:19" s="4" customFormat="1" ht="36" customHeight="1" x14ac:dyDescent="0.25">
      <c r="A120" s="9" t="s">
        <v>99</v>
      </c>
      <c r="B120" s="13">
        <f>VLOOKUP(Table2[[#This Row],[Location 
(drop-down)]],'List source'!D$2:E$71,2,FALSE)</f>
        <v>198</v>
      </c>
      <c r="C120" s="11" t="s">
        <v>306</v>
      </c>
      <c r="D120" s="212" t="str">
        <f t="shared" si="1"/>
        <v>C118-198-25</v>
      </c>
      <c r="E120" s="11" t="s">
        <v>465</v>
      </c>
      <c r="F120" s="11" t="s">
        <v>103</v>
      </c>
      <c r="G120" s="9" t="s">
        <v>587</v>
      </c>
      <c r="H120" s="10" t="s">
        <v>455</v>
      </c>
      <c r="I120" s="20" t="s">
        <v>101</v>
      </c>
      <c r="J120" s="166">
        <v>45723</v>
      </c>
      <c r="K120" s="166"/>
      <c r="L120" s="166"/>
      <c r="M120" s="63">
        <v>45755</v>
      </c>
      <c r="N120" s="166"/>
      <c r="O120" s="63"/>
      <c r="P120" s="196"/>
      <c r="Q120" s="37" t="s">
        <v>588</v>
      </c>
      <c r="R120" s="93" t="s">
        <v>467</v>
      </c>
      <c r="S120" s="13" t="str">
        <f ca="1">IF(ISBLANK(Table2[[#This Row],[Complete corrective actions (Approved Date)]]), TODAY()-Table2[[#This Row],[CAR initialized date]], "CLOSED")</f>
        <v>CLOSED</v>
      </c>
    </row>
    <row r="121" spans="1:19" s="4" customFormat="1" ht="36" customHeight="1" x14ac:dyDescent="0.25">
      <c r="A121" s="9" t="s">
        <v>99</v>
      </c>
      <c r="B121" s="13">
        <f>VLOOKUP(Table2[[#This Row],[Location 
(drop-down)]],'List source'!D$2:E$71,2,FALSE)</f>
        <v>198</v>
      </c>
      <c r="C121" s="11" t="s">
        <v>307</v>
      </c>
      <c r="D121" s="212" t="str">
        <f t="shared" si="1"/>
        <v>C119-198-25</v>
      </c>
      <c r="E121" s="11" t="s">
        <v>465</v>
      </c>
      <c r="F121" s="11" t="s">
        <v>103</v>
      </c>
      <c r="G121" s="9" t="s">
        <v>589</v>
      </c>
      <c r="H121" s="10" t="s">
        <v>455</v>
      </c>
      <c r="I121" s="20" t="s">
        <v>101</v>
      </c>
      <c r="J121" s="166">
        <v>45723</v>
      </c>
      <c r="K121" s="166"/>
      <c r="L121" s="166"/>
      <c r="M121" s="63">
        <v>45755</v>
      </c>
      <c r="N121" s="166"/>
      <c r="O121" s="63"/>
      <c r="P121" s="196"/>
      <c r="Q121" s="37" t="s">
        <v>588</v>
      </c>
      <c r="R121" s="93" t="s">
        <v>467</v>
      </c>
      <c r="S121" s="13" t="str">
        <f ca="1">IF(ISBLANK(Table2[[#This Row],[Complete corrective actions (Approved Date)]]), TODAY()-Table2[[#This Row],[CAR initialized date]], "CLOSED")</f>
        <v>CLOSED</v>
      </c>
    </row>
    <row r="122" spans="1:19" s="4" customFormat="1" ht="36" customHeight="1" x14ac:dyDescent="0.25">
      <c r="A122" s="9" t="s">
        <v>107</v>
      </c>
      <c r="B122" s="13">
        <f>VLOOKUP(Table2[[#This Row],[Location 
(drop-down)]],'List source'!D$2:E$71,2,FALSE)</f>
        <v>170</v>
      </c>
      <c r="C122" s="11" t="s">
        <v>309</v>
      </c>
      <c r="D122" s="212" t="str">
        <f t="shared" si="1"/>
        <v>C120-170-25</v>
      </c>
      <c r="E122" s="11" t="s">
        <v>452</v>
      </c>
      <c r="F122" s="11" t="s">
        <v>456</v>
      </c>
      <c r="G122" s="9" t="s">
        <v>590</v>
      </c>
      <c r="H122" s="10" t="s">
        <v>455</v>
      </c>
      <c r="I122" s="20" t="s">
        <v>109</v>
      </c>
      <c r="J122" s="166">
        <v>45727</v>
      </c>
      <c r="K122" s="166"/>
      <c r="L122" s="166"/>
      <c r="M122" s="63">
        <v>45777</v>
      </c>
      <c r="N122" s="166"/>
      <c r="O122" s="63"/>
      <c r="P122" s="196"/>
      <c r="Q122" s="37" t="s">
        <v>591</v>
      </c>
      <c r="R122" s="93"/>
      <c r="S122" s="13" t="str">
        <f ca="1">IF(ISBLANK(Table2[[#This Row],[Complete corrective actions (Approved Date)]]), TODAY()-Table2[[#This Row],[CAR initialized date]], "CLOSED")</f>
        <v>CLOSED</v>
      </c>
    </row>
    <row r="123" spans="1:19" s="4" customFormat="1" ht="36" customHeight="1" x14ac:dyDescent="0.25">
      <c r="A123" s="9" t="s">
        <v>91</v>
      </c>
      <c r="B123" s="13">
        <f>VLOOKUP(Table2[[#This Row],[Location 
(drop-down)]],'List source'!D$2:E$71,2,FALSE)</f>
        <v>190</v>
      </c>
      <c r="C123" s="11" t="s">
        <v>311</v>
      </c>
      <c r="D123" s="212" t="str">
        <f t="shared" si="1"/>
        <v>C121-190-25</v>
      </c>
      <c r="E123" s="11" t="s">
        <v>472</v>
      </c>
      <c r="F123" s="11"/>
      <c r="G123" s="9" t="s">
        <v>592</v>
      </c>
      <c r="H123" s="10" t="s">
        <v>458</v>
      </c>
      <c r="I123" s="20" t="s">
        <v>35</v>
      </c>
      <c r="J123" s="166">
        <v>45727</v>
      </c>
      <c r="K123" s="166"/>
      <c r="L123" s="166"/>
      <c r="M123" s="63">
        <v>45785</v>
      </c>
      <c r="N123" s="166"/>
      <c r="O123" s="63"/>
      <c r="P123" s="196"/>
      <c r="Q123" s="37"/>
      <c r="R123" s="93" t="s">
        <v>467</v>
      </c>
      <c r="S123" s="13" t="str">
        <f ca="1">IF(ISBLANK(Table2[[#This Row],[Complete corrective actions (Approved Date)]]), TODAY()-Table2[[#This Row],[CAR initialized date]], "CLOSED")</f>
        <v>CLOSED</v>
      </c>
    </row>
    <row r="124" spans="1:19" s="4" customFormat="1" ht="36" customHeight="1" x14ac:dyDescent="0.25">
      <c r="A124" s="9" t="s">
        <v>91</v>
      </c>
      <c r="B124" s="13">
        <f>VLOOKUP(Table2[[#This Row],[Location 
(drop-down)]],'List source'!D$2:E$71,2,FALSE)</f>
        <v>190</v>
      </c>
      <c r="C124" s="11" t="s">
        <v>312</v>
      </c>
      <c r="D124" s="212" t="str">
        <f t="shared" si="1"/>
        <v>C122-190-25</v>
      </c>
      <c r="E124" s="11" t="s">
        <v>472</v>
      </c>
      <c r="F124" s="11"/>
      <c r="G124" s="9" t="s">
        <v>593</v>
      </c>
      <c r="H124" s="10" t="s">
        <v>458</v>
      </c>
      <c r="I124" s="20" t="s">
        <v>35</v>
      </c>
      <c r="J124" s="166">
        <v>45727</v>
      </c>
      <c r="K124" s="166"/>
      <c r="L124" s="166"/>
      <c r="M124" s="63">
        <v>45786</v>
      </c>
      <c r="N124" s="166"/>
      <c r="O124" s="63"/>
      <c r="P124" s="196"/>
      <c r="Q124" s="37"/>
      <c r="R124" s="93" t="s">
        <v>467</v>
      </c>
      <c r="S124" s="13" t="str">
        <f ca="1">IF(ISBLANK(Table2[[#This Row],[Complete corrective actions (Approved Date)]]), TODAY()-Table2[[#This Row],[CAR initialized date]], "CLOSED")</f>
        <v>CLOSED</v>
      </c>
    </row>
    <row r="125" spans="1:19" s="4" customFormat="1" ht="20.100000000000001" customHeight="1" x14ac:dyDescent="0.25">
      <c r="A125" s="9" t="s">
        <v>91</v>
      </c>
      <c r="B125" s="13">
        <f>VLOOKUP(Table2[[#This Row],[Location 
(drop-down)]],'List source'!D$2:E$71,2,FALSE)</f>
        <v>190</v>
      </c>
      <c r="C125" s="11" t="s">
        <v>314</v>
      </c>
      <c r="D125" s="212" t="str">
        <f t="shared" si="1"/>
        <v>C123-190-25</v>
      </c>
      <c r="E125" s="11" t="s">
        <v>472</v>
      </c>
      <c r="F125" s="11"/>
      <c r="G125" s="9" t="s">
        <v>594</v>
      </c>
      <c r="H125" s="10" t="s">
        <v>458</v>
      </c>
      <c r="I125" s="20" t="s">
        <v>35</v>
      </c>
      <c r="J125" s="166">
        <v>45727</v>
      </c>
      <c r="K125" s="166"/>
      <c r="L125" s="166"/>
      <c r="M125" s="63">
        <v>45786</v>
      </c>
      <c r="N125" s="166"/>
      <c r="O125" s="63"/>
      <c r="P125" s="196"/>
      <c r="Q125" s="37"/>
      <c r="R125" s="93" t="s">
        <v>467</v>
      </c>
      <c r="S125" s="13" t="str">
        <f ca="1">IF(ISBLANK(Table2[[#This Row],[Complete corrective actions (Approved Date)]]), TODAY()-Table2[[#This Row],[CAR initialized date]], "CLOSED")</f>
        <v>CLOSED</v>
      </c>
    </row>
    <row r="126" spans="1:19" s="4" customFormat="1" ht="36" customHeight="1" x14ac:dyDescent="0.25">
      <c r="A126" s="9" t="s">
        <v>91</v>
      </c>
      <c r="B126" s="13">
        <f>VLOOKUP(Table2[[#This Row],[Location 
(drop-down)]],'List source'!D$2:E$71,2,FALSE)</f>
        <v>190</v>
      </c>
      <c r="C126" s="11" t="s">
        <v>316</v>
      </c>
      <c r="D126" s="212" t="str">
        <f t="shared" si="1"/>
        <v>C124-190-25</v>
      </c>
      <c r="E126" s="11" t="s">
        <v>472</v>
      </c>
      <c r="F126" s="11"/>
      <c r="G126" s="9" t="s">
        <v>595</v>
      </c>
      <c r="H126" s="10" t="s">
        <v>458</v>
      </c>
      <c r="I126" s="20" t="s">
        <v>35</v>
      </c>
      <c r="J126" s="166">
        <v>45727</v>
      </c>
      <c r="K126" s="166"/>
      <c r="L126" s="166"/>
      <c r="M126" s="63">
        <v>45797</v>
      </c>
      <c r="N126" s="166"/>
      <c r="O126" s="63"/>
      <c r="P126" s="196"/>
      <c r="Q126" s="37"/>
      <c r="R126" s="93" t="s">
        <v>467</v>
      </c>
      <c r="S126" s="13" t="str">
        <f ca="1">IF(ISBLANK(Table2[[#This Row],[Complete corrective actions (Approved Date)]]), TODAY()-Table2[[#This Row],[CAR initialized date]], "CLOSED")</f>
        <v>CLOSED</v>
      </c>
    </row>
    <row r="127" spans="1:19" s="4" customFormat="1" ht="36" customHeight="1" x14ac:dyDescent="0.25">
      <c r="A127" s="9" t="s">
        <v>91</v>
      </c>
      <c r="B127" s="13">
        <f>VLOOKUP(Table2[[#This Row],[Location 
(drop-down)]],'List source'!D$2:E$71,2,FALSE)</f>
        <v>190</v>
      </c>
      <c r="C127" s="11" t="s">
        <v>318</v>
      </c>
      <c r="D127" s="212" t="str">
        <f t="shared" si="1"/>
        <v>C125-190-25</v>
      </c>
      <c r="E127" s="11" t="s">
        <v>472</v>
      </c>
      <c r="F127" s="11"/>
      <c r="G127" s="207">
        <v>45727</v>
      </c>
      <c r="H127" s="10" t="s">
        <v>455</v>
      </c>
      <c r="I127" s="20" t="s">
        <v>35</v>
      </c>
      <c r="J127" s="166">
        <v>45727</v>
      </c>
      <c r="K127" s="166"/>
      <c r="L127" s="166"/>
      <c r="M127" s="63">
        <v>45785</v>
      </c>
      <c r="N127" s="166"/>
      <c r="O127" s="63"/>
      <c r="P127" s="196"/>
      <c r="Q127" s="37"/>
      <c r="R127" s="93" t="s">
        <v>484</v>
      </c>
      <c r="S127" s="13" t="str">
        <f ca="1">IF(ISBLANK(Table2[[#This Row],[Complete corrective actions (Approved Date)]]), TODAY()-Table2[[#This Row],[CAR initialized date]], "CLOSED")</f>
        <v>CLOSED</v>
      </c>
    </row>
    <row r="128" spans="1:19" s="4" customFormat="1" ht="36" customHeight="1" x14ac:dyDescent="0.25">
      <c r="A128" s="9" t="s">
        <v>91</v>
      </c>
      <c r="B128" s="13">
        <f>VLOOKUP(Table2[[#This Row],[Location 
(drop-down)]],'List source'!D$2:E$71,2,FALSE)</f>
        <v>190</v>
      </c>
      <c r="C128" s="11" t="s">
        <v>320</v>
      </c>
      <c r="D128" s="212" t="str">
        <f t="shared" si="1"/>
        <v>C126-190-25</v>
      </c>
      <c r="E128" s="11" t="s">
        <v>472</v>
      </c>
      <c r="F128" s="11"/>
      <c r="G128" s="9" t="s">
        <v>596</v>
      </c>
      <c r="H128" s="10" t="s">
        <v>455</v>
      </c>
      <c r="I128" s="20" t="s">
        <v>35</v>
      </c>
      <c r="J128" s="166">
        <v>45727</v>
      </c>
      <c r="K128" s="166"/>
      <c r="L128" s="166"/>
      <c r="M128" s="63"/>
      <c r="N128" s="166"/>
      <c r="O128" s="63"/>
      <c r="P128" s="196"/>
      <c r="Q128" s="37"/>
      <c r="R128" s="93"/>
      <c r="S128" s="13">
        <f ca="1">IF(ISBLANK(Table2[[#This Row],[Complete corrective actions (Approved Date)]]), TODAY()-Table2[[#This Row],[CAR initialized date]], "CLOSED")</f>
        <v>350</v>
      </c>
    </row>
    <row r="129" spans="1:19" s="4" customFormat="1" ht="36" customHeight="1" x14ac:dyDescent="0.25">
      <c r="A129" s="9" t="s">
        <v>91</v>
      </c>
      <c r="B129" s="13">
        <f>VLOOKUP(Table2[[#This Row],[Location 
(drop-down)]],'List source'!D$2:E$71,2,FALSE)</f>
        <v>190</v>
      </c>
      <c r="C129" s="11" t="s">
        <v>321</v>
      </c>
      <c r="D129" s="212" t="str">
        <f t="shared" si="1"/>
        <v>C127-190-25</v>
      </c>
      <c r="E129" s="11" t="s">
        <v>472</v>
      </c>
      <c r="F129" s="11"/>
      <c r="G129" s="9" t="s">
        <v>597</v>
      </c>
      <c r="H129" s="10" t="s">
        <v>455</v>
      </c>
      <c r="I129" s="20" t="s">
        <v>35</v>
      </c>
      <c r="J129" s="166">
        <v>45727</v>
      </c>
      <c r="K129" s="166"/>
      <c r="L129" s="166"/>
      <c r="M129" s="63">
        <v>45780</v>
      </c>
      <c r="N129" s="166"/>
      <c r="O129" s="63"/>
      <c r="P129" s="196"/>
      <c r="Q129" s="37"/>
      <c r="R129" s="93" t="s">
        <v>467</v>
      </c>
      <c r="S129" s="13" t="str">
        <f ca="1">IF(ISBLANK(Table2[[#This Row],[Complete corrective actions (Approved Date)]]), TODAY()-Table2[[#This Row],[CAR initialized date]], "CLOSED")</f>
        <v>CLOSED</v>
      </c>
    </row>
    <row r="130" spans="1:19" s="4" customFormat="1" ht="36" customHeight="1" x14ac:dyDescent="0.25">
      <c r="A130" s="9" t="s">
        <v>91</v>
      </c>
      <c r="B130" s="13">
        <f>VLOOKUP(Table2[[#This Row],[Location 
(drop-down)]],'List source'!D$2:E$71,2,FALSE)</f>
        <v>190</v>
      </c>
      <c r="C130" s="11" t="s">
        <v>322</v>
      </c>
      <c r="D130" s="212" t="str">
        <f t="shared" ref="D130:D193" si="2">"C" &amp; C130 &amp;"-" &amp; B130 &amp; "-" &amp; "25"</f>
        <v>C128-190-25</v>
      </c>
      <c r="E130" s="11" t="s">
        <v>472</v>
      </c>
      <c r="F130" s="11"/>
      <c r="G130" s="9" t="s">
        <v>598</v>
      </c>
      <c r="H130" s="10" t="s">
        <v>455</v>
      </c>
      <c r="I130" s="20" t="s">
        <v>35</v>
      </c>
      <c r="J130" s="166">
        <v>45727</v>
      </c>
      <c r="K130" s="166"/>
      <c r="L130" s="166"/>
      <c r="M130" s="63">
        <v>45742</v>
      </c>
      <c r="N130" s="166"/>
      <c r="O130" s="63"/>
      <c r="P130" s="196"/>
      <c r="Q130" s="37"/>
      <c r="R130" s="93" t="s">
        <v>484</v>
      </c>
      <c r="S130" s="13" t="str">
        <f ca="1">IF(ISBLANK(Table2[[#This Row],[Complete corrective actions (Approved Date)]]), TODAY()-Table2[[#This Row],[CAR initialized date]], "CLOSED")</f>
        <v>CLOSED</v>
      </c>
    </row>
    <row r="131" spans="1:19" s="4" customFormat="1" ht="36" customHeight="1" x14ac:dyDescent="0.25">
      <c r="A131" s="9" t="s">
        <v>91</v>
      </c>
      <c r="B131" s="13">
        <f>VLOOKUP(Table2[[#This Row],[Location 
(drop-down)]],'List source'!D$2:E$71,2,FALSE)</f>
        <v>190</v>
      </c>
      <c r="C131" s="11" t="s">
        <v>324</v>
      </c>
      <c r="D131" s="212" t="str">
        <f t="shared" si="2"/>
        <v>C129-190-25</v>
      </c>
      <c r="E131" s="11" t="s">
        <v>472</v>
      </c>
      <c r="F131" s="11"/>
      <c r="G131" s="9" t="s">
        <v>599</v>
      </c>
      <c r="H131" s="10" t="s">
        <v>455</v>
      </c>
      <c r="I131" s="20" t="s">
        <v>35</v>
      </c>
      <c r="J131" s="166">
        <v>45727</v>
      </c>
      <c r="K131" s="166"/>
      <c r="L131" s="166"/>
      <c r="M131" s="63">
        <v>45791</v>
      </c>
      <c r="N131" s="166"/>
      <c r="O131" s="63"/>
      <c r="P131" s="196"/>
      <c r="Q131" s="37"/>
      <c r="R131" s="93" t="s">
        <v>467</v>
      </c>
      <c r="S131" s="13" t="str">
        <f ca="1">IF(ISBLANK(Table2[[#This Row],[Complete corrective actions (Approved Date)]]), TODAY()-Table2[[#This Row],[CAR initialized date]], "CLOSED")</f>
        <v>CLOSED</v>
      </c>
    </row>
    <row r="132" spans="1:19" s="4" customFormat="1" ht="36" customHeight="1" x14ac:dyDescent="0.25">
      <c r="A132" s="9" t="s">
        <v>91</v>
      </c>
      <c r="B132" s="13">
        <f>VLOOKUP(Table2[[#This Row],[Location 
(drop-down)]],'List source'!D$2:E$71,2,FALSE)</f>
        <v>190</v>
      </c>
      <c r="C132" s="11" t="s">
        <v>326</v>
      </c>
      <c r="D132" s="212" t="str">
        <f t="shared" si="2"/>
        <v>C130-190-25</v>
      </c>
      <c r="E132" s="11" t="s">
        <v>472</v>
      </c>
      <c r="F132" s="11"/>
      <c r="G132" s="9" t="s">
        <v>600</v>
      </c>
      <c r="H132" s="10" t="s">
        <v>455</v>
      </c>
      <c r="I132" s="20" t="s">
        <v>35</v>
      </c>
      <c r="J132" s="166">
        <v>45727</v>
      </c>
      <c r="K132" s="166"/>
      <c r="L132" s="166"/>
      <c r="M132" s="63">
        <v>45794</v>
      </c>
      <c r="N132" s="166"/>
      <c r="O132" s="63"/>
      <c r="P132" s="196"/>
      <c r="Q132" s="37"/>
      <c r="R132" s="93" t="s">
        <v>530</v>
      </c>
      <c r="S132" s="13" t="str">
        <f ca="1">IF(ISBLANK(Table2[[#This Row],[Complete corrective actions (Approved Date)]]), TODAY()-Table2[[#This Row],[CAR initialized date]], "CLOSED")</f>
        <v>CLOSED</v>
      </c>
    </row>
    <row r="133" spans="1:19" s="4" customFormat="1" ht="36" customHeight="1" x14ac:dyDescent="0.25">
      <c r="A133" s="9" t="s">
        <v>91</v>
      </c>
      <c r="B133" s="13">
        <f>VLOOKUP(Table2[[#This Row],[Location 
(drop-down)]],'List source'!D$2:E$71,2,FALSE)</f>
        <v>190</v>
      </c>
      <c r="C133" s="11" t="s">
        <v>327</v>
      </c>
      <c r="D133" s="212" t="str">
        <f t="shared" si="2"/>
        <v>C131-190-25</v>
      </c>
      <c r="E133" s="11" t="s">
        <v>472</v>
      </c>
      <c r="F133" s="11"/>
      <c r="G133" s="9" t="s">
        <v>601</v>
      </c>
      <c r="H133" s="10" t="s">
        <v>455</v>
      </c>
      <c r="I133" s="20" t="s">
        <v>35</v>
      </c>
      <c r="J133" s="166">
        <v>45727</v>
      </c>
      <c r="K133" s="166"/>
      <c r="L133" s="166"/>
      <c r="M133" s="63">
        <v>45742</v>
      </c>
      <c r="N133" s="166"/>
      <c r="O133" s="63"/>
      <c r="P133" s="196"/>
      <c r="Q133" s="37"/>
      <c r="R133" s="93" t="s">
        <v>467</v>
      </c>
      <c r="S133" s="13" t="str">
        <f ca="1">IF(ISBLANK(Table2[[#This Row],[Complete corrective actions (Approved Date)]]), TODAY()-Table2[[#This Row],[CAR initialized date]], "CLOSED")</f>
        <v>CLOSED</v>
      </c>
    </row>
    <row r="134" spans="1:19" s="4" customFormat="1" ht="36" customHeight="1" x14ac:dyDescent="0.25">
      <c r="A134" s="9" t="s">
        <v>141</v>
      </c>
      <c r="B134" s="13">
        <f>VLOOKUP(Table2[[#This Row],[Location 
(drop-down)]],'List source'!D$2:E$71,2,FALSE)</f>
        <v>165</v>
      </c>
      <c r="C134" s="11" t="s">
        <v>331</v>
      </c>
      <c r="D134" s="212" t="str">
        <f t="shared" si="2"/>
        <v>C132-165-25</v>
      </c>
      <c r="E134" s="11" t="s">
        <v>460</v>
      </c>
      <c r="F134" s="11" t="s">
        <v>602</v>
      </c>
      <c r="G134" s="9" t="s">
        <v>603</v>
      </c>
      <c r="H134" s="10" t="s">
        <v>458</v>
      </c>
      <c r="I134" s="20" t="s">
        <v>82</v>
      </c>
      <c r="J134" s="166">
        <v>45727</v>
      </c>
      <c r="K134" s="166"/>
      <c r="L134" s="166"/>
      <c r="M134" s="63">
        <v>45775</v>
      </c>
      <c r="N134" s="166"/>
      <c r="O134" s="63"/>
      <c r="P134" s="196"/>
      <c r="Q134" s="37"/>
      <c r="R134" s="93"/>
      <c r="S134" s="13" t="str">
        <f ca="1">IF(ISBLANK(Table2[[#This Row],[Complete corrective actions (Approved Date)]]), TODAY()-Table2[[#This Row],[CAR initialized date]], "CLOSED")</f>
        <v>CLOSED</v>
      </c>
    </row>
    <row r="135" spans="1:19" s="4" customFormat="1" ht="36" customHeight="1" x14ac:dyDescent="0.25">
      <c r="A135" s="9" t="s">
        <v>117</v>
      </c>
      <c r="B135" s="13">
        <f>VLOOKUP(Table2[[#This Row],[Location 
(drop-down)]],'List source'!D$2:E$71,2,FALSE)</f>
        <v>125</v>
      </c>
      <c r="C135" s="11" t="s">
        <v>335</v>
      </c>
      <c r="D135" s="212" t="str">
        <f t="shared" si="2"/>
        <v>C133-125-25</v>
      </c>
      <c r="E135" s="11" t="s">
        <v>472</v>
      </c>
      <c r="F135" s="11"/>
      <c r="G135" s="9" t="s">
        <v>604</v>
      </c>
      <c r="H135" s="10" t="s">
        <v>458</v>
      </c>
      <c r="I135" s="20" t="s">
        <v>35</v>
      </c>
      <c r="J135" s="166">
        <v>45740</v>
      </c>
      <c r="K135" s="166" t="s">
        <v>503</v>
      </c>
      <c r="L135" s="166"/>
      <c r="M135" s="190">
        <v>46014</v>
      </c>
      <c r="N135" s="166" t="s">
        <v>503</v>
      </c>
      <c r="O135" s="63"/>
      <c r="P135" s="260"/>
      <c r="Q135" s="37"/>
      <c r="R135" s="93"/>
      <c r="S135" s="13" t="str">
        <f ca="1">IF(ISBLANK(Table2[[#This Row],[Complete corrective actions (Approved Date)]]), TODAY()-Table2[[#This Row],[CAR initialized date]], "CLOSED")</f>
        <v>CLOSED</v>
      </c>
    </row>
    <row r="136" spans="1:19" s="4" customFormat="1" ht="36" customHeight="1" x14ac:dyDescent="0.25">
      <c r="A136" s="9" t="s">
        <v>117</v>
      </c>
      <c r="B136" s="13">
        <f>VLOOKUP(Table2[[#This Row],[Location 
(drop-down)]],'List source'!D$2:E$71,2,FALSE)</f>
        <v>125</v>
      </c>
      <c r="C136" s="11" t="s">
        <v>337</v>
      </c>
      <c r="D136" s="212" t="str">
        <f t="shared" si="2"/>
        <v>C134-125-25</v>
      </c>
      <c r="E136" s="11" t="s">
        <v>472</v>
      </c>
      <c r="F136" s="11"/>
      <c r="G136" s="9" t="s">
        <v>511</v>
      </c>
      <c r="H136" s="10" t="s">
        <v>458</v>
      </c>
      <c r="I136" s="20" t="s">
        <v>35</v>
      </c>
      <c r="J136" s="166">
        <v>45740</v>
      </c>
      <c r="K136" s="166" t="s">
        <v>503</v>
      </c>
      <c r="L136" s="166"/>
      <c r="M136" s="63">
        <v>46014</v>
      </c>
      <c r="N136" s="166" t="s">
        <v>503</v>
      </c>
      <c r="O136" s="63"/>
      <c r="P136" s="196"/>
      <c r="Q136" s="37"/>
      <c r="R136" s="93"/>
      <c r="S136" s="13" t="str">
        <f ca="1">IF(ISBLANK(Table2[[#This Row],[Complete corrective actions (Approved Date)]]), TODAY()-Table2[[#This Row],[CAR initialized date]], "CLOSED")</f>
        <v>CLOSED</v>
      </c>
    </row>
    <row r="137" spans="1:19" s="4" customFormat="1" ht="36" customHeight="1" x14ac:dyDescent="0.25">
      <c r="A137" s="9" t="s">
        <v>117</v>
      </c>
      <c r="B137" s="13">
        <f>VLOOKUP(Table2[[#This Row],[Location 
(drop-down)]],'List source'!D$2:E$71,2,FALSE)</f>
        <v>125</v>
      </c>
      <c r="C137" s="11" t="s">
        <v>339</v>
      </c>
      <c r="D137" s="212" t="str">
        <f t="shared" si="2"/>
        <v>C135-125-25</v>
      </c>
      <c r="E137" s="11" t="s">
        <v>472</v>
      </c>
      <c r="F137" s="11"/>
      <c r="G137" s="169" t="s">
        <v>605</v>
      </c>
      <c r="H137" s="11" t="s">
        <v>455</v>
      </c>
      <c r="I137" s="20" t="s">
        <v>35</v>
      </c>
      <c r="J137" s="166">
        <v>45740</v>
      </c>
      <c r="K137" s="166"/>
      <c r="L137" s="166"/>
      <c r="M137" s="63">
        <v>45764</v>
      </c>
      <c r="N137" s="166"/>
      <c r="O137" s="63"/>
      <c r="P137" s="277"/>
      <c r="Q137" s="37"/>
      <c r="R137" s="93" t="s">
        <v>484</v>
      </c>
      <c r="S137" s="13" t="str">
        <f ca="1">IF(ISBLANK(Table2[[#This Row],[Complete corrective actions (Approved Date)]]), TODAY()-Table2[[#This Row],[CAR initialized date]], "CLOSED")</f>
        <v>CLOSED</v>
      </c>
    </row>
    <row r="138" spans="1:19" s="4" customFormat="1" ht="36" customHeight="1" x14ac:dyDescent="0.25">
      <c r="A138" s="9" t="s">
        <v>117</v>
      </c>
      <c r="B138" s="13">
        <f>VLOOKUP(Table2[[#This Row],[Location 
(drop-down)]],'List source'!D$2:E$71,2,FALSE)</f>
        <v>125</v>
      </c>
      <c r="C138" s="11" t="s">
        <v>340</v>
      </c>
      <c r="D138" s="212" t="str">
        <f t="shared" si="2"/>
        <v>C136-125-25</v>
      </c>
      <c r="E138" s="11" t="s">
        <v>472</v>
      </c>
      <c r="F138" s="11"/>
      <c r="G138" s="9" t="s">
        <v>606</v>
      </c>
      <c r="H138" s="10" t="s">
        <v>455</v>
      </c>
      <c r="I138" s="20" t="s">
        <v>35</v>
      </c>
      <c r="J138" s="166">
        <v>45740</v>
      </c>
      <c r="K138" s="166" t="s">
        <v>503</v>
      </c>
      <c r="L138" s="166"/>
      <c r="M138" s="63">
        <v>46014</v>
      </c>
      <c r="N138" s="166" t="s">
        <v>503</v>
      </c>
      <c r="O138" s="63"/>
      <c r="P138" s="196"/>
      <c r="Q138" s="37"/>
      <c r="R138" s="93"/>
      <c r="S138" s="13" t="str">
        <f ca="1">IF(ISBLANK(Table2[[#This Row],[Complete corrective actions (Approved Date)]]), TODAY()-Table2[[#This Row],[CAR initialized date]], "CLOSED")</f>
        <v>CLOSED</v>
      </c>
    </row>
    <row r="139" spans="1:19" s="4" customFormat="1" ht="36" customHeight="1" x14ac:dyDescent="0.25">
      <c r="A139" s="9" t="s">
        <v>117</v>
      </c>
      <c r="B139" s="13">
        <f>VLOOKUP(Table2[[#This Row],[Location 
(drop-down)]],'List source'!D$2:E$71,2,FALSE)</f>
        <v>125</v>
      </c>
      <c r="C139" s="11" t="s">
        <v>342</v>
      </c>
      <c r="D139" s="212" t="str">
        <f t="shared" si="2"/>
        <v>C137-125-25</v>
      </c>
      <c r="E139" s="11" t="s">
        <v>472</v>
      </c>
      <c r="F139" s="163"/>
      <c r="G139" s="9" t="s">
        <v>607</v>
      </c>
      <c r="H139" s="10" t="s">
        <v>455</v>
      </c>
      <c r="I139" s="20" t="s">
        <v>35</v>
      </c>
      <c r="J139" s="166">
        <v>45740</v>
      </c>
      <c r="K139" s="166"/>
      <c r="L139" s="166"/>
      <c r="M139" s="63">
        <v>45758</v>
      </c>
      <c r="N139" s="166"/>
      <c r="O139" s="63"/>
      <c r="P139" s="188"/>
      <c r="Q139" s="37"/>
      <c r="R139" s="93" t="s">
        <v>467</v>
      </c>
      <c r="S139" s="13" t="str">
        <f ca="1">IF(ISBLANK(Table2[[#This Row],[Complete corrective actions (Approved Date)]]), TODAY()-Table2[[#This Row],[CAR initialized date]], "CLOSED")</f>
        <v>CLOSED</v>
      </c>
    </row>
    <row r="140" spans="1:19" s="4" customFormat="1" ht="36" customHeight="1" x14ac:dyDescent="0.25">
      <c r="A140" s="9" t="s">
        <v>117</v>
      </c>
      <c r="B140" s="13">
        <f>VLOOKUP(Table2[[#This Row],[Location 
(drop-down)]],'List source'!D$2:E$71,2,FALSE)</f>
        <v>125</v>
      </c>
      <c r="C140" s="11" t="s">
        <v>344</v>
      </c>
      <c r="D140" s="212" t="str">
        <f t="shared" si="2"/>
        <v>C138-125-25</v>
      </c>
      <c r="E140" s="164" t="s">
        <v>472</v>
      </c>
      <c r="F140" s="235"/>
      <c r="G140" s="240" t="s">
        <v>608</v>
      </c>
      <c r="H140" s="10" t="s">
        <v>455</v>
      </c>
      <c r="I140" s="20" t="s">
        <v>35</v>
      </c>
      <c r="J140" s="166">
        <v>45740</v>
      </c>
      <c r="K140" s="166"/>
      <c r="L140" s="166"/>
      <c r="M140" s="63"/>
      <c r="N140" s="166"/>
      <c r="O140" s="63"/>
      <c r="P140" s="196"/>
      <c r="Q140" s="250"/>
      <c r="R140" s="93"/>
      <c r="S140" s="13">
        <f ca="1">IF(ISBLANK(Table2[[#This Row],[Complete corrective actions (Approved Date)]]), TODAY()-Table2[[#This Row],[CAR initialized date]], "CLOSED")</f>
        <v>337</v>
      </c>
    </row>
    <row r="141" spans="1:19" s="4" customFormat="1" ht="36" customHeight="1" x14ac:dyDescent="0.25">
      <c r="A141" s="9" t="s">
        <v>117</v>
      </c>
      <c r="B141" s="13">
        <f>VLOOKUP(Table2[[#This Row],[Location 
(drop-down)]],'List source'!D$2:E$71,2,FALSE)</f>
        <v>125</v>
      </c>
      <c r="C141" s="11" t="s">
        <v>348</v>
      </c>
      <c r="D141" s="212" t="str">
        <f t="shared" si="2"/>
        <v>C139-125-25</v>
      </c>
      <c r="E141" s="164" t="s">
        <v>472</v>
      </c>
      <c r="F141" s="235"/>
      <c r="G141" s="240" t="s">
        <v>571</v>
      </c>
      <c r="H141" s="10" t="s">
        <v>455</v>
      </c>
      <c r="I141" s="20" t="s">
        <v>35</v>
      </c>
      <c r="J141" s="166">
        <v>45740</v>
      </c>
      <c r="K141" s="166" t="s">
        <v>503</v>
      </c>
      <c r="L141" s="166"/>
      <c r="M141" s="63">
        <v>46014</v>
      </c>
      <c r="N141" s="166" t="s">
        <v>503</v>
      </c>
      <c r="O141" s="63"/>
      <c r="P141" s="196"/>
      <c r="Q141" s="37"/>
      <c r="R141" s="93"/>
      <c r="S141" s="13" t="str">
        <f ca="1">IF(ISBLANK(Table2[[#This Row],[Complete corrective actions (Approved Date)]]), TODAY()-Table2[[#This Row],[CAR initialized date]], "CLOSED")</f>
        <v>CLOSED</v>
      </c>
    </row>
    <row r="142" spans="1:19" s="4" customFormat="1" ht="36" customHeight="1" x14ac:dyDescent="0.25">
      <c r="A142" s="9" t="s">
        <v>76</v>
      </c>
      <c r="B142" s="13">
        <f>VLOOKUP(Table2[[#This Row],[Location 
(drop-down)]],'List source'!D$2:E$71,2,FALSE)</f>
        <v>157</v>
      </c>
      <c r="C142" s="11" t="s">
        <v>349</v>
      </c>
      <c r="D142" s="212" t="str">
        <f t="shared" si="2"/>
        <v>C140-157-25</v>
      </c>
      <c r="E142" s="164" t="s">
        <v>452</v>
      </c>
      <c r="F142" s="236" t="s">
        <v>609</v>
      </c>
      <c r="G142" s="239" t="s">
        <v>610</v>
      </c>
      <c r="H142" s="10" t="s">
        <v>458</v>
      </c>
      <c r="I142" s="20" t="s">
        <v>35</v>
      </c>
      <c r="J142" s="166">
        <v>45734</v>
      </c>
      <c r="K142" s="166"/>
      <c r="L142" s="166"/>
      <c r="M142" s="63">
        <v>45744</v>
      </c>
      <c r="N142" s="166"/>
      <c r="O142" s="63"/>
      <c r="P142" s="196"/>
      <c r="Q142" s="37"/>
      <c r="R142" s="93"/>
      <c r="S142" s="13" t="str">
        <f ca="1">IF(ISBLANK(Table2[[#This Row],[Complete corrective actions (Approved Date)]]), TODAY()-Table2[[#This Row],[CAR initialized date]], "CLOSED")</f>
        <v>CLOSED</v>
      </c>
    </row>
    <row r="143" spans="1:19" s="4" customFormat="1" ht="36" customHeight="1" x14ac:dyDescent="0.25">
      <c r="A143" s="9" t="s">
        <v>79</v>
      </c>
      <c r="B143" s="13">
        <f>VLOOKUP(Table2[[#This Row],[Location 
(drop-down)]],'List source'!D$2:E$71,2,FALSE)</f>
        <v>160</v>
      </c>
      <c r="C143" s="11" t="s">
        <v>352</v>
      </c>
      <c r="D143" s="212" t="str">
        <f t="shared" si="2"/>
        <v>C141-160-25</v>
      </c>
      <c r="E143" s="11" t="s">
        <v>460</v>
      </c>
      <c r="F143" s="120" t="s">
        <v>611</v>
      </c>
      <c r="G143" s="165" t="s">
        <v>612</v>
      </c>
      <c r="H143" s="10" t="s">
        <v>458</v>
      </c>
      <c r="I143" s="20" t="s">
        <v>35</v>
      </c>
      <c r="J143" s="193">
        <v>45741</v>
      </c>
      <c r="K143" s="193"/>
      <c r="L143" s="193"/>
      <c r="M143" s="63">
        <v>45743</v>
      </c>
      <c r="N143" s="193"/>
      <c r="O143" s="63"/>
      <c r="P143" s="196"/>
      <c r="Q143" s="37"/>
      <c r="R143" s="93"/>
      <c r="S143" s="13" t="str">
        <f ca="1">IF(ISBLANK(Table2[[#This Row],[Complete corrective actions (Approved Date)]]), TODAY()-Table2[[#This Row],[CAR initialized date]], "CLOSED")</f>
        <v>CLOSED</v>
      </c>
    </row>
    <row r="144" spans="1:19" s="4" customFormat="1" ht="36" customHeight="1" x14ac:dyDescent="0.25">
      <c r="A144" s="9" t="s">
        <v>79</v>
      </c>
      <c r="B144" s="13">
        <f>VLOOKUP(Table2[[#This Row],[Location 
(drop-down)]],'List source'!D$2:E$71,2,FALSE)</f>
        <v>160</v>
      </c>
      <c r="C144" s="11" t="s">
        <v>353</v>
      </c>
      <c r="D144" s="212" t="str">
        <f t="shared" si="2"/>
        <v>C142-160-25</v>
      </c>
      <c r="E144" s="164" t="s">
        <v>460</v>
      </c>
      <c r="F144" s="236" t="s">
        <v>613</v>
      </c>
      <c r="G144" s="241" t="s">
        <v>614</v>
      </c>
      <c r="H144" s="10" t="s">
        <v>458</v>
      </c>
      <c r="I144" s="20" t="s">
        <v>35</v>
      </c>
      <c r="J144" s="166">
        <v>45741</v>
      </c>
      <c r="K144" s="166"/>
      <c r="L144" s="166"/>
      <c r="M144" s="63">
        <v>45743</v>
      </c>
      <c r="N144" s="166"/>
      <c r="O144" s="63"/>
      <c r="P144" s="196"/>
      <c r="Q144" s="37"/>
      <c r="R144" s="93"/>
      <c r="S144" s="13" t="str">
        <f ca="1">IF(ISBLANK(Table2[[#This Row],[Complete corrective actions (Approved Date)]]), TODAY()-Table2[[#This Row],[CAR initialized date]], "CLOSED")</f>
        <v>CLOSED</v>
      </c>
    </row>
    <row r="145" spans="1:19" s="4" customFormat="1" ht="36" customHeight="1" x14ac:dyDescent="0.25">
      <c r="A145" s="9" t="s">
        <v>71</v>
      </c>
      <c r="B145" s="13">
        <f>VLOOKUP(Table2[[#This Row],[Location 
(drop-down)]],'List source'!D$2:E$71,2,FALSE)</f>
        <v>127</v>
      </c>
      <c r="C145" s="11" t="s">
        <v>354</v>
      </c>
      <c r="D145" s="212" t="str">
        <f t="shared" si="2"/>
        <v>C143-127-25</v>
      </c>
      <c r="E145" s="11" t="s">
        <v>472</v>
      </c>
      <c r="F145" s="237"/>
      <c r="G145" s="240" t="s">
        <v>562</v>
      </c>
      <c r="H145" s="10" t="s">
        <v>455</v>
      </c>
      <c r="I145" s="20" t="s">
        <v>27</v>
      </c>
      <c r="J145" s="166">
        <v>45743</v>
      </c>
      <c r="K145" s="166"/>
      <c r="L145" s="166"/>
      <c r="M145" s="63">
        <v>45797</v>
      </c>
      <c r="N145" s="166"/>
      <c r="O145" s="63"/>
      <c r="P145" s="196"/>
      <c r="Q145" s="37"/>
      <c r="R145" s="93" t="s">
        <v>467</v>
      </c>
      <c r="S145" s="13" t="str">
        <f ca="1">IF(ISBLANK(Table2[[#This Row],[Complete corrective actions (Approved Date)]]), TODAY()-Table2[[#This Row],[CAR initialized date]], "CLOSED")</f>
        <v>CLOSED</v>
      </c>
    </row>
    <row r="146" spans="1:19" s="4" customFormat="1" ht="36" customHeight="1" x14ac:dyDescent="0.25">
      <c r="A146" s="9" t="s">
        <v>71</v>
      </c>
      <c r="B146" s="13">
        <f>VLOOKUP(Table2[[#This Row],[Location 
(drop-down)]],'List source'!D$2:E$71,2,FALSE)</f>
        <v>127</v>
      </c>
      <c r="C146" s="11" t="s">
        <v>355</v>
      </c>
      <c r="D146" s="212" t="str">
        <f t="shared" si="2"/>
        <v>C144-127-25</v>
      </c>
      <c r="E146" s="11" t="s">
        <v>472</v>
      </c>
      <c r="F146" s="88"/>
      <c r="G146" s="78" t="s">
        <v>615</v>
      </c>
      <c r="H146" s="10" t="s">
        <v>455</v>
      </c>
      <c r="I146" s="20" t="s">
        <v>27</v>
      </c>
      <c r="J146" s="166">
        <v>45743</v>
      </c>
      <c r="K146" s="166"/>
      <c r="L146" s="166"/>
      <c r="M146" s="63">
        <v>45838</v>
      </c>
      <c r="N146" s="166"/>
      <c r="O146" s="63"/>
      <c r="P146" s="196"/>
      <c r="Q146" s="37"/>
      <c r="R146" s="93"/>
      <c r="S146" s="13" t="str">
        <f ca="1">IF(ISBLANK(Table2[[#This Row],[Complete corrective actions (Approved Date)]]), TODAY()-Table2[[#This Row],[CAR initialized date]], "CLOSED")</f>
        <v>CLOSED</v>
      </c>
    </row>
    <row r="147" spans="1:19" s="4" customFormat="1" ht="36" customHeight="1" x14ac:dyDescent="0.25">
      <c r="A147" s="9" t="s">
        <v>105</v>
      </c>
      <c r="B147" s="13">
        <f>VLOOKUP(Table2[[#This Row],[Location 
(drop-down)]],'List source'!D$2:E$71,2,FALSE)</f>
        <v>215</v>
      </c>
      <c r="C147" s="11" t="s">
        <v>358</v>
      </c>
      <c r="D147" s="212" t="str">
        <f t="shared" si="2"/>
        <v>C145-215-25</v>
      </c>
      <c r="E147" s="11" t="s">
        <v>472</v>
      </c>
      <c r="F147" s="11"/>
      <c r="G147" s="78" t="s">
        <v>616</v>
      </c>
      <c r="H147" s="10" t="s">
        <v>455</v>
      </c>
      <c r="I147" s="20" t="s">
        <v>48</v>
      </c>
      <c r="J147" s="166">
        <v>45744</v>
      </c>
      <c r="K147" s="166"/>
      <c r="L147" s="166"/>
      <c r="M147" s="63">
        <v>45838</v>
      </c>
      <c r="N147" s="166"/>
      <c r="O147" s="63"/>
      <c r="P147" s="196"/>
      <c r="Q147" s="37"/>
      <c r="R147" s="93" t="s">
        <v>484</v>
      </c>
      <c r="S147" s="13" t="str">
        <f ca="1">IF(ISBLANK(Table2[[#This Row],[Complete corrective actions (Approved Date)]]), TODAY()-Table2[[#This Row],[CAR initialized date]], "CLOSED")</f>
        <v>CLOSED</v>
      </c>
    </row>
    <row r="148" spans="1:19" s="4" customFormat="1" ht="36" customHeight="1" x14ac:dyDescent="0.25">
      <c r="A148" s="9" t="s">
        <v>105</v>
      </c>
      <c r="B148" s="13">
        <f>VLOOKUP(Table2[[#This Row],[Location 
(drop-down)]],'List source'!D$2:E$71,2,FALSE)</f>
        <v>215</v>
      </c>
      <c r="C148" s="11" t="s">
        <v>362</v>
      </c>
      <c r="D148" s="212" t="str">
        <f t="shared" si="2"/>
        <v>C146-215-25</v>
      </c>
      <c r="E148" s="11" t="s">
        <v>472</v>
      </c>
      <c r="F148" s="11"/>
      <c r="G148" s="78" t="s">
        <v>617</v>
      </c>
      <c r="H148" s="10" t="s">
        <v>455</v>
      </c>
      <c r="I148" s="20" t="s">
        <v>48</v>
      </c>
      <c r="J148" s="166">
        <v>45744</v>
      </c>
      <c r="K148" s="166"/>
      <c r="L148" s="166"/>
      <c r="M148" s="63">
        <v>45838</v>
      </c>
      <c r="N148" s="166"/>
      <c r="O148" s="63"/>
      <c r="P148" s="196"/>
      <c r="Q148" s="37"/>
      <c r="R148" s="93" t="s">
        <v>467</v>
      </c>
      <c r="S148" s="13" t="str">
        <f ca="1">IF(ISBLANK(Table2[[#This Row],[Complete corrective actions (Approved Date)]]), TODAY()-Table2[[#This Row],[CAR initialized date]], "CLOSED")</f>
        <v>CLOSED</v>
      </c>
    </row>
    <row r="149" spans="1:19" s="4" customFormat="1" ht="36" customHeight="1" x14ac:dyDescent="0.25">
      <c r="A149" s="9" t="s">
        <v>105</v>
      </c>
      <c r="B149" s="13">
        <f>VLOOKUP(Table2[[#This Row],[Location 
(drop-down)]],'List source'!D$2:E$71,2,FALSE)</f>
        <v>215</v>
      </c>
      <c r="C149" s="11" t="s">
        <v>363</v>
      </c>
      <c r="D149" s="212" t="str">
        <f t="shared" si="2"/>
        <v>C147-215-25</v>
      </c>
      <c r="E149" s="11" t="s">
        <v>472</v>
      </c>
      <c r="F149" s="11"/>
      <c r="G149" s="78" t="s">
        <v>618</v>
      </c>
      <c r="H149" s="10" t="s">
        <v>494</v>
      </c>
      <c r="I149" s="20" t="s">
        <v>48</v>
      </c>
      <c r="J149" s="166">
        <v>45744</v>
      </c>
      <c r="K149" s="166"/>
      <c r="L149" s="166"/>
      <c r="M149" s="63">
        <v>46002</v>
      </c>
      <c r="N149" s="166"/>
      <c r="O149" s="63">
        <v>46002</v>
      </c>
      <c r="P149" s="196" t="s">
        <v>506</v>
      </c>
      <c r="Q149" s="37" t="s">
        <v>619</v>
      </c>
      <c r="R149" s="93"/>
      <c r="S149" s="13" t="str">
        <f ca="1">IF(ISBLANK(Table2[[#This Row],[Complete corrective actions (Approved Date)]]), TODAY()-Table2[[#This Row],[CAR initialized date]], "CLOSED")</f>
        <v>CLOSED</v>
      </c>
    </row>
    <row r="150" spans="1:19" s="4" customFormat="1" ht="36" customHeight="1" x14ac:dyDescent="0.25">
      <c r="A150" s="9" t="s">
        <v>105</v>
      </c>
      <c r="B150" s="13">
        <f>VLOOKUP(Table2[[#This Row],[Location 
(drop-down)]],'List source'!D$2:E$71,2,FALSE)</f>
        <v>215</v>
      </c>
      <c r="C150" s="11" t="s">
        <v>365</v>
      </c>
      <c r="D150" s="212" t="str">
        <f t="shared" si="2"/>
        <v>C148-215-25</v>
      </c>
      <c r="E150" s="11" t="s">
        <v>472</v>
      </c>
      <c r="F150" s="11"/>
      <c r="G150" s="78" t="s">
        <v>620</v>
      </c>
      <c r="H150" s="10" t="s">
        <v>455</v>
      </c>
      <c r="I150" s="20" t="s">
        <v>48</v>
      </c>
      <c r="J150" s="166">
        <v>45744</v>
      </c>
      <c r="K150" s="166" t="s">
        <v>503</v>
      </c>
      <c r="L150" s="166"/>
      <c r="M150" s="167">
        <v>45930</v>
      </c>
      <c r="N150" s="166" t="s">
        <v>503</v>
      </c>
      <c r="O150" s="63"/>
      <c r="P150" s="258"/>
      <c r="Q150" s="37"/>
      <c r="R150" s="93" t="s">
        <v>471</v>
      </c>
      <c r="S150" s="13" t="str">
        <f ca="1">IF(ISBLANK(Table2[[#This Row],[Complete corrective actions (Approved Date)]]), TODAY()-Table2[[#This Row],[CAR initialized date]], "CLOSED")</f>
        <v>CLOSED</v>
      </c>
    </row>
    <row r="151" spans="1:19" s="4" customFormat="1" ht="36" customHeight="1" x14ac:dyDescent="0.25">
      <c r="A151" s="9" t="s">
        <v>86</v>
      </c>
      <c r="B151" s="13">
        <f>VLOOKUP(Table2[[#This Row],[Location 
(drop-down)]],'List source'!D$2:E$71,2,FALSE)</f>
        <v>150</v>
      </c>
      <c r="C151" s="11" t="s">
        <v>366</v>
      </c>
      <c r="D151" s="212" t="str">
        <f t="shared" si="2"/>
        <v>C149-150-25</v>
      </c>
      <c r="E151" s="11" t="s">
        <v>472</v>
      </c>
      <c r="F151" s="11"/>
      <c r="G151" s="78" t="s">
        <v>621</v>
      </c>
      <c r="H151" s="13" t="s">
        <v>458</v>
      </c>
      <c r="I151" s="20" t="s">
        <v>18</v>
      </c>
      <c r="J151" s="166">
        <v>45744</v>
      </c>
      <c r="K151" s="166"/>
      <c r="L151" s="166"/>
      <c r="M151" s="167"/>
      <c r="N151" s="166"/>
      <c r="O151" s="63"/>
      <c r="P151" s="258"/>
      <c r="Q151" s="37"/>
      <c r="R151" s="93"/>
      <c r="S151" s="13">
        <f ca="1">IF(ISBLANK(Table2[[#This Row],[Complete corrective actions (Approved Date)]]), TODAY()-Table2[[#This Row],[CAR initialized date]], "CLOSED")</f>
        <v>333</v>
      </c>
    </row>
    <row r="152" spans="1:19" s="4" customFormat="1" ht="36" customHeight="1" x14ac:dyDescent="0.25">
      <c r="A152" s="9" t="s">
        <v>86</v>
      </c>
      <c r="B152" s="13">
        <f>VLOOKUP(Table2[[#This Row],[Location 
(drop-down)]],'List source'!D$2:E$71,2,FALSE)</f>
        <v>150</v>
      </c>
      <c r="C152" s="11" t="s">
        <v>367</v>
      </c>
      <c r="D152" s="212" t="str">
        <f t="shared" si="2"/>
        <v>C150-150-25</v>
      </c>
      <c r="E152" s="11" t="s">
        <v>472</v>
      </c>
      <c r="F152" s="11"/>
      <c r="G152" s="78" t="s">
        <v>622</v>
      </c>
      <c r="H152" s="13" t="s">
        <v>458</v>
      </c>
      <c r="I152" s="20" t="s">
        <v>18</v>
      </c>
      <c r="J152" s="166">
        <v>45744</v>
      </c>
      <c r="K152" s="166" t="s">
        <v>506</v>
      </c>
      <c r="L152" s="166"/>
      <c r="M152" s="167">
        <v>45919</v>
      </c>
      <c r="N152" s="166" t="s">
        <v>506</v>
      </c>
      <c r="O152" s="63"/>
      <c r="P152" s="258"/>
      <c r="Q152" s="37"/>
      <c r="R152" s="93"/>
      <c r="S152" s="13" t="str">
        <f ca="1">IF(ISBLANK(Table2[[#This Row],[Complete corrective actions (Approved Date)]]), TODAY()-Table2[[#This Row],[CAR initialized date]], "CLOSED")</f>
        <v>CLOSED</v>
      </c>
    </row>
    <row r="153" spans="1:19" s="4" customFormat="1" ht="36" customHeight="1" x14ac:dyDescent="0.25">
      <c r="A153" s="9" t="s">
        <v>86</v>
      </c>
      <c r="B153" s="13">
        <f>VLOOKUP(Table2[[#This Row],[Location 
(drop-down)]],'List source'!D$2:E$71,2,FALSE)</f>
        <v>150</v>
      </c>
      <c r="C153" s="11" t="s">
        <v>368</v>
      </c>
      <c r="D153" s="212" t="str">
        <f t="shared" si="2"/>
        <v>C151-150-25</v>
      </c>
      <c r="E153" s="11" t="s">
        <v>472</v>
      </c>
      <c r="F153" s="11"/>
      <c r="G153" s="78" t="s">
        <v>538</v>
      </c>
      <c r="H153" s="13" t="s">
        <v>455</v>
      </c>
      <c r="I153" s="20" t="s">
        <v>18</v>
      </c>
      <c r="J153" s="166">
        <v>45744</v>
      </c>
      <c r="K153" s="166"/>
      <c r="L153" s="166"/>
      <c r="M153" s="167">
        <v>45894</v>
      </c>
      <c r="N153" s="166"/>
      <c r="O153" s="63"/>
      <c r="P153" s="258"/>
      <c r="Q153" s="37"/>
      <c r="R153" s="93"/>
      <c r="S153" s="13" t="str">
        <f ca="1">IF(ISBLANK(Table2[[#This Row],[Complete corrective actions (Approved Date)]]), TODAY()-Table2[[#This Row],[CAR initialized date]], "CLOSED")</f>
        <v>CLOSED</v>
      </c>
    </row>
    <row r="154" spans="1:19" s="4" customFormat="1" ht="36" customHeight="1" x14ac:dyDescent="0.25">
      <c r="A154" s="9" t="s">
        <v>86</v>
      </c>
      <c r="B154" s="13">
        <f>VLOOKUP(Table2[[#This Row],[Location 
(drop-down)]],'List source'!D$2:E$71,2,FALSE)</f>
        <v>150</v>
      </c>
      <c r="C154" s="11" t="s">
        <v>369</v>
      </c>
      <c r="D154" s="212" t="str">
        <f t="shared" si="2"/>
        <v>C152-150-25</v>
      </c>
      <c r="E154" s="11" t="s">
        <v>472</v>
      </c>
      <c r="F154" s="11"/>
      <c r="G154" s="78" t="s">
        <v>623</v>
      </c>
      <c r="H154" s="13" t="s">
        <v>455</v>
      </c>
      <c r="I154" s="20" t="s">
        <v>18</v>
      </c>
      <c r="J154" s="166">
        <v>45744</v>
      </c>
      <c r="K154" s="166"/>
      <c r="L154" s="166"/>
      <c r="M154" s="167">
        <v>45791</v>
      </c>
      <c r="N154" s="166"/>
      <c r="O154" s="63"/>
      <c r="P154" s="258"/>
      <c r="Q154" s="37"/>
      <c r="R154" s="93" t="s">
        <v>467</v>
      </c>
      <c r="S154" s="13" t="str">
        <f ca="1">IF(ISBLANK(Table2[[#This Row],[Complete corrective actions (Approved Date)]]), TODAY()-Table2[[#This Row],[CAR initialized date]], "CLOSED")</f>
        <v>CLOSED</v>
      </c>
    </row>
    <row r="155" spans="1:19" s="4" customFormat="1" ht="36" customHeight="1" x14ac:dyDescent="0.25">
      <c r="A155" s="9" t="s">
        <v>86</v>
      </c>
      <c r="B155" s="13">
        <f>VLOOKUP(Table2[[#This Row],[Location 
(drop-down)]],'List source'!D$2:E$71,2,FALSE)</f>
        <v>150</v>
      </c>
      <c r="C155" s="11" t="s">
        <v>370</v>
      </c>
      <c r="D155" s="212" t="str">
        <f t="shared" si="2"/>
        <v>C153-150-25</v>
      </c>
      <c r="E155" s="11" t="s">
        <v>472</v>
      </c>
      <c r="F155" s="11"/>
      <c r="G155" s="78" t="s">
        <v>624</v>
      </c>
      <c r="H155" s="13" t="s">
        <v>455</v>
      </c>
      <c r="I155" s="20" t="s">
        <v>18</v>
      </c>
      <c r="J155" s="166">
        <v>45744</v>
      </c>
      <c r="K155" s="166"/>
      <c r="L155" s="166"/>
      <c r="M155" s="167">
        <v>45800</v>
      </c>
      <c r="N155" s="166"/>
      <c r="O155" s="63"/>
      <c r="P155" s="258"/>
      <c r="Q155" s="37"/>
      <c r="R155" s="93" t="s">
        <v>484</v>
      </c>
      <c r="S155" s="13" t="str">
        <f ca="1">IF(ISBLANK(Table2[[#This Row],[Complete corrective actions (Approved Date)]]), TODAY()-Table2[[#This Row],[CAR initialized date]], "CLOSED")</f>
        <v>CLOSED</v>
      </c>
    </row>
    <row r="156" spans="1:19" s="4" customFormat="1" ht="36" customHeight="1" x14ac:dyDescent="0.25">
      <c r="A156" s="9" t="s">
        <v>86</v>
      </c>
      <c r="B156" s="13">
        <f>VLOOKUP(Table2[[#This Row],[Location 
(drop-down)]],'List source'!D$2:E$71,2,FALSE)</f>
        <v>150</v>
      </c>
      <c r="C156" s="11" t="s">
        <v>373</v>
      </c>
      <c r="D156" s="212" t="str">
        <f t="shared" si="2"/>
        <v>C154-150-25</v>
      </c>
      <c r="E156" s="11" t="s">
        <v>472</v>
      </c>
      <c r="F156" s="11"/>
      <c r="G156" s="78" t="s">
        <v>625</v>
      </c>
      <c r="H156" s="13" t="s">
        <v>455</v>
      </c>
      <c r="I156" s="20" t="s">
        <v>18</v>
      </c>
      <c r="J156" s="166">
        <v>45744</v>
      </c>
      <c r="K156" s="166"/>
      <c r="L156" s="166"/>
      <c r="M156" s="167">
        <v>45927</v>
      </c>
      <c r="N156" s="166"/>
      <c r="O156" s="63"/>
      <c r="P156" s="258"/>
      <c r="Q156" s="37"/>
      <c r="R156" s="93"/>
      <c r="S156" s="13" t="str">
        <f ca="1">IF(ISBLANK(Table2[[#This Row],[Complete corrective actions (Approved Date)]]), TODAY()-Table2[[#This Row],[CAR initialized date]], "CLOSED")</f>
        <v>CLOSED</v>
      </c>
    </row>
    <row r="157" spans="1:19" s="4" customFormat="1" ht="36" customHeight="1" x14ac:dyDescent="0.25">
      <c r="A157" s="9" t="s">
        <v>86</v>
      </c>
      <c r="B157" s="13">
        <f>VLOOKUP(Table2[[#This Row],[Location 
(drop-down)]],'List source'!D$2:E$71,2,FALSE)</f>
        <v>150</v>
      </c>
      <c r="C157" s="11" t="s">
        <v>374</v>
      </c>
      <c r="D157" s="212" t="str">
        <f t="shared" si="2"/>
        <v>C155-150-25</v>
      </c>
      <c r="E157" s="11" t="s">
        <v>472</v>
      </c>
      <c r="F157" s="11"/>
      <c r="G157" s="208" t="s">
        <v>626</v>
      </c>
      <c r="H157" s="13" t="s">
        <v>455</v>
      </c>
      <c r="I157" s="20" t="s">
        <v>18</v>
      </c>
      <c r="J157" s="166">
        <v>45744</v>
      </c>
      <c r="K157" s="166"/>
      <c r="L157" s="166"/>
      <c r="M157" s="167">
        <v>45800</v>
      </c>
      <c r="N157" s="166"/>
      <c r="O157" s="63"/>
      <c r="P157" s="258"/>
      <c r="Q157" s="37"/>
      <c r="R157" s="93" t="s">
        <v>467</v>
      </c>
      <c r="S157" s="13" t="str">
        <f ca="1">IF(ISBLANK(Table2[[#This Row],[Complete corrective actions (Approved Date)]]), TODAY()-Table2[[#This Row],[CAR initialized date]], "CLOSED")</f>
        <v>CLOSED</v>
      </c>
    </row>
    <row r="158" spans="1:19" s="4" customFormat="1" ht="36" customHeight="1" x14ac:dyDescent="0.25">
      <c r="A158" s="9" t="s">
        <v>86</v>
      </c>
      <c r="B158" s="13">
        <f>VLOOKUP(Table2[[#This Row],[Location 
(drop-down)]],'List source'!D$2:E$71,2,FALSE)</f>
        <v>150</v>
      </c>
      <c r="C158" s="11" t="s">
        <v>378</v>
      </c>
      <c r="D158" s="212" t="str">
        <f t="shared" si="2"/>
        <v>C156-150-25</v>
      </c>
      <c r="E158" s="11" t="s">
        <v>472</v>
      </c>
      <c r="F158" s="11"/>
      <c r="G158" s="208" t="s">
        <v>543</v>
      </c>
      <c r="H158" s="13" t="s">
        <v>455</v>
      </c>
      <c r="I158" s="20" t="s">
        <v>18</v>
      </c>
      <c r="J158" s="166">
        <v>45744</v>
      </c>
      <c r="K158" s="166"/>
      <c r="L158" s="166"/>
      <c r="M158" s="167">
        <v>45874</v>
      </c>
      <c r="N158" s="166"/>
      <c r="O158" s="63"/>
      <c r="P158" s="258"/>
      <c r="Q158" s="37"/>
      <c r="R158" s="93" t="s">
        <v>484</v>
      </c>
      <c r="S158" s="13" t="str">
        <f ca="1">IF(ISBLANK(Table2[[#This Row],[Complete corrective actions (Approved Date)]]), TODAY()-Table2[[#This Row],[CAR initialized date]], "CLOSED")</f>
        <v>CLOSED</v>
      </c>
    </row>
    <row r="159" spans="1:19" s="4" customFormat="1" ht="36" customHeight="1" x14ac:dyDescent="0.25">
      <c r="A159" s="9" t="s">
        <v>86</v>
      </c>
      <c r="B159" s="13">
        <f>VLOOKUP(Table2[[#This Row],[Location 
(drop-down)]],'List source'!D$2:E$71,2,FALSE)</f>
        <v>150</v>
      </c>
      <c r="C159" s="11" t="s">
        <v>379</v>
      </c>
      <c r="D159" s="212" t="str">
        <f t="shared" si="2"/>
        <v>C157-150-25</v>
      </c>
      <c r="E159" s="11" t="s">
        <v>472</v>
      </c>
      <c r="F159" s="11"/>
      <c r="G159" s="9" t="s">
        <v>627</v>
      </c>
      <c r="H159" s="13" t="s">
        <v>455</v>
      </c>
      <c r="I159" s="20" t="s">
        <v>18</v>
      </c>
      <c r="J159" s="166">
        <v>45744</v>
      </c>
      <c r="K159" s="166"/>
      <c r="L159" s="166"/>
      <c r="M159" s="167">
        <v>45852</v>
      </c>
      <c r="N159" s="166"/>
      <c r="O159" s="63"/>
      <c r="P159" s="258"/>
      <c r="Q159" s="37"/>
      <c r="R159" s="93" t="s">
        <v>467</v>
      </c>
      <c r="S159" s="13" t="str">
        <f ca="1">IF(ISBLANK(Table2[[#This Row],[Complete corrective actions (Approved Date)]]), TODAY()-Table2[[#This Row],[CAR initialized date]], "CLOSED")</f>
        <v>CLOSED</v>
      </c>
    </row>
    <row r="160" spans="1:19" s="4" customFormat="1" ht="36" customHeight="1" x14ac:dyDescent="0.25">
      <c r="A160" s="9" t="s">
        <v>86</v>
      </c>
      <c r="B160" s="13">
        <f>VLOOKUP(Table2[[#This Row],[Location 
(drop-down)]],'List source'!D$2:E$71,2,FALSE)</f>
        <v>150</v>
      </c>
      <c r="C160" s="11" t="s">
        <v>380</v>
      </c>
      <c r="D160" s="212" t="str">
        <f t="shared" si="2"/>
        <v>C158-150-25</v>
      </c>
      <c r="E160" s="11" t="s">
        <v>472</v>
      </c>
      <c r="F160" s="11"/>
      <c r="G160" s="78" t="s">
        <v>628</v>
      </c>
      <c r="H160" s="13" t="s">
        <v>455</v>
      </c>
      <c r="I160" s="20" t="s">
        <v>18</v>
      </c>
      <c r="J160" s="166">
        <v>45744</v>
      </c>
      <c r="K160" s="166"/>
      <c r="L160" s="166"/>
      <c r="M160" s="167">
        <v>45852</v>
      </c>
      <c r="N160" s="166"/>
      <c r="O160" s="63"/>
      <c r="P160" s="258"/>
      <c r="Q160" s="37"/>
      <c r="R160" s="93" t="s">
        <v>484</v>
      </c>
      <c r="S160" s="13" t="str">
        <f ca="1">IF(ISBLANK(Table2[[#This Row],[Complete corrective actions (Approved Date)]]), TODAY()-Table2[[#This Row],[CAR initialized date]], "CLOSED")</f>
        <v>CLOSED</v>
      </c>
    </row>
    <row r="161" spans="1:19" s="4" customFormat="1" ht="36" customHeight="1" x14ac:dyDescent="0.25">
      <c r="A161" s="9" t="s">
        <v>86</v>
      </c>
      <c r="B161" s="13">
        <f>VLOOKUP(Table2[[#This Row],[Location 
(drop-down)]],'List source'!D$2:E$71,2,FALSE)</f>
        <v>150</v>
      </c>
      <c r="C161" s="11" t="s">
        <v>382</v>
      </c>
      <c r="D161" s="212" t="str">
        <f t="shared" si="2"/>
        <v>C159-150-25</v>
      </c>
      <c r="E161" s="11" t="s">
        <v>472</v>
      </c>
      <c r="F161" s="11"/>
      <c r="G161" s="78" t="s">
        <v>629</v>
      </c>
      <c r="H161" s="13" t="s">
        <v>455</v>
      </c>
      <c r="I161" s="20" t="s">
        <v>18</v>
      </c>
      <c r="J161" s="166">
        <v>45744</v>
      </c>
      <c r="K161" s="166"/>
      <c r="L161" s="166"/>
      <c r="M161" s="167">
        <v>46062</v>
      </c>
      <c r="N161" s="166"/>
      <c r="O161" s="63"/>
      <c r="P161" s="258"/>
      <c r="Q161" s="37"/>
      <c r="R161" s="93"/>
      <c r="S161" s="13" t="str">
        <f ca="1">IF(ISBLANK(Table2[[#This Row],[Complete corrective actions (Approved Date)]]), TODAY()-Table2[[#This Row],[CAR initialized date]], "CLOSED")</f>
        <v>CLOSED</v>
      </c>
    </row>
    <row r="162" spans="1:19" s="4" customFormat="1" ht="36" customHeight="1" x14ac:dyDescent="0.25">
      <c r="A162" s="9" t="s">
        <v>14</v>
      </c>
      <c r="B162" s="13">
        <f>VLOOKUP(Table2[[#This Row],[Location 
(drop-down)]],'List source'!D$2:E$71,2,FALSE)</f>
        <v>131</v>
      </c>
      <c r="C162" s="11" t="s">
        <v>383</v>
      </c>
      <c r="D162" s="212" t="str">
        <f t="shared" si="2"/>
        <v>C160-131-25</v>
      </c>
      <c r="E162" s="11" t="s">
        <v>460</v>
      </c>
      <c r="F162" s="11"/>
      <c r="G162" s="78" t="s">
        <v>630</v>
      </c>
      <c r="H162" s="13" t="s">
        <v>494</v>
      </c>
      <c r="I162" s="20" t="s">
        <v>167</v>
      </c>
      <c r="J162" s="193">
        <v>45747</v>
      </c>
      <c r="K162" s="193"/>
      <c r="L162" s="193"/>
      <c r="M162" s="167">
        <v>45796</v>
      </c>
      <c r="N162" s="193"/>
      <c r="O162" s="63"/>
      <c r="P162" s="258"/>
      <c r="Q162" s="37"/>
      <c r="R162" s="93"/>
      <c r="S162" s="13" t="str">
        <f ca="1">IF(ISBLANK(Table2[[#This Row],[Complete corrective actions (Approved Date)]]), TODAY()-Table2[[#This Row],[CAR initialized date]], "CLOSED")</f>
        <v>CLOSED</v>
      </c>
    </row>
    <row r="163" spans="1:19" s="4" customFormat="1" ht="36" customHeight="1" x14ac:dyDescent="0.25">
      <c r="A163" s="9" t="s">
        <v>14</v>
      </c>
      <c r="B163" s="13">
        <f>VLOOKUP(Table2[[#This Row],[Location 
(drop-down)]],'List source'!D$2:E$71,2,FALSE)</f>
        <v>131</v>
      </c>
      <c r="C163" s="11" t="s">
        <v>386</v>
      </c>
      <c r="D163" s="212" t="str">
        <f t="shared" si="2"/>
        <v>C161-131-25</v>
      </c>
      <c r="E163" s="10" t="s">
        <v>452</v>
      </c>
      <c r="F163" s="10" t="s">
        <v>456</v>
      </c>
      <c r="G163" s="168" t="s">
        <v>631</v>
      </c>
      <c r="H163" s="10" t="s">
        <v>455</v>
      </c>
      <c r="I163" s="20" t="s">
        <v>167</v>
      </c>
      <c r="J163" s="193">
        <v>45747</v>
      </c>
      <c r="K163" s="193"/>
      <c r="L163" s="193"/>
      <c r="M163" s="167">
        <v>45785</v>
      </c>
      <c r="N163" s="193"/>
      <c r="O163" s="63"/>
      <c r="P163" s="258"/>
      <c r="Q163" s="252" t="s">
        <v>632</v>
      </c>
      <c r="R163" s="93"/>
      <c r="S163" s="13" t="str">
        <f ca="1">IF(ISBLANK(Table2[[#This Row],[Complete corrective actions (Approved Date)]]), TODAY()-Table2[[#This Row],[CAR initialized date]], "CLOSED")</f>
        <v>CLOSED</v>
      </c>
    </row>
    <row r="164" spans="1:19" s="4" customFormat="1" ht="36" customHeight="1" x14ac:dyDescent="0.25">
      <c r="A164" s="9" t="s">
        <v>14</v>
      </c>
      <c r="B164" s="13">
        <f>VLOOKUP(Table2[[#This Row],[Location 
(drop-down)]],'List source'!D$2:E$71,2,FALSE)</f>
        <v>131</v>
      </c>
      <c r="C164" s="11" t="s">
        <v>390</v>
      </c>
      <c r="D164" s="212" t="str">
        <f t="shared" si="2"/>
        <v>C162-131-25</v>
      </c>
      <c r="E164" s="128" t="s">
        <v>452</v>
      </c>
      <c r="F164" s="180" t="s">
        <v>456</v>
      </c>
      <c r="G164" s="168" t="s">
        <v>633</v>
      </c>
      <c r="H164" s="10" t="s">
        <v>458</v>
      </c>
      <c r="I164" s="20" t="s">
        <v>167</v>
      </c>
      <c r="J164" s="16">
        <v>45747</v>
      </c>
      <c r="K164" s="16"/>
      <c r="L164" s="16"/>
      <c r="M164" s="211">
        <v>45779</v>
      </c>
      <c r="N164" s="16"/>
      <c r="O164" s="63"/>
      <c r="P164" s="275"/>
      <c r="Q164" s="278" t="s">
        <v>634</v>
      </c>
      <c r="R164" s="93"/>
      <c r="S164" s="13" t="str">
        <f ca="1">IF(ISBLANK(Table2[[#This Row],[Complete corrective actions (Approved Date)]]), TODAY()-Table2[[#This Row],[CAR initialized date]], "CLOSED")</f>
        <v>CLOSED</v>
      </c>
    </row>
    <row r="165" spans="1:19" s="4" customFormat="1" ht="36" customHeight="1" x14ac:dyDescent="0.25">
      <c r="A165" s="9" t="s">
        <v>79</v>
      </c>
      <c r="B165" s="13">
        <f>VLOOKUP(Table2[[#This Row],[Location 
(drop-down)]],'List source'!D$2:E$71,2,FALSE)</f>
        <v>160</v>
      </c>
      <c r="C165" s="11" t="s">
        <v>392</v>
      </c>
      <c r="D165" s="212" t="str">
        <f t="shared" si="2"/>
        <v>C163-160-25</v>
      </c>
      <c r="E165" s="11" t="s">
        <v>452</v>
      </c>
      <c r="F165" s="10" t="s">
        <v>453</v>
      </c>
      <c r="G165" s="168" t="s">
        <v>635</v>
      </c>
      <c r="H165" s="10" t="s">
        <v>455</v>
      </c>
      <c r="I165" s="20" t="s">
        <v>35</v>
      </c>
      <c r="J165" s="166">
        <v>45744</v>
      </c>
      <c r="K165" s="166"/>
      <c r="L165" s="166"/>
      <c r="M165" s="167">
        <v>45782</v>
      </c>
      <c r="N165" s="166"/>
      <c r="O165" s="182"/>
      <c r="P165" s="258"/>
      <c r="Q165" s="252" t="s">
        <v>636</v>
      </c>
      <c r="R165" s="93"/>
      <c r="S165" s="13" t="str">
        <f ca="1">IF(ISBLANK(Table2[[#This Row],[Complete corrective actions (Approved Date)]]), TODAY()-Table2[[#This Row],[CAR initialized date]], "CLOSED")</f>
        <v>CLOSED</v>
      </c>
    </row>
    <row r="166" spans="1:19" s="4" customFormat="1" ht="36" customHeight="1" x14ac:dyDescent="0.25">
      <c r="A166" s="9" t="s">
        <v>123</v>
      </c>
      <c r="B166" s="13">
        <f>VLOOKUP(Table2[[#This Row],[Location 
(drop-down)]],'List source'!D$2:E$71,2,FALSE)</f>
        <v>192</v>
      </c>
      <c r="C166" s="11" t="s">
        <v>393</v>
      </c>
      <c r="D166" s="212" t="str">
        <f t="shared" si="2"/>
        <v>C164-192-25</v>
      </c>
      <c r="E166" s="11" t="s">
        <v>472</v>
      </c>
      <c r="F166" s="9"/>
      <c r="G166" s="168" t="s">
        <v>637</v>
      </c>
      <c r="H166" s="10" t="s">
        <v>638</v>
      </c>
      <c r="I166" s="20" t="s">
        <v>35</v>
      </c>
      <c r="J166" s="166">
        <v>45754</v>
      </c>
      <c r="K166" s="166"/>
      <c r="L166" s="166"/>
      <c r="M166" s="63"/>
      <c r="N166" s="166"/>
      <c r="O166" s="63"/>
      <c r="P166" s="274"/>
      <c r="Q166" s="103"/>
      <c r="R166" s="93"/>
      <c r="S166" s="13">
        <f ca="1">IF(ISBLANK(Table2[[#This Row],[Complete corrective actions (Approved Date)]]), TODAY()-Table2[[#This Row],[CAR initialized date]], "CLOSED")</f>
        <v>323</v>
      </c>
    </row>
    <row r="167" spans="1:19" s="4" customFormat="1" ht="36" customHeight="1" x14ac:dyDescent="0.25">
      <c r="A167" s="9" t="s">
        <v>123</v>
      </c>
      <c r="B167" s="13">
        <f>VLOOKUP(Table2[[#This Row],[Location 
(drop-down)]],'List source'!D$2:E$71,2,FALSE)</f>
        <v>192</v>
      </c>
      <c r="C167" s="11" t="s">
        <v>395</v>
      </c>
      <c r="D167" s="212" t="str">
        <f t="shared" si="2"/>
        <v>C165-192-25</v>
      </c>
      <c r="E167" s="11" t="s">
        <v>472</v>
      </c>
      <c r="F167" s="11"/>
      <c r="G167" s="78" t="s">
        <v>639</v>
      </c>
      <c r="H167" s="13" t="s">
        <v>494</v>
      </c>
      <c r="I167" s="20" t="s">
        <v>35</v>
      </c>
      <c r="J167" s="166">
        <v>45754</v>
      </c>
      <c r="K167" s="166"/>
      <c r="L167" s="166"/>
      <c r="M167" s="167">
        <v>45796</v>
      </c>
      <c r="N167" s="166"/>
      <c r="O167" s="63"/>
      <c r="P167" s="280"/>
      <c r="Q167" s="284"/>
      <c r="R167" s="93" t="s">
        <v>484</v>
      </c>
      <c r="S167" s="13" t="str">
        <f ca="1">IF(ISBLANK(Table2[[#This Row],[Complete corrective actions (Approved Date)]]), TODAY()-Table2[[#This Row],[CAR initialized date]], "CLOSED")</f>
        <v>CLOSED</v>
      </c>
    </row>
    <row r="168" spans="1:19" s="4" customFormat="1" ht="36" customHeight="1" x14ac:dyDescent="0.25">
      <c r="A168" s="9" t="s">
        <v>123</v>
      </c>
      <c r="B168" s="13">
        <f>VLOOKUP(Table2[[#This Row],[Location 
(drop-down)]],'List source'!D$2:E$71,2,FALSE)</f>
        <v>192</v>
      </c>
      <c r="C168" s="11" t="s">
        <v>398</v>
      </c>
      <c r="D168" s="212" t="str">
        <f t="shared" si="2"/>
        <v>C166-192-25</v>
      </c>
      <c r="E168" s="11" t="s">
        <v>472</v>
      </c>
      <c r="F168" s="11"/>
      <c r="G168" s="78" t="s">
        <v>492</v>
      </c>
      <c r="H168" s="13" t="s">
        <v>458</v>
      </c>
      <c r="I168" s="20" t="s">
        <v>35</v>
      </c>
      <c r="J168" s="166">
        <v>45754</v>
      </c>
      <c r="K168" s="166"/>
      <c r="L168" s="166"/>
      <c r="M168" s="63">
        <v>45782</v>
      </c>
      <c r="N168" s="166"/>
      <c r="O168" s="63"/>
      <c r="P168" s="274"/>
      <c r="Q168" s="284"/>
      <c r="R168" s="93" t="s">
        <v>530</v>
      </c>
      <c r="S168" s="13" t="str">
        <f ca="1">IF(ISBLANK(Table2[[#This Row],[Complete corrective actions (Approved Date)]]), TODAY()-Table2[[#This Row],[CAR initialized date]], "CLOSED")</f>
        <v>CLOSED</v>
      </c>
    </row>
    <row r="169" spans="1:19" s="4" customFormat="1" ht="36" customHeight="1" x14ac:dyDescent="0.25">
      <c r="A169" s="9" t="s">
        <v>123</v>
      </c>
      <c r="B169" s="13">
        <f>VLOOKUP(Table2[[#This Row],[Location 
(drop-down)]],'List source'!D$2:E$71,2,FALSE)</f>
        <v>192</v>
      </c>
      <c r="C169" s="11" t="s">
        <v>401</v>
      </c>
      <c r="D169" s="212" t="str">
        <f t="shared" si="2"/>
        <v>C167-192-25</v>
      </c>
      <c r="E169" s="11" t="s">
        <v>472</v>
      </c>
      <c r="F169" s="11"/>
      <c r="G169" s="78" t="s">
        <v>473</v>
      </c>
      <c r="H169" s="13" t="s">
        <v>494</v>
      </c>
      <c r="I169" s="20" t="s">
        <v>35</v>
      </c>
      <c r="J169" s="166">
        <v>45754</v>
      </c>
      <c r="K169" s="166"/>
      <c r="L169" s="166"/>
      <c r="M169" s="167">
        <v>45931</v>
      </c>
      <c r="N169" s="166"/>
      <c r="O169" s="63"/>
      <c r="P169" s="258"/>
      <c r="Q169" s="37"/>
      <c r="R169" s="93"/>
      <c r="S169" s="13" t="str">
        <f ca="1">IF(ISBLANK(Table2[[#This Row],[Complete corrective actions (Approved Date)]]), TODAY()-Table2[[#This Row],[CAR initialized date]], "CLOSED")</f>
        <v>CLOSED</v>
      </c>
    </row>
    <row r="170" spans="1:19" s="4" customFormat="1" ht="36" customHeight="1" x14ac:dyDescent="0.25">
      <c r="A170" s="9" t="s">
        <v>123</v>
      </c>
      <c r="B170" s="13">
        <f>VLOOKUP(Table2[[#This Row],[Location 
(drop-down)]],'List source'!D$2:E$71,2,FALSE)</f>
        <v>192</v>
      </c>
      <c r="C170" s="11" t="s">
        <v>402</v>
      </c>
      <c r="D170" s="212" t="str">
        <f t="shared" si="2"/>
        <v>C168-192-25</v>
      </c>
      <c r="E170" s="11" t="s">
        <v>472</v>
      </c>
      <c r="F170" s="11"/>
      <c r="G170" s="9" t="s">
        <v>640</v>
      </c>
      <c r="H170" s="10" t="s">
        <v>455</v>
      </c>
      <c r="I170" s="20" t="s">
        <v>35</v>
      </c>
      <c r="J170" s="166">
        <v>45754</v>
      </c>
      <c r="K170" s="166"/>
      <c r="L170" s="166"/>
      <c r="M170" s="63">
        <v>45805</v>
      </c>
      <c r="N170" s="166"/>
      <c r="O170" s="63"/>
      <c r="P170" s="196"/>
      <c r="Q170" s="37"/>
      <c r="R170" s="93" t="s">
        <v>467</v>
      </c>
      <c r="S170" s="13" t="str">
        <f ca="1">IF(ISBLANK(Table2[[#This Row],[Complete corrective actions (Approved Date)]]), TODAY()-Table2[[#This Row],[CAR initialized date]], "CLOSED")</f>
        <v>CLOSED</v>
      </c>
    </row>
    <row r="171" spans="1:19" s="4" customFormat="1" ht="36" customHeight="1" x14ac:dyDescent="0.25">
      <c r="A171" s="9" t="s">
        <v>123</v>
      </c>
      <c r="B171" s="13">
        <f>VLOOKUP(Table2[[#This Row],[Location 
(drop-down)]],'List source'!D$2:E$71,2,FALSE)</f>
        <v>192</v>
      </c>
      <c r="C171" s="11" t="s">
        <v>403</v>
      </c>
      <c r="D171" s="212" t="str">
        <f t="shared" si="2"/>
        <v>C169-192-25</v>
      </c>
      <c r="E171" s="11" t="s">
        <v>472</v>
      </c>
      <c r="F171" s="11"/>
      <c r="G171" s="169" t="s">
        <v>475</v>
      </c>
      <c r="H171" s="11" t="s">
        <v>455</v>
      </c>
      <c r="I171" s="20" t="s">
        <v>35</v>
      </c>
      <c r="J171" s="166">
        <v>45754</v>
      </c>
      <c r="K171" s="166" t="s">
        <v>503</v>
      </c>
      <c r="L171" s="166"/>
      <c r="M171" s="16">
        <v>45964</v>
      </c>
      <c r="N171" s="166" t="s">
        <v>503</v>
      </c>
      <c r="O171" s="63"/>
      <c r="P171" s="261"/>
      <c r="Q171" s="37"/>
      <c r="R171" s="93"/>
      <c r="S171" s="13" t="str">
        <f ca="1">IF(ISBLANK(Table2[[#This Row],[Complete corrective actions (Approved Date)]]), TODAY()-Table2[[#This Row],[CAR initialized date]], "CLOSED")</f>
        <v>CLOSED</v>
      </c>
    </row>
    <row r="172" spans="1:19" s="4" customFormat="1" ht="36" customHeight="1" x14ac:dyDescent="0.25">
      <c r="A172" s="9" t="s">
        <v>131</v>
      </c>
      <c r="B172" s="13">
        <f>VLOOKUP(Table2[[#This Row],[Location 
(drop-down)]],'List source'!D$2:E$71,2,FALSE)</f>
        <v>145</v>
      </c>
      <c r="C172" s="11" t="s">
        <v>404</v>
      </c>
      <c r="D172" s="212" t="str">
        <f t="shared" si="2"/>
        <v>C170-145-25</v>
      </c>
      <c r="E172" s="11" t="s">
        <v>472</v>
      </c>
      <c r="F172" s="11"/>
      <c r="G172" s="70" t="s">
        <v>641</v>
      </c>
      <c r="H172" s="10" t="s">
        <v>455</v>
      </c>
      <c r="I172" s="20" t="s">
        <v>48</v>
      </c>
      <c r="J172" s="193">
        <v>45756</v>
      </c>
      <c r="K172" s="193"/>
      <c r="L172" s="193"/>
      <c r="M172" s="63">
        <v>45919</v>
      </c>
      <c r="N172" s="193"/>
      <c r="O172" s="63"/>
      <c r="P172" s="196"/>
      <c r="Q172" s="37"/>
      <c r="R172" s="93" t="s">
        <v>467</v>
      </c>
      <c r="S172" s="13" t="str">
        <f ca="1">IF(ISBLANK(Table2[[#This Row],[Complete corrective actions (Approved Date)]]), TODAY()-Table2[[#This Row],[CAR initialized date]], "CLOSED")</f>
        <v>CLOSED</v>
      </c>
    </row>
    <row r="173" spans="1:19" s="4" customFormat="1" ht="36" customHeight="1" x14ac:dyDescent="0.25">
      <c r="A173" s="9" t="s">
        <v>131</v>
      </c>
      <c r="B173" s="13">
        <f>VLOOKUP(Table2[[#This Row],[Location 
(drop-down)]],'List source'!D$2:E$71,2,FALSE)</f>
        <v>145</v>
      </c>
      <c r="C173" s="11" t="s">
        <v>405</v>
      </c>
      <c r="D173" s="212" t="str">
        <f t="shared" si="2"/>
        <v>C171-145-25</v>
      </c>
      <c r="E173" s="11" t="s">
        <v>472</v>
      </c>
      <c r="F173" s="11"/>
      <c r="G173" s="9" t="s">
        <v>642</v>
      </c>
      <c r="H173" s="10" t="s">
        <v>455</v>
      </c>
      <c r="I173" s="20" t="s">
        <v>48</v>
      </c>
      <c r="J173" s="193">
        <v>45756</v>
      </c>
      <c r="K173" s="193"/>
      <c r="L173" s="193"/>
      <c r="M173" s="167">
        <v>45800</v>
      </c>
      <c r="N173" s="193"/>
      <c r="O173" s="63"/>
      <c r="P173" s="258"/>
      <c r="Q173" s="37"/>
      <c r="R173" s="93" t="s">
        <v>484</v>
      </c>
      <c r="S173" s="13" t="str">
        <f ca="1">IF(ISBLANK(Table2[[#This Row],[Complete corrective actions (Approved Date)]]), TODAY()-Table2[[#This Row],[CAR initialized date]], "CLOSED")</f>
        <v>CLOSED</v>
      </c>
    </row>
    <row r="174" spans="1:19" s="4" customFormat="1" ht="36" customHeight="1" x14ac:dyDescent="0.25">
      <c r="A174" s="9" t="s">
        <v>131</v>
      </c>
      <c r="B174" s="13">
        <f>VLOOKUP(Table2[[#This Row],[Location 
(drop-down)]],'List source'!D$2:E$71,2,FALSE)</f>
        <v>145</v>
      </c>
      <c r="C174" s="11" t="s">
        <v>406</v>
      </c>
      <c r="D174" s="212" t="str">
        <f t="shared" si="2"/>
        <v>C172-145-25</v>
      </c>
      <c r="E174" s="11" t="s">
        <v>472</v>
      </c>
      <c r="F174" s="11"/>
      <c r="G174" s="9" t="s">
        <v>525</v>
      </c>
      <c r="H174" s="10" t="s">
        <v>455</v>
      </c>
      <c r="I174" s="20" t="s">
        <v>48</v>
      </c>
      <c r="J174" s="193">
        <v>45756</v>
      </c>
      <c r="K174" s="193"/>
      <c r="L174" s="193"/>
      <c r="M174" s="63">
        <v>45919</v>
      </c>
      <c r="N174" s="193"/>
      <c r="O174" s="63"/>
      <c r="P174" s="196"/>
      <c r="Q174" s="37"/>
      <c r="R174" s="93" t="s">
        <v>467</v>
      </c>
      <c r="S174" s="13" t="str">
        <f ca="1">IF(ISBLANK(Table2[[#This Row],[Complete corrective actions (Approved Date)]]), TODAY()-Table2[[#This Row],[CAR initialized date]], "CLOSED")</f>
        <v>CLOSED</v>
      </c>
    </row>
    <row r="175" spans="1:19" s="4" customFormat="1" ht="36" customHeight="1" x14ac:dyDescent="0.25">
      <c r="A175" s="9" t="s">
        <v>133</v>
      </c>
      <c r="B175" s="13">
        <f>VLOOKUP(Table2[[#This Row],[Location 
(drop-down)]],'List source'!D$2:E$71,2,FALSE)</f>
        <v>194</v>
      </c>
      <c r="C175" s="11" t="s">
        <v>407</v>
      </c>
      <c r="D175" s="212" t="str">
        <f t="shared" si="2"/>
        <v>C173-194-25</v>
      </c>
      <c r="E175" s="11" t="s">
        <v>472</v>
      </c>
      <c r="F175" s="11"/>
      <c r="G175" s="9" t="s">
        <v>525</v>
      </c>
      <c r="H175" s="10" t="s">
        <v>458</v>
      </c>
      <c r="I175" s="20" t="s">
        <v>18</v>
      </c>
      <c r="J175" s="193">
        <v>45764</v>
      </c>
      <c r="K175" s="193"/>
      <c r="L175" s="193"/>
      <c r="M175" s="63">
        <v>46051</v>
      </c>
      <c r="N175" s="193"/>
      <c r="O175" s="63"/>
      <c r="P175" s="196"/>
      <c r="Q175" s="37"/>
      <c r="R175" s="93"/>
      <c r="S175" s="13" t="str">
        <f ca="1">IF(ISBLANK(Table2[[#This Row],[Complete corrective actions (Approved Date)]]), TODAY()-Table2[[#This Row],[CAR initialized date]], "CLOSED")</f>
        <v>CLOSED</v>
      </c>
    </row>
    <row r="176" spans="1:19" s="4" customFormat="1" ht="36" customHeight="1" x14ac:dyDescent="0.25">
      <c r="A176" s="9" t="s">
        <v>133</v>
      </c>
      <c r="B176" s="13">
        <f>VLOOKUP(Table2[[#This Row],[Location 
(drop-down)]],'List source'!D$2:E$71,2,FALSE)</f>
        <v>194</v>
      </c>
      <c r="C176" s="11" t="s">
        <v>408</v>
      </c>
      <c r="D176" s="212" t="str">
        <f t="shared" si="2"/>
        <v>C174-194-25</v>
      </c>
      <c r="E176" s="11" t="s">
        <v>472</v>
      </c>
      <c r="F176" s="11"/>
      <c r="G176" s="9" t="s">
        <v>622</v>
      </c>
      <c r="H176" s="10" t="s">
        <v>458</v>
      </c>
      <c r="I176" s="20" t="s">
        <v>18</v>
      </c>
      <c r="J176" s="193">
        <v>45764</v>
      </c>
      <c r="K176" s="193"/>
      <c r="L176" s="193"/>
      <c r="M176" s="63">
        <v>46051</v>
      </c>
      <c r="N176" s="193"/>
      <c r="O176" s="63"/>
      <c r="P176" s="196"/>
      <c r="Q176" s="37"/>
      <c r="R176" s="93"/>
      <c r="S176" s="13" t="str">
        <f ca="1">IF(ISBLANK(Table2[[#This Row],[Complete corrective actions (Approved Date)]]), TODAY()-Table2[[#This Row],[CAR initialized date]], "CLOSED")</f>
        <v>CLOSED</v>
      </c>
    </row>
    <row r="177" spans="1:19" s="4" customFormat="1" ht="36" customHeight="1" x14ac:dyDescent="0.25">
      <c r="A177" s="9" t="s">
        <v>133</v>
      </c>
      <c r="B177" s="13">
        <f>VLOOKUP(Table2[[#This Row],[Location 
(drop-down)]],'List source'!D$2:E$71,2,FALSE)</f>
        <v>194</v>
      </c>
      <c r="C177" s="11" t="s">
        <v>409</v>
      </c>
      <c r="D177" s="212" t="str">
        <f t="shared" si="2"/>
        <v>C175-194-25</v>
      </c>
      <c r="E177" s="11" t="s">
        <v>472</v>
      </c>
      <c r="F177" s="11"/>
      <c r="G177" s="9" t="s">
        <v>643</v>
      </c>
      <c r="H177" s="10" t="s">
        <v>455</v>
      </c>
      <c r="I177" s="20" t="s">
        <v>18</v>
      </c>
      <c r="J177" s="193">
        <v>45764</v>
      </c>
      <c r="K177" s="193"/>
      <c r="L177" s="193"/>
      <c r="M177" s="63">
        <v>45785</v>
      </c>
      <c r="N177" s="193"/>
      <c r="O177" s="63"/>
      <c r="P177" s="196"/>
      <c r="Q177" s="37"/>
      <c r="R177" s="93" t="s">
        <v>467</v>
      </c>
      <c r="S177" s="13" t="str">
        <f ca="1">IF(ISBLANK(Table2[[#This Row],[Complete corrective actions (Approved Date)]]), TODAY()-Table2[[#This Row],[CAR initialized date]], "CLOSED")</f>
        <v>CLOSED</v>
      </c>
    </row>
    <row r="178" spans="1:19" s="4" customFormat="1" ht="36" customHeight="1" x14ac:dyDescent="0.25">
      <c r="A178" s="9" t="s">
        <v>133</v>
      </c>
      <c r="B178" s="13">
        <f>VLOOKUP(Table2[[#This Row],[Location 
(drop-down)]],'List source'!D$2:E$71,2,FALSE)</f>
        <v>194</v>
      </c>
      <c r="C178" s="11" t="s">
        <v>410</v>
      </c>
      <c r="D178" s="212" t="str">
        <f t="shared" si="2"/>
        <v>C176-194-25</v>
      </c>
      <c r="E178" s="11" t="s">
        <v>472</v>
      </c>
      <c r="F178" s="11"/>
      <c r="G178" s="9" t="s">
        <v>644</v>
      </c>
      <c r="H178" s="10" t="s">
        <v>455</v>
      </c>
      <c r="I178" s="20" t="s">
        <v>18</v>
      </c>
      <c r="J178" s="193">
        <v>45764</v>
      </c>
      <c r="K178" s="193"/>
      <c r="L178" s="193"/>
      <c r="M178" s="63">
        <v>45817</v>
      </c>
      <c r="N178" s="193"/>
      <c r="O178" s="63"/>
      <c r="P178" s="196"/>
      <c r="Q178" s="37"/>
      <c r="R178" s="93" t="s">
        <v>467</v>
      </c>
      <c r="S178" s="13" t="str">
        <f ca="1">IF(ISBLANK(Table2[[#This Row],[Complete corrective actions (Approved Date)]]), TODAY()-Table2[[#This Row],[CAR initialized date]], "CLOSED")</f>
        <v>CLOSED</v>
      </c>
    </row>
    <row r="179" spans="1:19" s="4" customFormat="1" ht="36" customHeight="1" x14ac:dyDescent="0.25">
      <c r="A179" s="9" t="s">
        <v>133</v>
      </c>
      <c r="B179" s="13">
        <f>VLOOKUP(Table2[[#This Row],[Location 
(drop-down)]],'List source'!D$2:E$71,2,FALSE)</f>
        <v>194</v>
      </c>
      <c r="C179" s="11" t="s">
        <v>411</v>
      </c>
      <c r="D179" s="212" t="str">
        <f t="shared" si="2"/>
        <v>C177-194-25</v>
      </c>
      <c r="E179" s="11" t="s">
        <v>472</v>
      </c>
      <c r="F179" s="11"/>
      <c r="G179" s="9" t="s">
        <v>645</v>
      </c>
      <c r="H179" s="10" t="s">
        <v>455</v>
      </c>
      <c r="I179" s="20" t="s">
        <v>18</v>
      </c>
      <c r="J179" s="193">
        <v>45764</v>
      </c>
      <c r="K179" s="193"/>
      <c r="L179" s="193"/>
      <c r="M179" s="63">
        <v>45777</v>
      </c>
      <c r="N179" s="193"/>
      <c r="O179" s="63"/>
      <c r="P179" s="196"/>
      <c r="Q179" s="37"/>
      <c r="R179" s="93" t="s">
        <v>467</v>
      </c>
      <c r="S179" s="13" t="str">
        <f ca="1">IF(ISBLANK(Table2[[#This Row],[Complete corrective actions (Approved Date)]]), TODAY()-Table2[[#This Row],[CAR initialized date]], "CLOSED")</f>
        <v>CLOSED</v>
      </c>
    </row>
    <row r="180" spans="1:19" s="4" customFormat="1" ht="36" customHeight="1" x14ac:dyDescent="0.25">
      <c r="A180" s="9" t="s">
        <v>133</v>
      </c>
      <c r="B180" s="13">
        <f>VLOOKUP(Table2[[#This Row],[Location 
(drop-down)]],'List source'!D$2:E$71,2,FALSE)</f>
        <v>194</v>
      </c>
      <c r="C180" s="11" t="s">
        <v>412</v>
      </c>
      <c r="D180" s="212" t="str">
        <f t="shared" si="2"/>
        <v>C178-194-25</v>
      </c>
      <c r="E180" s="11" t="s">
        <v>472</v>
      </c>
      <c r="F180" s="11"/>
      <c r="G180" s="9" t="s">
        <v>545</v>
      </c>
      <c r="H180" s="10" t="s">
        <v>455</v>
      </c>
      <c r="I180" s="20" t="s">
        <v>18</v>
      </c>
      <c r="J180" s="193">
        <v>45764</v>
      </c>
      <c r="K180" s="193"/>
      <c r="L180" s="193"/>
      <c r="M180" s="63">
        <v>45777</v>
      </c>
      <c r="N180" s="193"/>
      <c r="O180" s="63"/>
      <c r="P180" s="196"/>
      <c r="Q180" s="37"/>
      <c r="R180" s="93" t="s">
        <v>467</v>
      </c>
      <c r="S180" s="13" t="str">
        <f ca="1">IF(ISBLANK(Table2[[#This Row],[Complete corrective actions (Approved Date)]]), TODAY()-Table2[[#This Row],[CAR initialized date]], "CLOSED")</f>
        <v>CLOSED</v>
      </c>
    </row>
    <row r="181" spans="1:19" s="4" customFormat="1" ht="32.1" customHeight="1" x14ac:dyDescent="0.25">
      <c r="A181" s="9" t="s">
        <v>287</v>
      </c>
      <c r="B181" s="13">
        <f>VLOOKUP(Table2[[#This Row],[Location 
(drop-down)]],'List source'!D$2:E$71,2,FALSE)</f>
        <v>180</v>
      </c>
      <c r="C181" s="11" t="s">
        <v>413</v>
      </c>
      <c r="D181" s="212" t="str">
        <f t="shared" si="2"/>
        <v>C179-180-25</v>
      </c>
      <c r="E181" s="11" t="s">
        <v>460</v>
      </c>
      <c r="F181" s="11"/>
      <c r="G181" s="9" t="s">
        <v>646</v>
      </c>
      <c r="H181" s="10" t="s">
        <v>455</v>
      </c>
      <c r="I181" s="20" t="s">
        <v>27</v>
      </c>
      <c r="J181" s="193">
        <v>45769</v>
      </c>
      <c r="K181" s="193"/>
      <c r="L181" s="193"/>
      <c r="M181" s="63">
        <v>45770</v>
      </c>
      <c r="N181" s="193"/>
      <c r="O181" s="63"/>
      <c r="P181" s="196"/>
      <c r="Q181" s="37" t="s">
        <v>647</v>
      </c>
      <c r="R181" s="93"/>
      <c r="S181" s="13" t="str">
        <f ca="1">IF(ISBLANK(Table2[[#This Row],[Complete corrective actions (Approved Date)]]), TODAY()-Table2[[#This Row],[CAR initialized date]], "CLOSED")</f>
        <v>CLOSED</v>
      </c>
    </row>
    <row r="182" spans="1:19" s="4" customFormat="1" ht="36" customHeight="1" x14ac:dyDescent="0.25">
      <c r="A182" s="9" t="s">
        <v>107</v>
      </c>
      <c r="B182" s="13">
        <f>VLOOKUP(Table2[[#This Row],[Location 
(drop-down)]],'List source'!D$2:E$71,2,FALSE)</f>
        <v>170</v>
      </c>
      <c r="C182" s="11" t="s">
        <v>414</v>
      </c>
      <c r="D182" s="212" t="str">
        <f t="shared" si="2"/>
        <v>C180-170-25</v>
      </c>
      <c r="E182" s="11" t="s">
        <v>472</v>
      </c>
      <c r="F182" s="11"/>
      <c r="G182" s="9" t="s">
        <v>648</v>
      </c>
      <c r="H182" s="10" t="s">
        <v>455</v>
      </c>
      <c r="I182" s="20" t="s">
        <v>27</v>
      </c>
      <c r="J182" s="193">
        <v>45782</v>
      </c>
      <c r="K182" s="193"/>
      <c r="L182" s="193"/>
      <c r="M182" s="63">
        <v>45937</v>
      </c>
      <c r="N182" s="193"/>
      <c r="O182" s="63"/>
      <c r="P182" s="196"/>
      <c r="Q182" s="37"/>
      <c r="R182" s="93"/>
      <c r="S182" s="13" t="str">
        <f ca="1">IF(ISBLANK(Table2[[#This Row],[Complete corrective actions (Approved Date)]]), TODAY()-Table2[[#This Row],[CAR initialized date]], "CLOSED")</f>
        <v>CLOSED</v>
      </c>
    </row>
    <row r="183" spans="1:19" s="4" customFormat="1" ht="36" customHeight="1" x14ac:dyDescent="0.25">
      <c r="A183" s="9" t="s">
        <v>107</v>
      </c>
      <c r="B183" s="13">
        <f>VLOOKUP(Table2[[#This Row],[Location 
(drop-down)]],'List source'!D$2:E$71,2,FALSE)</f>
        <v>170</v>
      </c>
      <c r="C183" s="11" t="s">
        <v>415</v>
      </c>
      <c r="D183" s="212" t="str">
        <f t="shared" si="2"/>
        <v>C181-170-25</v>
      </c>
      <c r="E183" s="11" t="s">
        <v>472</v>
      </c>
      <c r="F183" s="11"/>
      <c r="G183" s="9" t="s">
        <v>649</v>
      </c>
      <c r="H183" s="10" t="s">
        <v>455</v>
      </c>
      <c r="I183" s="20" t="s">
        <v>27</v>
      </c>
      <c r="J183" s="193">
        <v>45782</v>
      </c>
      <c r="K183" s="193"/>
      <c r="L183" s="193"/>
      <c r="M183" s="63">
        <v>45841</v>
      </c>
      <c r="N183" s="193"/>
      <c r="O183" s="63"/>
      <c r="P183" s="196"/>
      <c r="Q183" s="37"/>
      <c r="R183" s="93"/>
      <c r="S183" s="13" t="str">
        <f ca="1">IF(ISBLANK(Table2[[#This Row],[Complete corrective actions (Approved Date)]]), TODAY()-Table2[[#This Row],[CAR initialized date]], "CLOSED")</f>
        <v>CLOSED</v>
      </c>
    </row>
    <row r="184" spans="1:19" s="4" customFormat="1" ht="36" customHeight="1" x14ac:dyDescent="0.25">
      <c r="A184" s="9" t="s">
        <v>107</v>
      </c>
      <c r="B184" s="13">
        <f>VLOOKUP(Table2[[#This Row],[Location 
(drop-down)]],'List source'!D$2:E$71,2,FALSE)</f>
        <v>170</v>
      </c>
      <c r="C184" s="11" t="s">
        <v>416</v>
      </c>
      <c r="D184" s="212" t="str">
        <f t="shared" si="2"/>
        <v>C182-170-25</v>
      </c>
      <c r="E184" s="11" t="s">
        <v>472</v>
      </c>
      <c r="F184" s="11"/>
      <c r="G184" s="9" t="s">
        <v>650</v>
      </c>
      <c r="H184" s="10" t="s">
        <v>455</v>
      </c>
      <c r="I184" s="20" t="s">
        <v>27</v>
      </c>
      <c r="J184" s="193">
        <v>45782</v>
      </c>
      <c r="K184" s="193"/>
      <c r="L184" s="193"/>
      <c r="M184" s="63">
        <v>45856</v>
      </c>
      <c r="N184" s="193"/>
      <c r="O184" s="63"/>
      <c r="P184" s="196"/>
      <c r="Q184" s="37"/>
      <c r="R184" s="93"/>
      <c r="S184" s="13" t="str">
        <f ca="1">IF(ISBLANK(Table2[[#This Row],[Complete corrective actions (Approved Date)]]), TODAY()-Table2[[#This Row],[CAR initialized date]], "CLOSED")</f>
        <v>CLOSED</v>
      </c>
    </row>
    <row r="185" spans="1:19" s="4" customFormat="1" ht="36" customHeight="1" x14ac:dyDescent="0.25">
      <c r="A185" s="9" t="s">
        <v>107</v>
      </c>
      <c r="B185" s="13">
        <f>VLOOKUP(Table2[[#This Row],[Location 
(drop-down)]],'List source'!D$2:E$71,2,FALSE)</f>
        <v>170</v>
      </c>
      <c r="C185" s="11" t="s">
        <v>417</v>
      </c>
      <c r="D185" s="212" t="str">
        <f t="shared" si="2"/>
        <v>C183-170-25</v>
      </c>
      <c r="E185" s="11" t="s">
        <v>472</v>
      </c>
      <c r="F185" s="11"/>
      <c r="G185" s="9" t="s">
        <v>651</v>
      </c>
      <c r="H185" s="10" t="s">
        <v>455</v>
      </c>
      <c r="I185" s="20" t="s">
        <v>27</v>
      </c>
      <c r="J185" s="193">
        <v>45782</v>
      </c>
      <c r="K185" s="193"/>
      <c r="L185" s="193"/>
      <c r="M185" s="63">
        <v>45838</v>
      </c>
      <c r="N185" s="193"/>
      <c r="O185" s="63"/>
      <c r="P185" s="196"/>
      <c r="Q185" s="37"/>
      <c r="R185" s="93" t="s">
        <v>467</v>
      </c>
      <c r="S185" s="13" t="str">
        <f ca="1">IF(ISBLANK(Table2[[#This Row],[Complete corrective actions (Approved Date)]]), TODAY()-Table2[[#This Row],[CAR initialized date]], "CLOSED")</f>
        <v>CLOSED</v>
      </c>
    </row>
    <row r="186" spans="1:19" s="4" customFormat="1" ht="36" customHeight="1" x14ac:dyDescent="0.25">
      <c r="A186" s="9" t="s">
        <v>107</v>
      </c>
      <c r="B186" s="13">
        <f>VLOOKUP(Table2[[#This Row],[Location 
(drop-down)]],'List source'!D$2:E$71,2,FALSE)</f>
        <v>170</v>
      </c>
      <c r="C186" s="11" t="s">
        <v>418</v>
      </c>
      <c r="D186" s="212" t="str">
        <f t="shared" si="2"/>
        <v>C184-170-25</v>
      </c>
      <c r="E186" s="11" t="s">
        <v>472</v>
      </c>
      <c r="F186" s="11"/>
      <c r="G186" s="9" t="s">
        <v>652</v>
      </c>
      <c r="H186" s="10" t="s">
        <v>455</v>
      </c>
      <c r="I186" s="20" t="s">
        <v>27</v>
      </c>
      <c r="J186" s="193">
        <v>45782</v>
      </c>
      <c r="K186" s="193"/>
      <c r="L186" s="193"/>
      <c r="M186" s="63">
        <v>45866</v>
      </c>
      <c r="N186" s="193"/>
      <c r="O186" s="63"/>
      <c r="P186" s="196"/>
      <c r="Q186" s="37"/>
      <c r="R186" s="93"/>
      <c r="S186" s="13" t="str">
        <f ca="1">IF(ISBLANK(Table2[[#This Row],[Complete corrective actions (Approved Date)]]), TODAY()-Table2[[#This Row],[CAR initialized date]], "CLOSED")</f>
        <v>CLOSED</v>
      </c>
    </row>
    <row r="187" spans="1:19" s="4" customFormat="1" ht="36" customHeight="1" x14ac:dyDescent="0.25">
      <c r="A187" s="9" t="s">
        <v>107</v>
      </c>
      <c r="B187" s="13">
        <f>VLOOKUP(Table2[[#This Row],[Location 
(drop-down)]],'List source'!D$2:E$71,2,FALSE)</f>
        <v>170</v>
      </c>
      <c r="C187" s="11" t="s">
        <v>419</v>
      </c>
      <c r="D187" s="212" t="str">
        <f t="shared" si="2"/>
        <v>C185-170-25</v>
      </c>
      <c r="E187" s="11" t="s">
        <v>472</v>
      </c>
      <c r="F187" s="11"/>
      <c r="G187" s="9" t="s">
        <v>653</v>
      </c>
      <c r="H187" s="10" t="s">
        <v>455</v>
      </c>
      <c r="I187" s="20" t="s">
        <v>27</v>
      </c>
      <c r="J187" s="193">
        <v>45782</v>
      </c>
      <c r="K187" s="193"/>
      <c r="L187" s="193"/>
      <c r="M187" s="63">
        <v>46029</v>
      </c>
      <c r="N187" s="193"/>
      <c r="O187" s="63"/>
      <c r="P187" s="196"/>
      <c r="Q187" s="37"/>
      <c r="R187" s="93"/>
      <c r="S187" s="13" t="str">
        <f ca="1">IF(ISBLANK(Table2[[#This Row],[Complete corrective actions (Approved Date)]]), TODAY()-Table2[[#This Row],[CAR initialized date]], "CLOSED")</f>
        <v>CLOSED</v>
      </c>
    </row>
    <row r="188" spans="1:19" s="4" customFormat="1" ht="36" customHeight="1" x14ac:dyDescent="0.25">
      <c r="A188" s="9" t="s">
        <v>107</v>
      </c>
      <c r="B188" s="13">
        <f>VLOOKUP(Table2[[#This Row],[Location 
(drop-down)]],'List source'!D$2:E$71,2,FALSE)</f>
        <v>170</v>
      </c>
      <c r="C188" s="11" t="s">
        <v>420</v>
      </c>
      <c r="D188" s="212" t="str">
        <f t="shared" si="2"/>
        <v>C186-170-25</v>
      </c>
      <c r="E188" s="11" t="s">
        <v>472</v>
      </c>
      <c r="F188" s="11"/>
      <c r="G188" s="9" t="s">
        <v>654</v>
      </c>
      <c r="H188" s="10" t="s">
        <v>455</v>
      </c>
      <c r="I188" s="20" t="s">
        <v>27</v>
      </c>
      <c r="J188" s="193">
        <v>45782</v>
      </c>
      <c r="K188" s="193"/>
      <c r="L188" s="193"/>
      <c r="M188" s="63">
        <v>45868</v>
      </c>
      <c r="N188" s="193"/>
      <c r="O188" s="63"/>
      <c r="P188" s="196"/>
      <c r="Q188" s="37"/>
      <c r="R188" s="93"/>
      <c r="S188" s="13" t="str">
        <f ca="1">IF(ISBLANK(Table2[[#This Row],[Complete corrective actions (Approved Date)]]), TODAY()-Table2[[#This Row],[CAR initialized date]], "CLOSED")</f>
        <v>CLOSED</v>
      </c>
    </row>
    <row r="189" spans="1:19" s="4" customFormat="1" ht="36" customHeight="1" x14ac:dyDescent="0.25">
      <c r="A189" s="9" t="s">
        <v>107</v>
      </c>
      <c r="B189" s="13">
        <f>VLOOKUP(Table2[[#This Row],[Location 
(drop-down)]],'List source'!D$2:E$71,2,FALSE)</f>
        <v>170</v>
      </c>
      <c r="C189" s="11" t="s">
        <v>421</v>
      </c>
      <c r="D189" s="212" t="str">
        <f t="shared" si="2"/>
        <v>C187-170-25</v>
      </c>
      <c r="E189" s="11" t="s">
        <v>472</v>
      </c>
      <c r="F189" s="11"/>
      <c r="G189" s="9" t="s">
        <v>655</v>
      </c>
      <c r="H189" s="10" t="s">
        <v>455</v>
      </c>
      <c r="I189" s="20" t="s">
        <v>27</v>
      </c>
      <c r="J189" s="193">
        <v>45782</v>
      </c>
      <c r="K189" s="193"/>
      <c r="L189" s="193"/>
      <c r="M189" s="63">
        <v>45931</v>
      </c>
      <c r="N189" s="193"/>
      <c r="O189" s="63"/>
      <c r="P189" s="196"/>
      <c r="Q189" s="37"/>
      <c r="R189" s="93"/>
      <c r="S189" s="13" t="str">
        <f ca="1">IF(ISBLANK(Table2[[#This Row],[Complete corrective actions (Approved Date)]]), TODAY()-Table2[[#This Row],[CAR initialized date]], "CLOSED")</f>
        <v>CLOSED</v>
      </c>
    </row>
    <row r="190" spans="1:19" s="4" customFormat="1" ht="36" customHeight="1" x14ac:dyDescent="0.25">
      <c r="A190" s="9" t="s">
        <v>656</v>
      </c>
      <c r="B190" s="13" t="str">
        <f>VLOOKUP(Table2[[#This Row],[Location 
(drop-down)]],'List source'!D$2:E$71,2,FALSE)</f>
        <v>VOID</v>
      </c>
      <c r="C190" s="11" t="s">
        <v>422</v>
      </c>
      <c r="D190" s="212" t="str">
        <f t="shared" si="2"/>
        <v>C188-VOID-25</v>
      </c>
      <c r="E190" s="11" t="s">
        <v>657</v>
      </c>
      <c r="F190" s="11"/>
      <c r="G190" s="9" t="s">
        <v>658</v>
      </c>
      <c r="H190" s="10" t="s">
        <v>657</v>
      </c>
      <c r="I190" s="20" t="s">
        <v>657</v>
      </c>
      <c r="J190" s="193" t="s">
        <v>657</v>
      </c>
      <c r="K190" s="193"/>
      <c r="L190" s="193"/>
      <c r="M190" s="63" t="s">
        <v>657</v>
      </c>
      <c r="N190" s="193"/>
      <c r="O190" s="63" t="s">
        <v>657</v>
      </c>
      <c r="P190" s="196"/>
      <c r="Q190" s="37"/>
      <c r="R190" s="93"/>
      <c r="S190" s="13" t="str">
        <f ca="1">IF(ISBLANK(Table2[[#This Row],[Complete corrective actions (Approved Date)]]), TODAY()-Table2[[#This Row],[CAR initialized date]], "CLOSED")</f>
        <v>CLOSED</v>
      </c>
    </row>
    <row r="191" spans="1:19" s="4" customFormat="1" ht="36" customHeight="1" x14ac:dyDescent="0.25">
      <c r="A191" s="9" t="s">
        <v>656</v>
      </c>
      <c r="B191" s="13" t="str">
        <f>VLOOKUP(Table2[[#This Row],[Location 
(drop-down)]],'List source'!D$2:E$71,2,FALSE)</f>
        <v>VOID</v>
      </c>
      <c r="C191" s="11" t="s">
        <v>423</v>
      </c>
      <c r="D191" s="212" t="str">
        <f t="shared" si="2"/>
        <v>C189-VOID-25</v>
      </c>
      <c r="E191" s="11" t="s">
        <v>657</v>
      </c>
      <c r="F191" s="11"/>
      <c r="G191" s="9" t="s">
        <v>659</v>
      </c>
      <c r="H191" s="10" t="s">
        <v>657</v>
      </c>
      <c r="I191" s="20" t="s">
        <v>657</v>
      </c>
      <c r="J191" s="193" t="s">
        <v>657</v>
      </c>
      <c r="K191" s="193"/>
      <c r="L191" s="193"/>
      <c r="M191" s="63" t="s">
        <v>657</v>
      </c>
      <c r="N191" s="193"/>
      <c r="O191" s="63" t="s">
        <v>657</v>
      </c>
      <c r="P191" s="196"/>
      <c r="Q191" s="37"/>
      <c r="R191" s="93"/>
      <c r="S191" s="13" t="str">
        <f ca="1">IF(ISBLANK(Table2[[#This Row],[Complete corrective actions (Approved Date)]]), TODAY()-Table2[[#This Row],[CAR initialized date]], "CLOSED")</f>
        <v>CLOSED</v>
      </c>
    </row>
    <row r="192" spans="1:19" s="4" customFormat="1" ht="36" customHeight="1" x14ac:dyDescent="0.25">
      <c r="A192" s="9" t="s">
        <v>656</v>
      </c>
      <c r="B192" s="13" t="str">
        <f>VLOOKUP(Table2[[#This Row],[Location 
(drop-down)]],'List source'!D$2:E$71,2,FALSE)</f>
        <v>VOID</v>
      </c>
      <c r="C192" s="11" t="s">
        <v>424</v>
      </c>
      <c r="D192" s="212" t="str">
        <f t="shared" si="2"/>
        <v>C190-VOID-25</v>
      </c>
      <c r="E192" s="11" t="s">
        <v>657</v>
      </c>
      <c r="F192" s="11"/>
      <c r="G192" s="9" t="s">
        <v>660</v>
      </c>
      <c r="H192" s="10" t="s">
        <v>657</v>
      </c>
      <c r="I192" s="20" t="s">
        <v>657</v>
      </c>
      <c r="J192" s="193" t="s">
        <v>657</v>
      </c>
      <c r="K192" s="193"/>
      <c r="L192" s="193"/>
      <c r="M192" s="63" t="s">
        <v>657</v>
      </c>
      <c r="N192" s="193"/>
      <c r="O192" s="63" t="s">
        <v>657</v>
      </c>
      <c r="P192" s="196"/>
      <c r="Q192" s="37"/>
      <c r="R192" s="93"/>
      <c r="S192" s="13" t="str">
        <f ca="1">IF(ISBLANK(Table2[[#This Row],[Complete corrective actions (Approved Date)]]), TODAY()-Table2[[#This Row],[CAR initialized date]], "CLOSED")</f>
        <v>CLOSED</v>
      </c>
    </row>
    <row r="193" spans="1:19" s="4" customFormat="1" ht="36" customHeight="1" x14ac:dyDescent="0.25">
      <c r="A193" s="9" t="s">
        <v>46</v>
      </c>
      <c r="B193" s="13">
        <f>VLOOKUP(Table2[[#This Row],[Location 
(drop-down)]],'List source'!D$2:E$71,2,FALSE)</f>
        <v>155</v>
      </c>
      <c r="C193" s="11" t="s">
        <v>425</v>
      </c>
      <c r="D193" s="212" t="str">
        <f t="shared" si="2"/>
        <v>C191-155-25</v>
      </c>
      <c r="E193" s="11" t="s">
        <v>452</v>
      </c>
      <c r="F193" s="11" t="s">
        <v>103</v>
      </c>
      <c r="G193" s="9" t="s">
        <v>661</v>
      </c>
      <c r="H193" s="10" t="s">
        <v>458</v>
      </c>
      <c r="I193" s="20" t="s">
        <v>35</v>
      </c>
      <c r="J193" s="193">
        <v>45776</v>
      </c>
      <c r="K193" s="193" t="s">
        <v>503</v>
      </c>
      <c r="L193" s="193"/>
      <c r="M193" s="63">
        <v>45793</v>
      </c>
      <c r="N193" s="193" t="s">
        <v>503</v>
      </c>
      <c r="O193" s="63">
        <v>45926</v>
      </c>
      <c r="P193" s="196" t="s">
        <v>503</v>
      </c>
      <c r="Q193" s="37"/>
      <c r="R193" s="93"/>
      <c r="S193" s="13" t="str">
        <f ca="1">IF(ISBLANK(Table2[[#This Row],[Complete corrective actions (Approved Date)]]), TODAY()-Table2[[#This Row],[CAR initialized date]], "CLOSED")</f>
        <v>CLOSED</v>
      </c>
    </row>
    <row r="194" spans="1:19" s="4" customFormat="1" ht="36" customHeight="1" x14ac:dyDescent="0.25">
      <c r="A194" s="9" t="s">
        <v>156</v>
      </c>
      <c r="B194" s="13">
        <f>VLOOKUP(Table2[[#This Row],[Location 
(drop-down)]],'List source'!D$2:E$71,2,FALSE)</f>
        <v>130</v>
      </c>
      <c r="C194" s="11" t="s">
        <v>426</v>
      </c>
      <c r="D194" s="212" t="str">
        <f t="shared" ref="D194:D257" si="3">"C" &amp; C194 &amp;"-" &amp; B194 &amp; "-" &amp; "25"</f>
        <v>C192-130-25</v>
      </c>
      <c r="E194" s="11" t="s">
        <v>452</v>
      </c>
      <c r="F194" s="11" t="s">
        <v>662</v>
      </c>
      <c r="G194" s="9" t="s">
        <v>663</v>
      </c>
      <c r="H194" s="10" t="s">
        <v>455</v>
      </c>
      <c r="I194" s="20" t="s">
        <v>167</v>
      </c>
      <c r="J194" s="193">
        <v>45776</v>
      </c>
      <c r="K194" s="193"/>
      <c r="L194" s="193"/>
      <c r="M194" s="63">
        <v>45848</v>
      </c>
      <c r="N194" s="193"/>
      <c r="O194" s="63"/>
      <c r="P194" s="196"/>
      <c r="Q194" s="37"/>
      <c r="R194" s="93"/>
      <c r="S194" s="13" t="str">
        <f ca="1">IF(ISBLANK(Table2[[#This Row],[Complete corrective actions (Approved Date)]]), TODAY()-Table2[[#This Row],[CAR initialized date]], "CLOSED")</f>
        <v>CLOSED</v>
      </c>
    </row>
    <row r="195" spans="1:19" s="4" customFormat="1" ht="36" customHeight="1" x14ac:dyDescent="0.25">
      <c r="A195" s="9" t="s">
        <v>172</v>
      </c>
      <c r="B195" s="13" t="str">
        <f>VLOOKUP(Table2[[#This Row],[Location 
(drop-down)]],'List source'!D$2:E$71,2,FALSE)</f>
        <v>160A</v>
      </c>
      <c r="C195" s="11" t="s">
        <v>427</v>
      </c>
      <c r="D195" s="212" t="str">
        <f t="shared" si="3"/>
        <v>C193-160A-25</v>
      </c>
      <c r="E195" s="11" t="s">
        <v>472</v>
      </c>
      <c r="F195" s="11"/>
      <c r="G195" s="9" t="s">
        <v>664</v>
      </c>
      <c r="H195" s="10" t="s">
        <v>458</v>
      </c>
      <c r="I195" s="20" t="s">
        <v>35</v>
      </c>
      <c r="J195" s="193">
        <v>45782</v>
      </c>
      <c r="K195" s="193"/>
      <c r="L195" s="193"/>
      <c r="M195" s="63">
        <v>45927</v>
      </c>
      <c r="N195" s="193"/>
      <c r="O195" s="63"/>
      <c r="P195" s="196"/>
      <c r="Q195" s="37"/>
      <c r="R195" s="93"/>
      <c r="S195" s="13" t="str">
        <f ca="1">IF(ISBLANK(Table2[[#This Row],[Complete corrective actions (Approved Date)]]), TODAY()-Table2[[#This Row],[CAR initialized date]], "CLOSED")</f>
        <v>CLOSED</v>
      </c>
    </row>
    <row r="196" spans="1:19" s="4" customFormat="1" ht="36" customHeight="1" x14ac:dyDescent="0.25">
      <c r="A196" s="9" t="s">
        <v>172</v>
      </c>
      <c r="B196" s="13" t="str">
        <f>VLOOKUP(Table2[[#This Row],[Location 
(drop-down)]],'List source'!D$2:E$71,2,FALSE)</f>
        <v>160A</v>
      </c>
      <c r="C196" s="11" t="s">
        <v>428</v>
      </c>
      <c r="D196" s="212" t="str">
        <f t="shared" si="3"/>
        <v>C194-160A-25</v>
      </c>
      <c r="E196" s="11" t="s">
        <v>472</v>
      </c>
      <c r="F196" s="11"/>
      <c r="G196" s="9" t="s">
        <v>665</v>
      </c>
      <c r="H196" s="10" t="s">
        <v>494</v>
      </c>
      <c r="I196" s="20" t="s">
        <v>35</v>
      </c>
      <c r="J196" s="193">
        <v>45782</v>
      </c>
      <c r="K196" s="193" t="s">
        <v>503</v>
      </c>
      <c r="L196" s="193"/>
      <c r="M196" s="63">
        <v>46013</v>
      </c>
      <c r="N196" s="193" t="s">
        <v>503</v>
      </c>
      <c r="O196" s="63"/>
      <c r="P196" s="196"/>
      <c r="Q196" s="37"/>
      <c r="R196" s="93"/>
      <c r="S196" s="13" t="str">
        <f ca="1">IF(ISBLANK(Table2[[#This Row],[Complete corrective actions (Approved Date)]]), TODAY()-Table2[[#This Row],[CAR initialized date]], "CLOSED")</f>
        <v>CLOSED</v>
      </c>
    </row>
    <row r="197" spans="1:19" s="4" customFormat="1" ht="36" customHeight="1" x14ac:dyDescent="0.25">
      <c r="A197" s="9" t="s">
        <v>172</v>
      </c>
      <c r="B197" s="13" t="str">
        <f>VLOOKUP(Table2[[#This Row],[Location 
(drop-down)]],'List source'!D$2:E$71,2,FALSE)</f>
        <v>160A</v>
      </c>
      <c r="C197" s="11" t="s">
        <v>429</v>
      </c>
      <c r="D197" s="212" t="str">
        <f t="shared" si="3"/>
        <v>C195-160A-25</v>
      </c>
      <c r="E197" s="11" t="s">
        <v>472</v>
      </c>
      <c r="F197" s="11"/>
      <c r="G197" s="9" t="s">
        <v>666</v>
      </c>
      <c r="H197" s="10" t="s">
        <v>455</v>
      </c>
      <c r="I197" s="20" t="s">
        <v>35</v>
      </c>
      <c r="J197" s="193">
        <v>45782</v>
      </c>
      <c r="K197" s="193"/>
      <c r="L197" s="193"/>
      <c r="M197" s="63">
        <v>46053</v>
      </c>
      <c r="N197" s="193"/>
      <c r="O197" s="63"/>
      <c r="P197" s="196"/>
      <c r="Q197" s="37"/>
      <c r="R197" s="93"/>
      <c r="S197" s="13" t="str">
        <f ca="1">IF(ISBLANK(Table2[[#This Row],[Complete corrective actions (Approved Date)]]), TODAY()-Table2[[#This Row],[CAR initialized date]], "CLOSED")</f>
        <v>CLOSED</v>
      </c>
    </row>
    <row r="198" spans="1:19" s="4" customFormat="1" ht="36" customHeight="1" x14ac:dyDescent="0.25">
      <c r="A198" s="9" t="s">
        <v>172</v>
      </c>
      <c r="B198" s="13" t="str">
        <f>VLOOKUP(Table2[[#This Row],[Location 
(drop-down)]],'List source'!D$2:E$71,2,FALSE)</f>
        <v>160A</v>
      </c>
      <c r="C198" s="11" t="s">
        <v>430</v>
      </c>
      <c r="D198" s="212" t="str">
        <f t="shared" si="3"/>
        <v>C196-160A-25</v>
      </c>
      <c r="E198" s="11" t="s">
        <v>472</v>
      </c>
      <c r="F198" s="11"/>
      <c r="G198" s="9" t="s">
        <v>667</v>
      </c>
      <c r="H198" s="10" t="s">
        <v>455</v>
      </c>
      <c r="I198" s="20" t="s">
        <v>35</v>
      </c>
      <c r="J198" s="193">
        <v>45782</v>
      </c>
      <c r="K198" s="193"/>
      <c r="L198" s="193"/>
      <c r="M198" s="63">
        <v>46053</v>
      </c>
      <c r="N198" s="193"/>
      <c r="O198" s="63"/>
      <c r="P198" s="196"/>
      <c r="Q198" s="37"/>
      <c r="R198" s="93"/>
      <c r="S198" s="13" t="str">
        <f ca="1">IF(ISBLANK(Table2[[#This Row],[Complete corrective actions (Approved Date)]]), TODAY()-Table2[[#This Row],[CAR initialized date]], "CLOSED")</f>
        <v>CLOSED</v>
      </c>
    </row>
    <row r="199" spans="1:19" s="4" customFormat="1" ht="36" customHeight="1" x14ac:dyDescent="0.25">
      <c r="A199" s="9" t="s">
        <v>172</v>
      </c>
      <c r="B199" s="13" t="str">
        <f>VLOOKUP(Table2[[#This Row],[Location 
(drop-down)]],'List source'!D$2:E$71,2,FALSE)</f>
        <v>160A</v>
      </c>
      <c r="C199" s="11" t="s">
        <v>431</v>
      </c>
      <c r="D199" s="212" t="str">
        <f t="shared" si="3"/>
        <v>C197-160A-25</v>
      </c>
      <c r="E199" s="11" t="s">
        <v>472</v>
      </c>
      <c r="F199" s="11"/>
      <c r="G199" s="9" t="s">
        <v>668</v>
      </c>
      <c r="H199" s="10" t="s">
        <v>455</v>
      </c>
      <c r="I199" s="20" t="s">
        <v>35</v>
      </c>
      <c r="J199" s="193">
        <v>45782</v>
      </c>
      <c r="K199" s="193"/>
      <c r="L199" s="193"/>
      <c r="M199" s="63">
        <v>46053</v>
      </c>
      <c r="N199" s="193"/>
      <c r="O199" s="63"/>
      <c r="P199" s="196"/>
      <c r="Q199" s="37"/>
      <c r="R199" s="93"/>
      <c r="S199" s="13" t="str">
        <f ca="1">IF(ISBLANK(Table2[[#This Row],[Complete corrective actions (Approved Date)]]), TODAY()-Table2[[#This Row],[CAR initialized date]], "CLOSED")</f>
        <v>CLOSED</v>
      </c>
    </row>
    <row r="200" spans="1:19" s="4" customFormat="1" ht="36" customHeight="1" x14ac:dyDescent="0.25">
      <c r="A200" s="9" t="s">
        <v>172</v>
      </c>
      <c r="B200" s="13" t="str">
        <f>VLOOKUP(Table2[[#This Row],[Location 
(drop-down)]],'List source'!D$2:E$71,2,FALSE)</f>
        <v>160A</v>
      </c>
      <c r="C200" s="11" t="s">
        <v>432</v>
      </c>
      <c r="D200" s="212" t="str">
        <f t="shared" si="3"/>
        <v>C198-160A-25</v>
      </c>
      <c r="E200" s="11" t="s">
        <v>472</v>
      </c>
      <c r="F200" s="11"/>
      <c r="G200" s="9" t="s">
        <v>669</v>
      </c>
      <c r="H200" s="10" t="s">
        <v>455</v>
      </c>
      <c r="I200" s="20" t="s">
        <v>35</v>
      </c>
      <c r="J200" s="193">
        <v>45782</v>
      </c>
      <c r="K200" s="193"/>
      <c r="L200" s="193"/>
      <c r="M200" s="63">
        <v>46053</v>
      </c>
      <c r="N200" s="193"/>
      <c r="O200" s="63"/>
      <c r="P200" s="196"/>
      <c r="Q200" s="37"/>
      <c r="R200" s="93"/>
      <c r="S200" s="13" t="str">
        <f ca="1">IF(ISBLANK(Table2[[#This Row],[Complete corrective actions (Approved Date)]]), TODAY()-Table2[[#This Row],[CAR initialized date]], "CLOSED")</f>
        <v>CLOSED</v>
      </c>
    </row>
    <row r="201" spans="1:19" s="4" customFormat="1" ht="36" customHeight="1" x14ac:dyDescent="0.25">
      <c r="A201" s="9" t="s">
        <v>172</v>
      </c>
      <c r="B201" s="13" t="str">
        <f>VLOOKUP(Table2[[#This Row],[Location 
(drop-down)]],'List source'!D$2:E$71,2,FALSE)</f>
        <v>160A</v>
      </c>
      <c r="C201" s="11" t="s">
        <v>433</v>
      </c>
      <c r="D201" s="212" t="str">
        <f t="shared" si="3"/>
        <v>C199-160A-25</v>
      </c>
      <c r="E201" s="11" t="s">
        <v>472</v>
      </c>
      <c r="F201" s="11"/>
      <c r="G201" s="9" t="s">
        <v>670</v>
      </c>
      <c r="H201" s="10" t="s">
        <v>455</v>
      </c>
      <c r="I201" s="20" t="s">
        <v>35</v>
      </c>
      <c r="J201" s="193">
        <v>45782</v>
      </c>
      <c r="K201" s="193" t="s">
        <v>503</v>
      </c>
      <c r="L201" s="193"/>
      <c r="M201" s="63">
        <v>46053</v>
      </c>
      <c r="N201" s="193"/>
      <c r="O201" s="63"/>
      <c r="P201" s="196"/>
      <c r="Q201" s="37"/>
      <c r="R201" s="93"/>
      <c r="S201" s="13" t="str">
        <f ca="1">IF(ISBLANK(Table2[[#This Row],[Complete corrective actions (Approved Date)]]), TODAY()-Table2[[#This Row],[CAR initialized date]], "CLOSED")</f>
        <v>CLOSED</v>
      </c>
    </row>
    <row r="202" spans="1:19" s="4" customFormat="1" ht="36" customHeight="1" x14ac:dyDescent="0.25">
      <c r="A202" s="9" t="s">
        <v>172</v>
      </c>
      <c r="B202" s="13" t="str">
        <f>VLOOKUP(Table2[[#This Row],[Location 
(drop-down)]],'List source'!D$2:E$71,2,FALSE)</f>
        <v>160A</v>
      </c>
      <c r="C202" s="11" t="s">
        <v>434</v>
      </c>
      <c r="D202" s="212" t="str">
        <f t="shared" si="3"/>
        <v>C200-160A-25</v>
      </c>
      <c r="E202" s="11" t="s">
        <v>472</v>
      </c>
      <c r="F202" s="11"/>
      <c r="G202" s="9" t="s">
        <v>671</v>
      </c>
      <c r="H202" s="10" t="s">
        <v>455</v>
      </c>
      <c r="I202" s="20" t="s">
        <v>35</v>
      </c>
      <c r="J202" s="193">
        <v>45782</v>
      </c>
      <c r="K202" s="193"/>
      <c r="L202" s="193"/>
      <c r="M202" s="63">
        <v>46053</v>
      </c>
      <c r="N202" s="193"/>
      <c r="O202" s="63"/>
      <c r="P202" s="196"/>
      <c r="Q202" s="37"/>
      <c r="R202" s="93"/>
      <c r="S202" s="13" t="str">
        <f ca="1">IF(ISBLANK(Table2[[#This Row],[Complete corrective actions (Approved Date)]]), TODAY()-Table2[[#This Row],[CAR initialized date]], "CLOSED")</f>
        <v>CLOSED</v>
      </c>
    </row>
    <row r="203" spans="1:19" s="4" customFormat="1" ht="36" customHeight="1" x14ac:dyDescent="0.25">
      <c r="A203" s="9" t="s">
        <v>172</v>
      </c>
      <c r="B203" s="13" t="str">
        <f>VLOOKUP(Table2[[#This Row],[Location 
(drop-down)]],'List source'!D$2:E$71,2,FALSE)</f>
        <v>160A</v>
      </c>
      <c r="C203" s="11" t="s">
        <v>672</v>
      </c>
      <c r="D203" s="212" t="str">
        <f t="shared" si="3"/>
        <v>C201-160A-25</v>
      </c>
      <c r="E203" s="11" t="s">
        <v>472</v>
      </c>
      <c r="F203" s="11"/>
      <c r="G203" s="9" t="s">
        <v>673</v>
      </c>
      <c r="H203" s="10" t="s">
        <v>455</v>
      </c>
      <c r="I203" s="20" t="s">
        <v>35</v>
      </c>
      <c r="J203" s="193">
        <v>45782</v>
      </c>
      <c r="K203" s="193"/>
      <c r="L203" s="193"/>
      <c r="M203" s="63">
        <v>46053</v>
      </c>
      <c r="N203" s="193"/>
      <c r="O203" s="63"/>
      <c r="P203" s="196"/>
      <c r="Q203" s="37"/>
      <c r="R203" s="93"/>
      <c r="S203" s="13" t="str">
        <f ca="1">IF(ISBLANK(Table2[[#This Row],[Complete corrective actions (Approved Date)]]), TODAY()-Table2[[#This Row],[CAR initialized date]], "CLOSED")</f>
        <v>CLOSED</v>
      </c>
    </row>
    <row r="204" spans="1:19" s="4" customFormat="1" ht="36" customHeight="1" x14ac:dyDescent="0.25">
      <c r="A204" s="9" t="s">
        <v>172</v>
      </c>
      <c r="B204" s="13" t="str">
        <f>VLOOKUP(Table2[[#This Row],[Location 
(drop-down)]],'List source'!D$2:E$71,2,FALSE)</f>
        <v>160A</v>
      </c>
      <c r="C204" s="11" t="s">
        <v>674</v>
      </c>
      <c r="D204" s="212" t="str">
        <f t="shared" si="3"/>
        <v>C202-160A-25</v>
      </c>
      <c r="E204" s="11" t="s">
        <v>472</v>
      </c>
      <c r="F204" s="11"/>
      <c r="G204" s="9" t="s">
        <v>675</v>
      </c>
      <c r="H204" s="10" t="s">
        <v>455</v>
      </c>
      <c r="I204" s="20" t="s">
        <v>35</v>
      </c>
      <c r="J204" s="193">
        <v>45782</v>
      </c>
      <c r="K204" s="193"/>
      <c r="L204" s="193"/>
      <c r="M204" s="63">
        <v>45832</v>
      </c>
      <c r="N204" s="193"/>
      <c r="O204" s="63"/>
      <c r="P204" s="196"/>
      <c r="Q204" s="37"/>
      <c r="R204" s="93" t="s">
        <v>530</v>
      </c>
      <c r="S204" s="13" t="str">
        <f ca="1">IF(ISBLANK(Table2[[#This Row],[Complete corrective actions (Approved Date)]]), TODAY()-Table2[[#This Row],[CAR initialized date]], "CLOSED")</f>
        <v>CLOSED</v>
      </c>
    </row>
    <row r="205" spans="1:19" s="4" customFormat="1" ht="36" customHeight="1" x14ac:dyDescent="0.25">
      <c r="A205" s="9" t="s">
        <v>287</v>
      </c>
      <c r="B205" s="13">
        <f>VLOOKUP(Table2[[#This Row],[Location 
(drop-down)]],'List source'!D$2:E$71,2,FALSE)</f>
        <v>180</v>
      </c>
      <c r="C205" s="11" t="s">
        <v>676</v>
      </c>
      <c r="D205" s="212" t="str">
        <f t="shared" si="3"/>
        <v>C203-180-25</v>
      </c>
      <c r="E205" s="11" t="s">
        <v>460</v>
      </c>
      <c r="F205" s="11"/>
      <c r="G205" s="9" t="s">
        <v>677</v>
      </c>
      <c r="H205" s="10" t="s">
        <v>458</v>
      </c>
      <c r="I205" s="20" t="s">
        <v>35</v>
      </c>
      <c r="J205" s="193">
        <v>45782</v>
      </c>
      <c r="K205" s="193"/>
      <c r="L205" s="193"/>
      <c r="M205" s="63">
        <v>45813</v>
      </c>
      <c r="N205" s="193"/>
      <c r="O205" s="63"/>
      <c r="P205" s="196"/>
      <c r="Q205" s="37" t="s">
        <v>678</v>
      </c>
      <c r="R205" s="93"/>
      <c r="S205" s="13" t="str">
        <f ca="1">IF(ISBLANK(Table2[[#This Row],[Complete corrective actions (Approved Date)]]), TODAY()-Table2[[#This Row],[CAR initialized date]], "CLOSED")</f>
        <v>CLOSED</v>
      </c>
    </row>
    <row r="206" spans="1:19" s="4" customFormat="1" ht="36" customHeight="1" x14ac:dyDescent="0.25">
      <c r="A206" s="9" t="s">
        <v>156</v>
      </c>
      <c r="B206" s="13">
        <f>VLOOKUP(Table2[[#This Row],[Location 
(drop-down)]],'List source'!D$2:E$71,2,FALSE)</f>
        <v>130</v>
      </c>
      <c r="C206" s="11" t="s">
        <v>679</v>
      </c>
      <c r="D206" s="212" t="str">
        <f t="shared" si="3"/>
        <v>C204-130-25</v>
      </c>
      <c r="E206" s="11" t="s">
        <v>465</v>
      </c>
      <c r="F206" s="11" t="s">
        <v>111</v>
      </c>
      <c r="G206" s="9" t="s">
        <v>680</v>
      </c>
      <c r="H206" s="10" t="s">
        <v>455</v>
      </c>
      <c r="I206" s="20" t="s">
        <v>167</v>
      </c>
      <c r="J206" s="193">
        <v>45782</v>
      </c>
      <c r="K206" s="193"/>
      <c r="L206" s="193"/>
      <c r="M206" s="63">
        <v>45786</v>
      </c>
      <c r="N206" s="193"/>
      <c r="O206" s="63"/>
      <c r="P206" s="196"/>
      <c r="Q206" s="37"/>
      <c r="R206" s="93" t="s">
        <v>467</v>
      </c>
      <c r="S206" s="13" t="str">
        <f ca="1">IF(ISBLANK(Table2[[#This Row],[Complete corrective actions (Approved Date)]]), TODAY()-Table2[[#This Row],[CAR initialized date]], "CLOSED")</f>
        <v>CLOSED</v>
      </c>
    </row>
    <row r="207" spans="1:19" s="4" customFormat="1" ht="36" customHeight="1" x14ac:dyDescent="0.25">
      <c r="A207" s="9" t="s">
        <v>139</v>
      </c>
      <c r="B207" s="13">
        <f>VLOOKUP(Table2[[#This Row],[Location 
(drop-down)]],'List source'!D$2:E$71,2,FALSE)</f>
        <v>119</v>
      </c>
      <c r="C207" s="11" t="s">
        <v>681</v>
      </c>
      <c r="D207" s="212" t="str">
        <f t="shared" si="3"/>
        <v>C205-119-25</v>
      </c>
      <c r="E207" s="11" t="s">
        <v>472</v>
      </c>
      <c r="F207" s="11"/>
      <c r="G207" s="9" t="s">
        <v>682</v>
      </c>
      <c r="H207" s="10" t="s">
        <v>458</v>
      </c>
      <c r="I207" s="20" t="s">
        <v>27</v>
      </c>
      <c r="J207" s="193">
        <v>45783</v>
      </c>
      <c r="K207" s="193"/>
      <c r="L207" s="193"/>
      <c r="M207" s="63">
        <v>45838</v>
      </c>
      <c r="N207" s="193"/>
      <c r="O207" s="63"/>
      <c r="P207" s="196"/>
      <c r="Q207" s="37"/>
      <c r="R207" s="93" t="s">
        <v>467</v>
      </c>
      <c r="S207" s="13" t="str">
        <f ca="1">IF(ISBLANK(Table2[[#This Row],[Complete corrective actions (Approved Date)]]), TODAY()-Table2[[#This Row],[CAR initialized date]], "CLOSED")</f>
        <v>CLOSED</v>
      </c>
    </row>
    <row r="208" spans="1:19" s="4" customFormat="1" ht="36" customHeight="1" x14ac:dyDescent="0.25">
      <c r="A208" s="9" t="s">
        <v>139</v>
      </c>
      <c r="B208" s="13">
        <f>VLOOKUP(Table2[[#This Row],[Location 
(drop-down)]],'List source'!D$2:E$71,2,FALSE)</f>
        <v>119</v>
      </c>
      <c r="C208" s="11" t="s">
        <v>683</v>
      </c>
      <c r="D208" s="212" t="str">
        <f t="shared" si="3"/>
        <v>C206-119-25</v>
      </c>
      <c r="E208" s="11" t="s">
        <v>472</v>
      </c>
      <c r="F208" s="11"/>
      <c r="G208" s="9" t="s">
        <v>492</v>
      </c>
      <c r="H208" s="10" t="s">
        <v>458</v>
      </c>
      <c r="I208" s="20" t="s">
        <v>27</v>
      </c>
      <c r="J208" s="193">
        <v>45783</v>
      </c>
      <c r="K208" s="193" t="s">
        <v>503</v>
      </c>
      <c r="L208" s="193"/>
      <c r="M208" s="63">
        <v>45965</v>
      </c>
      <c r="N208" s="193" t="s">
        <v>503</v>
      </c>
      <c r="O208" s="63"/>
      <c r="P208" s="196"/>
      <c r="Q208" s="37" t="s">
        <v>684</v>
      </c>
      <c r="R208" s="93"/>
      <c r="S208" s="13" t="str">
        <f ca="1">IF(ISBLANK(Table2[[#This Row],[Complete corrective actions (Approved Date)]]), TODAY()-Table2[[#This Row],[CAR initialized date]], "CLOSED")</f>
        <v>CLOSED</v>
      </c>
    </row>
    <row r="209" spans="1:19" s="4" customFormat="1" ht="36" customHeight="1" x14ac:dyDescent="0.25">
      <c r="A209" s="9" t="s">
        <v>139</v>
      </c>
      <c r="B209" s="13">
        <f>VLOOKUP(Table2[[#This Row],[Location 
(drop-down)]],'List source'!D$2:E$71,2,FALSE)</f>
        <v>119</v>
      </c>
      <c r="C209" s="11" t="s">
        <v>685</v>
      </c>
      <c r="D209" s="212" t="str">
        <f t="shared" si="3"/>
        <v>C207-119-25</v>
      </c>
      <c r="E209" s="11" t="s">
        <v>472</v>
      </c>
      <c r="F209" s="11"/>
      <c r="G209" s="9" t="s">
        <v>686</v>
      </c>
      <c r="H209" s="10" t="s">
        <v>458</v>
      </c>
      <c r="I209" s="20" t="s">
        <v>27</v>
      </c>
      <c r="J209" s="193">
        <v>45783</v>
      </c>
      <c r="K209" s="193"/>
      <c r="L209" s="193"/>
      <c r="M209" s="63"/>
      <c r="N209" s="193"/>
      <c r="O209" s="63"/>
      <c r="P209" s="196"/>
      <c r="Q209" s="37"/>
      <c r="R209" s="93"/>
      <c r="S209" s="13">
        <f ca="1">IF(ISBLANK(Table2[[#This Row],[Complete corrective actions (Approved Date)]]), TODAY()-Table2[[#This Row],[CAR initialized date]], "CLOSED")</f>
        <v>294</v>
      </c>
    </row>
    <row r="210" spans="1:19" s="4" customFormat="1" ht="36" customHeight="1" x14ac:dyDescent="0.25">
      <c r="A210" s="9" t="s">
        <v>156</v>
      </c>
      <c r="B210" s="13">
        <f>VLOOKUP(Table2[[#This Row],[Location 
(drop-down)]],'List source'!D$2:E$71,2,FALSE)</f>
        <v>130</v>
      </c>
      <c r="C210" s="11" t="s">
        <v>687</v>
      </c>
      <c r="D210" s="212" t="str">
        <f t="shared" si="3"/>
        <v>C208-130-25</v>
      </c>
      <c r="E210" s="11" t="s">
        <v>472</v>
      </c>
      <c r="F210" s="11"/>
      <c r="G210" s="9" t="s">
        <v>525</v>
      </c>
      <c r="H210" s="10" t="s">
        <v>458</v>
      </c>
      <c r="I210" s="20" t="s">
        <v>18</v>
      </c>
      <c r="J210" s="193">
        <v>45786</v>
      </c>
      <c r="K210" s="193"/>
      <c r="L210" s="193"/>
      <c r="M210" s="63"/>
      <c r="N210" s="193"/>
      <c r="O210" s="63"/>
      <c r="P210" s="196"/>
      <c r="Q210" s="37"/>
      <c r="R210" s="93"/>
      <c r="S210" s="13">
        <f ca="1">IF(ISBLANK(Table2[[#This Row],[Complete corrective actions (Approved Date)]]), TODAY()-Table2[[#This Row],[CAR initialized date]], "CLOSED")</f>
        <v>291</v>
      </c>
    </row>
    <row r="211" spans="1:19" s="4" customFormat="1" ht="36" customHeight="1" x14ac:dyDescent="0.25">
      <c r="A211" s="9" t="s">
        <v>156</v>
      </c>
      <c r="B211" s="13">
        <f>VLOOKUP(Table2[[#This Row],[Location 
(drop-down)]],'List source'!D$2:E$71,2,FALSE)</f>
        <v>130</v>
      </c>
      <c r="C211" s="11" t="s">
        <v>688</v>
      </c>
      <c r="D211" s="212" t="str">
        <f t="shared" si="3"/>
        <v>C209-130-25</v>
      </c>
      <c r="E211" s="11" t="s">
        <v>472</v>
      </c>
      <c r="F211" s="11"/>
      <c r="G211" s="9" t="s">
        <v>622</v>
      </c>
      <c r="H211" s="10" t="s">
        <v>458</v>
      </c>
      <c r="I211" s="20" t="s">
        <v>18</v>
      </c>
      <c r="J211" s="193">
        <v>45786</v>
      </c>
      <c r="K211" s="193"/>
      <c r="L211" s="193"/>
      <c r="M211" s="63"/>
      <c r="N211" s="193"/>
      <c r="O211" s="63"/>
      <c r="P211" s="196"/>
      <c r="Q211" s="37"/>
      <c r="R211" s="93"/>
      <c r="S211" s="13">
        <f ca="1">IF(ISBLANK(Table2[[#This Row],[Complete corrective actions (Approved Date)]]), TODAY()-Table2[[#This Row],[CAR initialized date]], "CLOSED")</f>
        <v>291</v>
      </c>
    </row>
    <row r="212" spans="1:19" s="4" customFormat="1" ht="36" customHeight="1" x14ac:dyDescent="0.25">
      <c r="A212" s="9" t="s">
        <v>156</v>
      </c>
      <c r="B212" s="13">
        <f>VLOOKUP(Table2[[#This Row],[Location 
(drop-down)]],'List source'!D$2:E$71,2,FALSE)</f>
        <v>130</v>
      </c>
      <c r="C212" s="11" t="s">
        <v>689</v>
      </c>
      <c r="D212" s="212" t="str">
        <f t="shared" si="3"/>
        <v>C210-130-25</v>
      </c>
      <c r="E212" s="11" t="s">
        <v>472</v>
      </c>
      <c r="F212" s="11"/>
      <c r="G212" s="9" t="s">
        <v>616</v>
      </c>
      <c r="H212" s="10" t="s">
        <v>455</v>
      </c>
      <c r="I212" s="20" t="s">
        <v>18</v>
      </c>
      <c r="J212" s="193">
        <v>45786</v>
      </c>
      <c r="K212" s="193"/>
      <c r="L212" s="193"/>
      <c r="M212" s="63">
        <v>45927</v>
      </c>
      <c r="N212" s="193"/>
      <c r="O212" s="63"/>
      <c r="P212" s="196"/>
      <c r="Q212" s="37"/>
      <c r="R212" s="93"/>
      <c r="S212" s="13" t="str">
        <f ca="1">IF(ISBLANK(Table2[[#This Row],[Complete corrective actions (Approved Date)]]), TODAY()-Table2[[#This Row],[CAR initialized date]], "CLOSED")</f>
        <v>CLOSED</v>
      </c>
    </row>
    <row r="213" spans="1:19" s="4" customFormat="1" ht="36" customHeight="1" x14ac:dyDescent="0.25">
      <c r="A213" s="9" t="s">
        <v>156</v>
      </c>
      <c r="B213" s="13">
        <f>VLOOKUP(Table2[[#This Row],[Location 
(drop-down)]],'List source'!D$2:E$71,2,FALSE)</f>
        <v>130</v>
      </c>
      <c r="C213" s="11" t="s">
        <v>690</v>
      </c>
      <c r="D213" s="212" t="str">
        <f t="shared" si="3"/>
        <v>C211-130-25</v>
      </c>
      <c r="E213" s="11" t="s">
        <v>472</v>
      </c>
      <c r="F213" s="11"/>
      <c r="G213" s="170" t="s">
        <v>538</v>
      </c>
      <c r="H213" s="10" t="s">
        <v>455</v>
      </c>
      <c r="I213" s="20" t="s">
        <v>18</v>
      </c>
      <c r="J213" s="193">
        <v>45786</v>
      </c>
      <c r="K213" s="193"/>
      <c r="L213" s="193"/>
      <c r="M213" s="63">
        <v>45937</v>
      </c>
      <c r="N213" s="193"/>
      <c r="O213" s="63"/>
      <c r="P213" s="196"/>
      <c r="Q213" s="37"/>
      <c r="R213" s="93"/>
      <c r="S213" s="13" t="str">
        <f ca="1">IF(ISBLANK(Table2[[#This Row],[Complete corrective actions (Approved Date)]]), TODAY()-Table2[[#This Row],[CAR initialized date]], "CLOSED")</f>
        <v>CLOSED</v>
      </c>
    </row>
    <row r="214" spans="1:19" s="4" customFormat="1" ht="36" customHeight="1" x14ac:dyDescent="0.25">
      <c r="A214" s="9" t="s">
        <v>156</v>
      </c>
      <c r="B214" s="13">
        <f>VLOOKUP(Table2[[#This Row],[Location 
(drop-down)]],'List source'!D$2:E$71,2,FALSE)</f>
        <v>130</v>
      </c>
      <c r="C214" s="11" t="s">
        <v>691</v>
      </c>
      <c r="D214" s="212" t="str">
        <f t="shared" si="3"/>
        <v>C212-130-25</v>
      </c>
      <c r="E214" s="11" t="s">
        <v>472</v>
      </c>
      <c r="F214" s="11"/>
      <c r="G214" s="9" t="s">
        <v>692</v>
      </c>
      <c r="H214" s="10" t="s">
        <v>455</v>
      </c>
      <c r="I214" s="20" t="s">
        <v>18</v>
      </c>
      <c r="J214" s="193">
        <v>45786</v>
      </c>
      <c r="K214" s="193"/>
      <c r="L214" s="193"/>
      <c r="M214" s="63">
        <v>45838</v>
      </c>
      <c r="N214" s="193"/>
      <c r="O214" s="63"/>
      <c r="P214" s="196"/>
      <c r="Q214" s="37"/>
      <c r="R214" s="93"/>
      <c r="S214" s="13" t="str">
        <f ca="1">IF(ISBLANK(Table2[[#This Row],[Complete corrective actions (Approved Date)]]), TODAY()-Table2[[#This Row],[CAR initialized date]], "CLOSED")</f>
        <v>CLOSED</v>
      </c>
    </row>
    <row r="215" spans="1:19" s="4" customFormat="1" ht="36" customHeight="1" x14ac:dyDescent="0.25">
      <c r="A215" s="9" t="s">
        <v>156</v>
      </c>
      <c r="B215" s="13">
        <f>VLOOKUP(Table2[[#This Row],[Location 
(drop-down)]],'List source'!D$2:E$71,2,FALSE)</f>
        <v>130</v>
      </c>
      <c r="C215" s="11" t="s">
        <v>693</v>
      </c>
      <c r="D215" s="212" t="str">
        <f t="shared" si="3"/>
        <v>C213-130-25</v>
      </c>
      <c r="E215" s="11" t="s">
        <v>472</v>
      </c>
      <c r="F215" s="11"/>
      <c r="G215" s="9" t="s">
        <v>624</v>
      </c>
      <c r="H215" s="10" t="s">
        <v>455</v>
      </c>
      <c r="I215" s="20" t="s">
        <v>18</v>
      </c>
      <c r="J215" s="193">
        <v>45786</v>
      </c>
      <c r="K215" s="193"/>
      <c r="L215" s="193"/>
      <c r="M215" s="63">
        <v>45837</v>
      </c>
      <c r="N215" s="193"/>
      <c r="O215" s="63"/>
      <c r="P215" s="196"/>
      <c r="Q215" s="37"/>
      <c r="R215" s="93" t="s">
        <v>484</v>
      </c>
      <c r="S215" s="13" t="str">
        <f ca="1">IF(ISBLANK(Table2[[#This Row],[Complete corrective actions (Approved Date)]]), TODAY()-Table2[[#This Row],[CAR initialized date]], "CLOSED")</f>
        <v>CLOSED</v>
      </c>
    </row>
    <row r="216" spans="1:19" s="4" customFormat="1" ht="36" customHeight="1" x14ac:dyDescent="0.25">
      <c r="A216" s="9" t="s">
        <v>156</v>
      </c>
      <c r="B216" s="13">
        <f>VLOOKUP(Table2[[#This Row],[Location 
(drop-down)]],'List source'!D$2:E$71,2,FALSE)</f>
        <v>130</v>
      </c>
      <c r="C216" s="11" t="s">
        <v>694</v>
      </c>
      <c r="D216" s="212" t="str">
        <f t="shared" si="3"/>
        <v>C214-130-25</v>
      </c>
      <c r="E216" s="11" t="s">
        <v>472</v>
      </c>
      <c r="F216" s="11"/>
      <c r="G216" s="9" t="s">
        <v>695</v>
      </c>
      <c r="H216" s="10" t="s">
        <v>455</v>
      </c>
      <c r="I216" s="20" t="s">
        <v>18</v>
      </c>
      <c r="J216" s="193">
        <v>45786</v>
      </c>
      <c r="K216" s="193"/>
      <c r="L216" s="193"/>
      <c r="M216" s="63">
        <v>45817</v>
      </c>
      <c r="N216" s="193"/>
      <c r="O216" s="63"/>
      <c r="P216" s="196"/>
      <c r="Q216" s="37"/>
      <c r="R216" s="93" t="s">
        <v>467</v>
      </c>
      <c r="S216" s="13" t="str">
        <f ca="1">IF(ISBLANK(Table2[[#This Row],[Complete corrective actions (Approved Date)]]), TODAY()-Table2[[#This Row],[CAR initialized date]], "CLOSED")</f>
        <v>CLOSED</v>
      </c>
    </row>
    <row r="217" spans="1:19" s="4" customFormat="1" ht="36" customHeight="1" x14ac:dyDescent="0.25">
      <c r="A217" s="9" t="s">
        <v>156</v>
      </c>
      <c r="B217" s="13">
        <f>VLOOKUP(Table2[[#This Row],[Location 
(drop-down)]],'List source'!D$2:E$71,2,FALSE)</f>
        <v>130</v>
      </c>
      <c r="C217" s="11" t="s">
        <v>696</v>
      </c>
      <c r="D217" s="212" t="str">
        <f t="shared" si="3"/>
        <v>C215-130-25</v>
      </c>
      <c r="E217" s="11" t="s">
        <v>472</v>
      </c>
      <c r="F217" s="11"/>
      <c r="G217" s="9" t="s">
        <v>625</v>
      </c>
      <c r="H217" s="10" t="s">
        <v>455</v>
      </c>
      <c r="I217" s="20" t="s">
        <v>18</v>
      </c>
      <c r="J217" s="193">
        <v>45786</v>
      </c>
      <c r="K217" s="193"/>
      <c r="L217" s="193"/>
      <c r="M217" s="63">
        <v>45837</v>
      </c>
      <c r="N217" s="193"/>
      <c r="O217" s="63"/>
      <c r="P217" s="196"/>
      <c r="Q217" s="37"/>
      <c r="R217" s="93" t="s">
        <v>467</v>
      </c>
      <c r="S217" s="13" t="str">
        <f ca="1">IF(ISBLANK(Table2[[#This Row],[Complete corrective actions (Approved Date)]]), TODAY()-Table2[[#This Row],[CAR initialized date]], "CLOSED")</f>
        <v>CLOSED</v>
      </c>
    </row>
    <row r="218" spans="1:19" s="4" customFormat="1" ht="36" customHeight="1" x14ac:dyDescent="0.25">
      <c r="A218" s="9" t="s">
        <v>156</v>
      </c>
      <c r="B218" s="13">
        <f>VLOOKUP(Table2[[#This Row],[Location 
(drop-down)]],'List source'!D$2:E$71,2,FALSE)</f>
        <v>130</v>
      </c>
      <c r="C218" s="11" t="s">
        <v>697</v>
      </c>
      <c r="D218" s="212" t="str">
        <f t="shared" si="3"/>
        <v>C216-130-25</v>
      </c>
      <c r="E218" s="11" t="s">
        <v>472</v>
      </c>
      <c r="F218" s="11"/>
      <c r="G218" s="9" t="s">
        <v>698</v>
      </c>
      <c r="H218" s="10" t="s">
        <v>455</v>
      </c>
      <c r="I218" s="20" t="s">
        <v>18</v>
      </c>
      <c r="J218" s="193">
        <v>45786</v>
      </c>
      <c r="K218" s="193"/>
      <c r="L218" s="193"/>
      <c r="M218" s="63">
        <v>45916</v>
      </c>
      <c r="N218" s="193"/>
      <c r="O218" s="63"/>
      <c r="P218" s="196"/>
      <c r="Q218" s="37"/>
      <c r="R218" s="93"/>
      <c r="S218" s="13" t="str">
        <f ca="1">IF(ISBLANK(Table2[[#This Row],[Complete corrective actions (Approved Date)]]), TODAY()-Table2[[#This Row],[CAR initialized date]], "CLOSED")</f>
        <v>CLOSED</v>
      </c>
    </row>
    <row r="219" spans="1:19" s="4" customFormat="1" ht="36" customHeight="1" x14ac:dyDescent="0.25">
      <c r="A219" s="9" t="s">
        <v>156</v>
      </c>
      <c r="B219" s="13">
        <f>VLOOKUP(Table2[[#This Row],[Location 
(drop-down)]],'List source'!D$2:E$71,2,FALSE)</f>
        <v>130</v>
      </c>
      <c r="C219" s="11" t="s">
        <v>699</v>
      </c>
      <c r="D219" s="212" t="str">
        <f t="shared" si="3"/>
        <v>C217-130-25</v>
      </c>
      <c r="E219" s="11" t="s">
        <v>472</v>
      </c>
      <c r="F219" s="11"/>
      <c r="G219" s="9" t="s">
        <v>700</v>
      </c>
      <c r="H219" s="10" t="s">
        <v>455</v>
      </c>
      <c r="I219" s="20" t="s">
        <v>18</v>
      </c>
      <c r="J219" s="193">
        <v>45786</v>
      </c>
      <c r="K219" s="193"/>
      <c r="L219" s="193"/>
      <c r="M219" s="63">
        <v>45817</v>
      </c>
      <c r="N219" s="193"/>
      <c r="O219" s="63"/>
      <c r="P219" s="196"/>
      <c r="Q219" s="37"/>
      <c r="R219" s="93" t="s">
        <v>467</v>
      </c>
      <c r="S219" s="13" t="str">
        <f ca="1">IF(ISBLANK(Table2[[#This Row],[Complete corrective actions (Approved Date)]]), TODAY()-Table2[[#This Row],[CAR initialized date]], "CLOSED")</f>
        <v>CLOSED</v>
      </c>
    </row>
    <row r="220" spans="1:19" s="4" customFormat="1" ht="36" customHeight="1" x14ac:dyDescent="0.25">
      <c r="A220" s="9" t="s">
        <v>156</v>
      </c>
      <c r="B220" s="13">
        <f>VLOOKUP(Table2[[#This Row],[Location 
(drop-down)]],'List source'!D$2:E$71,2,FALSE)</f>
        <v>130</v>
      </c>
      <c r="C220" s="11" t="s">
        <v>701</v>
      </c>
      <c r="D220" s="212" t="str">
        <f t="shared" si="3"/>
        <v>C218-130-25</v>
      </c>
      <c r="E220" s="11" t="s">
        <v>472</v>
      </c>
      <c r="F220" s="11"/>
      <c r="G220" s="9" t="s">
        <v>543</v>
      </c>
      <c r="H220" s="10" t="s">
        <v>455</v>
      </c>
      <c r="I220" s="20" t="s">
        <v>18</v>
      </c>
      <c r="J220" s="193">
        <v>45786</v>
      </c>
      <c r="K220" s="193"/>
      <c r="L220" s="193"/>
      <c r="M220" s="63">
        <v>45896</v>
      </c>
      <c r="N220" s="193"/>
      <c r="O220" s="63"/>
      <c r="P220" s="196"/>
      <c r="Q220" s="37"/>
      <c r="R220" s="93"/>
      <c r="S220" s="13" t="str">
        <f ca="1">IF(ISBLANK(Table2[[#This Row],[Complete corrective actions (Approved Date)]]), TODAY()-Table2[[#This Row],[CAR initialized date]], "CLOSED")</f>
        <v>CLOSED</v>
      </c>
    </row>
    <row r="221" spans="1:19" s="4" customFormat="1" ht="36" customHeight="1" x14ac:dyDescent="0.25">
      <c r="A221" s="9" t="s">
        <v>156</v>
      </c>
      <c r="B221" s="13">
        <f>VLOOKUP(Table2[[#This Row],[Location 
(drop-down)]],'List source'!D$2:E$71,2,FALSE)</f>
        <v>130</v>
      </c>
      <c r="C221" s="11" t="s">
        <v>702</v>
      </c>
      <c r="D221" s="212" t="str">
        <f t="shared" si="3"/>
        <v>C219-130-25</v>
      </c>
      <c r="E221" s="11" t="s">
        <v>472</v>
      </c>
      <c r="F221" s="11"/>
      <c r="G221" s="9" t="s">
        <v>703</v>
      </c>
      <c r="H221" s="10" t="s">
        <v>455</v>
      </c>
      <c r="I221" s="20" t="s">
        <v>18</v>
      </c>
      <c r="J221" s="193">
        <v>45786</v>
      </c>
      <c r="K221" s="193"/>
      <c r="L221" s="193"/>
      <c r="M221" s="63">
        <v>45817</v>
      </c>
      <c r="N221" s="193"/>
      <c r="O221" s="63"/>
      <c r="P221" s="196"/>
      <c r="Q221" s="37"/>
      <c r="R221" s="93" t="s">
        <v>467</v>
      </c>
      <c r="S221" s="13" t="str">
        <f ca="1">IF(ISBLANK(Table2[[#This Row],[Complete corrective actions (Approved Date)]]), TODAY()-Table2[[#This Row],[CAR initialized date]], "CLOSED")</f>
        <v>CLOSED</v>
      </c>
    </row>
    <row r="222" spans="1:19" s="4" customFormat="1" ht="36" customHeight="1" x14ac:dyDescent="0.25">
      <c r="A222" s="9" t="s">
        <v>156</v>
      </c>
      <c r="B222" s="13">
        <f>VLOOKUP(Table2[[#This Row],[Location 
(drop-down)]],'List source'!D$2:E$71,2,FALSE)</f>
        <v>130</v>
      </c>
      <c r="C222" s="11" t="s">
        <v>704</v>
      </c>
      <c r="D222" s="212" t="str">
        <f t="shared" si="3"/>
        <v>C220-130-25</v>
      </c>
      <c r="E222" s="11" t="s">
        <v>472</v>
      </c>
      <c r="F222" s="11"/>
      <c r="G222" s="9" t="s">
        <v>705</v>
      </c>
      <c r="H222" s="10" t="s">
        <v>455</v>
      </c>
      <c r="I222" s="20" t="s">
        <v>18</v>
      </c>
      <c r="J222" s="193">
        <v>45786</v>
      </c>
      <c r="K222" s="193"/>
      <c r="L222" s="193"/>
      <c r="M222" s="63">
        <v>45837</v>
      </c>
      <c r="N222" s="193"/>
      <c r="O222" s="63"/>
      <c r="P222" s="196"/>
      <c r="Q222" s="37"/>
      <c r="R222" s="93" t="s">
        <v>467</v>
      </c>
      <c r="S222" s="13" t="str">
        <f ca="1">IF(ISBLANK(Table2[[#This Row],[Complete corrective actions (Approved Date)]]), TODAY()-Table2[[#This Row],[CAR initialized date]], "CLOSED")</f>
        <v>CLOSED</v>
      </c>
    </row>
    <row r="223" spans="1:19" s="4" customFormat="1" ht="36" customHeight="1" x14ac:dyDescent="0.25">
      <c r="A223" s="9" t="s">
        <v>156</v>
      </c>
      <c r="B223" s="13">
        <f>VLOOKUP(Table2[[#This Row],[Location 
(drop-down)]],'List source'!D$2:E$71,2,FALSE)</f>
        <v>130</v>
      </c>
      <c r="C223" s="11" t="s">
        <v>706</v>
      </c>
      <c r="D223" s="212" t="str">
        <f t="shared" si="3"/>
        <v>C221-130-25</v>
      </c>
      <c r="E223" s="11" t="s">
        <v>472</v>
      </c>
      <c r="F223" s="11"/>
      <c r="G223" s="9" t="s">
        <v>707</v>
      </c>
      <c r="H223" s="10" t="s">
        <v>455</v>
      </c>
      <c r="I223" s="20" t="s">
        <v>18</v>
      </c>
      <c r="J223" s="193">
        <v>45786</v>
      </c>
      <c r="K223" s="193"/>
      <c r="L223" s="193"/>
      <c r="M223" s="63">
        <v>45817</v>
      </c>
      <c r="N223" s="193"/>
      <c r="O223" s="63"/>
      <c r="P223" s="196"/>
      <c r="Q223" s="37"/>
      <c r="R223" s="93" t="s">
        <v>467</v>
      </c>
      <c r="S223" s="13" t="str">
        <f ca="1">IF(ISBLANK(Table2[[#This Row],[Complete corrective actions (Approved Date)]]), TODAY()-Table2[[#This Row],[CAR initialized date]], "CLOSED")</f>
        <v>CLOSED</v>
      </c>
    </row>
    <row r="224" spans="1:19" s="4" customFormat="1" ht="36" customHeight="1" x14ac:dyDescent="0.25">
      <c r="A224" s="9" t="s">
        <v>156</v>
      </c>
      <c r="B224" s="13">
        <f>VLOOKUP(Table2[[#This Row],[Location 
(drop-down)]],'List source'!D$2:E$71,2,FALSE)</f>
        <v>130</v>
      </c>
      <c r="C224" s="11" t="s">
        <v>708</v>
      </c>
      <c r="D224" s="212" t="str">
        <f t="shared" si="3"/>
        <v>C222-130-25</v>
      </c>
      <c r="E224" s="11" t="s">
        <v>472</v>
      </c>
      <c r="F224" s="11"/>
      <c r="G224" s="9" t="s">
        <v>709</v>
      </c>
      <c r="H224" s="10" t="s">
        <v>455</v>
      </c>
      <c r="I224" s="20" t="s">
        <v>18</v>
      </c>
      <c r="J224" s="193">
        <v>45786</v>
      </c>
      <c r="K224" s="193"/>
      <c r="L224" s="193"/>
      <c r="M224" s="63">
        <v>45817</v>
      </c>
      <c r="N224" s="193"/>
      <c r="O224" s="63"/>
      <c r="P224" s="196"/>
      <c r="Q224" s="37"/>
      <c r="R224" s="93" t="s">
        <v>484</v>
      </c>
      <c r="S224" s="13" t="str">
        <f ca="1">IF(ISBLANK(Table2[[#This Row],[Complete corrective actions (Approved Date)]]), TODAY()-Table2[[#This Row],[CAR initialized date]], "CLOSED")</f>
        <v>CLOSED</v>
      </c>
    </row>
    <row r="225" spans="1:19" s="4" customFormat="1" ht="20.100000000000001" customHeight="1" x14ac:dyDescent="0.25">
      <c r="A225" s="9" t="s">
        <v>86</v>
      </c>
      <c r="B225" s="13">
        <f>VLOOKUP(Table2[[#This Row],[Location 
(drop-down)]],'List source'!D$2:E$71,2,FALSE)</f>
        <v>150</v>
      </c>
      <c r="C225" s="11" t="s">
        <v>710</v>
      </c>
      <c r="D225" s="212" t="str">
        <f t="shared" si="3"/>
        <v>C223-150-25</v>
      </c>
      <c r="E225" s="11" t="s">
        <v>452</v>
      </c>
      <c r="F225" s="19" t="s">
        <v>711</v>
      </c>
      <c r="G225" s="89" t="s">
        <v>712</v>
      </c>
      <c r="H225" s="10" t="s">
        <v>458</v>
      </c>
      <c r="I225" s="20" t="s">
        <v>256</v>
      </c>
      <c r="J225" s="193">
        <v>45789</v>
      </c>
      <c r="K225" s="193"/>
      <c r="L225" s="193"/>
      <c r="M225" s="63">
        <v>45825</v>
      </c>
      <c r="N225" s="193"/>
      <c r="O225" s="63"/>
      <c r="P225" s="196"/>
      <c r="Q225" s="37"/>
      <c r="R225" s="93"/>
      <c r="S225" s="13" t="str">
        <f ca="1">IF(ISBLANK(Table2[[#This Row],[Complete corrective actions (Approved Date)]]), TODAY()-Table2[[#This Row],[CAR initialized date]], "CLOSED")</f>
        <v>CLOSED</v>
      </c>
    </row>
    <row r="226" spans="1:19" s="4" customFormat="1" ht="36" customHeight="1" x14ac:dyDescent="0.25">
      <c r="A226" s="9" t="s">
        <v>338</v>
      </c>
      <c r="B226" s="13">
        <f>VLOOKUP(Table2[[#This Row],[Location 
(drop-down)]],'List source'!D$2:E$71,2,FALSE)</f>
        <v>191</v>
      </c>
      <c r="C226" s="11" t="s">
        <v>713</v>
      </c>
      <c r="D226" s="212" t="str">
        <f t="shared" si="3"/>
        <v>C224-191-25</v>
      </c>
      <c r="E226" s="11" t="s">
        <v>452</v>
      </c>
      <c r="F226" s="11" t="s">
        <v>277</v>
      </c>
      <c r="G226" s="9" t="s">
        <v>714</v>
      </c>
      <c r="H226" s="10" t="s">
        <v>458</v>
      </c>
      <c r="I226" s="20" t="s">
        <v>109</v>
      </c>
      <c r="J226" s="193">
        <v>45789</v>
      </c>
      <c r="K226" s="193"/>
      <c r="L226" s="193"/>
      <c r="M226" s="63"/>
      <c r="N226" s="193"/>
      <c r="O226" s="63"/>
      <c r="P226" s="196"/>
      <c r="Q226" s="37"/>
      <c r="R226" s="93"/>
      <c r="S226" s="13">
        <f ca="1">IF(ISBLANK(Table2[[#This Row],[Complete corrective actions (Approved Date)]]), TODAY()-Table2[[#This Row],[CAR initialized date]], "CLOSED")</f>
        <v>288</v>
      </c>
    </row>
    <row r="227" spans="1:19" s="4" customFormat="1" ht="36" customHeight="1" x14ac:dyDescent="0.25">
      <c r="A227" s="9" t="s">
        <v>37</v>
      </c>
      <c r="B227" s="13">
        <f>VLOOKUP(Table2[[#This Row],[Location 
(drop-down)]],'List source'!D$2:E$71,2,FALSE)</f>
        <v>210</v>
      </c>
      <c r="C227" s="11" t="s">
        <v>715</v>
      </c>
      <c r="D227" s="212" t="str">
        <f t="shared" si="3"/>
        <v>C225-210-25</v>
      </c>
      <c r="E227" s="11" t="s">
        <v>519</v>
      </c>
      <c r="F227" s="11" t="s">
        <v>185</v>
      </c>
      <c r="G227" s="9" t="s">
        <v>716</v>
      </c>
      <c r="H227" s="10" t="s">
        <v>455</v>
      </c>
      <c r="I227" s="20" t="s">
        <v>189</v>
      </c>
      <c r="J227" s="193">
        <v>45792</v>
      </c>
      <c r="K227" s="193" t="s">
        <v>503</v>
      </c>
      <c r="L227" s="193"/>
      <c r="M227" s="63">
        <v>45841</v>
      </c>
      <c r="N227" s="193" t="s">
        <v>503</v>
      </c>
      <c r="O227" s="63">
        <v>45938</v>
      </c>
      <c r="P227" s="196" t="s">
        <v>503</v>
      </c>
      <c r="Q227" s="37" t="s">
        <v>717</v>
      </c>
      <c r="R227" s="93"/>
      <c r="S227" s="13" t="str">
        <f ca="1">IF(ISBLANK(Table2[[#This Row],[Complete corrective actions (Approved Date)]]), TODAY()-Table2[[#This Row],[CAR initialized date]], "CLOSED")</f>
        <v>CLOSED</v>
      </c>
    </row>
    <row r="228" spans="1:19" s="4" customFormat="1" ht="36" customHeight="1" x14ac:dyDescent="0.25">
      <c r="A228" s="9" t="s">
        <v>37</v>
      </c>
      <c r="B228" s="13">
        <f>VLOOKUP(Table2[[#This Row],[Location 
(drop-down)]],'List source'!D$2:E$71,2,FALSE)</f>
        <v>210</v>
      </c>
      <c r="C228" s="11" t="s">
        <v>718</v>
      </c>
      <c r="D228" s="212" t="str">
        <f t="shared" si="3"/>
        <v>C226-210-25</v>
      </c>
      <c r="E228" s="11" t="s">
        <v>519</v>
      </c>
      <c r="F228" s="11" t="s">
        <v>185</v>
      </c>
      <c r="G228" s="156" t="s">
        <v>719</v>
      </c>
      <c r="H228" s="10" t="s">
        <v>455</v>
      </c>
      <c r="I228" s="20" t="s">
        <v>189</v>
      </c>
      <c r="J228" s="193">
        <v>45792</v>
      </c>
      <c r="K228" s="193" t="s">
        <v>503</v>
      </c>
      <c r="L228" s="193"/>
      <c r="M228" s="63">
        <v>45841</v>
      </c>
      <c r="N228" s="193" t="s">
        <v>503</v>
      </c>
      <c r="O228" s="63">
        <v>45938</v>
      </c>
      <c r="P228" s="196" t="s">
        <v>503</v>
      </c>
      <c r="Q228" s="37" t="s">
        <v>717</v>
      </c>
      <c r="R228" s="93"/>
      <c r="S228" s="13" t="str">
        <f ca="1">IF(ISBLANK(Table2[[#This Row],[Complete corrective actions (Approved Date)]]), TODAY()-Table2[[#This Row],[CAR initialized date]], "CLOSED")</f>
        <v>CLOSED</v>
      </c>
    </row>
    <row r="229" spans="1:19" s="4" customFormat="1" ht="36" customHeight="1" x14ac:dyDescent="0.25">
      <c r="A229" s="9" t="s">
        <v>175</v>
      </c>
      <c r="B229" s="13">
        <f>VLOOKUP(Table2[[#This Row],[Location 
(drop-down)]],'List source'!D$2:E$71,2,FALSE)</f>
        <v>156</v>
      </c>
      <c r="C229" s="11" t="s">
        <v>720</v>
      </c>
      <c r="D229" s="212" t="str">
        <f t="shared" si="3"/>
        <v>C227-156-25</v>
      </c>
      <c r="E229" s="11" t="s">
        <v>472</v>
      </c>
      <c r="F229" s="11"/>
      <c r="G229" s="9" t="s">
        <v>593</v>
      </c>
      <c r="H229" s="10" t="s">
        <v>458</v>
      </c>
      <c r="I229" s="20" t="s">
        <v>35</v>
      </c>
      <c r="J229" s="193">
        <v>45798</v>
      </c>
      <c r="K229" s="193"/>
      <c r="L229" s="193"/>
      <c r="M229" s="63">
        <v>45831</v>
      </c>
      <c r="N229" s="193"/>
      <c r="O229" s="63"/>
      <c r="P229" s="196"/>
      <c r="Q229" s="37"/>
      <c r="R229" s="93" t="s">
        <v>484</v>
      </c>
      <c r="S229" s="13" t="str">
        <f ca="1">IF(ISBLANK(Table2[[#This Row],[Complete corrective actions (Approved Date)]]), TODAY()-Table2[[#This Row],[CAR initialized date]], "CLOSED")</f>
        <v>CLOSED</v>
      </c>
    </row>
    <row r="230" spans="1:19" s="4" customFormat="1" ht="36" customHeight="1" x14ac:dyDescent="0.25">
      <c r="A230" s="9" t="s">
        <v>175</v>
      </c>
      <c r="B230" s="13">
        <f>VLOOKUP(Table2[[#This Row],[Location 
(drop-down)]],'List source'!D$2:E$71,2,FALSE)</f>
        <v>156</v>
      </c>
      <c r="C230" s="11" t="s">
        <v>721</v>
      </c>
      <c r="D230" s="212" t="str">
        <f t="shared" si="3"/>
        <v>C228-156-25</v>
      </c>
      <c r="E230" s="11" t="s">
        <v>472</v>
      </c>
      <c r="F230" s="11"/>
      <c r="G230" s="9" t="s">
        <v>722</v>
      </c>
      <c r="H230" s="10" t="s">
        <v>455</v>
      </c>
      <c r="I230" s="20" t="s">
        <v>35</v>
      </c>
      <c r="J230" s="193">
        <v>45798</v>
      </c>
      <c r="K230" s="193"/>
      <c r="L230" s="193"/>
      <c r="M230" s="63">
        <v>45828</v>
      </c>
      <c r="N230" s="193"/>
      <c r="O230" s="63"/>
      <c r="P230" s="196"/>
      <c r="Q230" s="37"/>
      <c r="R230" s="93" t="s">
        <v>484</v>
      </c>
      <c r="S230" s="13" t="str">
        <f ca="1">IF(ISBLANK(Table2[[#This Row],[Complete corrective actions (Approved Date)]]), TODAY()-Table2[[#This Row],[CAR initialized date]], "CLOSED")</f>
        <v>CLOSED</v>
      </c>
    </row>
    <row r="231" spans="1:19" s="4" customFormat="1" ht="36" customHeight="1" x14ac:dyDescent="0.25">
      <c r="A231" s="9" t="s">
        <v>175</v>
      </c>
      <c r="B231" s="13">
        <f>VLOOKUP(Table2[[#This Row],[Location 
(drop-down)]],'List source'!D$2:E$71,2,FALSE)</f>
        <v>156</v>
      </c>
      <c r="C231" s="11" t="s">
        <v>723</v>
      </c>
      <c r="D231" s="212" t="str">
        <f t="shared" si="3"/>
        <v>C229-156-25</v>
      </c>
      <c r="E231" s="11" t="s">
        <v>472</v>
      </c>
      <c r="F231" s="11"/>
      <c r="G231" s="169" t="s">
        <v>724</v>
      </c>
      <c r="H231" s="10" t="s">
        <v>455</v>
      </c>
      <c r="I231" s="20" t="s">
        <v>35</v>
      </c>
      <c r="J231" s="193">
        <v>45798</v>
      </c>
      <c r="K231" s="193"/>
      <c r="L231" s="193"/>
      <c r="M231" s="63">
        <v>45831</v>
      </c>
      <c r="N231" s="193"/>
      <c r="O231" s="63"/>
      <c r="P231" s="196"/>
      <c r="Q231" s="37"/>
      <c r="R231" s="93" t="s">
        <v>471</v>
      </c>
      <c r="S231" s="13" t="str">
        <f ca="1">IF(ISBLANK(Table2[[#This Row],[Complete corrective actions (Approved Date)]]), TODAY()-Table2[[#This Row],[CAR initialized date]], "CLOSED")</f>
        <v>CLOSED</v>
      </c>
    </row>
    <row r="232" spans="1:19" s="4" customFormat="1" ht="36" customHeight="1" x14ac:dyDescent="0.25">
      <c r="A232" s="9" t="s">
        <v>175</v>
      </c>
      <c r="B232" s="13">
        <f>VLOOKUP(Table2[[#This Row],[Location 
(drop-down)]],'List source'!D$2:E$71,2,FALSE)</f>
        <v>156</v>
      </c>
      <c r="C232" s="11" t="s">
        <v>725</v>
      </c>
      <c r="D232" s="212" t="str">
        <f t="shared" si="3"/>
        <v>C230-156-25</v>
      </c>
      <c r="E232" s="11" t="s">
        <v>472</v>
      </c>
      <c r="F232" s="11"/>
      <c r="G232" s="169" t="s">
        <v>726</v>
      </c>
      <c r="H232" s="10" t="s">
        <v>455</v>
      </c>
      <c r="I232" s="20" t="s">
        <v>35</v>
      </c>
      <c r="J232" s="193">
        <v>45798</v>
      </c>
      <c r="K232" s="193"/>
      <c r="L232" s="193"/>
      <c r="M232" s="63">
        <v>45828</v>
      </c>
      <c r="N232" s="193"/>
      <c r="O232" s="63"/>
      <c r="P232" s="196"/>
      <c r="Q232" s="37"/>
      <c r="R232" s="93" t="s">
        <v>467</v>
      </c>
      <c r="S232" s="13" t="str">
        <f ca="1">IF(ISBLANK(Table2[[#This Row],[Complete corrective actions (Approved Date)]]), TODAY()-Table2[[#This Row],[CAR initialized date]], "CLOSED")</f>
        <v>CLOSED</v>
      </c>
    </row>
    <row r="233" spans="1:19" s="4" customFormat="1" ht="36" customHeight="1" x14ac:dyDescent="0.25">
      <c r="A233" s="9" t="s">
        <v>175</v>
      </c>
      <c r="B233" s="13">
        <f>VLOOKUP(Table2[[#This Row],[Location 
(drop-down)]],'List source'!D$2:E$71,2,FALSE)</f>
        <v>156</v>
      </c>
      <c r="C233" s="11" t="s">
        <v>727</v>
      </c>
      <c r="D233" s="212" t="str">
        <f t="shared" si="3"/>
        <v>C231-156-25</v>
      </c>
      <c r="E233" s="11" t="s">
        <v>472</v>
      </c>
      <c r="F233" s="11"/>
      <c r="G233" s="9" t="s">
        <v>728</v>
      </c>
      <c r="H233" s="10" t="s">
        <v>455</v>
      </c>
      <c r="I233" s="20" t="s">
        <v>35</v>
      </c>
      <c r="J233" s="193">
        <v>45798</v>
      </c>
      <c r="K233" s="193"/>
      <c r="L233" s="193"/>
      <c r="M233" s="67">
        <v>45888</v>
      </c>
      <c r="N233" s="193"/>
      <c r="O233" s="63"/>
      <c r="P233" s="247"/>
      <c r="Q233" s="37" t="s">
        <v>729</v>
      </c>
      <c r="R233" s="93"/>
      <c r="S233" s="13" t="str">
        <f ca="1">IF(ISBLANK(Table2[[#This Row],[Complete corrective actions (Approved Date)]]), TODAY()-Table2[[#This Row],[CAR initialized date]], "CLOSED")</f>
        <v>CLOSED</v>
      </c>
    </row>
    <row r="234" spans="1:19" s="4" customFormat="1" ht="36" customHeight="1" x14ac:dyDescent="0.25">
      <c r="A234" s="9" t="s">
        <v>141</v>
      </c>
      <c r="B234" s="13">
        <f>VLOOKUP(Table2[[#This Row],[Location 
(drop-down)]],'List source'!D$2:E$71,2,FALSE)</f>
        <v>165</v>
      </c>
      <c r="C234" s="11" t="s">
        <v>730</v>
      </c>
      <c r="D234" s="212" t="str">
        <f t="shared" si="3"/>
        <v>C232-165-25</v>
      </c>
      <c r="E234" s="11" t="s">
        <v>472</v>
      </c>
      <c r="F234" s="11"/>
      <c r="G234" s="9" t="s">
        <v>731</v>
      </c>
      <c r="H234" s="10" t="s">
        <v>458</v>
      </c>
      <c r="I234" s="20" t="s">
        <v>48</v>
      </c>
      <c r="J234" s="193">
        <v>45799</v>
      </c>
      <c r="K234" s="193"/>
      <c r="L234" s="193"/>
      <c r="M234" s="63">
        <v>45889</v>
      </c>
      <c r="N234" s="193"/>
      <c r="O234" s="63"/>
      <c r="P234" s="196"/>
      <c r="Q234" s="37"/>
      <c r="R234" s="93"/>
      <c r="S234" s="13" t="str">
        <f ca="1">IF(ISBLANK(Table2[[#This Row],[Complete corrective actions (Approved Date)]]), TODAY()-Table2[[#This Row],[CAR initialized date]], "CLOSED")</f>
        <v>CLOSED</v>
      </c>
    </row>
    <row r="235" spans="1:19" s="4" customFormat="1" ht="36" customHeight="1" x14ac:dyDescent="0.25">
      <c r="A235" s="9" t="s">
        <v>141</v>
      </c>
      <c r="B235" s="13">
        <f>VLOOKUP(Table2[[#This Row],[Location 
(drop-down)]],'List source'!D$2:E$71,2,FALSE)</f>
        <v>165</v>
      </c>
      <c r="C235" s="11" t="s">
        <v>732</v>
      </c>
      <c r="D235" s="212" t="str">
        <f t="shared" si="3"/>
        <v>C233-165-25</v>
      </c>
      <c r="E235" s="11" t="s">
        <v>472</v>
      </c>
      <c r="F235" s="11"/>
      <c r="G235" s="9" t="s">
        <v>733</v>
      </c>
      <c r="H235" s="10" t="s">
        <v>455</v>
      </c>
      <c r="I235" s="20" t="s">
        <v>48</v>
      </c>
      <c r="J235" s="193">
        <v>45799</v>
      </c>
      <c r="K235" s="193"/>
      <c r="L235" s="193"/>
      <c r="M235" s="63">
        <v>45868</v>
      </c>
      <c r="N235" s="193"/>
      <c r="O235" s="63"/>
      <c r="P235" s="247"/>
      <c r="Q235" s="37"/>
      <c r="R235" s="93" t="s">
        <v>467</v>
      </c>
      <c r="S235" s="13" t="str">
        <f ca="1">IF(ISBLANK(Table2[[#This Row],[Complete corrective actions (Approved Date)]]), TODAY()-Table2[[#This Row],[CAR initialized date]], "CLOSED")</f>
        <v>CLOSED</v>
      </c>
    </row>
    <row r="236" spans="1:19" s="4" customFormat="1" ht="36" customHeight="1" x14ac:dyDescent="0.25">
      <c r="A236" s="9" t="s">
        <v>141</v>
      </c>
      <c r="B236" s="13">
        <f>VLOOKUP(Table2[[#This Row],[Location 
(drop-down)]],'List source'!D$2:E$71,2,FALSE)</f>
        <v>165</v>
      </c>
      <c r="C236" s="11" t="s">
        <v>734</v>
      </c>
      <c r="D236" s="212" t="str">
        <f t="shared" si="3"/>
        <v>C234-165-25</v>
      </c>
      <c r="E236" s="11" t="s">
        <v>472</v>
      </c>
      <c r="F236" s="11"/>
      <c r="G236" s="9" t="s">
        <v>735</v>
      </c>
      <c r="H236" s="10" t="s">
        <v>455</v>
      </c>
      <c r="I236" s="20" t="s">
        <v>48</v>
      </c>
      <c r="J236" s="193">
        <v>45799</v>
      </c>
      <c r="K236" s="193"/>
      <c r="L236" s="193"/>
      <c r="M236" s="63">
        <v>45868</v>
      </c>
      <c r="N236" s="193"/>
      <c r="O236" s="63"/>
      <c r="P236" s="247"/>
      <c r="Q236" s="37"/>
      <c r="R236" s="93" t="s">
        <v>467</v>
      </c>
      <c r="S236" s="13" t="str">
        <f ca="1">IF(ISBLANK(Table2[[#This Row],[Complete corrective actions (Approved Date)]]), TODAY()-Table2[[#This Row],[CAR initialized date]], "CLOSED")</f>
        <v>CLOSED</v>
      </c>
    </row>
    <row r="237" spans="1:19" s="4" customFormat="1" ht="36" customHeight="1" x14ac:dyDescent="0.25">
      <c r="A237" s="9" t="s">
        <v>141</v>
      </c>
      <c r="B237" s="13">
        <f>VLOOKUP(Table2[[#This Row],[Location 
(drop-down)]],'List source'!D$2:E$71,2,FALSE)</f>
        <v>165</v>
      </c>
      <c r="C237" s="11" t="s">
        <v>736</v>
      </c>
      <c r="D237" s="212" t="str">
        <f t="shared" si="3"/>
        <v>C235-165-25</v>
      </c>
      <c r="E237" s="11" t="s">
        <v>472</v>
      </c>
      <c r="F237" s="11"/>
      <c r="G237" s="9" t="s">
        <v>737</v>
      </c>
      <c r="H237" s="10" t="s">
        <v>455</v>
      </c>
      <c r="I237" s="20" t="s">
        <v>48</v>
      </c>
      <c r="J237" s="193">
        <v>45799</v>
      </c>
      <c r="K237" s="193"/>
      <c r="L237" s="193"/>
      <c r="M237" s="63">
        <v>45894</v>
      </c>
      <c r="N237" s="193"/>
      <c r="O237" s="63"/>
      <c r="P237" s="196"/>
      <c r="Q237" s="37"/>
      <c r="R237" s="93"/>
      <c r="S237" s="13" t="str">
        <f ca="1">IF(ISBLANK(Table2[[#This Row],[Complete corrective actions (Approved Date)]]), TODAY()-Table2[[#This Row],[CAR initialized date]], "CLOSED")</f>
        <v>CLOSED</v>
      </c>
    </row>
    <row r="238" spans="1:19" s="4" customFormat="1" ht="36" customHeight="1" x14ac:dyDescent="0.25">
      <c r="A238" s="9" t="s">
        <v>141</v>
      </c>
      <c r="B238" s="13">
        <f>VLOOKUP(Table2[[#This Row],[Location 
(drop-down)]],'List source'!D$2:E$71,2,FALSE)</f>
        <v>165</v>
      </c>
      <c r="C238" s="11" t="s">
        <v>738</v>
      </c>
      <c r="D238" s="212" t="str">
        <f t="shared" si="3"/>
        <v>C236-165-25</v>
      </c>
      <c r="E238" s="11" t="s">
        <v>472</v>
      </c>
      <c r="F238" s="11"/>
      <c r="G238" s="9" t="s">
        <v>739</v>
      </c>
      <c r="H238" s="10" t="s">
        <v>455</v>
      </c>
      <c r="I238" s="20" t="s">
        <v>48</v>
      </c>
      <c r="J238" s="193">
        <v>45799</v>
      </c>
      <c r="K238" s="193"/>
      <c r="L238" s="193"/>
      <c r="M238" s="63">
        <v>45894</v>
      </c>
      <c r="N238" s="193"/>
      <c r="O238" s="63"/>
      <c r="P238" s="196"/>
      <c r="Q238" s="37"/>
      <c r="R238" s="93"/>
      <c r="S238" s="13" t="str">
        <f ca="1">IF(ISBLANK(Table2[[#This Row],[Complete corrective actions (Approved Date)]]), TODAY()-Table2[[#This Row],[CAR initialized date]], "CLOSED")</f>
        <v>CLOSED</v>
      </c>
    </row>
    <row r="239" spans="1:19" s="4" customFormat="1" ht="36" customHeight="1" x14ac:dyDescent="0.25">
      <c r="A239" s="9" t="s">
        <v>141</v>
      </c>
      <c r="B239" s="13">
        <f>VLOOKUP(Table2[[#This Row],[Location 
(drop-down)]],'List source'!D$2:E$71,2,FALSE)</f>
        <v>165</v>
      </c>
      <c r="C239" s="11" t="s">
        <v>740</v>
      </c>
      <c r="D239" s="212" t="str">
        <f t="shared" si="3"/>
        <v>C237-165-25</v>
      </c>
      <c r="E239" s="11" t="s">
        <v>472</v>
      </c>
      <c r="F239" s="11"/>
      <c r="G239" s="9" t="s">
        <v>625</v>
      </c>
      <c r="H239" s="10" t="s">
        <v>455</v>
      </c>
      <c r="I239" s="20" t="s">
        <v>48</v>
      </c>
      <c r="J239" s="193">
        <v>45799</v>
      </c>
      <c r="K239" s="193" t="s">
        <v>506</v>
      </c>
      <c r="L239" s="193"/>
      <c r="M239" s="63">
        <v>45931</v>
      </c>
      <c r="N239" s="193"/>
      <c r="O239" s="63"/>
      <c r="P239" s="196"/>
      <c r="Q239" s="37"/>
      <c r="R239" s="93"/>
      <c r="S239" s="13" t="str">
        <f ca="1">IF(ISBLANK(Table2[[#This Row],[Complete corrective actions (Approved Date)]]), TODAY()-Table2[[#This Row],[CAR initialized date]], "CLOSED")</f>
        <v>CLOSED</v>
      </c>
    </row>
    <row r="240" spans="1:19" s="4" customFormat="1" ht="36" customHeight="1" x14ac:dyDescent="0.25">
      <c r="A240" s="9" t="s">
        <v>141</v>
      </c>
      <c r="B240" s="13">
        <f>VLOOKUP(Table2[[#This Row],[Location 
(drop-down)]],'List source'!D$2:E$71,2,FALSE)</f>
        <v>165</v>
      </c>
      <c r="C240" s="11" t="s">
        <v>741</v>
      </c>
      <c r="D240" s="212" t="str">
        <f t="shared" si="3"/>
        <v>C238-165-25</v>
      </c>
      <c r="E240" s="11" t="s">
        <v>472</v>
      </c>
      <c r="F240" s="11"/>
      <c r="G240" s="9" t="s">
        <v>626</v>
      </c>
      <c r="H240" s="10" t="s">
        <v>455</v>
      </c>
      <c r="I240" s="20" t="s">
        <v>48</v>
      </c>
      <c r="J240" s="193">
        <v>45799</v>
      </c>
      <c r="K240" s="193" t="s">
        <v>506</v>
      </c>
      <c r="L240" s="193"/>
      <c r="M240" s="63">
        <v>45902</v>
      </c>
      <c r="N240" s="193"/>
      <c r="O240" s="63"/>
      <c r="P240" s="196"/>
      <c r="Q240" s="37"/>
      <c r="R240" s="93"/>
      <c r="S240" s="13" t="str">
        <f ca="1">IF(ISBLANK(Table2[[#This Row],[Complete corrective actions (Approved Date)]]), TODAY()-Table2[[#This Row],[CAR initialized date]], "CLOSED")</f>
        <v>CLOSED</v>
      </c>
    </row>
    <row r="241" spans="1:19" s="4" customFormat="1" ht="36" customHeight="1" x14ac:dyDescent="0.25">
      <c r="A241" s="9" t="s">
        <v>141</v>
      </c>
      <c r="B241" s="13">
        <f>VLOOKUP(Table2[[#This Row],[Location 
(drop-down)]],'List source'!D$2:E$71,2,FALSE)</f>
        <v>165</v>
      </c>
      <c r="C241" s="11" t="s">
        <v>742</v>
      </c>
      <c r="D241" s="212" t="str">
        <f t="shared" si="3"/>
        <v>C239-165-25</v>
      </c>
      <c r="E241" s="11" t="s">
        <v>472</v>
      </c>
      <c r="F241" s="11"/>
      <c r="G241" s="9" t="s">
        <v>743</v>
      </c>
      <c r="H241" s="10" t="s">
        <v>455</v>
      </c>
      <c r="I241" s="20" t="s">
        <v>48</v>
      </c>
      <c r="J241" s="193">
        <v>45799</v>
      </c>
      <c r="K241" s="193" t="s">
        <v>506</v>
      </c>
      <c r="L241" s="193"/>
      <c r="M241" s="63">
        <v>45931</v>
      </c>
      <c r="N241" s="193"/>
      <c r="O241" s="63"/>
      <c r="P241" s="196"/>
      <c r="Q241" s="37"/>
      <c r="R241" s="93"/>
      <c r="S241" s="13" t="str">
        <f ca="1">IF(ISBLANK(Table2[[#This Row],[Complete corrective actions (Approved Date)]]), TODAY()-Table2[[#This Row],[CAR initialized date]], "CLOSED")</f>
        <v>CLOSED</v>
      </c>
    </row>
    <row r="242" spans="1:19" s="4" customFormat="1" ht="36" customHeight="1" x14ac:dyDescent="0.25">
      <c r="A242" s="9" t="s">
        <v>141</v>
      </c>
      <c r="B242" s="13">
        <f>VLOOKUP(Table2[[#This Row],[Location 
(drop-down)]],'List source'!D$2:E$71,2,FALSE)</f>
        <v>165</v>
      </c>
      <c r="C242" s="11" t="s">
        <v>744</v>
      </c>
      <c r="D242" s="212" t="str">
        <f t="shared" si="3"/>
        <v>C240-165-25</v>
      </c>
      <c r="E242" s="11" t="s">
        <v>472</v>
      </c>
      <c r="F242" s="11"/>
      <c r="G242" s="9" t="s">
        <v>745</v>
      </c>
      <c r="H242" s="10" t="s">
        <v>455</v>
      </c>
      <c r="I242" s="20" t="s">
        <v>48</v>
      </c>
      <c r="J242" s="193">
        <v>45799</v>
      </c>
      <c r="K242" s="193" t="s">
        <v>506</v>
      </c>
      <c r="L242" s="193"/>
      <c r="M242" s="63">
        <v>45937</v>
      </c>
      <c r="N242" s="193"/>
      <c r="O242" s="63"/>
      <c r="P242" s="196"/>
      <c r="Q242" s="37"/>
      <c r="R242" s="93"/>
      <c r="S242" s="13" t="str">
        <f ca="1">IF(ISBLANK(Table2[[#This Row],[Complete corrective actions (Approved Date)]]), TODAY()-Table2[[#This Row],[CAR initialized date]], "CLOSED")</f>
        <v>CLOSED</v>
      </c>
    </row>
    <row r="243" spans="1:19" s="4" customFormat="1" ht="36" customHeight="1" x14ac:dyDescent="0.25">
      <c r="A243" s="9" t="s">
        <v>94</v>
      </c>
      <c r="B243" s="13">
        <f>VLOOKUP(Table2[[#This Row],[Location 
(drop-down)]],'List source'!D$2:E$71,2,FALSE)</f>
        <v>120</v>
      </c>
      <c r="C243" s="11" t="s">
        <v>746</v>
      </c>
      <c r="D243" s="212" t="str">
        <f t="shared" si="3"/>
        <v>C241-120-25</v>
      </c>
      <c r="E243" s="11" t="s">
        <v>452</v>
      </c>
      <c r="F243" s="11" t="s">
        <v>277</v>
      </c>
      <c r="G243" s="9" t="s">
        <v>747</v>
      </c>
      <c r="H243" s="146" t="s">
        <v>494</v>
      </c>
      <c r="I243" s="20" t="s">
        <v>82</v>
      </c>
      <c r="J243" s="193">
        <v>45799</v>
      </c>
      <c r="K243" s="193"/>
      <c r="L243" s="193"/>
      <c r="M243" s="167">
        <v>45824</v>
      </c>
      <c r="N243" s="193"/>
      <c r="O243" s="63"/>
      <c r="P243" s="258"/>
      <c r="Q243" s="200" t="s">
        <v>748</v>
      </c>
      <c r="R243" s="93"/>
      <c r="S243" s="13" t="str">
        <f ca="1">IF(ISBLANK(Table2[[#This Row],[Complete corrective actions (Approved Date)]]), TODAY()-Table2[[#This Row],[CAR initialized date]], "CLOSED")</f>
        <v>CLOSED</v>
      </c>
    </row>
    <row r="244" spans="1:19" s="4" customFormat="1" ht="36" customHeight="1" x14ac:dyDescent="0.25">
      <c r="A244" s="9" t="s">
        <v>79</v>
      </c>
      <c r="B244" s="13">
        <f>VLOOKUP(Table2[[#This Row],[Location 
(drop-down)]],'List source'!D$2:E$71,2,FALSE)</f>
        <v>160</v>
      </c>
      <c r="C244" s="11" t="s">
        <v>749</v>
      </c>
      <c r="D244" s="212" t="str">
        <f t="shared" si="3"/>
        <v>C242-160-25</v>
      </c>
      <c r="E244" s="11" t="s">
        <v>472</v>
      </c>
      <c r="F244" s="11"/>
      <c r="G244" s="9" t="s">
        <v>615</v>
      </c>
      <c r="H244" s="198" t="s">
        <v>494</v>
      </c>
      <c r="I244" s="20" t="s">
        <v>27</v>
      </c>
      <c r="J244" s="193">
        <v>45800</v>
      </c>
      <c r="K244" s="193"/>
      <c r="L244" s="193"/>
      <c r="M244" s="167"/>
      <c r="N244" s="193"/>
      <c r="O244" s="63"/>
      <c r="P244" s="258"/>
      <c r="Q244" s="200"/>
      <c r="R244" s="93"/>
      <c r="S244" s="13">
        <f ca="1">IF(ISBLANK(Table2[[#This Row],[Complete corrective actions (Approved Date)]]), TODAY()-Table2[[#This Row],[CAR initialized date]], "CLOSED")</f>
        <v>277</v>
      </c>
    </row>
    <row r="245" spans="1:19" s="4" customFormat="1" ht="36" customHeight="1" x14ac:dyDescent="0.25">
      <c r="A245" s="9" t="s">
        <v>79</v>
      </c>
      <c r="B245" s="13">
        <f>VLOOKUP(Table2[[#This Row],[Location 
(drop-down)]],'List source'!D$2:E$71,2,FALSE)</f>
        <v>160</v>
      </c>
      <c r="C245" s="11" t="s">
        <v>750</v>
      </c>
      <c r="D245" s="212" t="str">
        <f t="shared" si="3"/>
        <v>C243-160-25</v>
      </c>
      <c r="E245" s="11" t="s">
        <v>472</v>
      </c>
      <c r="F245" s="11"/>
      <c r="G245" s="281" t="s">
        <v>751</v>
      </c>
      <c r="H245" s="10" t="s">
        <v>455</v>
      </c>
      <c r="I245" s="20" t="s">
        <v>27</v>
      </c>
      <c r="J245" s="193">
        <v>45800</v>
      </c>
      <c r="K245" s="193"/>
      <c r="L245" s="193"/>
      <c r="M245" s="161">
        <v>45849</v>
      </c>
      <c r="N245" s="193"/>
      <c r="O245" s="63"/>
      <c r="P245" s="259"/>
      <c r="Q245" s="200"/>
      <c r="R245" s="93"/>
      <c r="S245" s="13" t="str">
        <f ca="1">IF(ISBLANK(Table2[[#This Row],[Complete corrective actions (Approved Date)]]), TODAY()-Table2[[#This Row],[CAR initialized date]], "CLOSED")</f>
        <v>CLOSED</v>
      </c>
    </row>
    <row r="246" spans="1:19" s="4" customFormat="1" ht="36" customHeight="1" x14ac:dyDescent="0.25">
      <c r="A246" s="9" t="s">
        <v>79</v>
      </c>
      <c r="B246" s="13">
        <f>VLOOKUP(Table2[[#This Row],[Location 
(drop-down)]],'List source'!D$2:E$71,2,FALSE)</f>
        <v>160</v>
      </c>
      <c r="C246" s="11" t="s">
        <v>752</v>
      </c>
      <c r="D246" s="212" t="str">
        <f t="shared" si="3"/>
        <v>C244-160-25</v>
      </c>
      <c r="E246" s="11" t="s">
        <v>472</v>
      </c>
      <c r="F246" s="11"/>
      <c r="G246" s="158" t="s">
        <v>753</v>
      </c>
      <c r="H246" s="10" t="s">
        <v>455</v>
      </c>
      <c r="I246" s="20" t="s">
        <v>27</v>
      </c>
      <c r="J246" s="193">
        <v>45800</v>
      </c>
      <c r="K246" s="193"/>
      <c r="L246" s="193"/>
      <c r="M246" s="161">
        <v>45838</v>
      </c>
      <c r="N246" s="193"/>
      <c r="O246" s="63"/>
      <c r="P246" s="259"/>
      <c r="Q246" s="200"/>
      <c r="R246" s="93" t="s">
        <v>530</v>
      </c>
      <c r="S246" s="13" t="str">
        <f ca="1">IF(ISBLANK(Table2[[#This Row],[Complete corrective actions (Approved Date)]]), TODAY()-Table2[[#This Row],[CAR initialized date]], "CLOSED")</f>
        <v>CLOSED</v>
      </c>
    </row>
    <row r="247" spans="1:19" s="4" customFormat="1" ht="36" customHeight="1" x14ac:dyDescent="0.25">
      <c r="A247" s="9" t="s">
        <v>79</v>
      </c>
      <c r="B247" s="13">
        <f>VLOOKUP(Table2[[#This Row],[Location 
(drop-down)]],'List source'!D$2:E$71,2,FALSE)</f>
        <v>160</v>
      </c>
      <c r="C247" s="11" t="s">
        <v>754</v>
      </c>
      <c r="D247" s="212" t="str">
        <f t="shared" si="3"/>
        <v>C245-160-25</v>
      </c>
      <c r="E247" s="11" t="s">
        <v>472</v>
      </c>
      <c r="F247" s="11"/>
      <c r="G247" s="9" t="s">
        <v>755</v>
      </c>
      <c r="H247" s="10" t="s">
        <v>455</v>
      </c>
      <c r="I247" s="20" t="s">
        <v>27</v>
      </c>
      <c r="J247" s="193">
        <v>45800</v>
      </c>
      <c r="K247" s="193"/>
      <c r="L247" s="193"/>
      <c r="M247" s="63">
        <v>45839</v>
      </c>
      <c r="N247" s="193"/>
      <c r="O247" s="63"/>
      <c r="P247" s="196"/>
      <c r="Q247" s="37"/>
      <c r="R247" s="93" t="s">
        <v>467</v>
      </c>
      <c r="S247" s="13" t="str">
        <f ca="1">IF(ISBLANK(Table2[[#This Row],[Complete corrective actions (Approved Date)]]), TODAY()-Table2[[#This Row],[CAR initialized date]], "CLOSED")</f>
        <v>CLOSED</v>
      </c>
    </row>
    <row r="248" spans="1:19" s="4" customFormat="1" ht="36" customHeight="1" x14ac:dyDescent="0.25">
      <c r="A248" s="9" t="s">
        <v>79</v>
      </c>
      <c r="B248" s="13">
        <f>VLOOKUP(Table2[[#This Row],[Location 
(drop-down)]],'List source'!D$2:E$71,2,FALSE)</f>
        <v>160</v>
      </c>
      <c r="C248" s="11" t="s">
        <v>756</v>
      </c>
      <c r="D248" s="212" t="str">
        <f t="shared" si="3"/>
        <v>C246-160-25</v>
      </c>
      <c r="E248" s="11" t="s">
        <v>472</v>
      </c>
      <c r="F248" s="11"/>
      <c r="G248" s="9" t="s">
        <v>757</v>
      </c>
      <c r="H248" s="10" t="s">
        <v>455</v>
      </c>
      <c r="I248" s="20" t="s">
        <v>27</v>
      </c>
      <c r="J248" s="193">
        <v>45800</v>
      </c>
      <c r="K248" s="193"/>
      <c r="L248" s="193"/>
      <c r="M248" s="63">
        <v>45839</v>
      </c>
      <c r="N248" s="193"/>
      <c r="O248" s="63"/>
      <c r="P248" s="196"/>
      <c r="Q248" s="37"/>
      <c r="R248" s="93" t="s">
        <v>467</v>
      </c>
      <c r="S248" s="13" t="str">
        <f ca="1">IF(ISBLANK(Table2[[#This Row],[Complete corrective actions (Approved Date)]]), TODAY()-Table2[[#This Row],[CAR initialized date]], "CLOSED")</f>
        <v>CLOSED</v>
      </c>
    </row>
    <row r="249" spans="1:19" s="4" customFormat="1" ht="36" customHeight="1" x14ac:dyDescent="0.25">
      <c r="A249" s="9" t="s">
        <v>79</v>
      </c>
      <c r="B249" s="13">
        <f>VLOOKUP(Table2[[#This Row],[Location 
(drop-down)]],'List source'!D$2:E$71,2,FALSE)</f>
        <v>160</v>
      </c>
      <c r="C249" s="11" t="s">
        <v>758</v>
      </c>
      <c r="D249" s="212" t="str">
        <f t="shared" si="3"/>
        <v>C247-160-25</v>
      </c>
      <c r="E249" s="11" t="s">
        <v>472</v>
      </c>
      <c r="F249" s="11"/>
      <c r="G249" s="9" t="s">
        <v>759</v>
      </c>
      <c r="H249" s="10" t="s">
        <v>455</v>
      </c>
      <c r="I249" s="20" t="s">
        <v>27</v>
      </c>
      <c r="J249" s="193">
        <v>45800</v>
      </c>
      <c r="K249" s="193"/>
      <c r="L249" s="193"/>
      <c r="M249" s="63"/>
      <c r="N249" s="193"/>
      <c r="O249" s="63"/>
      <c r="P249" s="196"/>
      <c r="Q249" s="37"/>
      <c r="R249" s="93"/>
      <c r="S249" s="13">
        <f ca="1">IF(ISBLANK(Table2[[#This Row],[Complete corrective actions (Approved Date)]]), TODAY()-Table2[[#This Row],[CAR initialized date]], "CLOSED")</f>
        <v>277</v>
      </c>
    </row>
    <row r="250" spans="1:19" s="4" customFormat="1" ht="36" customHeight="1" x14ac:dyDescent="0.25">
      <c r="A250" s="9" t="s">
        <v>177</v>
      </c>
      <c r="B250" s="13">
        <f>VLOOKUP(Table2[[#This Row],[Location 
(drop-down)]],'List source'!D$2:E$71,2,FALSE)</f>
        <v>126</v>
      </c>
      <c r="C250" s="11" t="s">
        <v>760</v>
      </c>
      <c r="D250" s="212" t="str">
        <f t="shared" si="3"/>
        <v>C248-126-25</v>
      </c>
      <c r="E250" s="11" t="s">
        <v>472</v>
      </c>
      <c r="F250" s="11"/>
      <c r="G250" s="9" t="s">
        <v>761</v>
      </c>
      <c r="H250" s="10" t="s">
        <v>455</v>
      </c>
      <c r="I250" s="20" t="s">
        <v>27</v>
      </c>
      <c r="J250" s="193">
        <v>45800</v>
      </c>
      <c r="K250" s="193"/>
      <c r="L250" s="193"/>
      <c r="M250" s="63">
        <v>45856</v>
      </c>
      <c r="N250" s="193"/>
      <c r="O250" s="63"/>
      <c r="P250" s="196"/>
      <c r="Q250" s="37"/>
      <c r="R250" s="93"/>
      <c r="S250" s="13" t="str">
        <f ca="1">IF(ISBLANK(Table2[[#This Row],[Complete corrective actions (Approved Date)]]), TODAY()-Table2[[#This Row],[CAR initialized date]], "CLOSED")</f>
        <v>CLOSED</v>
      </c>
    </row>
    <row r="251" spans="1:19" s="4" customFormat="1" ht="36" customHeight="1" x14ac:dyDescent="0.25">
      <c r="A251" s="9" t="s">
        <v>177</v>
      </c>
      <c r="B251" s="13">
        <f>VLOOKUP(Table2[[#This Row],[Location 
(drop-down)]],'List source'!D$2:E$71,2,FALSE)</f>
        <v>126</v>
      </c>
      <c r="C251" s="11" t="s">
        <v>762</v>
      </c>
      <c r="D251" s="212" t="str">
        <f t="shared" si="3"/>
        <v>C249-126-25</v>
      </c>
      <c r="E251" s="11" t="s">
        <v>472</v>
      </c>
      <c r="F251" s="11"/>
      <c r="G251" s="9" t="s">
        <v>763</v>
      </c>
      <c r="H251" s="10" t="s">
        <v>455</v>
      </c>
      <c r="I251" s="20" t="s">
        <v>27</v>
      </c>
      <c r="J251" s="193">
        <v>45800</v>
      </c>
      <c r="K251" s="193"/>
      <c r="L251" s="193"/>
      <c r="M251" s="63"/>
      <c r="N251" s="193"/>
      <c r="O251" s="63"/>
      <c r="P251" s="196"/>
      <c r="Q251" s="37"/>
      <c r="R251" s="93"/>
      <c r="S251" s="13">
        <f ca="1">IF(ISBLANK(Table2[[#This Row],[Complete corrective actions (Approved Date)]]), TODAY()-Table2[[#This Row],[CAR initialized date]], "CLOSED")</f>
        <v>277</v>
      </c>
    </row>
    <row r="252" spans="1:19" s="4" customFormat="1" ht="36" customHeight="1" x14ac:dyDescent="0.25">
      <c r="A252" s="9" t="s">
        <v>177</v>
      </c>
      <c r="B252" s="13">
        <f>VLOOKUP(Table2[[#This Row],[Location 
(drop-down)]],'List source'!D$2:E$71,2,FALSE)</f>
        <v>126</v>
      </c>
      <c r="C252" s="11" t="s">
        <v>764</v>
      </c>
      <c r="D252" s="212" t="str">
        <f t="shared" si="3"/>
        <v>C250-126-25</v>
      </c>
      <c r="E252" s="11" t="s">
        <v>472</v>
      </c>
      <c r="F252" s="11"/>
      <c r="G252" s="9" t="s">
        <v>765</v>
      </c>
      <c r="H252" s="10" t="s">
        <v>455</v>
      </c>
      <c r="I252" s="20" t="s">
        <v>27</v>
      </c>
      <c r="J252" s="193">
        <v>45800</v>
      </c>
      <c r="K252" s="193"/>
      <c r="L252" s="193"/>
      <c r="M252" s="63"/>
      <c r="N252" s="193"/>
      <c r="O252" s="63"/>
      <c r="P252" s="196"/>
      <c r="Q252" s="37"/>
      <c r="R252" s="93"/>
      <c r="S252" s="13">
        <f ca="1">IF(ISBLANK(Table2[[#This Row],[Complete corrective actions (Approved Date)]]), TODAY()-Table2[[#This Row],[CAR initialized date]], "CLOSED")</f>
        <v>277</v>
      </c>
    </row>
    <row r="253" spans="1:19" s="4" customFormat="1" ht="36" customHeight="1" x14ac:dyDescent="0.25">
      <c r="A253" s="9" t="s">
        <v>177</v>
      </c>
      <c r="B253" s="13">
        <f>VLOOKUP(Table2[[#This Row],[Location 
(drop-down)]],'List source'!D$2:E$71,2,FALSE)</f>
        <v>126</v>
      </c>
      <c r="C253" s="11" t="s">
        <v>766</v>
      </c>
      <c r="D253" s="212" t="str">
        <f t="shared" si="3"/>
        <v>C251-126-25</v>
      </c>
      <c r="E253" s="11" t="s">
        <v>472</v>
      </c>
      <c r="F253" s="11"/>
      <c r="G253" s="9" t="s">
        <v>767</v>
      </c>
      <c r="H253" s="10" t="s">
        <v>455</v>
      </c>
      <c r="I253" s="20" t="s">
        <v>27</v>
      </c>
      <c r="J253" s="193">
        <v>45800</v>
      </c>
      <c r="K253" s="193"/>
      <c r="L253" s="193"/>
      <c r="M253" s="63">
        <v>45838</v>
      </c>
      <c r="N253" s="193"/>
      <c r="O253" s="63"/>
      <c r="P253" s="196"/>
      <c r="Q253" s="37"/>
      <c r="R253" s="93" t="s">
        <v>530</v>
      </c>
      <c r="S253" s="13" t="str">
        <f ca="1">IF(ISBLANK(Table2[[#This Row],[Complete corrective actions (Approved Date)]]), TODAY()-Table2[[#This Row],[CAR initialized date]], "CLOSED")</f>
        <v>CLOSED</v>
      </c>
    </row>
    <row r="254" spans="1:19" s="4" customFormat="1" ht="36" customHeight="1" x14ac:dyDescent="0.25">
      <c r="A254" s="9" t="s">
        <v>177</v>
      </c>
      <c r="B254" s="13">
        <f>VLOOKUP(Table2[[#This Row],[Location 
(drop-down)]],'List source'!D$2:E$71,2,FALSE)</f>
        <v>126</v>
      </c>
      <c r="C254" s="11" t="s">
        <v>768</v>
      </c>
      <c r="D254" s="212" t="str">
        <f t="shared" si="3"/>
        <v>C252-126-25</v>
      </c>
      <c r="E254" s="11" t="s">
        <v>472</v>
      </c>
      <c r="F254" s="11"/>
      <c r="G254" s="9" t="s">
        <v>769</v>
      </c>
      <c r="H254" s="10" t="s">
        <v>458</v>
      </c>
      <c r="I254" s="20" t="s">
        <v>27</v>
      </c>
      <c r="J254" s="193">
        <v>45800</v>
      </c>
      <c r="K254" s="193"/>
      <c r="L254" s="193"/>
      <c r="M254" s="63"/>
      <c r="N254" s="193"/>
      <c r="O254" s="63"/>
      <c r="P254" s="196"/>
      <c r="Q254" s="37"/>
      <c r="R254" s="93"/>
      <c r="S254" s="13">
        <f ca="1">IF(ISBLANK(Table2[[#This Row],[Complete corrective actions (Approved Date)]]), TODAY()-Table2[[#This Row],[CAR initialized date]], "CLOSED")</f>
        <v>277</v>
      </c>
    </row>
    <row r="255" spans="1:19" s="4" customFormat="1" ht="36" customHeight="1" x14ac:dyDescent="0.25">
      <c r="A255" s="9" t="s">
        <v>58</v>
      </c>
      <c r="B255" s="13">
        <f>VLOOKUP(Table2[[#This Row],[Location 
(drop-down)]],'List source'!D$2:E$71,2,FALSE)</f>
        <v>146</v>
      </c>
      <c r="C255" s="11" t="s">
        <v>770</v>
      </c>
      <c r="D255" s="212" t="str">
        <f t="shared" si="3"/>
        <v>C253-146-25</v>
      </c>
      <c r="E255" s="11" t="s">
        <v>465</v>
      </c>
      <c r="F255" s="11" t="s">
        <v>111</v>
      </c>
      <c r="G255" s="9" t="s">
        <v>771</v>
      </c>
      <c r="H255" s="10" t="s">
        <v>458</v>
      </c>
      <c r="I255" s="20" t="s">
        <v>27</v>
      </c>
      <c r="J255" s="193">
        <v>45706</v>
      </c>
      <c r="K255" s="193"/>
      <c r="L255" s="193"/>
      <c r="M255" s="63">
        <v>45866</v>
      </c>
      <c r="N255" s="193"/>
      <c r="O255" s="63"/>
      <c r="P255" s="196"/>
      <c r="Q255" s="37" t="s">
        <v>772</v>
      </c>
      <c r="R255" s="93"/>
      <c r="S255" s="13" t="str">
        <f ca="1">IF(ISBLANK(Table2[[#This Row],[Complete corrective actions (Approved Date)]]), TODAY()-Table2[[#This Row],[CAR initialized date]], "CLOSED")</f>
        <v>CLOSED</v>
      </c>
    </row>
    <row r="256" spans="1:19" s="4" customFormat="1" ht="36" customHeight="1" x14ac:dyDescent="0.25">
      <c r="A256" s="9" t="s">
        <v>58</v>
      </c>
      <c r="B256" s="13">
        <f>VLOOKUP(Table2[[#This Row],[Location 
(drop-down)]],'List source'!D$2:E$71,2,FALSE)</f>
        <v>146</v>
      </c>
      <c r="C256" s="11" t="s">
        <v>773</v>
      </c>
      <c r="D256" s="212" t="str">
        <f t="shared" si="3"/>
        <v>C254-146-25</v>
      </c>
      <c r="E256" s="11" t="s">
        <v>465</v>
      </c>
      <c r="F256" s="11" t="s">
        <v>111</v>
      </c>
      <c r="G256" s="171" t="s">
        <v>774</v>
      </c>
      <c r="H256" s="10" t="s">
        <v>458</v>
      </c>
      <c r="I256" s="20" t="s">
        <v>27</v>
      </c>
      <c r="J256" s="193">
        <v>45706</v>
      </c>
      <c r="K256" s="193"/>
      <c r="L256" s="193"/>
      <c r="M256" s="63">
        <v>45866</v>
      </c>
      <c r="N256" s="193"/>
      <c r="O256" s="63"/>
      <c r="P256" s="196"/>
      <c r="Q256" s="37" t="s">
        <v>772</v>
      </c>
      <c r="R256" s="93"/>
      <c r="S256" s="13" t="str">
        <f ca="1">IF(ISBLANK(Table2[[#This Row],[Complete corrective actions (Approved Date)]]), TODAY()-Table2[[#This Row],[CAR initialized date]], "CLOSED")</f>
        <v>CLOSED</v>
      </c>
    </row>
    <row r="257" spans="1:19" s="4" customFormat="1" ht="36" customHeight="1" x14ac:dyDescent="0.25">
      <c r="A257" s="9" t="s">
        <v>86</v>
      </c>
      <c r="B257" s="13">
        <f>VLOOKUP(Table2[[#This Row],[Location 
(drop-down)]],'List source'!D$2:E$71,2,FALSE)</f>
        <v>150</v>
      </c>
      <c r="C257" s="11" t="s">
        <v>775</v>
      </c>
      <c r="D257" s="212" t="str">
        <f t="shared" si="3"/>
        <v>C255-150-25</v>
      </c>
      <c r="E257" s="11" t="s">
        <v>460</v>
      </c>
      <c r="F257" s="11" t="s">
        <v>185</v>
      </c>
      <c r="G257" s="172" t="s">
        <v>776</v>
      </c>
      <c r="H257" s="10" t="s">
        <v>458</v>
      </c>
      <c r="I257" s="20" t="s">
        <v>82</v>
      </c>
      <c r="J257" s="193">
        <v>45806</v>
      </c>
      <c r="K257" s="193"/>
      <c r="L257" s="193"/>
      <c r="M257" s="63">
        <v>45817</v>
      </c>
      <c r="N257" s="193"/>
      <c r="O257" s="63"/>
      <c r="P257" s="196"/>
      <c r="Q257" s="332" t="s">
        <v>777</v>
      </c>
      <c r="R257" s="93"/>
      <c r="S257" s="13" t="str">
        <f ca="1">IF(ISBLANK(Table2[[#This Row],[Complete corrective actions (Approved Date)]]), TODAY()-Table2[[#This Row],[CAR initialized date]], "CLOSED")</f>
        <v>CLOSED</v>
      </c>
    </row>
    <row r="258" spans="1:19" s="4" customFormat="1" ht="36" customHeight="1" x14ac:dyDescent="0.25">
      <c r="A258" s="9" t="s">
        <v>156</v>
      </c>
      <c r="B258" s="13">
        <f>VLOOKUP(Table2[[#This Row],[Location 
(drop-down)]],'List source'!D$2:E$71,2,FALSE)</f>
        <v>130</v>
      </c>
      <c r="C258" s="11" t="s">
        <v>778</v>
      </c>
      <c r="D258" s="212" t="str">
        <f t="shared" ref="D258:D321" si="4">"C" &amp; C258 &amp;"-" &amp; B258 &amp; "-" &amp; "25"</f>
        <v>C256-130-25</v>
      </c>
      <c r="E258" s="11" t="s">
        <v>465</v>
      </c>
      <c r="F258" s="11" t="s">
        <v>169</v>
      </c>
      <c r="G258" s="172" t="s">
        <v>779</v>
      </c>
      <c r="H258" s="10" t="s">
        <v>458</v>
      </c>
      <c r="I258" s="20" t="s">
        <v>167</v>
      </c>
      <c r="J258" s="193">
        <v>45807</v>
      </c>
      <c r="K258" s="193" t="s">
        <v>506</v>
      </c>
      <c r="L258" s="193"/>
      <c r="M258" s="63">
        <v>45961</v>
      </c>
      <c r="N258" s="193" t="s">
        <v>506</v>
      </c>
      <c r="O258" s="63"/>
      <c r="P258" s="196"/>
      <c r="Q258" s="37" t="s">
        <v>780</v>
      </c>
      <c r="R258" s="93"/>
      <c r="S258" s="13" t="str">
        <f ca="1">IF(ISBLANK(Table2[[#This Row],[Complete corrective actions (Approved Date)]]), TODAY()-Table2[[#This Row],[CAR initialized date]], "CLOSED")</f>
        <v>CLOSED</v>
      </c>
    </row>
    <row r="259" spans="1:19" s="4" customFormat="1" ht="36" customHeight="1" x14ac:dyDescent="0.25">
      <c r="A259" s="9" t="s">
        <v>156</v>
      </c>
      <c r="B259" s="13">
        <f>VLOOKUP(Table2[[#This Row],[Location 
(drop-down)]],'List source'!D$2:E$71,2,FALSE)</f>
        <v>130</v>
      </c>
      <c r="C259" s="11" t="s">
        <v>781</v>
      </c>
      <c r="D259" s="212" t="str">
        <f t="shared" si="4"/>
        <v>C257-130-25</v>
      </c>
      <c r="E259" s="11" t="s">
        <v>465</v>
      </c>
      <c r="F259" s="11" t="s">
        <v>169</v>
      </c>
      <c r="G259" s="9" t="s">
        <v>782</v>
      </c>
      <c r="H259" s="10" t="s">
        <v>455</v>
      </c>
      <c r="I259" s="20" t="s">
        <v>167</v>
      </c>
      <c r="J259" s="193">
        <v>45807</v>
      </c>
      <c r="K259" s="193"/>
      <c r="L259" s="193"/>
      <c r="M259" s="63">
        <v>45853</v>
      </c>
      <c r="N259" s="193"/>
      <c r="O259" s="63"/>
      <c r="P259" s="196"/>
      <c r="Q259" s="37"/>
      <c r="R259" s="93"/>
      <c r="S259" s="13" t="str">
        <f ca="1">IF(ISBLANK(Table2[[#This Row],[Complete corrective actions (Approved Date)]]), TODAY()-Table2[[#This Row],[CAR initialized date]], "CLOSED")</f>
        <v>CLOSED</v>
      </c>
    </row>
    <row r="260" spans="1:19" s="4" customFormat="1" ht="36" customHeight="1" x14ac:dyDescent="0.25">
      <c r="A260" s="9" t="s">
        <v>44</v>
      </c>
      <c r="B260" s="13">
        <f>VLOOKUP(Table2[[#This Row],[Location 
(drop-down)]],'List source'!D$2:E$71,2,FALSE)</f>
        <v>185</v>
      </c>
      <c r="C260" s="11" t="s">
        <v>783</v>
      </c>
      <c r="D260" s="212" t="str">
        <f t="shared" si="4"/>
        <v>C258-185-25</v>
      </c>
      <c r="E260" s="11" t="s">
        <v>460</v>
      </c>
      <c r="F260" s="11"/>
      <c r="G260" s="172" t="s">
        <v>784</v>
      </c>
      <c r="H260" s="10" t="s">
        <v>455</v>
      </c>
      <c r="I260" s="20" t="s">
        <v>189</v>
      </c>
      <c r="J260" s="193">
        <v>45810</v>
      </c>
      <c r="K260" s="193"/>
      <c r="L260" s="193"/>
      <c r="M260" s="63"/>
      <c r="N260" s="193"/>
      <c r="O260" s="63"/>
      <c r="P260" s="196"/>
      <c r="Q260" s="37"/>
      <c r="R260" s="93"/>
      <c r="S260" s="13">
        <f ca="1">IF(ISBLANK(Table2[[#This Row],[Complete corrective actions (Approved Date)]]), TODAY()-Table2[[#This Row],[CAR initialized date]], "CLOSED")</f>
        <v>267</v>
      </c>
    </row>
    <row r="261" spans="1:19" s="4" customFormat="1" ht="93" customHeight="1" x14ac:dyDescent="0.25">
      <c r="A261" s="9" t="s">
        <v>257</v>
      </c>
      <c r="B261" s="13">
        <f>VLOOKUP(Table2[[#This Row],[Location 
(drop-down)]],'List source'!D$2:E$71,2,FALSE)</f>
        <v>144</v>
      </c>
      <c r="C261" s="11" t="s">
        <v>785</v>
      </c>
      <c r="D261" s="212" t="str">
        <f t="shared" si="4"/>
        <v>C259-144-25</v>
      </c>
      <c r="E261" s="11" t="s">
        <v>460</v>
      </c>
      <c r="F261" s="120"/>
      <c r="G261" s="172" t="s">
        <v>784</v>
      </c>
      <c r="H261" s="10" t="s">
        <v>455</v>
      </c>
      <c r="I261" s="20" t="s">
        <v>189</v>
      </c>
      <c r="J261" s="193">
        <v>45810</v>
      </c>
      <c r="K261" s="193"/>
      <c r="L261" s="193"/>
      <c r="M261" s="63"/>
      <c r="N261" s="193"/>
      <c r="O261" s="63"/>
      <c r="P261" s="196"/>
      <c r="Q261" s="37"/>
      <c r="R261" s="93"/>
      <c r="S261" s="13">
        <f ca="1">IF(ISBLANK(Table2[[#This Row],[Complete corrective actions (Approved Date)]]), TODAY()-Table2[[#This Row],[CAR initialized date]], "CLOSED")</f>
        <v>267</v>
      </c>
    </row>
    <row r="262" spans="1:19" s="4" customFormat="1" ht="36" customHeight="1" x14ac:dyDescent="0.25">
      <c r="A262" s="9" t="s">
        <v>249</v>
      </c>
      <c r="B262" s="13">
        <f>VLOOKUP(Table2[[#This Row],[Location 
(drop-down)]],'List source'!D$2:E$71,2,FALSE)</f>
        <v>199</v>
      </c>
      <c r="C262" s="11" t="s">
        <v>786</v>
      </c>
      <c r="D262" s="212" t="str">
        <f t="shared" si="4"/>
        <v>C260-199-25</v>
      </c>
      <c r="E262" s="11" t="s">
        <v>452</v>
      </c>
      <c r="F262" s="120" t="s">
        <v>103</v>
      </c>
      <c r="G262" s="79" t="s">
        <v>787</v>
      </c>
      <c r="H262" s="10" t="s">
        <v>455</v>
      </c>
      <c r="I262" s="20" t="s">
        <v>101</v>
      </c>
      <c r="J262" s="166">
        <v>45812</v>
      </c>
      <c r="K262" s="166"/>
      <c r="L262" s="166"/>
      <c r="M262" s="63">
        <v>45877</v>
      </c>
      <c r="N262" s="166"/>
      <c r="O262" s="63">
        <v>45903</v>
      </c>
      <c r="P262" s="196" t="s">
        <v>503</v>
      </c>
      <c r="Q262" s="37" t="s">
        <v>788</v>
      </c>
      <c r="R262" s="93" t="s">
        <v>530</v>
      </c>
      <c r="S262" s="13" t="str">
        <f ca="1">IF(ISBLANK(Table2[[#This Row],[Complete corrective actions (Approved Date)]]), TODAY()-Table2[[#This Row],[CAR initialized date]], "CLOSED")</f>
        <v>CLOSED</v>
      </c>
    </row>
    <row r="263" spans="1:19" s="4" customFormat="1" ht="36" customHeight="1" x14ac:dyDescent="0.25">
      <c r="A263" s="9" t="s">
        <v>249</v>
      </c>
      <c r="B263" s="13">
        <f>VLOOKUP(Table2[[#This Row],[Location 
(drop-down)]],'List source'!D$2:E$71,2,FALSE)</f>
        <v>199</v>
      </c>
      <c r="C263" s="11" t="s">
        <v>789</v>
      </c>
      <c r="D263" s="212" t="str">
        <f t="shared" si="4"/>
        <v>C261-199-25</v>
      </c>
      <c r="E263" s="11" t="s">
        <v>452</v>
      </c>
      <c r="F263" s="11" t="s">
        <v>103</v>
      </c>
      <c r="G263" s="79" t="s">
        <v>790</v>
      </c>
      <c r="H263" s="10" t="s">
        <v>458</v>
      </c>
      <c r="I263" s="20" t="s">
        <v>101</v>
      </c>
      <c r="J263" s="166">
        <v>45813</v>
      </c>
      <c r="K263" s="166"/>
      <c r="L263" s="166"/>
      <c r="M263" s="63">
        <v>45848</v>
      </c>
      <c r="N263" s="166"/>
      <c r="O263" s="63"/>
      <c r="P263" s="196"/>
      <c r="Q263" s="37"/>
      <c r="R263" s="93"/>
      <c r="S263" s="13" t="str">
        <f ca="1">IF(ISBLANK(Table2[[#This Row],[Complete corrective actions (Approved Date)]]), TODAY()-Table2[[#This Row],[CAR initialized date]], "CLOSED")</f>
        <v>CLOSED</v>
      </c>
    </row>
    <row r="264" spans="1:19" s="4" customFormat="1" ht="36" customHeight="1" x14ac:dyDescent="0.25">
      <c r="A264" s="9" t="s">
        <v>79</v>
      </c>
      <c r="B264" s="13">
        <f>VLOOKUP(Table2[[#This Row],[Location 
(drop-down)]],'List source'!D$2:E$71,2,FALSE)</f>
        <v>160</v>
      </c>
      <c r="C264" s="11" t="s">
        <v>791</v>
      </c>
      <c r="D264" s="212" t="str">
        <f t="shared" si="4"/>
        <v>C262-160-25</v>
      </c>
      <c r="E264" s="11" t="s">
        <v>519</v>
      </c>
      <c r="F264" s="11" t="s">
        <v>41</v>
      </c>
      <c r="G264" s="79" t="s">
        <v>792</v>
      </c>
      <c r="H264" s="10" t="s">
        <v>455</v>
      </c>
      <c r="I264" s="20" t="s">
        <v>18</v>
      </c>
      <c r="J264" s="166">
        <v>45814</v>
      </c>
      <c r="K264" s="166"/>
      <c r="L264" s="166"/>
      <c r="M264" s="63">
        <v>45818</v>
      </c>
      <c r="N264" s="166"/>
      <c r="O264" s="63"/>
      <c r="P264" s="196"/>
      <c r="Q264" s="37"/>
      <c r="R264" s="93" t="s">
        <v>467</v>
      </c>
      <c r="S264" s="13" t="str">
        <f ca="1">IF(ISBLANK(Table2[[#This Row],[Complete corrective actions (Approved Date)]]), TODAY()-Table2[[#This Row],[CAR initialized date]], "CLOSED")</f>
        <v>CLOSED</v>
      </c>
    </row>
    <row r="265" spans="1:19" s="4" customFormat="1" ht="36" customHeight="1" x14ac:dyDescent="0.25">
      <c r="A265" s="9" t="s">
        <v>179</v>
      </c>
      <c r="B265" s="13">
        <f>VLOOKUP(Table2[[#This Row],[Location 
(drop-down)]],'List source'!D$2:E$71,2,FALSE)</f>
        <v>189</v>
      </c>
      <c r="C265" s="11" t="s">
        <v>793</v>
      </c>
      <c r="D265" s="212" t="str">
        <f t="shared" si="4"/>
        <v>C263-189-25</v>
      </c>
      <c r="E265" s="11" t="s">
        <v>472</v>
      </c>
      <c r="F265" s="11"/>
      <c r="G265" s="79" t="s">
        <v>794</v>
      </c>
      <c r="H265" s="10" t="s">
        <v>458</v>
      </c>
      <c r="I265" s="20" t="s">
        <v>201</v>
      </c>
      <c r="J265" s="166">
        <v>45820</v>
      </c>
      <c r="K265" s="166"/>
      <c r="L265" s="166"/>
      <c r="M265" s="63">
        <v>46010</v>
      </c>
      <c r="N265" s="166"/>
      <c r="O265" s="63">
        <v>46013</v>
      </c>
      <c r="P265" s="196"/>
      <c r="Q265" s="37" t="s">
        <v>795</v>
      </c>
      <c r="R265" s="93" t="s">
        <v>467</v>
      </c>
      <c r="S265" s="13" t="str">
        <f ca="1">IF(ISBLANK(Table2[[#This Row],[Complete corrective actions (Approved Date)]]), TODAY()-Table2[[#This Row],[CAR initialized date]], "CLOSED")</f>
        <v>CLOSED</v>
      </c>
    </row>
    <row r="266" spans="1:19" s="4" customFormat="1" ht="36" customHeight="1" x14ac:dyDescent="0.25">
      <c r="A266" s="9" t="s">
        <v>179</v>
      </c>
      <c r="B266" s="13">
        <f>VLOOKUP(Table2[[#This Row],[Location 
(drop-down)]],'List source'!D$2:E$71,2,FALSE)</f>
        <v>189</v>
      </c>
      <c r="C266" s="11" t="s">
        <v>796</v>
      </c>
      <c r="D266" s="212" t="str">
        <f t="shared" si="4"/>
        <v>C264-189-25</v>
      </c>
      <c r="E266" s="11" t="s">
        <v>472</v>
      </c>
      <c r="F266" s="11"/>
      <c r="G266" s="79" t="s">
        <v>797</v>
      </c>
      <c r="H266" s="10" t="s">
        <v>458</v>
      </c>
      <c r="I266" s="20" t="s">
        <v>201</v>
      </c>
      <c r="J266" s="166">
        <v>45820</v>
      </c>
      <c r="K266" s="166"/>
      <c r="L266" s="166"/>
      <c r="M266" s="63">
        <v>46010</v>
      </c>
      <c r="N266" s="166"/>
      <c r="O266" s="63">
        <v>46013</v>
      </c>
      <c r="P266" s="196"/>
      <c r="Q266" s="37" t="s">
        <v>798</v>
      </c>
      <c r="R266" s="93"/>
      <c r="S266" s="13" t="str">
        <f ca="1">IF(ISBLANK(Table2[[#This Row],[Complete corrective actions (Approved Date)]]), TODAY()-Table2[[#This Row],[CAR initialized date]], "CLOSED")</f>
        <v>CLOSED</v>
      </c>
    </row>
    <row r="267" spans="1:19" s="4" customFormat="1" ht="36" customHeight="1" x14ac:dyDescent="0.25">
      <c r="A267" s="9" t="s">
        <v>179</v>
      </c>
      <c r="B267" s="13">
        <f>VLOOKUP(Table2[[#This Row],[Location 
(drop-down)]],'List source'!D$2:E$71,2,FALSE)</f>
        <v>189</v>
      </c>
      <c r="C267" s="11" t="s">
        <v>799</v>
      </c>
      <c r="D267" s="212" t="str">
        <f t="shared" si="4"/>
        <v>C265-189-25</v>
      </c>
      <c r="E267" s="11" t="s">
        <v>472</v>
      </c>
      <c r="F267" s="11"/>
      <c r="G267" s="79" t="s">
        <v>800</v>
      </c>
      <c r="H267" s="10" t="s">
        <v>455</v>
      </c>
      <c r="I267" s="20" t="s">
        <v>201</v>
      </c>
      <c r="J267" s="166">
        <v>45820</v>
      </c>
      <c r="K267" s="166" t="s">
        <v>503</v>
      </c>
      <c r="L267" s="166"/>
      <c r="M267" s="63">
        <v>45980</v>
      </c>
      <c r="N267" s="166" t="s">
        <v>503</v>
      </c>
      <c r="O267" s="63"/>
      <c r="P267" s="196"/>
      <c r="Q267" s="37"/>
      <c r="R267" s="93"/>
      <c r="S267" s="13" t="str">
        <f ca="1">IF(ISBLANK(Table2[[#This Row],[Complete corrective actions (Approved Date)]]), TODAY()-Table2[[#This Row],[CAR initialized date]], "CLOSED")</f>
        <v>CLOSED</v>
      </c>
    </row>
    <row r="268" spans="1:19" s="4" customFormat="1" ht="36" customHeight="1" x14ac:dyDescent="0.25">
      <c r="A268" s="9" t="s">
        <v>179</v>
      </c>
      <c r="B268" s="13">
        <f>VLOOKUP(Table2[[#This Row],[Location 
(drop-down)]],'List source'!D$2:E$71,2,FALSE)</f>
        <v>189</v>
      </c>
      <c r="C268" s="11" t="s">
        <v>801</v>
      </c>
      <c r="D268" s="212" t="str">
        <f t="shared" si="4"/>
        <v>C266-189-25</v>
      </c>
      <c r="E268" s="11" t="s">
        <v>472</v>
      </c>
      <c r="F268" s="11"/>
      <c r="G268" s="79" t="s">
        <v>802</v>
      </c>
      <c r="H268" s="10" t="s">
        <v>455</v>
      </c>
      <c r="I268" s="20" t="s">
        <v>201</v>
      </c>
      <c r="J268" s="166">
        <v>45820</v>
      </c>
      <c r="K268" s="166" t="s">
        <v>503</v>
      </c>
      <c r="L268" s="166"/>
      <c r="M268" s="63">
        <v>45994</v>
      </c>
      <c r="N268" s="166" t="s">
        <v>503</v>
      </c>
      <c r="O268" s="63"/>
      <c r="P268" s="196"/>
      <c r="Q268" s="37"/>
      <c r="R268" s="93"/>
      <c r="S268" s="13" t="str">
        <f ca="1">IF(ISBLANK(Table2[[#This Row],[Complete corrective actions (Approved Date)]]), TODAY()-Table2[[#This Row],[CAR initialized date]], "CLOSED")</f>
        <v>CLOSED</v>
      </c>
    </row>
    <row r="269" spans="1:19" s="4" customFormat="1" ht="36" customHeight="1" x14ac:dyDescent="0.25">
      <c r="A269" s="9" t="s">
        <v>179</v>
      </c>
      <c r="B269" s="13">
        <f>VLOOKUP(Table2[[#This Row],[Location 
(drop-down)]],'List source'!D$2:E$71,2,FALSE)</f>
        <v>189</v>
      </c>
      <c r="C269" s="11" t="s">
        <v>803</v>
      </c>
      <c r="D269" s="212" t="str">
        <f t="shared" si="4"/>
        <v>C267-189-25</v>
      </c>
      <c r="E269" s="11" t="s">
        <v>472</v>
      </c>
      <c r="F269" s="11"/>
      <c r="G269" s="79" t="s">
        <v>804</v>
      </c>
      <c r="H269" s="10" t="s">
        <v>455</v>
      </c>
      <c r="I269" s="20" t="s">
        <v>201</v>
      </c>
      <c r="J269" s="166">
        <v>45820</v>
      </c>
      <c r="K269" s="166" t="s">
        <v>503</v>
      </c>
      <c r="L269" s="166"/>
      <c r="M269" s="63">
        <v>45994</v>
      </c>
      <c r="N269" s="166" t="s">
        <v>503</v>
      </c>
      <c r="O269" s="63"/>
      <c r="P269" s="196"/>
      <c r="Q269" s="37"/>
      <c r="R269" s="93"/>
      <c r="S269" s="13" t="str">
        <f ca="1">IF(ISBLANK(Table2[[#This Row],[Complete corrective actions (Approved Date)]]), TODAY()-Table2[[#This Row],[CAR initialized date]], "CLOSED")</f>
        <v>CLOSED</v>
      </c>
    </row>
    <row r="270" spans="1:19" s="4" customFormat="1" ht="36" customHeight="1" x14ac:dyDescent="0.25">
      <c r="A270" s="9" t="s">
        <v>179</v>
      </c>
      <c r="B270" s="13">
        <f>VLOOKUP(Table2[[#This Row],[Location 
(drop-down)]],'List source'!D$2:E$71,2,FALSE)</f>
        <v>189</v>
      </c>
      <c r="C270" s="11" t="s">
        <v>805</v>
      </c>
      <c r="D270" s="212" t="str">
        <f t="shared" si="4"/>
        <v>C268-189-25</v>
      </c>
      <c r="E270" s="11" t="s">
        <v>472</v>
      </c>
      <c r="F270" s="11"/>
      <c r="G270" s="79" t="s">
        <v>806</v>
      </c>
      <c r="H270" s="10" t="s">
        <v>455</v>
      </c>
      <c r="I270" s="20" t="s">
        <v>201</v>
      </c>
      <c r="J270" s="166">
        <v>45820</v>
      </c>
      <c r="K270" s="166" t="s">
        <v>503</v>
      </c>
      <c r="L270" s="166"/>
      <c r="M270" s="63">
        <v>45980</v>
      </c>
      <c r="N270" s="166" t="s">
        <v>503</v>
      </c>
      <c r="O270" s="63"/>
      <c r="P270" s="196"/>
      <c r="Q270" s="37"/>
      <c r="R270" s="93"/>
      <c r="S270" s="13" t="str">
        <f ca="1">IF(ISBLANK(Table2[[#This Row],[Complete corrective actions (Approved Date)]]), TODAY()-Table2[[#This Row],[CAR initialized date]], "CLOSED")</f>
        <v>CLOSED</v>
      </c>
    </row>
    <row r="271" spans="1:19" s="4" customFormat="1" ht="36" customHeight="1" x14ac:dyDescent="0.25">
      <c r="A271" s="9" t="s">
        <v>186</v>
      </c>
      <c r="B271" s="13">
        <f>VLOOKUP(Table2[[#This Row],[Location 
(drop-down)]],'List source'!D$2:E$71,2,FALSE)</f>
        <v>136</v>
      </c>
      <c r="C271" s="11" t="s">
        <v>807</v>
      </c>
      <c r="D271" s="212" t="str">
        <f t="shared" si="4"/>
        <v>C269-136-25</v>
      </c>
      <c r="E271" s="11" t="s">
        <v>465</v>
      </c>
      <c r="F271" s="11" t="s">
        <v>808</v>
      </c>
      <c r="G271" s="79" t="s">
        <v>809</v>
      </c>
      <c r="H271" s="10" t="s">
        <v>455</v>
      </c>
      <c r="I271" s="20" t="s">
        <v>27</v>
      </c>
      <c r="J271" s="166">
        <v>45819</v>
      </c>
      <c r="K271" s="166"/>
      <c r="L271" s="166"/>
      <c r="M271" s="63">
        <v>45848</v>
      </c>
      <c r="N271" s="166"/>
      <c r="O271" s="63"/>
      <c r="P271" s="196"/>
      <c r="Q271" s="37" t="s">
        <v>810</v>
      </c>
      <c r="R271" s="93"/>
      <c r="S271" s="13" t="str">
        <f ca="1">IF(ISBLANK(Table2[[#This Row],[Complete corrective actions (Approved Date)]]), TODAY()-Table2[[#This Row],[CAR initialized date]], "CLOSED")</f>
        <v>CLOSED</v>
      </c>
    </row>
    <row r="272" spans="1:19" s="4" customFormat="1" ht="36" customHeight="1" x14ac:dyDescent="0.25">
      <c r="A272" s="9" t="s">
        <v>186</v>
      </c>
      <c r="B272" s="13">
        <f>VLOOKUP(Table2[[#This Row],[Location 
(drop-down)]],'List source'!D$2:E$71,2,FALSE)</f>
        <v>136</v>
      </c>
      <c r="C272" s="11" t="s">
        <v>811</v>
      </c>
      <c r="D272" s="212" t="str">
        <f t="shared" si="4"/>
        <v>C270-136-25</v>
      </c>
      <c r="E272" s="11" t="s">
        <v>465</v>
      </c>
      <c r="F272" s="11" t="s">
        <v>808</v>
      </c>
      <c r="G272" s="79" t="s">
        <v>812</v>
      </c>
      <c r="H272" s="10" t="s">
        <v>455</v>
      </c>
      <c r="I272" s="20" t="s">
        <v>27</v>
      </c>
      <c r="J272" s="166">
        <v>45819</v>
      </c>
      <c r="K272" s="166"/>
      <c r="L272" s="166"/>
      <c r="M272" s="63">
        <v>45883</v>
      </c>
      <c r="N272" s="166"/>
      <c r="O272" s="63"/>
      <c r="P272" s="196"/>
      <c r="Q272" s="37" t="s">
        <v>810</v>
      </c>
      <c r="R272" s="93"/>
      <c r="S272" s="13" t="str">
        <f ca="1">IF(ISBLANK(Table2[[#This Row],[Complete corrective actions (Approved Date)]]), TODAY()-Table2[[#This Row],[CAR initialized date]], "CLOSED")</f>
        <v>CLOSED</v>
      </c>
    </row>
    <row r="273" spans="1:19" s="4" customFormat="1" ht="36" customHeight="1" x14ac:dyDescent="0.25">
      <c r="A273" s="9" t="s">
        <v>37</v>
      </c>
      <c r="B273" s="13">
        <f>VLOOKUP(Table2[[#This Row],[Location 
(drop-down)]],'List source'!D$2:E$71,2,FALSE)</f>
        <v>210</v>
      </c>
      <c r="C273" s="11" t="s">
        <v>813</v>
      </c>
      <c r="D273" s="212" t="str">
        <f t="shared" si="4"/>
        <v>C271-210-25</v>
      </c>
      <c r="E273" s="11" t="s">
        <v>519</v>
      </c>
      <c r="F273" s="11" t="s">
        <v>185</v>
      </c>
      <c r="G273" s="79" t="s">
        <v>814</v>
      </c>
      <c r="H273" s="10" t="s">
        <v>458</v>
      </c>
      <c r="I273" s="20" t="s">
        <v>189</v>
      </c>
      <c r="J273" s="166">
        <v>45820</v>
      </c>
      <c r="K273" s="193" t="s">
        <v>503</v>
      </c>
      <c r="L273" s="193"/>
      <c r="M273" s="63">
        <v>45841</v>
      </c>
      <c r="N273" s="193" t="s">
        <v>503</v>
      </c>
      <c r="O273" s="63">
        <v>45938</v>
      </c>
      <c r="P273" s="196" t="s">
        <v>503</v>
      </c>
      <c r="Q273" s="37" t="s">
        <v>717</v>
      </c>
      <c r="R273" s="93"/>
      <c r="S273" s="13" t="str">
        <f ca="1">IF(ISBLANK(Table2[[#This Row],[Complete corrective actions (Approved Date)]]), TODAY()-Table2[[#This Row],[CAR initialized date]], "CLOSED")</f>
        <v>CLOSED</v>
      </c>
    </row>
    <row r="274" spans="1:19" s="4" customFormat="1" ht="36" customHeight="1" x14ac:dyDescent="0.25">
      <c r="A274" s="9" t="s">
        <v>37</v>
      </c>
      <c r="B274" s="13">
        <f>VLOOKUP(Table2[[#This Row],[Location 
(drop-down)]],'List source'!D$2:E$71,2,FALSE)</f>
        <v>210</v>
      </c>
      <c r="C274" s="11" t="s">
        <v>815</v>
      </c>
      <c r="D274" s="212" t="str">
        <f t="shared" si="4"/>
        <v>C272-210-25</v>
      </c>
      <c r="E274" s="11" t="s">
        <v>519</v>
      </c>
      <c r="F274" s="11" t="s">
        <v>185</v>
      </c>
      <c r="G274" s="79" t="s">
        <v>816</v>
      </c>
      <c r="H274" s="10" t="s">
        <v>455</v>
      </c>
      <c r="I274" s="20" t="s">
        <v>189</v>
      </c>
      <c r="J274" s="166">
        <v>45820</v>
      </c>
      <c r="K274" s="193" t="s">
        <v>503</v>
      </c>
      <c r="L274" s="193"/>
      <c r="M274" s="63">
        <v>45841</v>
      </c>
      <c r="N274" s="193" t="s">
        <v>503</v>
      </c>
      <c r="O274" s="63">
        <v>45938</v>
      </c>
      <c r="P274" s="196" t="s">
        <v>503</v>
      </c>
      <c r="Q274" s="37" t="s">
        <v>717</v>
      </c>
      <c r="R274" s="93"/>
      <c r="S274" s="13" t="str">
        <f ca="1">IF(ISBLANK(Table2[[#This Row],[Complete corrective actions (Approved Date)]]), TODAY()-Table2[[#This Row],[CAR initialized date]], "CLOSED")</f>
        <v>CLOSED</v>
      </c>
    </row>
    <row r="275" spans="1:19" s="4" customFormat="1" ht="36" customHeight="1" x14ac:dyDescent="0.25">
      <c r="A275" s="9" t="s">
        <v>203</v>
      </c>
      <c r="B275" s="13">
        <f>VLOOKUP(Table2[[#This Row],[Location 
(drop-down)]],'List source'!D$2:E$71,2,FALSE)</f>
        <v>140</v>
      </c>
      <c r="C275" s="11" t="s">
        <v>817</v>
      </c>
      <c r="D275" s="212" t="str">
        <f t="shared" si="4"/>
        <v>C273-140-25</v>
      </c>
      <c r="E275" s="11" t="s">
        <v>472</v>
      </c>
      <c r="F275" s="11"/>
      <c r="G275" s="70" t="s">
        <v>525</v>
      </c>
      <c r="H275" s="10" t="s">
        <v>494</v>
      </c>
      <c r="I275" s="20" t="s">
        <v>18</v>
      </c>
      <c r="J275" s="166">
        <v>45825</v>
      </c>
      <c r="K275" s="166"/>
      <c r="L275" s="166"/>
      <c r="M275" s="63">
        <v>45852</v>
      </c>
      <c r="N275" s="166"/>
      <c r="O275" s="63"/>
      <c r="P275" s="196"/>
      <c r="Q275" s="37"/>
      <c r="R275" s="93" t="s">
        <v>467</v>
      </c>
      <c r="S275" s="13" t="str">
        <f ca="1">IF(ISBLANK(Table2[[#This Row],[Complete corrective actions (Approved Date)]]), TODAY()-Table2[[#This Row],[CAR initialized date]], "CLOSED")</f>
        <v>CLOSED</v>
      </c>
    </row>
    <row r="276" spans="1:19" s="4" customFormat="1" ht="36" customHeight="1" x14ac:dyDescent="0.25">
      <c r="A276" s="9" t="s">
        <v>203</v>
      </c>
      <c r="B276" s="13">
        <f>VLOOKUP(Table2[[#This Row],[Location 
(drop-down)]],'List source'!D$2:E$71,2,FALSE)</f>
        <v>140</v>
      </c>
      <c r="C276" s="11" t="s">
        <v>818</v>
      </c>
      <c r="D276" s="212" t="str">
        <f t="shared" si="4"/>
        <v>C274-140-25</v>
      </c>
      <c r="E276" s="11" t="s">
        <v>472</v>
      </c>
      <c r="F276" s="11"/>
      <c r="G276" s="70" t="s">
        <v>819</v>
      </c>
      <c r="H276" s="10" t="s">
        <v>455</v>
      </c>
      <c r="I276" s="20" t="s">
        <v>18</v>
      </c>
      <c r="J276" s="166">
        <v>45825</v>
      </c>
      <c r="K276" s="166"/>
      <c r="L276" s="166"/>
      <c r="M276" s="63">
        <v>45852</v>
      </c>
      <c r="N276" s="166"/>
      <c r="O276" s="63"/>
      <c r="P276" s="196"/>
      <c r="Q276" s="37"/>
      <c r="R276" s="93" t="s">
        <v>467</v>
      </c>
      <c r="S276" s="13" t="str">
        <f ca="1">IF(ISBLANK(Table2[[#This Row],[Complete corrective actions (Approved Date)]]), TODAY()-Table2[[#This Row],[CAR initialized date]], "CLOSED")</f>
        <v>CLOSED</v>
      </c>
    </row>
    <row r="277" spans="1:19" s="4" customFormat="1" ht="36" customHeight="1" x14ac:dyDescent="0.25">
      <c r="A277" s="9" t="s">
        <v>203</v>
      </c>
      <c r="B277" s="13">
        <f>VLOOKUP(Table2[[#This Row],[Location 
(drop-down)]],'List source'!D$2:E$71,2,FALSE)</f>
        <v>140</v>
      </c>
      <c r="C277" s="11" t="s">
        <v>820</v>
      </c>
      <c r="D277" s="212" t="str">
        <f t="shared" si="4"/>
        <v>C275-140-25</v>
      </c>
      <c r="E277" s="11" t="s">
        <v>472</v>
      </c>
      <c r="F277" s="11"/>
      <c r="G277" s="9" t="s">
        <v>821</v>
      </c>
      <c r="H277" s="10" t="s">
        <v>455</v>
      </c>
      <c r="I277" s="20" t="s">
        <v>18</v>
      </c>
      <c r="J277" s="166">
        <v>45825</v>
      </c>
      <c r="K277" s="166"/>
      <c r="L277" s="166"/>
      <c r="M277" s="63">
        <v>45852</v>
      </c>
      <c r="N277" s="166"/>
      <c r="O277" s="63"/>
      <c r="P277" s="196"/>
      <c r="Q277" s="37"/>
      <c r="R277" s="93" t="s">
        <v>467</v>
      </c>
      <c r="S277" s="13" t="str">
        <f ca="1">IF(ISBLANK(Table2[[#This Row],[Complete corrective actions (Approved Date)]]), TODAY()-Table2[[#This Row],[CAR initialized date]], "CLOSED")</f>
        <v>CLOSED</v>
      </c>
    </row>
    <row r="278" spans="1:19" s="4" customFormat="1" ht="36" customHeight="1" x14ac:dyDescent="0.25">
      <c r="A278" s="9" t="s">
        <v>37</v>
      </c>
      <c r="B278" s="13">
        <f>VLOOKUP(Table2[[#This Row],[Location 
(drop-down)]],'List source'!D$2:E$71,2,FALSE)</f>
        <v>210</v>
      </c>
      <c r="C278" s="11" t="s">
        <v>822</v>
      </c>
      <c r="D278" s="212" t="str">
        <f t="shared" si="4"/>
        <v>C276-210-25</v>
      </c>
      <c r="E278" s="11" t="s">
        <v>519</v>
      </c>
      <c r="F278" s="11" t="s">
        <v>185</v>
      </c>
      <c r="G278" s="79" t="s">
        <v>823</v>
      </c>
      <c r="H278" s="10" t="s">
        <v>455</v>
      </c>
      <c r="I278" s="20" t="s">
        <v>189</v>
      </c>
      <c r="J278" s="202">
        <v>45820</v>
      </c>
      <c r="K278" s="193" t="s">
        <v>503</v>
      </c>
      <c r="L278" s="193"/>
      <c r="M278" s="63">
        <v>45841</v>
      </c>
      <c r="N278" s="193" t="s">
        <v>503</v>
      </c>
      <c r="O278" s="63">
        <v>45938</v>
      </c>
      <c r="P278" s="196" t="s">
        <v>503</v>
      </c>
      <c r="Q278" s="37" t="s">
        <v>717</v>
      </c>
      <c r="R278" s="93"/>
      <c r="S278" s="13" t="str">
        <f ca="1">IF(ISBLANK(Table2[[#This Row],[Complete corrective actions (Approved Date)]]), TODAY()-Table2[[#This Row],[CAR initialized date]], "CLOSED")</f>
        <v>CLOSED</v>
      </c>
    </row>
    <row r="279" spans="1:19" s="4" customFormat="1" ht="36" customHeight="1" x14ac:dyDescent="0.25">
      <c r="A279" s="9" t="s">
        <v>37</v>
      </c>
      <c r="B279" s="13">
        <f>VLOOKUP(Table2[[#This Row],[Location 
(drop-down)]],'List source'!D$2:E$71,2,FALSE)</f>
        <v>210</v>
      </c>
      <c r="C279" s="11" t="s">
        <v>824</v>
      </c>
      <c r="D279" s="212" t="str">
        <f t="shared" si="4"/>
        <v>C277-210-25</v>
      </c>
      <c r="E279" s="11" t="s">
        <v>519</v>
      </c>
      <c r="F279" s="11" t="s">
        <v>185</v>
      </c>
      <c r="G279" s="169" t="s">
        <v>825</v>
      </c>
      <c r="H279" s="10" t="s">
        <v>455</v>
      </c>
      <c r="I279" s="20" t="s">
        <v>189</v>
      </c>
      <c r="J279" s="166">
        <v>45820</v>
      </c>
      <c r="K279" s="193" t="s">
        <v>503</v>
      </c>
      <c r="L279" s="193"/>
      <c r="M279" s="63">
        <v>45841</v>
      </c>
      <c r="N279" s="193" t="s">
        <v>503</v>
      </c>
      <c r="O279" s="63">
        <v>45938</v>
      </c>
      <c r="P279" s="196" t="s">
        <v>503</v>
      </c>
      <c r="Q279" s="37" t="s">
        <v>717</v>
      </c>
      <c r="R279" s="93"/>
      <c r="S279" s="13" t="str">
        <f ca="1">IF(ISBLANK(Table2[[#This Row],[Complete corrective actions (Approved Date)]]), TODAY()-Table2[[#This Row],[CAR initialized date]], "CLOSED")</f>
        <v>CLOSED</v>
      </c>
    </row>
    <row r="280" spans="1:19" s="4" customFormat="1" ht="36" customHeight="1" x14ac:dyDescent="0.25">
      <c r="A280" s="9" t="s">
        <v>218</v>
      </c>
      <c r="B280" s="13">
        <f>VLOOKUP(Table2[[#This Row],[Location 
(drop-down)]],'List source'!D$2:E$71,2,FALSE)</f>
        <v>121</v>
      </c>
      <c r="C280" s="11" t="s">
        <v>826</v>
      </c>
      <c r="D280" s="212" t="str">
        <f t="shared" si="4"/>
        <v>C278-121-25</v>
      </c>
      <c r="E280" s="11" t="s">
        <v>472</v>
      </c>
      <c r="F280" s="11"/>
      <c r="G280" s="169" t="s">
        <v>827</v>
      </c>
      <c r="H280" s="10" t="s">
        <v>458</v>
      </c>
      <c r="I280" s="20" t="s">
        <v>201</v>
      </c>
      <c r="J280" s="166">
        <v>45835</v>
      </c>
      <c r="K280" s="166"/>
      <c r="L280" s="166"/>
      <c r="M280" s="63">
        <v>45868</v>
      </c>
      <c r="N280" s="166"/>
      <c r="O280" s="63"/>
      <c r="P280" s="196"/>
      <c r="Q280" s="37"/>
      <c r="R280" s="93" t="s">
        <v>467</v>
      </c>
      <c r="S280" s="13" t="str">
        <f ca="1">IF(ISBLANK(Table2[[#This Row],[Complete corrective actions (Approved Date)]]), TODAY()-Table2[[#This Row],[CAR initialized date]], "CLOSED")</f>
        <v>CLOSED</v>
      </c>
    </row>
    <row r="281" spans="1:19" s="4" customFormat="1" ht="36" customHeight="1" x14ac:dyDescent="0.25">
      <c r="A281" s="9" t="s">
        <v>218</v>
      </c>
      <c r="B281" s="13">
        <f>VLOOKUP(Table2[[#This Row],[Location 
(drop-down)]],'List source'!D$2:E$71,2,FALSE)</f>
        <v>121</v>
      </c>
      <c r="C281" s="11" t="s">
        <v>828</v>
      </c>
      <c r="D281" s="212" t="str">
        <f t="shared" si="4"/>
        <v>C279-121-25</v>
      </c>
      <c r="E281" s="11" t="s">
        <v>472</v>
      </c>
      <c r="F281" s="11"/>
      <c r="G281" s="9" t="s">
        <v>829</v>
      </c>
      <c r="H281" s="10" t="s">
        <v>458</v>
      </c>
      <c r="I281" s="20" t="s">
        <v>201</v>
      </c>
      <c r="J281" s="166">
        <v>45835</v>
      </c>
      <c r="K281" s="166"/>
      <c r="L281" s="166"/>
      <c r="M281" s="63">
        <v>45845</v>
      </c>
      <c r="N281" s="166"/>
      <c r="O281" s="63"/>
      <c r="P281" s="196"/>
      <c r="Q281" s="37"/>
      <c r="R281" s="93"/>
      <c r="S281" s="13" t="str">
        <f ca="1">IF(ISBLANK(Table2[[#This Row],[Complete corrective actions (Approved Date)]]), TODAY()-Table2[[#This Row],[CAR initialized date]], "CLOSED")</f>
        <v>CLOSED</v>
      </c>
    </row>
    <row r="282" spans="1:19" s="4" customFormat="1" ht="36" customHeight="1" x14ac:dyDescent="0.25">
      <c r="A282" s="9" t="s">
        <v>25</v>
      </c>
      <c r="B282" s="13">
        <f>VLOOKUP(Table2[[#This Row],[Location 
(drop-down)]],'List source'!D$2:E$71,2,FALSE)</f>
        <v>158</v>
      </c>
      <c r="C282" s="11" t="s">
        <v>830</v>
      </c>
      <c r="D282" s="212" t="str">
        <f t="shared" si="4"/>
        <v>C280-158-25</v>
      </c>
      <c r="E282" s="11" t="s">
        <v>519</v>
      </c>
      <c r="F282" s="11" t="s">
        <v>41</v>
      </c>
      <c r="G282" s="9" t="s">
        <v>831</v>
      </c>
      <c r="H282" s="10" t="s">
        <v>455</v>
      </c>
      <c r="I282" s="20" t="s">
        <v>18</v>
      </c>
      <c r="J282" s="166">
        <v>45831</v>
      </c>
      <c r="K282" s="166"/>
      <c r="L282" s="166"/>
      <c r="M282" s="63">
        <v>45832</v>
      </c>
      <c r="N282" s="166"/>
      <c r="O282" s="63"/>
      <c r="P282" s="196"/>
      <c r="Q282" s="37"/>
      <c r="R282" s="93" t="s">
        <v>467</v>
      </c>
      <c r="S282" s="13" t="str">
        <f ca="1">IF(ISBLANK(Table2[[#This Row],[Complete corrective actions (Approved Date)]]), TODAY()-Table2[[#This Row],[CAR initialized date]], "CLOSED")</f>
        <v>CLOSED</v>
      </c>
    </row>
    <row r="283" spans="1:19" s="4" customFormat="1" ht="36" customHeight="1" x14ac:dyDescent="0.25">
      <c r="A283" s="9" t="s">
        <v>94</v>
      </c>
      <c r="B283" s="13">
        <f>VLOOKUP(Table2[[#This Row],[Location 
(drop-down)]],'List source'!D$2:E$71,2,FALSE)</f>
        <v>120</v>
      </c>
      <c r="C283" s="11" t="s">
        <v>832</v>
      </c>
      <c r="D283" s="212" t="str">
        <f t="shared" si="4"/>
        <v>C281-120-25</v>
      </c>
      <c r="E283" s="11" t="s">
        <v>472</v>
      </c>
      <c r="F283" s="11"/>
      <c r="G283" s="9" t="s">
        <v>833</v>
      </c>
      <c r="H283" s="10" t="s">
        <v>458</v>
      </c>
      <c r="I283" s="20" t="s">
        <v>48</v>
      </c>
      <c r="J283" s="166">
        <v>45833</v>
      </c>
      <c r="K283" s="166"/>
      <c r="L283" s="166"/>
      <c r="M283" s="63">
        <v>46068</v>
      </c>
      <c r="N283" s="166"/>
      <c r="O283" s="63"/>
      <c r="P283" s="196"/>
      <c r="Q283" s="37"/>
      <c r="R283" s="93"/>
      <c r="S283" s="13" t="str">
        <f ca="1">IF(ISBLANK(Table2[[#This Row],[Complete corrective actions (Approved Date)]]), TODAY()-Table2[[#This Row],[CAR initialized date]], "CLOSED")</f>
        <v>CLOSED</v>
      </c>
    </row>
    <row r="284" spans="1:19" s="4" customFormat="1" ht="36" customHeight="1" x14ac:dyDescent="0.25">
      <c r="A284" s="9" t="s">
        <v>94</v>
      </c>
      <c r="B284" s="13">
        <f>VLOOKUP(Table2[[#This Row],[Location 
(drop-down)]],'List source'!D$2:E$71,2,FALSE)</f>
        <v>120</v>
      </c>
      <c r="C284" s="11" t="s">
        <v>834</v>
      </c>
      <c r="D284" s="212" t="str">
        <f t="shared" si="4"/>
        <v>C282-120-25</v>
      </c>
      <c r="E284" s="11" t="s">
        <v>472</v>
      </c>
      <c r="F284" s="11"/>
      <c r="G284" s="9" t="s">
        <v>622</v>
      </c>
      <c r="H284" s="10" t="s">
        <v>458</v>
      </c>
      <c r="I284" s="20" t="s">
        <v>48</v>
      </c>
      <c r="J284" s="166">
        <v>45833</v>
      </c>
      <c r="K284" s="166"/>
      <c r="L284" s="166"/>
      <c r="M284" s="63">
        <v>46051</v>
      </c>
      <c r="N284" s="166"/>
      <c r="O284" s="63"/>
      <c r="P284" s="196"/>
      <c r="Q284" s="37"/>
      <c r="R284" s="93"/>
      <c r="S284" s="13" t="str">
        <f ca="1">IF(ISBLANK(Table2[[#This Row],[Complete corrective actions (Approved Date)]]), TODAY()-Table2[[#This Row],[CAR initialized date]], "CLOSED")</f>
        <v>CLOSED</v>
      </c>
    </row>
    <row r="285" spans="1:19" s="4" customFormat="1" ht="36" customHeight="1" x14ac:dyDescent="0.25">
      <c r="A285" s="9" t="s">
        <v>94</v>
      </c>
      <c r="B285" s="13">
        <f>VLOOKUP(Table2[[#This Row],[Location 
(drop-down)]],'List source'!D$2:E$71,2,FALSE)</f>
        <v>120</v>
      </c>
      <c r="C285" s="11" t="s">
        <v>835</v>
      </c>
      <c r="D285" s="212" t="str">
        <f t="shared" si="4"/>
        <v>C283-120-25</v>
      </c>
      <c r="E285" s="11" t="s">
        <v>472</v>
      </c>
      <c r="F285" s="11"/>
      <c r="G285" s="9" t="s">
        <v>731</v>
      </c>
      <c r="H285" s="10" t="s">
        <v>458</v>
      </c>
      <c r="I285" s="20" t="s">
        <v>48</v>
      </c>
      <c r="J285" s="166">
        <v>45833</v>
      </c>
      <c r="K285" s="166"/>
      <c r="L285" s="166"/>
      <c r="M285" s="63"/>
      <c r="N285" s="166"/>
      <c r="O285" s="63"/>
      <c r="P285" s="196"/>
      <c r="Q285" s="37"/>
      <c r="R285" s="93"/>
      <c r="S285" s="13">
        <f ca="1">IF(ISBLANK(Table2[[#This Row],[Complete corrective actions (Approved Date)]]), TODAY()-Table2[[#This Row],[CAR initialized date]], "CLOSED")</f>
        <v>244</v>
      </c>
    </row>
    <row r="286" spans="1:19" s="4" customFormat="1" ht="36" customHeight="1" x14ac:dyDescent="0.25">
      <c r="A286" s="9" t="s">
        <v>656</v>
      </c>
      <c r="B286" s="13" t="str">
        <f>VLOOKUP(Table2[[#This Row],[Location 
(drop-down)]],'List source'!D$2:E$71,2,FALSE)</f>
        <v>VOID</v>
      </c>
      <c r="C286" s="11" t="s">
        <v>836</v>
      </c>
      <c r="D286" s="212" t="str">
        <f t="shared" si="4"/>
        <v>C284-VOID-25</v>
      </c>
      <c r="E286" s="11" t="s">
        <v>657</v>
      </c>
      <c r="F286" s="11"/>
      <c r="G286" s="9" t="s">
        <v>837</v>
      </c>
      <c r="H286" s="10" t="s">
        <v>657</v>
      </c>
      <c r="I286" s="20" t="s">
        <v>657</v>
      </c>
      <c r="J286" s="166" t="s">
        <v>657</v>
      </c>
      <c r="K286" s="166"/>
      <c r="L286" s="166"/>
      <c r="M286" s="63" t="s">
        <v>657</v>
      </c>
      <c r="N286" s="166"/>
      <c r="O286" s="63" t="s">
        <v>657</v>
      </c>
      <c r="P286" s="196"/>
      <c r="Q286" s="285" t="s">
        <v>838</v>
      </c>
      <c r="R286" s="93"/>
      <c r="S286" s="13" t="str">
        <f ca="1">IF(ISBLANK(Table2[[#This Row],[Complete corrective actions (Approved Date)]]), TODAY()-Table2[[#This Row],[CAR initialized date]], "CLOSED")</f>
        <v>CLOSED</v>
      </c>
    </row>
    <row r="287" spans="1:19" s="4" customFormat="1" ht="36" customHeight="1" x14ac:dyDescent="0.25">
      <c r="A287" s="9" t="s">
        <v>94</v>
      </c>
      <c r="B287" s="13">
        <f>VLOOKUP(Table2[[#This Row],[Location 
(drop-down)]],'List source'!D$2:E$71,2,FALSE)</f>
        <v>120</v>
      </c>
      <c r="C287" s="11" t="s">
        <v>839</v>
      </c>
      <c r="D287" s="212" t="str">
        <f t="shared" si="4"/>
        <v>C285-120-25</v>
      </c>
      <c r="E287" s="11" t="s">
        <v>472</v>
      </c>
      <c r="F287" s="11"/>
      <c r="G287" s="9" t="s">
        <v>840</v>
      </c>
      <c r="H287" s="10" t="s">
        <v>455</v>
      </c>
      <c r="I287" s="20" t="s">
        <v>18</v>
      </c>
      <c r="J287" s="166">
        <v>45833</v>
      </c>
      <c r="K287" s="166" t="s">
        <v>506</v>
      </c>
      <c r="L287" s="166"/>
      <c r="M287" s="63">
        <v>45964</v>
      </c>
      <c r="N287" s="166" t="s">
        <v>503</v>
      </c>
      <c r="O287" s="63"/>
      <c r="P287" s="196"/>
      <c r="Q287" s="37"/>
      <c r="R287" s="93"/>
      <c r="S287" s="13" t="str">
        <f ca="1">IF(ISBLANK(Table2[[#This Row],[Complete corrective actions (Approved Date)]]), TODAY()-Table2[[#This Row],[CAR initialized date]], "CLOSED")</f>
        <v>CLOSED</v>
      </c>
    </row>
    <row r="288" spans="1:19" s="4" customFormat="1" ht="36" customHeight="1" x14ac:dyDescent="0.25">
      <c r="A288" s="9" t="s">
        <v>656</v>
      </c>
      <c r="B288" s="13" t="str">
        <f>VLOOKUP(Table2[[#This Row],[Location 
(drop-down)]],'List source'!D$2:E$71,2,FALSE)</f>
        <v>VOID</v>
      </c>
      <c r="C288" s="11" t="s">
        <v>841</v>
      </c>
      <c r="D288" s="212" t="str">
        <f t="shared" si="4"/>
        <v>C286-VOID-25</v>
      </c>
      <c r="E288" s="11" t="s">
        <v>657</v>
      </c>
      <c r="F288" s="11"/>
      <c r="G288" s="9" t="s">
        <v>842</v>
      </c>
      <c r="H288" s="10" t="s">
        <v>657</v>
      </c>
      <c r="I288" s="20" t="s">
        <v>657</v>
      </c>
      <c r="J288" s="166" t="s">
        <v>657</v>
      </c>
      <c r="K288" s="166"/>
      <c r="L288" s="166"/>
      <c r="M288" s="63" t="s">
        <v>657</v>
      </c>
      <c r="N288" s="166"/>
      <c r="O288" s="63" t="s">
        <v>657</v>
      </c>
      <c r="P288" s="196"/>
      <c r="Q288" s="266" t="s">
        <v>843</v>
      </c>
      <c r="R288" s="93"/>
      <c r="S288" s="13" t="str">
        <f ca="1">IF(ISBLANK(Table2[[#This Row],[Complete corrective actions (Approved Date)]]), TODAY()-Table2[[#This Row],[CAR initialized date]], "CLOSED")</f>
        <v>CLOSED</v>
      </c>
    </row>
    <row r="289" spans="1:19" s="4" customFormat="1" ht="36" customHeight="1" x14ac:dyDescent="0.25">
      <c r="A289" s="9" t="s">
        <v>656</v>
      </c>
      <c r="B289" s="13" t="str">
        <f>VLOOKUP(Table2[[#This Row],[Location 
(drop-down)]],'List source'!D$2:E$71,2,FALSE)</f>
        <v>VOID</v>
      </c>
      <c r="C289" s="11" t="s">
        <v>844</v>
      </c>
      <c r="D289" s="212" t="str">
        <f t="shared" si="4"/>
        <v>C287-VOID-25</v>
      </c>
      <c r="E289" s="11" t="s">
        <v>657</v>
      </c>
      <c r="F289" s="11"/>
      <c r="G289" s="9" t="s">
        <v>845</v>
      </c>
      <c r="H289" s="10" t="s">
        <v>657</v>
      </c>
      <c r="I289" s="20" t="s">
        <v>657</v>
      </c>
      <c r="J289" s="166" t="s">
        <v>657</v>
      </c>
      <c r="K289" s="166"/>
      <c r="L289" s="166"/>
      <c r="M289" s="63" t="s">
        <v>657</v>
      </c>
      <c r="N289" s="166"/>
      <c r="O289" s="63" t="s">
        <v>657</v>
      </c>
      <c r="P289" s="196"/>
      <c r="Q289" s="266" t="s">
        <v>843</v>
      </c>
      <c r="R289" s="93"/>
      <c r="S289" s="13" t="str">
        <f ca="1">IF(ISBLANK(Table2[[#This Row],[Complete corrective actions (Approved Date)]]), TODAY()-Table2[[#This Row],[CAR initialized date]], "CLOSED")</f>
        <v>CLOSED</v>
      </c>
    </row>
    <row r="290" spans="1:19" s="4" customFormat="1" ht="36" customHeight="1" x14ac:dyDescent="0.25">
      <c r="A290" s="9" t="s">
        <v>94</v>
      </c>
      <c r="B290" s="13">
        <f>VLOOKUP(Table2[[#This Row],[Location 
(drop-down)]],'List source'!D$2:E$71,2,FALSE)</f>
        <v>120</v>
      </c>
      <c r="C290" s="11" t="s">
        <v>846</v>
      </c>
      <c r="D290" s="212" t="str">
        <f t="shared" si="4"/>
        <v>C288-120-25</v>
      </c>
      <c r="E290" s="11" t="s">
        <v>472</v>
      </c>
      <c r="F290" s="11"/>
      <c r="G290" s="9" t="s">
        <v>847</v>
      </c>
      <c r="H290" s="10" t="s">
        <v>455</v>
      </c>
      <c r="I290" s="20" t="s">
        <v>18</v>
      </c>
      <c r="J290" s="166">
        <v>45833</v>
      </c>
      <c r="K290" s="166"/>
      <c r="L290" s="166"/>
      <c r="M290" s="63"/>
      <c r="N290" s="166"/>
      <c r="O290" s="63"/>
      <c r="P290" s="196"/>
      <c r="Q290" s="37"/>
      <c r="R290" s="93"/>
      <c r="S290" s="13">
        <f ca="1">IF(ISBLANK(Table2[[#This Row],[Complete corrective actions (Approved Date)]]), TODAY()-Table2[[#This Row],[CAR initialized date]], "CLOSED")</f>
        <v>244</v>
      </c>
    </row>
    <row r="291" spans="1:19" s="4" customFormat="1" ht="36" customHeight="1" x14ac:dyDescent="0.25">
      <c r="A291" s="9" t="s">
        <v>656</v>
      </c>
      <c r="B291" s="13" t="str">
        <f>VLOOKUP(Table2[[#This Row],[Location 
(drop-down)]],'List source'!D$2:E$71,2,FALSE)</f>
        <v>VOID</v>
      </c>
      <c r="C291" s="11" t="s">
        <v>848</v>
      </c>
      <c r="D291" s="212" t="str">
        <f t="shared" si="4"/>
        <v>C289-VOID-25</v>
      </c>
      <c r="E291" s="11" t="s">
        <v>657</v>
      </c>
      <c r="F291" s="11"/>
      <c r="G291" s="9" t="s">
        <v>849</v>
      </c>
      <c r="H291" s="10" t="s">
        <v>657</v>
      </c>
      <c r="I291" s="20" t="s">
        <v>657</v>
      </c>
      <c r="J291" s="166" t="s">
        <v>657</v>
      </c>
      <c r="K291" s="166"/>
      <c r="L291" s="166"/>
      <c r="M291" s="63" t="s">
        <v>657</v>
      </c>
      <c r="N291" s="166"/>
      <c r="O291" s="63" t="s">
        <v>657</v>
      </c>
      <c r="P291" s="196"/>
      <c r="Q291" s="267" t="s">
        <v>838</v>
      </c>
      <c r="R291" s="93"/>
      <c r="S291" s="13" t="str">
        <f ca="1">IF(ISBLANK(Table2[[#This Row],[Complete corrective actions (Approved Date)]]), TODAY()-Table2[[#This Row],[CAR initialized date]], "CLOSED")</f>
        <v>CLOSED</v>
      </c>
    </row>
    <row r="292" spans="1:19" s="4" customFormat="1" ht="36" customHeight="1" x14ac:dyDescent="0.25">
      <c r="A292" s="9" t="s">
        <v>94</v>
      </c>
      <c r="B292" s="13">
        <f>VLOOKUP(Table2[[#This Row],[Location 
(drop-down)]],'List source'!D$2:E$71,2,FALSE)</f>
        <v>120</v>
      </c>
      <c r="C292" s="11" t="s">
        <v>850</v>
      </c>
      <c r="D292" s="212" t="str">
        <f t="shared" si="4"/>
        <v>C290-120-25</v>
      </c>
      <c r="E292" s="11" t="s">
        <v>472</v>
      </c>
      <c r="F292" s="11"/>
      <c r="G292" s="9" t="s">
        <v>543</v>
      </c>
      <c r="H292" s="10" t="s">
        <v>455</v>
      </c>
      <c r="I292" s="20" t="s">
        <v>18</v>
      </c>
      <c r="J292" s="166">
        <v>45833</v>
      </c>
      <c r="K292" s="166"/>
      <c r="L292" s="166"/>
      <c r="M292" s="63"/>
      <c r="N292" s="166"/>
      <c r="O292" s="63"/>
      <c r="P292" s="196"/>
      <c r="Q292" s="37"/>
      <c r="R292" s="93"/>
      <c r="S292" s="13">
        <f ca="1">IF(ISBLANK(Table2[[#This Row],[Complete corrective actions (Approved Date)]]), TODAY()-Table2[[#This Row],[CAR initialized date]], "CLOSED")</f>
        <v>244</v>
      </c>
    </row>
    <row r="293" spans="1:19" s="4" customFormat="1" ht="36" customHeight="1" x14ac:dyDescent="0.25">
      <c r="A293" s="9" t="s">
        <v>94</v>
      </c>
      <c r="B293" s="13">
        <f>VLOOKUP(Table2[[#This Row],[Location 
(drop-down)]],'List source'!D$2:E$71,2,FALSE)</f>
        <v>120</v>
      </c>
      <c r="C293" s="11" t="s">
        <v>851</v>
      </c>
      <c r="D293" s="212" t="str">
        <f t="shared" si="4"/>
        <v>C291-120-25</v>
      </c>
      <c r="E293" s="11" t="s">
        <v>472</v>
      </c>
      <c r="F293" s="11"/>
      <c r="G293" s="9" t="s">
        <v>542</v>
      </c>
      <c r="H293" s="10" t="s">
        <v>455</v>
      </c>
      <c r="I293" s="20" t="s">
        <v>18</v>
      </c>
      <c r="J293" s="166">
        <v>45833</v>
      </c>
      <c r="K293" s="166"/>
      <c r="L293" s="166"/>
      <c r="M293" s="63"/>
      <c r="N293" s="166"/>
      <c r="O293" s="63"/>
      <c r="P293" s="196"/>
      <c r="Q293" s="37"/>
      <c r="R293" s="93"/>
      <c r="S293" s="13">
        <f ca="1">IF(ISBLANK(Table2[[#This Row],[Complete corrective actions (Approved Date)]]), TODAY()-Table2[[#This Row],[CAR initialized date]], "CLOSED")</f>
        <v>244</v>
      </c>
    </row>
    <row r="294" spans="1:19" s="4" customFormat="1" ht="36" customHeight="1" x14ac:dyDescent="0.25">
      <c r="A294" s="9" t="s">
        <v>249</v>
      </c>
      <c r="B294" s="13">
        <f>VLOOKUP(Table2[[#This Row],[Location 
(drop-down)]],'List source'!D$2:E$71,2,FALSE)</f>
        <v>199</v>
      </c>
      <c r="C294" s="11" t="s">
        <v>852</v>
      </c>
      <c r="D294" s="212" t="str">
        <f t="shared" si="4"/>
        <v>C292-199-25</v>
      </c>
      <c r="E294" s="11" t="s">
        <v>452</v>
      </c>
      <c r="F294" s="11" t="s">
        <v>103</v>
      </c>
      <c r="G294" s="9" t="s">
        <v>853</v>
      </c>
      <c r="H294" s="10" t="s">
        <v>458</v>
      </c>
      <c r="I294" s="20" t="s">
        <v>101</v>
      </c>
      <c r="J294" s="166">
        <v>45831</v>
      </c>
      <c r="K294" s="166"/>
      <c r="L294" s="166"/>
      <c r="M294" s="63">
        <v>45853</v>
      </c>
      <c r="N294" s="166"/>
      <c r="O294" s="63"/>
      <c r="P294" s="196"/>
      <c r="Q294" s="37"/>
      <c r="R294" s="93"/>
      <c r="S294" s="13" t="str">
        <f ca="1">IF(ISBLANK(Table2[[#This Row],[Complete corrective actions (Approved Date)]]), TODAY()-Table2[[#This Row],[CAR initialized date]], "CLOSED")</f>
        <v>CLOSED</v>
      </c>
    </row>
    <row r="295" spans="1:19" ht="36" customHeight="1" x14ac:dyDescent="0.25">
      <c r="A295" s="9" t="s">
        <v>208</v>
      </c>
      <c r="B295" s="13">
        <f>VLOOKUP(Table2[[#This Row],[Location 
(drop-down)]],'List source'!D$2:E$71,2,FALSE)</f>
        <v>137</v>
      </c>
      <c r="C295" s="11" t="s">
        <v>854</v>
      </c>
      <c r="D295" s="212" t="str">
        <f t="shared" si="4"/>
        <v>C293-137-25</v>
      </c>
      <c r="E295" s="11" t="s">
        <v>472</v>
      </c>
      <c r="F295" s="11"/>
      <c r="G295" s="9" t="s">
        <v>855</v>
      </c>
      <c r="H295" s="10" t="s">
        <v>494</v>
      </c>
      <c r="I295" s="20" t="s">
        <v>48</v>
      </c>
      <c r="J295" s="166">
        <v>45835</v>
      </c>
      <c r="K295" s="166"/>
      <c r="L295" s="166"/>
      <c r="M295" s="63"/>
      <c r="N295" s="166"/>
      <c r="O295" s="63"/>
      <c r="P295" s="196"/>
      <c r="Q295" s="37"/>
      <c r="R295" s="93"/>
      <c r="S295" s="13">
        <f ca="1">IF(ISBLANK(Table2[[#This Row],[Complete corrective actions (Approved Date)]]), TODAY()-Table2[[#This Row],[CAR initialized date]], "CLOSED")</f>
        <v>242</v>
      </c>
    </row>
    <row r="296" spans="1:19" ht="36" customHeight="1" x14ac:dyDescent="0.25">
      <c r="A296" s="9" t="s">
        <v>208</v>
      </c>
      <c r="B296" s="13">
        <f>VLOOKUP(Table2[[#This Row],[Location 
(drop-down)]],'List source'!D$2:E$71,2,FALSE)</f>
        <v>137</v>
      </c>
      <c r="C296" s="11" t="s">
        <v>856</v>
      </c>
      <c r="D296" s="212" t="str">
        <f t="shared" si="4"/>
        <v>C294-137-25</v>
      </c>
      <c r="E296" s="11" t="s">
        <v>472</v>
      </c>
      <c r="F296" s="11"/>
      <c r="G296" s="9" t="s">
        <v>857</v>
      </c>
      <c r="H296" s="10" t="s">
        <v>455</v>
      </c>
      <c r="I296" s="20" t="s">
        <v>48</v>
      </c>
      <c r="J296" s="166">
        <v>45835</v>
      </c>
      <c r="K296" s="166"/>
      <c r="L296" s="166"/>
      <c r="M296" s="63"/>
      <c r="N296" s="166"/>
      <c r="O296" s="63"/>
      <c r="P296" s="196"/>
      <c r="Q296" s="37"/>
      <c r="R296" s="93"/>
      <c r="S296" s="13">
        <f ca="1">IF(ISBLANK(Table2[[#This Row],[Complete corrective actions (Approved Date)]]), TODAY()-Table2[[#This Row],[CAR initialized date]], "CLOSED")</f>
        <v>242</v>
      </c>
    </row>
    <row r="297" spans="1:19" ht="36" customHeight="1" x14ac:dyDescent="0.25">
      <c r="A297" s="9" t="s">
        <v>208</v>
      </c>
      <c r="B297" s="13">
        <f>VLOOKUP(Table2[[#This Row],[Location 
(drop-down)]],'List source'!D$2:E$71,2,FALSE)</f>
        <v>137</v>
      </c>
      <c r="C297" s="11" t="s">
        <v>858</v>
      </c>
      <c r="D297" s="212" t="str">
        <f t="shared" si="4"/>
        <v>C295-137-25</v>
      </c>
      <c r="E297" s="11" t="s">
        <v>472</v>
      </c>
      <c r="F297" s="11"/>
      <c r="G297" s="9" t="s">
        <v>859</v>
      </c>
      <c r="H297" s="10" t="s">
        <v>455</v>
      </c>
      <c r="I297" s="20" t="s">
        <v>48</v>
      </c>
      <c r="J297" s="166">
        <v>45835</v>
      </c>
      <c r="K297" s="166" t="s">
        <v>503</v>
      </c>
      <c r="L297" s="166"/>
      <c r="M297" s="63">
        <v>46024</v>
      </c>
      <c r="N297" s="166" t="s">
        <v>503</v>
      </c>
      <c r="O297" s="63"/>
      <c r="P297" s="196"/>
      <c r="Q297" s="37"/>
      <c r="R297" s="93"/>
      <c r="S297" s="13" t="str">
        <f ca="1">IF(ISBLANK(Table2[[#This Row],[Complete corrective actions (Approved Date)]]), TODAY()-Table2[[#This Row],[CAR initialized date]], "CLOSED")</f>
        <v>CLOSED</v>
      </c>
    </row>
    <row r="298" spans="1:19" ht="36" customHeight="1" x14ac:dyDescent="0.25">
      <c r="A298" s="9" t="s">
        <v>208</v>
      </c>
      <c r="B298" s="13">
        <f>VLOOKUP(Table2[[#This Row],[Location 
(drop-down)]],'List source'!D$2:E$71,2,FALSE)</f>
        <v>137</v>
      </c>
      <c r="C298" s="11" t="s">
        <v>860</v>
      </c>
      <c r="D298" s="212" t="str">
        <f t="shared" si="4"/>
        <v>C296-137-25</v>
      </c>
      <c r="E298" s="11" t="s">
        <v>472</v>
      </c>
      <c r="F298" s="11"/>
      <c r="G298" s="9" t="s">
        <v>525</v>
      </c>
      <c r="H298" s="10" t="s">
        <v>494</v>
      </c>
      <c r="I298" s="20" t="s">
        <v>48</v>
      </c>
      <c r="J298" s="166">
        <v>45835</v>
      </c>
      <c r="K298" s="166"/>
      <c r="L298" s="166"/>
      <c r="M298" s="63"/>
      <c r="N298" s="166"/>
      <c r="O298" s="63"/>
      <c r="P298" s="196"/>
      <c r="Q298" s="37"/>
      <c r="R298" s="93"/>
      <c r="S298" s="13">
        <f ca="1">IF(ISBLANK(Table2[[#This Row],[Complete corrective actions (Approved Date)]]), TODAY()-Table2[[#This Row],[CAR initialized date]], "CLOSED")</f>
        <v>242</v>
      </c>
    </row>
    <row r="299" spans="1:19" ht="36" customHeight="1" x14ac:dyDescent="0.25">
      <c r="A299" s="9" t="s">
        <v>208</v>
      </c>
      <c r="B299" s="13">
        <f>VLOOKUP(Table2[[#This Row],[Location 
(drop-down)]],'List source'!D$2:E$71,2,FALSE)</f>
        <v>137</v>
      </c>
      <c r="C299" s="11" t="s">
        <v>861</v>
      </c>
      <c r="D299" s="212" t="str">
        <f t="shared" si="4"/>
        <v>C297-137-25</v>
      </c>
      <c r="E299" s="11" t="s">
        <v>472</v>
      </c>
      <c r="F299" s="11"/>
      <c r="G299" s="9" t="s">
        <v>862</v>
      </c>
      <c r="H299" s="10" t="s">
        <v>455</v>
      </c>
      <c r="I299" s="20" t="s">
        <v>48</v>
      </c>
      <c r="J299" s="166">
        <v>45835</v>
      </c>
      <c r="K299" s="166"/>
      <c r="L299" s="166"/>
      <c r="M299" s="63"/>
      <c r="N299" s="166"/>
      <c r="O299" s="63"/>
      <c r="P299" s="196"/>
      <c r="Q299" s="37"/>
      <c r="R299" s="93"/>
      <c r="S299" s="13">
        <f ca="1">IF(ISBLANK(Table2[[#This Row],[Complete corrective actions (Approved Date)]]), TODAY()-Table2[[#This Row],[CAR initialized date]], "CLOSED")</f>
        <v>242</v>
      </c>
    </row>
    <row r="300" spans="1:19" ht="36" customHeight="1" x14ac:dyDescent="0.25">
      <c r="A300" s="9" t="s">
        <v>208</v>
      </c>
      <c r="B300" s="13">
        <f>VLOOKUP(Table2[[#This Row],[Location 
(drop-down)]],'List source'!D$2:E$71,2,FALSE)</f>
        <v>137</v>
      </c>
      <c r="C300" s="11" t="s">
        <v>863</v>
      </c>
      <c r="D300" s="212" t="str">
        <f t="shared" si="4"/>
        <v>C298-137-25</v>
      </c>
      <c r="E300" s="11" t="s">
        <v>472</v>
      </c>
      <c r="F300" s="11"/>
      <c r="G300" s="9" t="s">
        <v>864</v>
      </c>
      <c r="H300" s="10" t="s">
        <v>455</v>
      </c>
      <c r="I300" s="20" t="s">
        <v>48</v>
      </c>
      <c r="J300" s="166">
        <v>45835</v>
      </c>
      <c r="K300" s="166"/>
      <c r="L300" s="166"/>
      <c r="M300" s="63"/>
      <c r="N300" s="166"/>
      <c r="O300" s="63"/>
      <c r="P300" s="196"/>
      <c r="Q300" s="37"/>
      <c r="R300" s="93"/>
      <c r="S300" s="13">
        <f ca="1">IF(ISBLANK(Table2[[#This Row],[Complete corrective actions (Approved Date)]]), TODAY()-Table2[[#This Row],[CAR initialized date]], "CLOSED")</f>
        <v>242</v>
      </c>
    </row>
    <row r="301" spans="1:19" ht="36" customHeight="1" x14ac:dyDescent="0.25">
      <c r="A301" s="9" t="s">
        <v>208</v>
      </c>
      <c r="B301" s="13">
        <f>VLOOKUP(Table2[[#This Row],[Location 
(drop-down)]],'List source'!D$2:E$71,2,FALSE)</f>
        <v>137</v>
      </c>
      <c r="C301" s="11" t="s">
        <v>865</v>
      </c>
      <c r="D301" s="212" t="str">
        <f t="shared" si="4"/>
        <v>C299-137-25</v>
      </c>
      <c r="E301" s="11" t="s">
        <v>472</v>
      </c>
      <c r="F301" s="11"/>
      <c r="G301" s="9" t="s">
        <v>866</v>
      </c>
      <c r="H301" s="10" t="s">
        <v>455</v>
      </c>
      <c r="I301" s="20" t="s">
        <v>48</v>
      </c>
      <c r="J301" s="166">
        <v>45835</v>
      </c>
      <c r="K301" s="166"/>
      <c r="L301" s="166"/>
      <c r="M301" s="63"/>
      <c r="N301" s="166"/>
      <c r="O301" s="63"/>
      <c r="P301" s="196"/>
      <c r="Q301" s="37"/>
      <c r="R301" s="93"/>
      <c r="S301" s="13">
        <f ca="1">IF(ISBLANK(Table2[[#This Row],[Complete corrective actions (Approved Date)]]), TODAY()-Table2[[#This Row],[CAR initialized date]], "CLOSED")</f>
        <v>242</v>
      </c>
    </row>
    <row r="302" spans="1:19" ht="36" customHeight="1" x14ac:dyDescent="0.25">
      <c r="A302" s="9" t="s">
        <v>208</v>
      </c>
      <c r="B302" s="13">
        <f>VLOOKUP(Table2[[#This Row],[Location 
(drop-down)]],'List source'!D$2:E$71,2,FALSE)</f>
        <v>137</v>
      </c>
      <c r="C302" s="11" t="s">
        <v>867</v>
      </c>
      <c r="D302" s="212" t="str">
        <f t="shared" si="4"/>
        <v>C300-137-25</v>
      </c>
      <c r="E302" s="11" t="s">
        <v>472</v>
      </c>
      <c r="F302" s="11"/>
      <c r="G302" s="9" t="s">
        <v>868</v>
      </c>
      <c r="H302" s="10" t="s">
        <v>455</v>
      </c>
      <c r="I302" s="20" t="s">
        <v>48</v>
      </c>
      <c r="J302" s="166">
        <v>45835</v>
      </c>
      <c r="K302" s="166"/>
      <c r="L302" s="166"/>
      <c r="M302" s="63"/>
      <c r="N302" s="166"/>
      <c r="O302" s="63"/>
      <c r="P302" s="196"/>
      <c r="Q302" s="37"/>
      <c r="R302" s="93"/>
      <c r="S302" s="13">
        <f ca="1">IF(ISBLANK(Table2[[#This Row],[Complete corrective actions (Approved Date)]]), TODAY()-Table2[[#This Row],[CAR initialized date]], "CLOSED")</f>
        <v>242</v>
      </c>
    </row>
    <row r="303" spans="1:19" ht="36" customHeight="1" x14ac:dyDescent="0.25">
      <c r="A303" s="9" t="s">
        <v>211</v>
      </c>
      <c r="B303" s="13">
        <f>VLOOKUP(Table2[[#This Row],[Location 
(drop-down)]],'List source'!D$2:E$71,2,FALSE)</f>
        <v>132</v>
      </c>
      <c r="C303" s="11" t="s">
        <v>869</v>
      </c>
      <c r="D303" s="212" t="str">
        <f t="shared" si="4"/>
        <v>C301-132-25</v>
      </c>
      <c r="E303" s="11" t="s">
        <v>472</v>
      </c>
      <c r="F303" s="11"/>
      <c r="G303" s="9" t="s">
        <v>870</v>
      </c>
      <c r="H303" s="10" t="s">
        <v>458</v>
      </c>
      <c r="I303" s="20" t="s">
        <v>48</v>
      </c>
      <c r="J303" s="166">
        <v>45835</v>
      </c>
      <c r="K303" s="166" t="s">
        <v>503</v>
      </c>
      <c r="L303" s="166"/>
      <c r="M303" s="63">
        <v>45958</v>
      </c>
      <c r="N303" s="166" t="s">
        <v>503</v>
      </c>
      <c r="O303" s="63"/>
      <c r="P303" s="196"/>
      <c r="Q303" s="37"/>
      <c r="R303" s="93" t="s">
        <v>467</v>
      </c>
      <c r="S303" s="13" t="str">
        <f ca="1">IF(ISBLANK(Table2[[#This Row],[Complete corrective actions (Approved Date)]]), TODAY()-Table2[[#This Row],[CAR initialized date]], "CLOSED")</f>
        <v>CLOSED</v>
      </c>
    </row>
    <row r="304" spans="1:19" ht="36" customHeight="1" x14ac:dyDescent="0.25">
      <c r="A304" s="9" t="s">
        <v>211</v>
      </c>
      <c r="B304" s="13">
        <f>VLOOKUP(Table2[[#This Row],[Location 
(drop-down)]],'List source'!D$2:E$71,2,FALSE)</f>
        <v>132</v>
      </c>
      <c r="C304" s="11" t="s">
        <v>871</v>
      </c>
      <c r="D304" s="212" t="str">
        <f t="shared" si="4"/>
        <v>C302-132-25</v>
      </c>
      <c r="E304" s="11" t="s">
        <v>472</v>
      </c>
      <c r="F304" s="11"/>
      <c r="G304" s="9" t="s">
        <v>872</v>
      </c>
      <c r="H304" s="10" t="s">
        <v>458</v>
      </c>
      <c r="I304" s="20" t="s">
        <v>48</v>
      </c>
      <c r="J304" s="166">
        <v>45835</v>
      </c>
      <c r="K304" s="166"/>
      <c r="L304" s="166"/>
      <c r="M304" s="63"/>
      <c r="N304" s="166"/>
      <c r="O304" s="63"/>
      <c r="P304" s="196"/>
      <c r="Q304" s="37"/>
      <c r="R304" s="93"/>
      <c r="S304" s="13">
        <f ca="1">IF(ISBLANK(Table2[[#This Row],[Complete corrective actions (Approved Date)]]), TODAY()-Table2[[#This Row],[CAR initialized date]], "CLOSED")</f>
        <v>242</v>
      </c>
    </row>
    <row r="305" spans="1:19" ht="36" customHeight="1" x14ac:dyDescent="0.25">
      <c r="A305" s="9" t="s">
        <v>211</v>
      </c>
      <c r="B305" s="13">
        <f>VLOOKUP(Table2[[#This Row],[Location 
(drop-down)]],'List source'!D$2:E$71,2,FALSE)</f>
        <v>132</v>
      </c>
      <c r="C305" s="11" t="s">
        <v>873</v>
      </c>
      <c r="D305" s="212" t="str">
        <f t="shared" si="4"/>
        <v>C303-132-25</v>
      </c>
      <c r="E305" s="11" t="s">
        <v>472</v>
      </c>
      <c r="F305" s="11"/>
      <c r="G305" s="9" t="s">
        <v>622</v>
      </c>
      <c r="H305" s="10" t="s">
        <v>458</v>
      </c>
      <c r="I305" s="20" t="s">
        <v>48</v>
      </c>
      <c r="J305" s="166">
        <v>45835</v>
      </c>
      <c r="K305" s="166"/>
      <c r="L305" s="166"/>
      <c r="M305" s="63"/>
      <c r="N305" s="166"/>
      <c r="O305" s="63"/>
      <c r="P305" s="196"/>
      <c r="Q305" s="37"/>
      <c r="R305" s="93"/>
      <c r="S305" s="13">
        <f ca="1">IF(ISBLANK(Table2[[#This Row],[Complete corrective actions (Approved Date)]]), TODAY()-Table2[[#This Row],[CAR initialized date]], "CLOSED")</f>
        <v>242</v>
      </c>
    </row>
    <row r="306" spans="1:19" ht="36" customHeight="1" x14ac:dyDescent="0.25">
      <c r="A306" s="9" t="s">
        <v>211</v>
      </c>
      <c r="B306" s="13">
        <f>VLOOKUP(Table2[[#This Row],[Location 
(drop-down)]],'List source'!D$2:E$71,2,FALSE)</f>
        <v>132</v>
      </c>
      <c r="C306" s="11" t="s">
        <v>874</v>
      </c>
      <c r="D306" s="212" t="str">
        <f t="shared" si="4"/>
        <v>C304-132-25</v>
      </c>
      <c r="E306" s="11" t="s">
        <v>472</v>
      </c>
      <c r="F306" s="11"/>
      <c r="G306" s="9" t="s">
        <v>731</v>
      </c>
      <c r="H306" s="10" t="s">
        <v>458</v>
      </c>
      <c r="I306" s="20" t="s">
        <v>48</v>
      </c>
      <c r="J306" s="166">
        <v>45835</v>
      </c>
      <c r="K306" s="166"/>
      <c r="L306" s="166"/>
      <c r="M306" s="63"/>
      <c r="N306" s="166"/>
      <c r="O306" s="63"/>
      <c r="P306" s="196"/>
      <c r="Q306" s="37"/>
      <c r="R306" s="93"/>
      <c r="S306" s="13">
        <f ca="1">IF(ISBLANK(Table2[[#This Row],[Complete corrective actions (Approved Date)]]), TODAY()-Table2[[#This Row],[CAR initialized date]], "CLOSED")</f>
        <v>242</v>
      </c>
    </row>
    <row r="307" spans="1:19" ht="36" customHeight="1" x14ac:dyDescent="0.25">
      <c r="A307" s="9" t="s">
        <v>211</v>
      </c>
      <c r="B307" s="13">
        <f>VLOOKUP(Table2[[#This Row],[Location 
(drop-down)]],'List source'!D$2:E$71,2,FALSE)</f>
        <v>132</v>
      </c>
      <c r="C307" s="11" t="s">
        <v>875</v>
      </c>
      <c r="D307" s="212" t="str">
        <f t="shared" si="4"/>
        <v>C305-132-25</v>
      </c>
      <c r="E307" s="11" t="s">
        <v>472</v>
      </c>
      <c r="F307" s="11"/>
      <c r="G307" s="9" t="s">
        <v>733</v>
      </c>
      <c r="H307" s="10" t="s">
        <v>455</v>
      </c>
      <c r="I307" s="20" t="s">
        <v>48</v>
      </c>
      <c r="J307" s="166">
        <v>45835</v>
      </c>
      <c r="K307" s="166" t="s">
        <v>503</v>
      </c>
      <c r="L307" s="166"/>
      <c r="M307" s="63">
        <v>45958</v>
      </c>
      <c r="N307" s="166" t="s">
        <v>503</v>
      </c>
      <c r="O307" s="63"/>
      <c r="P307" s="196"/>
      <c r="Q307" s="37"/>
      <c r="R307" s="93" t="s">
        <v>467</v>
      </c>
      <c r="S307" s="13" t="str">
        <f ca="1">IF(ISBLANK(Table2[[#This Row],[Complete corrective actions (Approved Date)]]), TODAY()-Table2[[#This Row],[CAR initialized date]], "CLOSED")</f>
        <v>CLOSED</v>
      </c>
    </row>
    <row r="308" spans="1:19" ht="36" customHeight="1" x14ac:dyDescent="0.25">
      <c r="A308" s="9" t="s">
        <v>211</v>
      </c>
      <c r="B308" s="13">
        <f>VLOOKUP(Table2[[#This Row],[Location 
(drop-down)]],'List source'!D$2:E$71,2,FALSE)</f>
        <v>132</v>
      </c>
      <c r="C308" s="11" t="s">
        <v>876</v>
      </c>
      <c r="D308" s="212" t="str">
        <f t="shared" si="4"/>
        <v>C306-132-25</v>
      </c>
      <c r="E308" s="11" t="s">
        <v>472</v>
      </c>
      <c r="F308" s="11"/>
      <c r="G308" s="9" t="s">
        <v>877</v>
      </c>
      <c r="H308" s="10" t="s">
        <v>455</v>
      </c>
      <c r="I308" s="20" t="s">
        <v>48</v>
      </c>
      <c r="J308" s="166">
        <v>45835</v>
      </c>
      <c r="K308" s="166"/>
      <c r="L308" s="166"/>
      <c r="M308" s="63"/>
      <c r="N308" s="166"/>
      <c r="O308" s="63"/>
      <c r="P308" s="196"/>
      <c r="Q308" s="37"/>
      <c r="R308" s="93"/>
      <c r="S308" s="13">
        <f ca="1">IF(ISBLANK(Table2[[#This Row],[Complete corrective actions (Approved Date)]]), TODAY()-Table2[[#This Row],[CAR initialized date]], "CLOSED")</f>
        <v>242</v>
      </c>
    </row>
    <row r="309" spans="1:19" ht="36" customHeight="1" x14ac:dyDescent="0.25">
      <c r="A309" s="9" t="s">
        <v>211</v>
      </c>
      <c r="B309" s="13">
        <f>VLOOKUP(Table2[[#This Row],[Location 
(drop-down)]],'List source'!D$2:E$71,2,FALSE)</f>
        <v>132</v>
      </c>
      <c r="C309" s="11" t="s">
        <v>878</v>
      </c>
      <c r="D309" s="212" t="str">
        <f t="shared" si="4"/>
        <v>C307-132-25</v>
      </c>
      <c r="E309" s="11" t="s">
        <v>472</v>
      </c>
      <c r="F309" s="11"/>
      <c r="G309" s="9" t="s">
        <v>879</v>
      </c>
      <c r="H309" s="10" t="s">
        <v>455</v>
      </c>
      <c r="I309" s="20" t="s">
        <v>48</v>
      </c>
      <c r="J309" s="166">
        <v>45835</v>
      </c>
      <c r="K309" s="166" t="s">
        <v>503</v>
      </c>
      <c r="L309" s="166"/>
      <c r="M309" s="63">
        <v>45978</v>
      </c>
      <c r="N309" s="166" t="s">
        <v>503</v>
      </c>
      <c r="O309" s="63"/>
      <c r="P309" s="196"/>
      <c r="Q309" s="37" t="s">
        <v>880</v>
      </c>
      <c r="R309" s="93"/>
      <c r="S309" s="13" t="str">
        <f ca="1">IF(ISBLANK(Table2[[#This Row],[Complete corrective actions (Approved Date)]]), TODAY()-Table2[[#This Row],[CAR initialized date]], "CLOSED")</f>
        <v>CLOSED</v>
      </c>
    </row>
    <row r="310" spans="1:19" ht="36" customHeight="1" x14ac:dyDescent="0.25">
      <c r="A310" s="9" t="s">
        <v>211</v>
      </c>
      <c r="B310" s="13">
        <f>VLOOKUP(Table2[[#This Row],[Location 
(drop-down)]],'List source'!D$2:E$71,2,FALSE)</f>
        <v>132</v>
      </c>
      <c r="C310" s="11" t="s">
        <v>881</v>
      </c>
      <c r="D310" s="212" t="str">
        <f t="shared" si="4"/>
        <v>C308-132-25</v>
      </c>
      <c r="E310" s="11" t="s">
        <v>472</v>
      </c>
      <c r="F310" s="11"/>
      <c r="G310" s="9" t="s">
        <v>882</v>
      </c>
      <c r="H310" s="10" t="s">
        <v>455</v>
      </c>
      <c r="I310" s="20" t="s">
        <v>48</v>
      </c>
      <c r="J310" s="166">
        <v>45835</v>
      </c>
      <c r="K310" s="166" t="s">
        <v>503</v>
      </c>
      <c r="L310" s="166"/>
      <c r="M310" s="63">
        <v>45952</v>
      </c>
      <c r="N310" s="166" t="s">
        <v>503</v>
      </c>
      <c r="O310" s="63"/>
      <c r="P310" s="196"/>
      <c r="Q310" s="37"/>
      <c r="R310" s="93"/>
      <c r="S310" s="13" t="str">
        <f ca="1">IF(ISBLANK(Table2[[#This Row],[Complete corrective actions (Approved Date)]]), TODAY()-Table2[[#This Row],[CAR initialized date]], "CLOSED")</f>
        <v>CLOSED</v>
      </c>
    </row>
    <row r="311" spans="1:19" ht="36" customHeight="1" x14ac:dyDescent="0.25">
      <c r="A311" s="9" t="s">
        <v>211</v>
      </c>
      <c r="B311" s="13">
        <f>VLOOKUP(Table2[[#This Row],[Location 
(drop-down)]],'List source'!D$2:E$71,2,FALSE)</f>
        <v>132</v>
      </c>
      <c r="C311" s="11" t="s">
        <v>883</v>
      </c>
      <c r="D311" s="212" t="str">
        <f t="shared" si="4"/>
        <v>C309-132-25</v>
      </c>
      <c r="E311" s="11" t="s">
        <v>472</v>
      </c>
      <c r="F311" s="11"/>
      <c r="G311" s="9" t="s">
        <v>543</v>
      </c>
      <c r="H311" s="10" t="s">
        <v>455</v>
      </c>
      <c r="I311" s="20" t="s">
        <v>48</v>
      </c>
      <c r="J311" s="166">
        <v>45835</v>
      </c>
      <c r="K311" s="166" t="s">
        <v>503</v>
      </c>
      <c r="L311" s="166"/>
      <c r="M311" s="63">
        <v>45958</v>
      </c>
      <c r="N311" s="166" t="s">
        <v>503</v>
      </c>
      <c r="O311" s="63"/>
      <c r="P311" s="196"/>
      <c r="Q311" s="248"/>
      <c r="R311" s="93"/>
      <c r="S311" s="13" t="str">
        <f ca="1">IF(ISBLANK(Table2[[#This Row],[Complete corrective actions (Approved Date)]]), TODAY()-Table2[[#This Row],[CAR initialized date]], "CLOSED")</f>
        <v>CLOSED</v>
      </c>
    </row>
    <row r="312" spans="1:19" ht="36" customHeight="1" x14ac:dyDescent="0.25">
      <c r="A312" s="9" t="s">
        <v>211</v>
      </c>
      <c r="B312" s="13">
        <f>VLOOKUP(Table2[[#This Row],[Location 
(drop-down)]],'List source'!D$2:E$71,2,FALSE)</f>
        <v>132</v>
      </c>
      <c r="C312" s="11" t="s">
        <v>884</v>
      </c>
      <c r="D312" s="212" t="str">
        <f t="shared" si="4"/>
        <v>C310-132-25</v>
      </c>
      <c r="E312" s="11" t="s">
        <v>472</v>
      </c>
      <c r="F312" s="11"/>
      <c r="G312" s="9" t="s">
        <v>885</v>
      </c>
      <c r="H312" s="10" t="s">
        <v>455</v>
      </c>
      <c r="I312" s="20" t="s">
        <v>48</v>
      </c>
      <c r="J312" s="166">
        <v>45835</v>
      </c>
      <c r="K312" s="166"/>
      <c r="L312" s="166"/>
      <c r="M312" s="63"/>
      <c r="N312" s="166"/>
      <c r="O312" s="63"/>
      <c r="P312" s="196"/>
      <c r="Q312" s="37"/>
      <c r="R312" s="93"/>
      <c r="S312" s="13">
        <f ca="1">IF(ISBLANK(Table2[[#This Row],[Complete corrective actions (Approved Date)]]), TODAY()-Table2[[#This Row],[CAR initialized date]], "CLOSED")</f>
        <v>242</v>
      </c>
    </row>
    <row r="313" spans="1:19" ht="50.1" customHeight="1" x14ac:dyDescent="0.25">
      <c r="A313" s="9" t="s">
        <v>107</v>
      </c>
      <c r="B313" s="13">
        <f>VLOOKUP(Table2[[#This Row],[Location 
(drop-down)]],'List source'!D$2:E$71,2,FALSE)</f>
        <v>170</v>
      </c>
      <c r="C313" s="11" t="s">
        <v>886</v>
      </c>
      <c r="D313" s="212" t="str">
        <f t="shared" si="4"/>
        <v>C311-170-25</v>
      </c>
      <c r="E313" s="11" t="s">
        <v>452</v>
      </c>
      <c r="F313" s="11" t="s">
        <v>456</v>
      </c>
      <c r="G313" s="9" t="s">
        <v>887</v>
      </c>
      <c r="H313" s="10" t="s">
        <v>458</v>
      </c>
      <c r="I313" s="20" t="s">
        <v>109</v>
      </c>
      <c r="J313" s="166">
        <v>45831</v>
      </c>
      <c r="K313" s="166"/>
      <c r="L313" s="166"/>
      <c r="M313" s="63">
        <v>45869</v>
      </c>
      <c r="N313" s="166"/>
      <c r="O313" s="63">
        <v>45845</v>
      </c>
      <c r="P313" s="196"/>
      <c r="Q313" s="37"/>
      <c r="R313" s="93"/>
      <c r="S313" s="13" t="str">
        <f ca="1">IF(ISBLANK(Table2[[#This Row],[Complete corrective actions (Approved Date)]]), TODAY()-Table2[[#This Row],[CAR initialized date]], "CLOSED")</f>
        <v>CLOSED</v>
      </c>
    </row>
    <row r="314" spans="1:19" ht="36" customHeight="1" x14ac:dyDescent="0.25">
      <c r="A314" s="9" t="s">
        <v>58</v>
      </c>
      <c r="B314" s="13">
        <f>VLOOKUP(Table2[[#This Row],[Location 
(drop-down)]],'List source'!D$2:E$71,2,FALSE)</f>
        <v>146</v>
      </c>
      <c r="C314" s="11" t="s">
        <v>888</v>
      </c>
      <c r="D314" s="212" t="str">
        <f t="shared" si="4"/>
        <v>C312-146-25</v>
      </c>
      <c r="E314" s="11" t="s">
        <v>519</v>
      </c>
      <c r="F314" s="11" t="s">
        <v>185</v>
      </c>
      <c r="G314" s="9" t="s">
        <v>889</v>
      </c>
      <c r="H314" s="10" t="s">
        <v>458</v>
      </c>
      <c r="I314" s="20" t="s">
        <v>27</v>
      </c>
      <c r="J314" s="166">
        <v>45812</v>
      </c>
      <c r="K314" s="166"/>
      <c r="L314" s="166"/>
      <c r="M314" s="63">
        <v>45880</v>
      </c>
      <c r="N314" s="166"/>
      <c r="O314" s="63"/>
      <c r="P314" s="196"/>
      <c r="Q314" s="37" t="s">
        <v>890</v>
      </c>
      <c r="R314" s="93"/>
      <c r="S314" s="13" t="str">
        <f ca="1">IF(ISBLANK(Table2[[#This Row],[Complete corrective actions (Approved Date)]]), TODAY()-Table2[[#This Row],[CAR initialized date]], "CLOSED")</f>
        <v>CLOSED</v>
      </c>
    </row>
    <row r="315" spans="1:19" ht="36" customHeight="1" x14ac:dyDescent="0.25">
      <c r="A315" s="9" t="s">
        <v>58</v>
      </c>
      <c r="B315" s="13">
        <f>VLOOKUP(Table2[[#This Row],[Location 
(drop-down)]],'List source'!D$2:E$71,2,FALSE)</f>
        <v>146</v>
      </c>
      <c r="C315" s="11" t="s">
        <v>891</v>
      </c>
      <c r="D315" s="212" t="str">
        <f t="shared" si="4"/>
        <v>C313-146-25</v>
      </c>
      <c r="E315" s="11" t="s">
        <v>519</v>
      </c>
      <c r="F315" s="11" t="s">
        <v>185</v>
      </c>
      <c r="G315" s="9" t="s">
        <v>892</v>
      </c>
      <c r="H315" s="10" t="s">
        <v>458</v>
      </c>
      <c r="I315" s="20" t="s">
        <v>27</v>
      </c>
      <c r="J315" s="166">
        <v>45812</v>
      </c>
      <c r="K315" s="166"/>
      <c r="L315" s="166"/>
      <c r="M315" s="63">
        <v>45880</v>
      </c>
      <c r="N315" s="166"/>
      <c r="O315" s="63"/>
      <c r="P315" s="196"/>
      <c r="Q315" s="37" t="s">
        <v>890</v>
      </c>
      <c r="R315" s="93"/>
      <c r="S315" s="13" t="str">
        <f ca="1">IF(ISBLANK(Table2[[#This Row],[Complete corrective actions (Approved Date)]]), TODAY()-Table2[[#This Row],[CAR initialized date]], "CLOSED")</f>
        <v>CLOSED</v>
      </c>
    </row>
    <row r="316" spans="1:19" ht="36" customHeight="1" x14ac:dyDescent="0.25">
      <c r="A316" s="9" t="s">
        <v>58</v>
      </c>
      <c r="B316" s="13">
        <f>VLOOKUP(Table2[[#This Row],[Location 
(drop-down)]],'List source'!D$2:E$71,2,FALSE)</f>
        <v>146</v>
      </c>
      <c r="C316" s="11" t="s">
        <v>893</v>
      </c>
      <c r="D316" s="212" t="str">
        <f t="shared" si="4"/>
        <v>C314-146-25</v>
      </c>
      <c r="E316" s="11" t="s">
        <v>519</v>
      </c>
      <c r="F316" s="11" t="s">
        <v>185</v>
      </c>
      <c r="G316" s="173" t="s">
        <v>894</v>
      </c>
      <c r="H316" s="10" t="s">
        <v>494</v>
      </c>
      <c r="I316" s="20" t="s">
        <v>27</v>
      </c>
      <c r="J316" s="166">
        <v>45812</v>
      </c>
      <c r="K316" s="166"/>
      <c r="L316" s="166"/>
      <c r="M316" s="63">
        <v>45880</v>
      </c>
      <c r="N316" s="166"/>
      <c r="O316" s="63"/>
      <c r="P316" s="196"/>
      <c r="Q316" s="37" t="s">
        <v>890</v>
      </c>
      <c r="R316" s="93"/>
      <c r="S316" s="13" t="str">
        <f ca="1">IF(ISBLANK(Table2[[#This Row],[Complete corrective actions (Approved Date)]]), TODAY()-Table2[[#This Row],[CAR initialized date]], "CLOSED")</f>
        <v>CLOSED</v>
      </c>
    </row>
    <row r="317" spans="1:19" ht="36" customHeight="1" x14ac:dyDescent="0.25">
      <c r="A317" s="9" t="s">
        <v>156</v>
      </c>
      <c r="B317" s="13">
        <f>VLOOKUP(Table2[[#This Row],[Location 
(drop-down)]],'List source'!D$2:E$71,2,FALSE)</f>
        <v>130</v>
      </c>
      <c r="C317" s="11" t="s">
        <v>895</v>
      </c>
      <c r="D317" s="212" t="str">
        <f t="shared" si="4"/>
        <v>C315-130-25</v>
      </c>
      <c r="E317" s="11" t="s">
        <v>452</v>
      </c>
      <c r="F317" s="11" t="s">
        <v>456</v>
      </c>
      <c r="G317" s="9" t="s">
        <v>896</v>
      </c>
      <c r="H317" s="10" t="s">
        <v>458</v>
      </c>
      <c r="I317" s="20" t="s">
        <v>167</v>
      </c>
      <c r="J317" s="166">
        <v>45845</v>
      </c>
      <c r="K317" s="166" t="s">
        <v>897</v>
      </c>
      <c r="L317" s="166"/>
      <c r="M317" s="63">
        <v>45891</v>
      </c>
      <c r="N317" s="166" t="s">
        <v>897</v>
      </c>
      <c r="O317" s="63"/>
      <c r="P317" s="196"/>
      <c r="Q317" s="37" t="s">
        <v>898</v>
      </c>
      <c r="R317" s="93"/>
      <c r="S317" s="13" t="str">
        <f ca="1">IF(ISBLANK(Table2[[#This Row],[Complete corrective actions (Approved Date)]]), TODAY()-Table2[[#This Row],[CAR initialized date]], "CLOSED")</f>
        <v>CLOSED</v>
      </c>
    </row>
    <row r="318" spans="1:19" ht="36" customHeight="1" x14ac:dyDescent="0.25">
      <c r="A318" s="9" t="s">
        <v>76</v>
      </c>
      <c r="B318" s="13">
        <f>VLOOKUP(Table2[[#This Row],[Location 
(drop-down)]],'List source'!D$2:E$71,2,FALSE)</f>
        <v>157</v>
      </c>
      <c r="C318" s="11" t="s">
        <v>899</v>
      </c>
      <c r="D318" s="212" t="str">
        <f t="shared" si="4"/>
        <v>C316-157-25</v>
      </c>
      <c r="E318" s="11" t="s">
        <v>519</v>
      </c>
      <c r="F318" s="11" t="s">
        <v>185</v>
      </c>
      <c r="G318" s="9" t="s">
        <v>900</v>
      </c>
      <c r="H318" s="10" t="s">
        <v>455</v>
      </c>
      <c r="I318" s="20" t="s">
        <v>82</v>
      </c>
      <c r="J318" s="166">
        <v>45846</v>
      </c>
      <c r="K318" s="166"/>
      <c r="L318" s="166"/>
      <c r="M318" s="63">
        <v>45876</v>
      </c>
      <c r="N318" s="166"/>
      <c r="O318" s="63"/>
      <c r="P318" s="196"/>
      <c r="Q318" s="37" t="s">
        <v>901</v>
      </c>
      <c r="R318" s="93"/>
      <c r="S318" s="13" t="str">
        <f ca="1">IF(ISBLANK(Table2[[#This Row],[Complete corrective actions (Approved Date)]]), TODAY()-Table2[[#This Row],[CAR initialized date]], "CLOSED")</f>
        <v>CLOSED</v>
      </c>
    </row>
    <row r="319" spans="1:19" ht="36" customHeight="1" x14ac:dyDescent="0.25">
      <c r="A319" s="9" t="s">
        <v>76</v>
      </c>
      <c r="B319" s="13">
        <f>VLOOKUP(Table2[[#This Row],[Location 
(drop-down)]],'List source'!D$2:E$71,2,FALSE)</f>
        <v>157</v>
      </c>
      <c r="C319" s="11" t="s">
        <v>902</v>
      </c>
      <c r="D319" s="212" t="str">
        <f t="shared" si="4"/>
        <v>C317-157-25</v>
      </c>
      <c r="E319" s="11" t="s">
        <v>519</v>
      </c>
      <c r="F319" s="11" t="s">
        <v>185</v>
      </c>
      <c r="G319" s="9" t="s">
        <v>903</v>
      </c>
      <c r="H319" s="10" t="s">
        <v>455</v>
      </c>
      <c r="I319" s="20" t="s">
        <v>82</v>
      </c>
      <c r="J319" s="166">
        <v>45846</v>
      </c>
      <c r="K319" s="166"/>
      <c r="L319" s="166"/>
      <c r="M319" s="63">
        <v>45875</v>
      </c>
      <c r="N319" s="166"/>
      <c r="O319" s="63"/>
      <c r="P319" s="196"/>
      <c r="Q319" s="37" t="s">
        <v>901</v>
      </c>
      <c r="R319" s="93"/>
      <c r="S319" s="13" t="str">
        <f ca="1">IF(ISBLANK(Table2[[#This Row],[Complete corrective actions (Approved Date)]]), TODAY()-Table2[[#This Row],[CAR initialized date]], "CLOSED")</f>
        <v>CLOSED</v>
      </c>
    </row>
    <row r="320" spans="1:19" ht="36" customHeight="1" x14ac:dyDescent="0.25">
      <c r="A320" s="9" t="s">
        <v>76</v>
      </c>
      <c r="B320" s="13">
        <f>VLOOKUP(Table2[[#This Row],[Location 
(drop-down)]],'List source'!D$2:E$71,2,FALSE)</f>
        <v>157</v>
      </c>
      <c r="C320" s="11" t="s">
        <v>904</v>
      </c>
      <c r="D320" s="212" t="str">
        <f t="shared" si="4"/>
        <v>C318-157-25</v>
      </c>
      <c r="E320" s="11" t="s">
        <v>519</v>
      </c>
      <c r="F320" s="11" t="s">
        <v>185</v>
      </c>
      <c r="G320" s="9" t="s">
        <v>905</v>
      </c>
      <c r="H320" s="10" t="s">
        <v>455</v>
      </c>
      <c r="I320" s="20" t="s">
        <v>82</v>
      </c>
      <c r="J320" s="166">
        <v>45846</v>
      </c>
      <c r="K320" s="166"/>
      <c r="L320" s="166"/>
      <c r="M320" s="63">
        <v>45876</v>
      </c>
      <c r="N320" s="166"/>
      <c r="O320" s="63"/>
      <c r="P320" s="196"/>
      <c r="Q320" s="37" t="s">
        <v>901</v>
      </c>
      <c r="R320" s="93"/>
      <c r="S320" s="13" t="str">
        <f ca="1">IF(ISBLANK(Table2[[#This Row],[Complete corrective actions (Approved Date)]]), TODAY()-Table2[[#This Row],[CAR initialized date]], "CLOSED")</f>
        <v>CLOSED</v>
      </c>
    </row>
    <row r="321" spans="1:19" ht="36" customHeight="1" x14ac:dyDescent="0.25">
      <c r="A321" s="9" t="s">
        <v>69</v>
      </c>
      <c r="B321" s="13">
        <f>VLOOKUP(Table2[[#This Row],[Location 
(drop-down)]],'List source'!D$2:E$71,2,FALSE)</f>
        <v>141</v>
      </c>
      <c r="C321" s="11" t="s">
        <v>906</v>
      </c>
      <c r="D321" s="212" t="str">
        <f t="shared" si="4"/>
        <v>C319-141-25</v>
      </c>
      <c r="E321" s="11" t="s">
        <v>452</v>
      </c>
      <c r="F321" s="11" t="s">
        <v>103</v>
      </c>
      <c r="G321" s="70" t="s">
        <v>907</v>
      </c>
      <c r="H321" s="10" t="s">
        <v>494</v>
      </c>
      <c r="I321" s="20" t="s">
        <v>35</v>
      </c>
      <c r="J321" s="166">
        <v>45846</v>
      </c>
      <c r="K321" s="166"/>
      <c r="L321" s="166"/>
      <c r="M321" s="63">
        <v>45882</v>
      </c>
      <c r="N321" s="166"/>
      <c r="O321" s="63"/>
      <c r="P321" s="196"/>
      <c r="Q321" s="37"/>
      <c r="R321" s="93"/>
      <c r="S321" s="13" t="str">
        <f ca="1">IF(ISBLANK(Table2[[#This Row],[Complete corrective actions (Approved Date)]]), TODAY()-Table2[[#This Row],[CAR initialized date]], "CLOSED")</f>
        <v>CLOSED</v>
      </c>
    </row>
    <row r="322" spans="1:19" ht="36" customHeight="1" x14ac:dyDescent="0.25">
      <c r="A322" s="9" t="s">
        <v>69</v>
      </c>
      <c r="B322" s="13">
        <f>VLOOKUP(Table2[[#This Row],[Location 
(drop-down)]],'List source'!D$2:E$71,2,FALSE)</f>
        <v>141</v>
      </c>
      <c r="C322" s="11" t="s">
        <v>908</v>
      </c>
      <c r="D322" s="212" t="str">
        <f t="shared" ref="D322:D385" si="5">"C" &amp; C322 &amp;"-" &amp; B322 &amp; "-" &amp; "25"</f>
        <v>C320-141-25</v>
      </c>
      <c r="E322" s="11" t="s">
        <v>452</v>
      </c>
      <c r="F322" s="11" t="s">
        <v>103</v>
      </c>
      <c r="G322" s="282" t="s">
        <v>909</v>
      </c>
      <c r="H322" s="10" t="s">
        <v>458</v>
      </c>
      <c r="I322" s="20" t="s">
        <v>35</v>
      </c>
      <c r="J322" s="166">
        <v>45846</v>
      </c>
      <c r="K322" s="166"/>
      <c r="L322" s="166"/>
      <c r="M322" s="63">
        <v>45856</v>
      </c>
      <c r="N322" s="166"/>
      <c r="O322" s="63"/>
      <c r="P322" s="196"/>
      <c r="Q322" s="37"/>
      <c r="R322" s="93"/>
      <c r="S322" s="13" t="str">
        <f ca="1">IF(ISBLANK(Table2[[#This Row],[Complete corrective actions (Approved Date)]]), TODAY()-Table2[[#This Row],[CAR initialized date]], "CLOSED")</f>
        <v>CLOSED</v>
      </c>
    </row>
    <row r="323" spans="1:19" ht="36" customHeight="1" x14ac:dyDescent="0.25">
      <c r="A323" s="9" t="s">
        <v>76</v>
      </c>
      <c r="B323" s="13">
        <f>VLOOKUP(Table2[[#This Row],[Location 
(drop-down)]],'List source'!D$2:E$71,2,FALSE)</f>
        <v>157</v>
      </c>
      <c r="C323" s="11" t="s">
        <v>910</v>
      </c>
      <c r="D323" s="212" t="str">
        <f t="shared" si="5"/>
        <v>C321-157-25</v>
      </c>
      <c r="E323" s="11" t="s">
        <v>519</v>
      </c>
      <c r="F323" s="11" t="s">
        <v>185</v>
      </c>
      <c r="G323" s="9" t="s">
        <v>911</v>
      </c>
      <c r="H323" s="10" t="s">
        <v>455</v>
      </c>
      <c r="I323" s="20" t="s">
        <v>82</v>
      </c>
      <c r="J323" s="166">
        <v>45846</v>
      </c>
      <c r="K323" s="166"/>
      <c r="L323" s="166"/>
      <c r="M323" s="63">
        <v>45875</v>
      </c>
      <c r="N323" s="166"/>
      <c r="O323" s="63"/>
      <c r="P323" s="196"/>
      <c r="Q323" s="37" t="s">
        <v>901</v>
      </c>
      <c r="R323" s="93"/>
      <c r="S323" s="13" t="str">
        <f ca="1">IF(ISBLANK(Table2[[#This Row],[Complete corrective actions (Approved Date)]]), TODAY()-Table2[[#This Row],[CAR initialized date]], "CLOSED")</f>
        <v>CLOSED</v>
      </c>
    </row>
    <row r="324" spans="1:19" ht="36" customHeight="1" x14ac:dyDescent="0.25">
      <c r="A324" s="9" t="s">
        <v>76</v>
      </c>
      <c r="B324" s="13">
        <f>VLOOKUP(Table2[[#This Row],[Location 
(drop-down)]],'List source'!D$2:E$71,2,FALSE)</f>
        <v>157</v>
      </c>
      <c r="C324" s="11" t="s">
        <v>912</v>
      </c>
      <c r="D324" s="212" t="str">
        <f t="shared" si="5"/>
        <v>C322-157-25</v>
      </c>
      <c r="E324" s="11" t="s">
        <v>519</v>
      </c>
      <c r="F324" s="11" t="s">
        <v>185</v>
      </c>
      <c r="G324" s="9" t="s">
        <v>913</v>
      </c>
      <c r="H324" s="10" t="s">
        <v>455</v>
      </c>
      <c r="I324" s="20" t="s">
        <v>82</v>
      </c>
      <c r="J324" s="166">
        <v>45846</v>
      </c>
      <c r="K324" s="166"/>
      <c r="L324" s="166"/>
      <c r="M324" s="63">
        <v>45875</v>
      </c>
      <c r="N324" s="166"/>
      <c r="O324" s="63"/>
      <c r="P324" s="196"/>
      <c r="Q324" s="37" t="s">
        <v>901</v>
      </c>
      <c r="R324" s="93"/>
      <c r="S324" s="13" t="str">
        <f ca="1">IF(ISBLANK(Table2[[#This Row],[Complete corrective actions (Approved Date)]]), TODAY()-Table2[[#This Row],[CAR initialized date]], "CLOSED")</f>
        <v>CLOSED</v>
      </c>
    </row>
    <row r="325" spans="1:19" ht="36" customHeight="1" x14ac:dyDescent="0.25">
      <c r="A325" s="9" t="s">
        <v>76</v>
      </c>
      <c r="B325" s="13">
        <f>VLOOKUP(Table2[[#This Row],[Location 
(drop-down)]],'List source'!D$2:E$71,2,FALSE)</f>
        <v>157</v>
      </c>
      <c r="C325" s="11" t="s">
        <v>914</v>
      </c>
      <c r="D325" s="212" t="str">
        <f t="shared" si="5"/>
        <v>C323-157-25</v>
      </c>
      <c r="E325" s="11" t="s">
        <v>519</v>
      </c>
      <c r="F325" s="11" t="s">
        <v>185</v>
      </c>
      <c r="G325" s="9" t="s">
        <v>915</v>
      </c>
      <c r="H325" s="10" t="s">
        <v>455</v>
      </c>
      <c r="I325" s="20" t="s">
        <v>82</v>
      </c>
      <c r="J325" s="166">
        <v>45846</v>
      </c>
      <c r="K325" s="166"/>
      <c r="L325" s="166"/>
      <c r="M325" s="63">
        <v>45875</v>
      </c>
      <c r="N325" s="166"/>
      <c r="O325" s="63"/>
      <c r="P325" s="196"/>
      <c r="Q325" s="37" t="s">
        <v>901</v>
      </c>
      <c r="R325" s="93"/>
      <c r="S325" s="13" t="str">
        <f ca="1">IF(ISBLANK(Table2[[#This Row],[Complete corrective actions (Approved Date)]]), TODAY()-Table2[[#This Row],[CAR initialized date]], "CLOSED")</f>
        <v>CLOSED</v>
      </c>
    </row>
    <row r="326" spans="1:19" ht="36" customHeight="1" x14ac:dyDescent="0.25">
      <c r="A326" s="9" t="s">
        <v>37</v>
      </c>
      <c r="B326" s="13">
        <f>VLOOKUP(Table2[[#This Row],[Location 
(drop-down)]],'List source'!D$2:E$71,2,FALSE)</f>
        <v>210</v>
      </c>
      <c r="C326" s="11" t="s">
        <v>916</v>
      </c>
      <c r="D326" s="212" t="str">
        <f t="shared" si="5"/>
        <v>C324-210-25</v>
      </c>
      <c r="E326" s="11" t="s">
        <v>452</v>
      </c>
      <c r="F326" s="11" t="s">
        <v>917</v>
      </c>
      <c r="G326" s="9" t="s">
        <v>918</v>
      </c>
      <c r="H326" s="10" t="s">
        <v>494</v>
      </c>
      <c r="I326" s="20" t="s">
        <v>189</v>
      </c>
      <c r="J326" s="166">
        <v>45849</v>
      </c>
      <c r="K326" s="166"/>
      <c r="L326" s="166"/>
      <c r="M326" s="63">
        <v>45868</v>
      </c>
      <c r="N326" s="166"/>
      <c r="O326" s="63"/>
      <c r="P326" s="196"/>
      <c r="Q326" s="37" t="s">
        <v>919</v>
      </c>
      <c r="R326" s="93"/>
      <c r="S326" s="13" t="str">
        <f ca="1">IF(ISBLANK(Table2[[#This Row],[Complete corrective actions (Approved Date)]]), TODAY()-Table2[[#This Row],[CAR initialized date]], "CLOSED")</f>
        <v>CLOSED</v>
      </c>
    </row>
    <row r="327" spans="1:19" ht="36" customHeight="1" x14ac:dyDescent="0.25">
      <c r="A327" s="9" t="s">
        <v>46</v>
      </c>
      <c r="B327" s="13">
        <f>VLOOKUP(Table2[[#This Row],[Location 
(drop-down)]],'List source'!D$2:E$71,2,FALSE)</f>
        <v>155</v>
      </c>
      <c r="C327" s="11" t="s">
        <v>920</v>
      </c>
      <c r="D327" s="212" t="str">
        <f t="shared" si="5"/>
        <v>C325-155-25</v>
      </c>
      <c r="E327" s="11" t="s">
        <v>519</v>
      </c>
      <c r="F327" s="11" t="s">
        <v>41</v>
      </c>
      <c r="G327" s="9" t="s">
        <v>792</v>
      </c>
      <c r="H327" s="10" t="s">
        <v>455</v>
      </c>
      <c r="I327" s="20" t="s">
        <v>18</v>
      </c>
      <c r="J327" s="166">
        <v>45852</v>
      </c>
      <c r="K327" s="166" t="s">
        <v>503</v>
      </c>
      <c r="L327" s="166"/>
      <c r="M327" s="63">
        <v>45898</v>
      </c>
      <c r="N327" s="166" t="s">
        <v>503</v>
      </c>
      <c r="O327" s="63"/>
      <c r="P327" s="196"/>
      <c r="Q327" s="37" t="s">
        <v>921</v>
      </c>
      <c r="R327" s="93"/>
      <c r="S327" s="13" t="str">
        <f ca="1">IF(ISBLANK(Table2[[#This Row],[Complete corrective actions (Approved Date)]]), TODAY()-Table2[[#This Row],[CAR initialized date]], "CLOSED")</f>
        <v>CLOSED</v>
      </c>
    </row>
    <row r="328" spans="1:19" ht="36" customHeight="1" x14ac:dyDescent="0.25">
      <c r="A328" s="9" t="s">
        <v>14</v>
      </c>
      <c r="B328" s="13">
        <f>VLOOKUP(Table2[[#This Row],[Location 
(drop-down)]],'List source'!D$2:E$71,2,FALSE)</f>
        <v>131</v>
      </c>
      <c r="C328" s="11" t="s">
        <v>922</v>
      </c>
      <c r="D328" s="212" t="str">
        <f t="shared" si="5"/>
        <v>C326-131-25</v>
      </c>
      <c r="E328" s="11" t="s">
        <v>452</v>
      </c>
      <c r="F328" s="11" t="s">
        <v>609</v>
      </c>
      <c r="G328" s="283" t="s">
        <v>923</v>
      </c>
      <c r="H328" s="10" t="s">
        <v>458</v>
      </c>
      <c r="I328" s="20" t="s">
        <v>167</v>
      </c>
      <c r="J328" s="166">
        <v>45854</v>
      </c>
      <c r="K328" s="166"/>
      <c r="L328" s="166"/>
      <c r="M328" s="63">
        <v>45882</v>
      </c>
      <c r="N328" s="166" t="s">
        <v>503</v>
      </c>
      <c r="O328" s="63"/>
      <c r="P328" s="196"/>
      <c r="Q328" s="37" t="s">
        <v>924</v>
      </c>
      <c r="R328" s="93"/>
      <c r="S328" s="13" t="str">
        <f ca="1">IF(ISBLANK(Table2[[#This Row],[Complete corrective actions (Approved Date)]]), TODAY()-Table2[[#This Row],[CAR initialized date]], "CLOSED")</f>
        <v>CLOSED</v>
      </c>
    </row>
    <row r="329" spans="1:19" ht="36" customHeight="1" x14ac:dyDescent="0.25">
      <c r="A329" s="9" t="s">
        <v>220</v>
      </c>
      <c r="B329" s="13">
        <f>VLOOKUP(Table2[[#This Row],[Location 
(drop-down)]],'List source'!D$2:E$71,2,FALSE)</f>
        <v>197</v>
      </c>
      <c r="C329" s="11" t="s">
        <v>925</v>
      </c>
      <c r="D329" s="212" t="str">
        <f t="shared" si="5"/>
        <v>C327-197-25</v>
      </c>
      <c r="E329" s="11" t="s">
        <v>472</v>
      </c>
      <c r="F329" s="11"/>
      <c r="G329" s="9" t="s">
        <v>926</v>
      </c>
      <c r="H329" s="10" t="s">
        <v>455</v>
      </c>
      <c r="I329" s="20" t="s">
        <v>27</v>
      </c>
      <c r="J329" s="166">
        <v>45862</v>
      </c>
      <c r="K329" s="166"/>
      <c r="L329" s="166"/>
      <c r="M329" s="166"/>
      <c r="N329" s="166"/>
      <c r="O329" s="63"/>
      <c r="P329" s="196"/>
      <c r="Q329" s="37"/>
      <c r="R329" s="93"/>
      <c r="S329" s="13">
        <f ca="1">IF(ISBLANK(Table2[[#This Row],[Complete corrective actions (Approved Date)]]), TODAY()-Table2[[#This Row],[CAR initialized date]], "CLOSED")</f>
        <v>215</v>
      </c>
    </row>
    <row r="330" spans="1:19" ht="36" customHeight="1" x14ac:dyDescent="0.25">
      <c r="A330" s="9" t="s">
        <v>220</v>
      </c>
      <c r="B330" s="13">
        <f>VLOOKUP(Table2[[#This Row],[Location 
(drop-down)]],'List source'!D$2:E$71,2,FALSE)</f>
        <v>197</v>
      </c>
      <c r="C330" s="11" t="s">
        <v>927</v>
      </c>
      <c r="D330" s="212" t="str">
        <f t="shared" si="5"/>
        <v>C328-197-25</v>
      </c>
      <c r="E330" s="11" t="s">
        <v>472</v>
      </c>
      <c r="F330" s="11"/>
      <c r="G330" s="9" t="s">
        <v>596</v>
      </c>
      <c r="H330" s="10" t="s">
        <v>455</v>
      </c>
      <c r="I330" s="20" t="s">
        <v>27</v>
      </c>
      <c r="J330" s="166">
        <v>45862</v>
      </c>
      <c r="K330" s="166"/>
      <c r="L330" s="166"/>
      <c r="M330" s="166"/>
      <c r="N330" s="166"/>
      <c r="O330" s="63"/>
      <c r="P330" s="196"/>
      <c r="Q330" s="37"/>
      <c r="R330" s="93"/>
      <c r="S330" s="13">
        <f ca="1">IF(ISBLANK(Table2[[#This Row],[Complete corrective actions (Approved Date)]]), TODAY()-Table2[[#This Row],[CAR initialized date]], "CLOSED")</f>
        <v>215</v>
      </c>
    </row>
    <row r="331" spans="1:19" ht="36" customHeight="1" x14ac:dyDescent="0.25">
      <c r="A331" s="9" t="s">
        <v>220</v>
      </c>
      <c r="B331" s="13">
        <f>VLOOKUP(Table2[[#This Row],[Location 
(drop-down)]],'List source'!D$2:E$71,2,FALSE)</f>
        <v>197</v>
      </c>
      <c r="C331" s="11" t="s">
        <v>928</v>
      </c>
      <c r="D331" s="212" t="str">
        <f t="shared" si="5"/>
        <v>C329-197-25</v>
      </c>
      <c r="E331" s="11" t="s">
        <v>472</v>
      </c>
      <c r="F331" s="11"/>
      <c r="G331" s="9" t="s">
        <v>755</v>
      </c>
      <c r="H331" s="10" t="s">
        <v>455</v>
      </c>
      <c r="I331" s="20" t="s">
        <v>27</v>
      </c>
      <c r="J331" s="166">
        <v>45862</v>
      </c>
      <c r="K331" s="166"/>
      <c r="L331" s="166"/>
      <c r="M331" s="166"/>
      <c r="N331" s="166"/>
      <c r="O331" s="63"/>
      <c r="P331" s="196"/>
      <c r="Q331" s="37"/>
      <c r="R331" s="93"/>
      <c r="S331" s="13">
        <f ca="1">IF(ISBLANK(Table2[[#This Row],[Complete corrective actions (Approved Date)]]), TODAY()-Table2[[#This Row],[CAR initialized date]], "CLOSED")</f>
        <v>215</v>
      </c>
    </row>
    <row r="332" spans="1:19" ht="36" customHeight="1" x14ac:dyDescent="0.25">
      <c r="A332" s="9" t="s">
        <v>220</v>
      </c>
      <c r="B332" s="13">
        <f>VLOOKUP(Table2[[#This Row],[Location 
(drop-down)]],'List source'!D$2:E$71,2,FALSE)</f>
        <v>197</v>
      </c>
      <c r="C332" s="11" t="s">
        <v>929</v>
      </c>
      <c r="D332" s="212" t="str">
        <f t="shared" si="5"/>
        <v>C330-197-25</v>
      </c>
      <c r="E332" s="11" t="s">
        <v>472</v>
      </c>
      <c r="F332" s="11"/>
      <c r="G332" s="9" t="s">
        <v>757</v>
      </c>
      <c r="H332" s="10" t="s">
        <v>455</v>
      </c>
      <c r="I332" s="20" t="s">
        <v>27</v>
      </c>
      <c r="J332" s="166">
        <v>45862</v>
      </c>
      <c r="K332" s="166"/>
      <c r="L332" s="166"/>
      <c r="M332" s="166"/>
      <c r="N332" s="166"/>
      <c r="O332" s="63"/>
      <c r="P332" s="196"/>
      <c r="Q332" s="37"/>
      <c r="R332" s="93"/>
      <c r="S332" s="13">
        <f ca="1">IF(ISBLANK(Table2[[#This Row],[Complete corrective actions (Approved Date)]]), TODAY()-Table2[[#This Row],[CAR initialized date]], "CLOSED")</f>
        <v>215</v>
      </c>
    </row>
    <row r="333" spans="1:19" ht="36" customHeight="1" x14ac:dyDescent="0.25">
      <c r="A333" s="9" t="s">
        <v>220</v>
      </c>
      <c r="B333" s="13">
        <f>VLOOKUP(Table2[[#This Row],[Location 
(drop-down)]],'List source'!D$2:E$71,2,FALSE)</f>
        <v>197</v>
      </c>
      <c r="C333" s="11" t="s">
        <v>930</v>
      </c>
      <c r="D333" s="212" t="str">
        <f t="shared" si="5"/>
        <v>C331-197-25</v>
      </c>
      <c r="E333" s="11" t="s">
        <v>472</v>
      </c>
      <c r="F333" s="11"/>
      <c r="G333" s="9" t="s">
        <v>759</v>
      </c>
      <c r="H333" s="10" t="s">
        <v>455</v>
      </c>
      <c r="I333" s="20" t="s">
        <v>27</v>
      </c>
      <c r="J333" s="166">
        <v>45862</v>
      </c>
      <c r="K333" s="166"/>
      <c r="L333" s="166"/>
      <c r="M333" s="166"/>
      <c r="N333" s="166"/>
      <c r="O333" s="63"/>
      <c r="P333" s="196"/>
      <c r="Q333" s="37"/>
      <c r="R333" s="93"/>
      <c r="S333" s="13">
        <f ca="1">IF(ISBLANK(Table2[[#This Row],[Complete corrective actions (Approved Date)]]), TODAY()-Table2[[#This Row],[CAR initialized date]], "CLOSED")</f>
        <v>215</v>
      </c>
    </row>
    <row r="334" spans="1:19" ht="36" customHeight="1" x14ac:dyDescent="0.25">
      <c r="A334" s="9" t="s">
        <v>220</v>
      </c>
      <c r="B334" s="13">
        <f>VLOOKUP(Table2[[#This Row],[Location 
(drop-down)]],'List source'!D$2:E$71,2,FALSE)</f>
        <v>197</v>
      </c>
      <c r="C334" s="11" t="s">
        <v>931</v>
      </c>
      <c r="D334" s="212" t="str">
        <f t="shared" si="5"/>
        <v>C332-197-25</v>
      </c>
      <c r="E334" s="11" t="s">
        <v>472</v>
      </c>
      <c r="F334" s="11"/>
      <c r="G334" s="9" t="s">
        <v>932</v>
      </c>
      <c r="H334" s="10" t="s">
        <v>455</v>
      </c>
      <c r="I334" s="20" t="s">
        <v>27</v>
      </c>
      <c r="J334" s="166">
        <v>45862</v>
      </c>
      <c r="K334" s="166"/>
      <c r="L334" s="166"/>
      <c r="M334" s="166"/>
      <c r="N334" s="166"/>
      <c r="O334" s="63"/>
      <c r="P334" s="196"/>
      <c r="Q334" s="37"/>
      <c r="R334" s="93"/>
      <c r="S334" s="13">
        <f ca="1">IF(ISBLANK(Table2[[#This Row],[Complete corrective actions (Approved Date)]]), TODAY()-Table2[[#This Row],[CAR initialized date]], "CLOSED")</f>
        <v>215</v>
      </c>
    </row>
    <row r="335" spans="1:19" ht="36" customHeight="1" x14ac:dyDescent="0.25">
      <c r="A335" s="9" t="s">
        <v>220</v>
      </c>
      <c r="B335" s="13">
        <f>VLOOKUP(Table2[[#This Row],[Location 
(drop-down)]],'List source'!D$2:E$71,2,FALSE)</f>
        <v>197</v>
      </c>
      <c r="C335" s="11" t="s">
        <v>933</v>
      </c>
      <c r="D335" s="212" t="str">
        <f t="shared" si="5"/>
        <v>C333-197-25</v>
      </c>
      <c r="E335" s="11" t="s">
        <v>472</v>
      </c>
      <c r="F335" s="11"/>
      <c r="G335" s="9" t="s">
        <v>934</v>
      </c>
      <c r="H335" s="10" t="s">
        <v>455</v>
      </c>
      <c r="I335" s="20" t="s">
        <v>27</v>
      </c>
      <c r="J335" s="166">
        <v>45862</v>
      </c>
      <c r="K335" s="166" t="s">
        <v>506</v>
      </c>
      <c r="L335" s="166"/>
      <c r="M335" s="166">
        <v>46051</v>
      </c>
      <c r="N335" s="166" t="s">
        <v>506</v>
      </c>
      <c r="O335" s="63"/>
      <c r="P335" s="196"/>
      <c r="Q335" s="37"/>
      <c r="R335" s="93"/>
      <c r="S335" s="13" t="str">
        <f ca="1">IF(ISBLANK(Table2[[#This Row],[Complete corrective actions (Approved Date)]]), TODAY()-Table2[[#This Row],[CAR initialized date]], "CLOSED")</f>
        <v>CLOSED</v>
      </c>
    </row>
    <row r="336" spans="1:19" ht="36" customHeight="1" x14ac:dyDescent="0.25">
      <c r="A336" s="9" t="s">
        <v>220</v>
      </c>
      <c r="B336" s="13">
        <f>VLOOKUP(Table2[[#This Row],[Location 
(drop-down)]],'List source'!D$2:E$71,2,FALSE)</f>
        <v>197</v>
      </c>
      <c r="C336" s="11" t="s">
        <v>935</v>
      </c>
      <c r="D336" s="212" t="str">
        <f t="shared" si="5"/>
        <v>C334-197-25</v>
      </c>
      <c r="E336" s="11" t="s">
        <v>472</v>
      </c>
      <c r="F336" s="11"/>
      <c r="G336" s="9" t="s">
        <v>936</v>
      </c>
      <c r="H336" s="10" t="s">
        <v>455</v>
      </c>
      <c r="I336" s="20" t="s">
        <v>27</v>
      </c>
      <c r="J336" s="166">
        <v>45862</v>
      </c>
      <c r="K336" s="166" t="s">
        <v>506</v>
      </c>
      <c r="L336" s="166"/>
      <c r="M336" s="166">
        <v>46062</v>
      </c>
      <c r="N336" s="166" t="s">
        <v>506</v>
      </c>
      <c r="O336" s="63"/>
      <c r="P336" s="196"/>
      <c r="Q336" s="37"/>
      <c r="R336" s="93"/>
      <c r="S336" s="13" t="str">
        <f ca="1">IF(ISBLANK(Table2[[#This Row],[Complete corrective actions (Approved Date)]]), TODAY()-Table2[[#This Row],[CAR initialized date]], "CLOSED")</f>
        <v>CLOSED</v>
      </c>
    </row>
    <row r="337" spans="1:19" ht="36" customHeight="1" x14ac:dyDescent="0.25">
      <c r="A337" s="9" t="s">
        <v>246</v>
      </c>
      <c r="B337" s="13">
        <f>VLOOKUP(Table2[[#This Row],[Location 
(drop-down)]],'List source'!D$2:E$71,2,FALSE)</f>
        <v>188</v>
      </c>
      <c r="C337" s="11" t="s">
        <v>937</v>
      </c>
      <c r="D337" s="212" t="str">
        <f t="shared" si="5"/>
        <v>C335-188-25</v>
      </c>
      <c r="E337" s="11" t="s">
        <v>472</v>
      </c>
      <c r="F337" s="11"/>
      <c r="G337" s="9" t="s">
        <v>938</v>
      </c>
      <c r="H337" s="10" t="s">
        <v>458</v>
      </c>
      <c r="I337" s="20" t="s">
        <v>101</v>
      </c>
      <c r="J337" s="166">
        <v>45868</v>
      </c>
      <c r="K337" s="166" t="s">
        <v>503</v>
      </c>
      <c r="L337" s="166"/>
      <c r="M337" s="63">
        <v>45896</v>
      </c>
      <c r="N337" s="166" t="s">
        <v>503</v>
      </c>
      <c r="O337" s="63">
        <v>45896</v>
      </c>
      <c r="P337" s="196"/>
      <c r="Q337" s="37"/>
      <c r="R337" s="93" t="s">
        <v>530</v>
      </c>
      <c r="S337" s="13" t="str">
        <f ca="1">IF(ISBLANK(Table2[[#This Row],[Complete corrective actions (Approved Date)]]), TODAY()-Table2[[#This Row],[CAR initialized date]], "CLOSED")</f>
        <v>CLOSED</v>
      </c>
    </row>
    <row r="338" spans="1:19" ht="36" customHeight="1" x14ac:dyDescent="0.25">
      <c r="A338" s="9" t="s">
        <v>246</v>
      </c>
      <c r="B338" s="13">
        <f>VLOOKUP(Table2[[#This Row],[Location 
(drop-down)]],'List source'!D$2:E$71,2,FALSE)</f>
        <v>188</v>
      </c>
      <c r="C338" s="11" t="s">
        <v>939</v>
      </c>
      <c r="D338" s="212" t="str">
        <f t="shared" si="5"/>
        <v>C336-188-25</v>
      </c>
      <c r="E338" s="11" t="s">
        <v>472</v>
      </c>
      <c r="F338" s="11"/>
      <c r="G338" s="9" t="s">
        <v>940</v>
      </c>
      <c r="H338" s="10" t="s">
        <v>455</v>
      </c>
      <c r="I338" s="20" t="s">
        <v>101</v>
      </c>
      <c r="J338" s="166">
        <v>45868</v>
      </c>
      <c r="K338" s="166" t="s">
        <v>503</v>
      </c>
      <c r="L338" s="166"/>
      <c r="M338" s="63">
        <v>45878</v>
      </c>
      <c r="N338" s="166" t="s">
        <v>506</v>
      </c>
      <c r="O338" s="63">
        <v>45933</v>
      </c>
      <c r="P338" s="196"/>
      <c r="Q338" s="37"/>
      <c r="R338" s="93" t="s">
        <v>530</v>
      </c>
      <c r="S338" s="13" t="str">
        <f ca="1">IF(ISBLANK(Table2[[#This Row],[Complete corrective actions (Approved Date)]]), TODAY()-Table2[[#This Row],[CAR initialized date]], "CLOSED")</f>
        <v>CLOSED</v>
      </c>
    </row>
    <row r="339" spans="1:19" ht="36" customHeight="1" x14ac:dyDescent="0.25">
      <c r="A339" s="9" t="s">
        <v>246</v>
      </c>
      <c r="B339" s="13">
        <f>VLOOKUP(Table2[[#This Row],[Location 
(drop-down)]],'List source'!D$2:E$71,2,FALSE)</f>
        <v>188</v>
      </c>
      <c r="C339" s="11" t="s">
        <v>941</v>
      </c>
      <c r="D339" s="212" t="str">
        <f t="shared" si="5"/>
        <v>C337-188-25</v>
      </c>
      <c r="E339" s="11" t="s">
        <v>472</v>
      </c>
      <c r="F339" s="11"/>
      <c r="G339" s="9" t="s">
        <v>942</v>
      </c>
      <c r="H339" s="10" t="s">
        <v>455</v>
      </c>
      <c r="I339" s="20" t="s">
        <v>101</v>
      </c>
      <c r="J339" s="166">
        <v>45868</v>
      </c>
      <c r="K339" s="166" t="s">
        <v>897</v>
      </c>
      <c r="L339" s="166"/>
      <c r="M339" s="63">
        <v>45891</v>
      </c>
      <c r="N339" s="166" t="s">
        <v>897</v>
      </c>
      <c r="O339" s="63">
        <v>45896</v>
      </c>
      <c r="P339" s="196"/>
      <c r="Q339" s="37"/>
      <c r="R339" s="93" t="s">
        <v>530</v>
      </c>
      <c r="S339" s="13" t="str">
        <f ca="1">IF(ISBLANK(Table2[[#This Row],[Complete corrective actions (Approved Date)]]), TODAY()-Table2[[#This Row],[CAR initialized date]], "CLOSED")</f>
        <v>CLOSED</v>
      </c>
    </row>
    <row r="340" spans="1:19" ht="36" customHeight="1" x14ac:dyDescent="0.25">
      <c r="A340" s="9" t="s">
        <v>246</v>
      </c>
      <c r="B340" s="13">
        <f>VLOOKUP(Table2[[#This Row],[Location 
(drop-down)]],'List source'!D$2:E$71,2,FALSE)</f>
        <v>188</v>
      </c>
      <c r="C340" s="11" t="s">
        <v>943</v>
      </c>
      <c r="D340" s="212" t="str">
        <f t="shared" si="5"/>
        <v>C338-188-25</v>
      </c>
      <c r="E340" s="11" t="s">
        <v>472</v>
      </c>
      <c r="F340" s="11"/>
      <c r="G340" s="9" t="s">
        <v>944</v>
      </c>
      <c r="H340" s="10" t="s">
        <v>455</v>
      </c>
      <c r="I340" s="20" t="s">
        <v>101</v>
      </c>
      <c r="J340" s="166">
        <v>45868</v>
      </c>
      <c r="K340" s="166" t="s">
        <v>503</v>
      </c>
      <c r="L340" s="166"/>
      <c r="M340" s="63">
        <v>45891</v>
      </c>
      <c r="N340" s="166" t="s">
        <v>503</v>
      </c>
      <c r="O340" s="63">
        <v>45897</v>
      </c>
      <c r="P340" s="196"/>
      <c r="Q340" s="37"/>
      <c r="R340" s="93" t="s">
        <v>530</v>
      </c>
      <c r="S340" s="13" t="str">
        <f ca="1">IF(ISBLANK(Table2[[#This Row],[Complete corrective actions (Approved Date)]]), TODAY()-Table2[[#This Row],[CAR initialized date]], "CLOSED")</f>
        <v>CLOSED</v>
      </c>
    </row>
    <row r="341" spans="1:19" ht="36" customHeight="1" x14ac:dyDescent="0.25">
      <c r="A341" s="9" t="s">
        <v>246</v>
      </c>
      <c r="B341" s="13">
        <f>VLOOKUP(Table2[[#This Row],[Location 
(drop-down)]],'List source'!D$2:E$71,2,FALSE)</f>
        <v>188</v>
      </c>
      <c r="C341" s="11" t="s">
        <v>945</v>
      </c>
      <c r="D341" s="212" t="str">
        <f t="shared" si="5"/>
        <v>C339-188-25</v>
      </c>
      <c r="E341" s="11" t="s">
        <v>472</v>
      </c>
      <c r="F341" s="11"/>
      <c r="G341" s="9" t="s">
        <v>946</v>
      </c>
      <c r="H341" s="10" t="s">
        <v>455</v>
      </c>
      <c r="I341" s="20" t="s">
        <v>101</v>
      </c>
      <c r="J341" s="166">
        <v>45868</v>
      </c>
      <c r="K341" s="166" t="s">
        <v>503</v>
      </c>
      <c r="L341" s="166"/>
      <c r="M341" s="63">
        <v>45891</v>
      </c>
      <c r="N341" s="166" t="s">
        <v>503</v>
      </c>
      <c r="O341" s="63">
        <v>45898</v>
      </c>
      <c r="P341" s="196"/>
      <c r="Q341" s="37"/>
      <c r="R341" s="93" t="s">
        <v>530</v>
      </c>
      <c r="S341" s="13" t="str">
        <f ca="1">IF(ISBLANK(Table2[[#This Row],[Complete corrective actions (Approved Date)]]), TODAY()-Table2[[#This Row],[CAR initialized date]], "CLOSED")</f>
        <v>CLOSED</v>
      </c>
    </row>
    <row r="342" spans="1:19" ht="36" customHeight="1" x14ac:dyDescent="0.25">
      <c r="A342" s="9" t="s">
        <v>254</v>
      </c>
      <c r="B342" s="13">
        <f>VLOOKUP(Table2[[#This Row],[Location 
(drop-down)]],'List source'!D$2:E$71,2,FALSE)</f>
        <v>133</v>
      </c>
      <c r="C342" s="11" t="s">
        <v>947</v>
      </c>
      <c r="D342" s="212" t="str">
        <f t="shared" si="5"/>
        <v>C340-133-25</v>
      </c>
      <c r="E342" s="11" t="s">
        <v>472</v>
      </c>
      <c r="F342" s="11"/>
      <c r="G342" s="9" t="s">
        <v>948</v>
      </c>
      <c r="H342" s="10" t="s">
        <v>455</v>
      </c>
      <c r="I342" s="20" t="s">
        <v>256</v>
      </c>
      <c r="J342" s="166">
        <v>45876</v>
      </c>
      <c r="K342" s="166"/>
      <c r="L342" s="166"/>
      <c r="M342" s="166">
        <v>46068</v>
      </c>
      <c r="N342" s="166"/>
      <c r="O342" s="63"/>
      <c r="P342" s="196"/>
      <c r="Q342" s="37"/>
      <c r="R342" s="93"/>
      <c r="S342" s="13" t="str">
        <f ca="1">IF(ISBLANK(Table2[[#This Row],[Complete corrective actions (Approved Date)]]), TODAY()-Table2[[#This Row],[CAR initialized date]], "CLOSED")</f>
        <v>CLOSED</v>
      </c>
    </row>
    <row r="343" spans="1:19" ht="36" customHeight="1" x14ac:dyDescent="0.25">
      <c r="A343" s="9" t="s">
        <v>254</v>
      </c>
      <c r="B343" s="13">
        <f>VLOOKUP(Table2[[#This Row],[Location 
(drop-down)]],'List source'!D$2:E$71,2,FALSE)</f>
        <v>133</v>
      </c>
      <c r="C343" s="11" t="s">
        <v>949</v>
      </c>
      <c r="D343" s="212" t="str">
        <f t="shared" si="5"/>
        <v>C341-133-25</v>
      </c>
      <c r="E343" s="11" t="s">
        <v>472</v>
      </c>
      <c r="F343" s="11"/>
      <c r="G343" s="9" t="s">
        <v>950</v>
      </c>
      <c r="H343" s="10" t="s">
        <v>455</v>
      </c>
      <c r="I343" s="20" t="s">
        <v>256</v>
      </c>
      <c r="J343" s="166">
        <v>45876</v>
      </c>
      <c r="K343" s="166"/>
      <c r="L343" s="166"/>
      <c r="M343" s="166"/>
      <c r="N343" s="166"/>
      <c r="O343" s="63"/>
      <c r="P343" s="196"/>
      <c r="Q343" s="37"/>
      <c r="R343" s="93"/>
      <c r="S343" s="13">
        <f ca="1">IF(ISBLANK(Table2[[#This Row],[Complete corrective actions (Approved Date)]]), TODAY()-Table2[[#This Row],[CAR initialized date]], "CLOSED")</f>
        <v>201</v>
      </c>
    </row>
    <row r="344" spans="1:19" ht="36" customHeight="1" x14ac:dyDescent="0.25">
      <c r="A344" s="9" t="s">
        <v>220</v>
      </c>
      <c r="B344" s="13">
        <f>VLOOKUP(Table2[[#This Row],[Location 
(drop-down)]],'List source'!D$2:E$71,2,FALSE)</f>
        <v>197</v>
      </c>
      <c r="C344" s="11" t="s">
        <v>951</v>
      </c>
      <c r="D344" s="212" t="str">
        <f t="shared" si="5"/>
        <v>C342-197-25</v>
      </c>
      <c r="E344" s="11" t="s">
        <v>472</v>
      </c>
      <c r="F344" s="11"/>
      <c r="G344" s="9" t="s">
        <v>751</v>
      </c>
      <c r="H344" s="10" t="s">
        <v>455</v>
      </c>
      <c r="I344" s="20" t="s">
        <v>27</v>
      </c>
      <c r="J344" s="166">
        <v>45862</v>
      </c>
      <c r="K344" s="166"/>
      <c r="L344" s="166"/>
      <c r="M344" s="166"/>
      <c r="N344" s="166"/>
      <c r="O344" s="63"/>
      <c r="P344" s="196"/>
      <c r="Q344" s="37"/>
      <c r="R344" s="93"/>
      <c r="S344" s="13">
        <f ca="1">IF(ISBLANK(Table2[[#This Row],[Complete corrective actions (Approved Date)]]), TODAY()-Table2[[#This Row],[CAR initialized date]], "CLOSED")</f>
        <v>215</v>
      </c>
    </row>
    <row r="345" spans="1:19" ht="36" customHeight="1" x14ac:dyDescent="0.25">
      <c r="A345" s="9" t="s">
        <v>153</v>
      </c>
      <c r="B345" s="13">
        <f>VLOOKUP(Table2[[#This Row],[Location 
(drop-down)]],'List source'!D$2:E$71,2,FALSE)</f>
        <v>110</v>
      </c>
      <c r="C345" s="11" t="s">
        <v>952</v>
      </c>
      <c r="D345" s="212" t="str">
        <f t="shared" si="5"/>
        <v>C343-110-25</v>
      </c>
      <c r="E345" s="11" t="s">
        <v>452</v>
      </c>
      <c r="F345" s="11" t="s">
        <v>277</v>
      </c>
      <c r="G345" s="9" t="s">
        <v>953</v>
      </c>
      <c r="H345" s="10" t="s">
        <v>458</v>
      </c>
      <c r="I345" s="20" t="s">
        <v>35</v>
      </c>
      <c r="J345" s="166">
        <v>45867</v>
      </c>
      <c r="K345" s="166"/>
      <c r="L345" s="166"/>
      <c r="M345" s="63">
        <v>45869</v>
      </c>
      <c r="N345" s="166"/>
      <c r="O345" s="63"/>
      <c r="P345" s="196"/>
      <c r="Q345" s="253" t="s">
        <v>954</v>
      </c>
      <c r="R345" s="93"/>
      <c r="S345" s="13" t="str">
        <f ca="1">IF(ISBLANK(Table2[[#This Row],[Complete corrective actions (Approved Date)]]), TODAY()-Table2[[#This Row],[CAR initialized date]], "CLOSED")</f>
        <v>CLOSED</v>
      </c>
    </row>
    <row r="346" spans="1:19" ht="36" customHeight="1" x14ac:dyDescent="0.25">
      <c r="A346" s="9" t="s">
        <v>153</v>
      </c>
      <c r="B346" s="13">
        <f>VLOOKUP(Table2[[#This Row],[Location 
(drop-down)]],'List source'!D$2:E$71,2,FALSE)</f>
        <v>110</v>
      </c>
      <c r="C346" s="11" t="s">
        <v>955</v>
      </c>
      <c r="D346" s="212" t="str">
        <f t="shared" si="5"/>
        <v>C344-110-25</v>
      </c>
      <c r="E346" s="11" t="s">
        <v>452</v>
      </c>
      <c r="F346" s="11" t="s">
        <v>277</v>
      </c>
      <c r="G346" s="9" t="s">
        <v>956</v>
      </c>
      <c r="H346" s="10" t="s">
        <v>458</v>
      </c>
      <c r="I346" s="20" t="s">
        <v>35</v>
      </c>
      <c r="J346" s="166">
        <v>45867</v>
      </c>
      <c r="K346" s="166"/>
      <c r="L346" s="166"/>
      <c r="M346" s="63">
        <v>45869</v>
      </c>
      <c r="N346" s="166"/>
      <c r="O346" s="63"/>
      <c r="P346" s="196"/>
      <c r="Q346" s="253" t="s">
        <v>954</v>
      </c>
      <c r="R346" s="93"/>
      <c r="S346" s="13" t="str">
        <f ca="1">IF(ISBLANK(Table2[[#This Row],[Complete corrective actions (Approved Date)]]), TODAY()-Table2[[#This Row],[CAR initialized date]], "CLOSED")</f>
        <v>CLOSED</v>
      </c>
    </row>
    <row r="347" spans="1:19" ht="30" x14ac:dyDescent="0.25">
      <c r="A347" s="9" t="s">
        <v>94</v>
      </c>
      <c r="B347" s="13">
        <f>VLOOKUP(Table2[[#This Row],[Location 
(drop-down)]],'List source'!D$2:E$71,2,FALSE)</f>
        <v>120</v>
      </c>
      <c r="C347" s="11" t="s">
        <v>957</v>
      </c>
      <c r="D347" s="212" t="str">
        <f t="shared" si="5"/>
        <v>C345-120-25</v>
      </c>
      <c r="E347" s="11" t="s">
        <v>460</v>
      </c>
      <c r="F347" s="11" t="s">
        <v>958</v>
      </c>
      <c r="G347" s="9" t="s">
        <v>959</v>
      </c>
      <c r="H347" s="10" t="s">
        <v>455</v>
      </c>
      <c r="I347" s="20" t="s">
        <v>82</v>
      </c>
      <c r="J347" s="166">
        <v>45853</v>
      </c>
      <c r="K347" s="166"/>
      <c r="L347" s="166"/>
      <c r="M347" s="63">
        <v>45871</v>
      </c>
      <c r="N347" s="166"/>
      <c r="O347" s="63"/>
      <c r="P347" s="196"/>
      <c r="Q347" s="253" t="s">
        <v>960</v>
      </c>
      <c r="R347" s="93"/>
      <c r="S347" s="13" t="str">
        <f ca="1">IF(ISBLANK(Table2[[#This Row],[Complete corrective actions (Approved Date)]]), TODAY()-Table2[[#This Row],[CAR initialized date]], "CLOSED")</f>
        <v>CLOSED</v>
      </c>
    </row>
    <row r="348" spans="1:19" ht="18.75" x14ac:dyDescent="0.25">
      <c r="A348" s="9" t="s">
        <v>76</v>
      </c>
      <c r="B348" s="13">
        <f>VLOOKUP(Table2[[#This Row],[Location 
(drop-down)]],'List source'!D$2:E$71,2,FALSE)</f>
        <v>157</v>
      </c>
      <c r="C348" s="11" t="s">
        <v>961</v>
      </c>
      <c r="D348" s="212" t="str">
        <f t="shared" si="5"/>
        <v>C346-157-25</v>
      </c>
      <c r="E348" s="11" t="s">
        <v>452</v>
      </c>
      <c r="F348" s="11" t="s">
        <v>962</v>
      </c>
      <c r="G348" s="9" t="s">
        <v>963</v>
      </c>
      <c r="H348" s="10" t="s">
        <v>458</v>
      </c>
      <c r="I348" s="20" t="s">
        <v>35</v>
      </c>
      <c r="J348" s="166">
        <v>45860</v>
      </c>
      <c r="K348" s="166"/>
      <c r="L348" s="166"/>
      <c r="M348" s="63">
        <v>45871</v>
      </c>
      <c r="N348" s="166"/>
      <c r="O348" s="63"/>
      <c r="P348" s="196"/>
      <c r="Q348" s="253" t="s">
        <v>964</v>
      </c>
      <c r="R348" s="93"/>
      <c r="S348" s="13" t="str">
        <f ca="1">IF(ISBLANK(Table2[[#This Row],[Complete corrective actions (Approved Date)]]), TODAY()-Table2[[#This Row],[CAR initialized date]], "CLOSED")</f>
        <v>CLOSED</v>
      </c>
    </row>
    <row r="349" spans="1:19" ht="36" customHeight="1" x14ac:dyDescent="0.25">
      <c r="A349" s="9" t="s">
        <v>14</v>
      </c>
      <c r="B349" s="13">
        <f>VLOOKUP(Table2[[#This Row],[Location 
(drop-down)]],'List source'!D$2:E$71,2,FALSE)</f>
        <v>131</v>
      </c>
      <c r="C349" s="11" t="s">
        <v>965</v>
      </c>
      <c r="D349" s="212" t="str">
        <f t="shared" si="5"/>
        <v>C347-131-25</v>
      </c>
      <c r="E349" s="11" t="s">
        <v>472</v>
      </c>
      <c r="F349" s="11"/>
      <c r="G349" s="9" t="s">
        <v>966</v>
      </c>
      <c r="H349" s="10" t="s">
        <v>455</v>
      </c>
      <c r="I349" s="20" t="s">
        <v>48</v>
      </c>
      <c r="J349" s="166">
        <v>45877</v>
      </c>
      <c r="K349" s="166" t="s">
        <v>503</v>
      </c>
      <c r="L349" s="166"/>
      <c r="M349" s="63">
        <v>45972</v>
      </c>
      <c r="N349" s="166" t="s">
        <v>503</v>
      </c>
      <c r="O349" s="63"/>
      <c r="P349" s="196"/>
      <c r="Q349" s="37" t="s">
        <v>967</v>
      </c>
      <c r="R349" s="93"/>
      <c r="S349" s="13" t="str">
        <f ca="1">IF(ISBLANK(Table2[[#This Row],[Complete corrective actions (Approved Date)]]), TODAY()-Table2[[#This Row],[CAR initialized date]], "CLOSED")</f>
        <v>CLOSED</v>
      </c>
    </row>
    <row r="350" spans="1:19" ht="36" customHeight="1" x14ac:dyDescent="0.25">
      <c r="A350" s="9" t="s">
        <v>14</v>
      </c>
      <c r="B350" s="13">
        <f>VLOOKUP(Table2[[#This Row],[Location 
(drop-down)]],'List source'!D$2:E$71,2,FALSE)</f>
        <v>131</v>
      </c>
      <c r="C350" s="11" t="s">
        <v>968</v>
      </c>
      <c r="D350" s="212" t="str">
        <f t="shared" si="5"/>
        <v>C348-131-25</v>
      </c>
      <c r="E350" s="11" t="s">
        <v>472</v>
      </c>
      <c r="F350" s="11"/>
      <c r="G350" s="9" t="s">
        <v>969</v>
      </c>
      <c r="H350" s="10" t="s">
        <v>455</v>
      </c>
      <c r="I350" s="20" t="s">
        <v>48</v>
      </c>
      <c r="J350" s="166">
        <v>45877</v>
      </c>
      <c r="K350" s="166" t="s">
        <v>503</v>
      </c>
      <c r="L350" s="166"/>
      <c r="M350" s="63">
        <v>46013</v>
      </c>
      <c r="N350" s="166" t="s">
        <v>503</v>
      </c>
      <c r="O350" s="63"/>
      <c r="P350" s="196"/>
      <c r="Q350" s="37" t="s">
        <v>970</v>
      </c>
      <c r="R350" s="93"/>
      <c r="S350" s="13" t="str">
        <f ca="1">IF(ISBLANK(Table2[[#This Row],[Complete corrective actions (Approved Date)]]), TODAY()-Table2[[#This Row],[CAR initialized date]], "CLOSED")</f>
        <v>CLOSED</v>
      </c>
    </row>
    <row r="351" spans="1:19" ht="36" customHeight="1" x14ac:dyDescent="0.25">
      <c r="A351" s="9" t="s">
        <v>14</v>
      </c>
      <c r="B351" s="13">
        <f>VLOOKUP(Table2[[#This Row],[Location 
(drop-down)]],'List source'!D$2:E$71,2,FALSE)</f>
        <v>131</v>
      </c>
      <c r="C351" s="11" t="s">
        <v>971</v>
      </c>
      <c r="D351" s="212" t="str">
        <f t="shared" si="5"/>
        <v>C349-131-25</v>
      </c>
      <c r="E351" s="11" t="s">
        <v>472</v>
      </c>
      <c r="F351" s="11"/>
      <c r="G351" s="9" t="s">
        <v>972</v>
      </c>
      <c r="H351" s="10" t="s">
        <v>455</v>
      </c>
      <c r="I351" s="20" t="s">
        <v>48</v>
      </c>
      <c r="J351" s="166">
        <v>45877</v>
      </c>
      <c r="K351" s="166" t="s">
        <v>503</v>
      </c>
      <c r="L351" s="166"/>
      <c r="M351" s="63">
        <v>46013</v>
      </c>
      <c r="N351" s="166" t="s">
        <v>503</v>
      </c>
      <c r="O351" s="63"/>
      <c r="P351" s="196"/>
      <c r="Q351" s="37" t="s">
        <v>973</v>
      </c>
      <c r="R351" s="93"/>
      <c r="S351" s="13" t="str">
        <f ca="1">IF(ISBLANK(Table2[[#This Row],[Complete corrective actions (Approved Date)]]), TODAY()-Table2[[#This Row],[CAR initialized date]], "CLOSED")</f>
        <v>CLOSED</v>
      </c>
    </row>
    <row r="352" spans="1:19" ht="36" customHeight="1" x14ac:dyDescent="0.25">
      <c r="A352" s="9" t="s">
        <v>14</v>
      </c>
      <c r="B352" s="13">
        <f>VLOOKUP(Table2[[#This Row],[Location 
(drop-down)]],'List source'!D$2:E$71,2,FALSE)</f>
        <v>131</v>
      </c>
      <c r="C352" s="11" t="s">
        <v>974</v>
      </c>
      <c r="D352" s="212" t="str">
        <f t="shared" si="5"/>
        <v>C350-131-25</v>
      </c>
      <c r="E352" s="11" t="s">
        <v>472</v>
      </c>
      <c r="F352" s="11"/>
      <c r="G352" s="76" t="s">
        <v>975</v>
      </c>
      <c r="H352" s="10" t="s">
        <v>455</v>
      </c>
      <c r="I352" s="20" t="s">
        <v>48</v>
      </c>
      <c r="J352" s="166">
        <v>45877</v>
      </c>
      <c r="K352" s="166" t="s">
        <v>503</v>
      </c>
      <c r="L352" s="166"/>
      <c r="M352" s="63">
        <v>46013</v>
      </c>
      <c r="N352" s="166" t="s">
        <v>503</v>
      </c>
      <c r="O352" s="63"/>
      <c r="P352" s="196"/>
      <c r="Q352" s="37" t="s">
        <v>976</v>
      </c>
      <c r="R352" s="93"/>
      <c r="S352" s="13" t="str">
        <f ca="1">IF(ISBLANK(Table2[[#This Row],[Complete corrective actions (Approved Date)]]), TODAY()-Table2[[#This Row],[CAR initialized date]], "CLOSED")</f>
        <v>CLOSED</v>
      </c>
    </row>
    <row r="353" spans="1:19" ht="36" customHeight="1" x14ac:dyDescent="0.25">
      <c r="A353" s="9" t="s">
        <v>14</v>
      </c>
      <c r="B353" s="13">
        <f>VLOOKUP(Table2[[#This Row],[Location 
(drop-down)]],'List source'!D$2:E$71,2,FALSE)</f>
        <v>131</v>
      </c>
      <c r="C353" s="11" t="s">
        <v>977</v>
      </c>
      <c r="D353" s="212" t="str">
        <f t="shared" si="5"/>
        <v>C351-131-25</v>
      </c>
      <c r="E353" s="11" t="s">
        <v>472</v>
      </c>
      <c r="F353" s="11"/>
      <c r="G353" s="76" t="s">
        <v>978</v>
      </c>
      <c r="H353" s="10" t="s">
        <v>455</v>
      </c>
      <c r="I353" s="20" t="s">
        <v>48</v>
      </c>
      <c r="J353" s="166">
        <v>45877</v>
      </c>
      <c r="K353" s="166" t="s">
        <v>503</v>
      </c>
      <c r="L353" s="166"/>
      <c r="M353" s="63">
        <v>46013</v>
      </c>
      <c r="N353" s="166" t="s">
        <v>503</v>
      </c>
      <c r="O353" s="63"/>
      <c r="P353" s="196"/>
      <c r="Q353" s="37" t="s">
        <v>979</v>
      </c>
      <c r="R353" s="93"/>
      <c r="S353" s="13" t="str">
        <f ca="1">IF(ISBLANK(Table2[[#This Row],[Complete corrective actions (Approved Date)]]), TODAY()-Table2[[#This Row],[CAR initialized date]], "CLOSED")</f>
        <v>CLOSED</v>
      </c>
    </row>
    <row r="354" spans="1:19" ht="36" customHeight="1" x14ac:dyDescent="0.25">
      <c r="A354" s="9" t="s">
        <v>249</v>
      </c>
      <c r="B354" s="13">
        <f>VLOOKUP(Table2[[#This Row],[Location 
(drop-down)]],'List source'!D$2:E$71,2,FALSE)</f>
        <v>199</v>
      </c>
      <c r="C354" s="11" t="s">
        <v>980</v>
      </c>
      <c r="D354" s="212" t="str">
        <f t="shared" si="5"/>
        <v>C352-199-25</v>
      </c>
      <c r="E354" s="11" t="s">
        <v>472</v>
      </c>
      <c r="F354" s="11"/>
      <c r="G354" s="76" t="s">
        <v>981</v>
      </c>
      <c r="H354" s="10" t="s">
        <v>458</v>
      </c>
      <c r="I354" s="20" t="s">
        <v>101</v>
      </c>
      <c r="J354" s="166">
        <v>45877</v>
      </c>
      <c r="K354" s="166" t="s">
        <v>503</v>
      </c>
      <c r="L354" s="166"/>
      <c r="M354" s="63">
        <v>45903</v>
      </c>
      <c r="N354" s="166" t="s">
        <v>503</v>
      </c>
      <c r="O354" s="63">
        <v>45903</v>
      </c>
      <c r="P354" s="196"/>
      <c r="Q354" s="37"/>
      <c r="R354" s="93" t="s">
        <v>530</v>
      </c>
      <c r="S354" s="13" t="str">
        <f ca="1">IF(ISBLANK(Table2[[#This Row],[Complete corrective actions (Approved Date)]]), TODAY()-Table2[[#This Row],[CAR initialized date]], "CLOSED")</f>
        <v>CLOSED</v>
      </c>
    </row>
    <row r="355" spans="1:19" ht="36" customHeight="1" x14ac:dyDescent="0.25">
      <c r="A355" s="9" t="s">
        <v>249</v>
      </c>
      <c r="B355" s="13">
        <f>VLOOKUP(Table2[[#This Row],[Location 
(drop-down)]],'List source'!D$2:E$71,2,FALSE)</f>
        <v>199</v>
      </c>
      <c r="C355" s="11" t="s">
        <v>982</v>
      </c>
      <c r="D355" s="212" t="str">
        <f t="shared" si="5"/>
        <v>C353-199-25</v>
      </c>
      <c r="E355" s="11" t="s">
        <v>472</v>
      </c>
      <c r="F355" s="11"/>
      <c r="G355" s="76" t="s">
        <v>983</v>
      </c>
      <c r="H355" s="10" t="s">
        <v>458</v>
      </c>
      <c r="I355" s="20" t="s">
        <v>101</v>
      </c>
      <c r="J355" s="166">
        <v>45877</v>
      </c>
      <c r="K355" s="166" t="s">
        <v>503</v>
      </c>
      <c r="L355" s="166"/>
      <c r="M355" s="63">
        <v>45908</v>
      </c>
      <c r="N355" s="166" t="s">
        <v>503</v>
      </c>
      <c r="O355" s="63">
        <v>45908</v>
      </c>
      <c r="P355" s="196"/>
      <c r="Q355" s="37"/>
      <c r="R355" s="93" t="s">
        <v>530</v>
      </c>
      <c r="S355" s="13" t="str">
        <f ca="1">IF(ISBLANK(Table2[[#This Row],[Complete corrective actions (Approved Date)]]), TODAY()-Table2[[#This Row],[CAR initialized date]], "CLOSED")</f>
        <v>CLOSED</v>
      </c>
    </row>
    <row r="356" spans="1:19" ht="36" customHeight="1" x14ac:dyDescent="0.25">
      <c r="A356" s="9" t="s">
        <v>79</v>
      </c>
      <c r="B356" s="13">
        <f>VLOOKUP(Table2[[#This Row],[Location 
(drop-down)]],'List source'!D$2:E$71,2,FALSE)</f>
        <v>160</v>
      </c>
      <c r="C356" s="11" t="s">
        <v>984</v>
      </c>
      <c r="D356" s="212" t="str">
        <f t="shared" si="5"/>
        <v>C354-160-25</v>
      </c>
      <c r="E356" s="11" t="s">
        <v>452</v>
      </c>
      <c r="F356" s="11" t="s">
        <v>453</v>
      </c>
      <c r="G356" s="76" t="s">
        <v>985</v>
      </c>
      <c r="H356" s="10" t="s">
        <v>986</v>
      </c>
      <c r="I356" s="20" t="s">
        <v>82</v>
      </c>
      <c r="J356" s="166">
        <v>45877</v>
      </c>
      <c r="K356" s="166"/>
      <c r="L356" s="166"/>
      <c r="M356" s="63">
        <v>45880</v>
      </c>
      <c r="N356" s="166"/>
      <c r="O356" s="63"/>
      <c r="P356" s="196"/>
      <c r="Q356" s="37" t="s">
        <v>987</v>
      </c>
      <c r="R356" s="93"/>
      <c r="S356" s="13" t="str">
        <f ca="1">IF(ISBLANK(Table2[[#This Row],[Complete corrective actions (Approved Date)]]), TODAY()-Table2[[#This Row],[CAR initialized date]], "CLOSED")</f>
        <v>CLOSED</v>
      </c>
    </row>
    <row r="357" spans="1:19" ht="36" customHeight="1" x14ac:dyDescent="0.25">
      <c r="A357" s="9" t="s">
        <v>107</v>
      </c>
      <c r="B357" s="13">
        <f>VLOOKUP(Table2[[#This Row],[Location 
(drop-down)]],'List source'!D$2:E$71,2,FALSE)</f>
        <v>170</v>
      </c>
      <c r="C357" s="11" t="s">
        <v>988</v>
      </c>
      <c r="D357" s="212" t="str">
        <f t="shared" si="5"/>
        <v>C355-170-25</v>
      </c>
      <c r="E357" s="11" t="s">
        <v>519</v>
      </c>
      <c r="F357" s="11" t="s">
        <v>41</v>
      </c>
      <c r="G357" s="9" t="s">
        <v>989</v>
      </c>
      <c r="H357" s="10" t="s">
        <v>455</v>
      </c>
      <c r="I357" s="20" t="s">
        <v>18</v>
      </c>
      <c r="J357" s="166">
        <v>45880</v>
      </c>
      <c r="K357" s="166" t="s">
        <v>503</v>
      </c>
      <c r="L357" s="166"/>
      <c r="M357" s="63">
        <v>45902</v>
      </c>
      <c r="N357" s="166" t="s">
        <v>503</v>
      </c>
      <c r="O357" s="63"/>
      <c r="P357" s="196"/>
      <c r="Q357" s="37" t="s">
        <v>990</v>
      </c>
      <c r="R357" s="93"/>
      <c r="S357" s="13" t="str">
        <f ca="1">IF(ISBLANK(Table2[[#This Row],[Complete corrective actions (Approved Date)]]), TODAY()-Table2[[#This Row],[CAR initialized date]], "CLOSED")</f>
        <v>CLOSED</v>
      </c>
    </row>
    <row r="358" spans="1:19" ht="36" customHeight="1" x14ac:dyDescent="0.25">
      <c r="A358" s="9" t="s">
        <v>107</v>
      </c>
      <c r="B358" s="13">
        <f>VLOOKUP(Table2[[#This Row],[Location 
(drop-down)]],'List source'!D$2:E$71,2,FALSE)</f>
        <v>170</v>
      </c>
      <c r="C358" s="11" t="s">
        <v>991</v>
      </c>
      <c r="D358" s="212" t="str">
        <f t="shared" si="5"/>
        <v>C356-170-25</v>
      </c>
      <c r="E358" s="11" t="s">
        <v>519</v>
      </c>
      <c r="F358" s="11" t="s">
        <v>41</v>
      </c>
      <c r="G358" s="9" t="s">
        <v>992</v>
      </c>
      <c r="H358" s="10" t="s">
        <v>455</v>
      </c>
      <c r="I358" s="20" t="s">
        <v>18</v>
      </c>
      <c r="J358" s="166">
        <v>45880</v>
      </c>
      <c r="K358" s="166"/>
      <c r="L358" s="166"/>
      <c r="M358" s="63">
        <v>45919</v>
      </c>
      <c r="N358" s="166"/>
      <c r="O358" s="63"/>
      <c r="P358" s="196"/>
      <c r="Q358" s="37" t="s">
        <v>990</v>
      </c>
      <c r="R358" s="93"/>
      <c r="S358" s="13" t="str">
        <f ca="1">IF(ISBLANK(Table2[[#This Row],[Complete corrective actions (Approved Date)]]), TODAY()-Table2[[#This Row],[CAR initialized date]], "CLOSED")</f>
        <v>CLOSED</v>
      </c>
    </row>
    <row r="359" spans="1:19" ht="36" customHeight="1" x14ac:dyDescent="0.25">
      <c r="A359" s="9" t="s">
        <v>281</v>
      </c>
      <c r="B359" s="13">
        <f>VLOOKUP(Table2[[#This Row],[Location 
(drop-down)]],'List source'!D$2:E$71,2,FALSE)</f>
        <v>129</v>
      </c>
      <c r="C359" s="11" t="s">
        <v>993</v>
      </c>
      <c r="D359" s="212" t="str">
        <f t="shared" si="5"/>
        <v>C357-129-25</v>
      </c>
      <c r="E359" s="11" t="s">
        <v>472</v>
      </c>
      <c r="F359" s="11"/>
      <c r="G359" s="9" t="s">
        <v>994</v>
      </c>
      <c r="H359" s="10" t="s">
        <v>455</v>
      </c>
      <c r="I359" s="20" t="s">
        <v>48</v>
      </c>
      <c r="J359" s="166">
        <v>45903</v>
      </c>
      <c r="K359" s="166"/>
      <c r="L359" s="166"/>
      <c r="M359" s="63">
        <v>46068</v>
      </c>
      <c r="N359" s="166"/>
      <c r="O359" s="63"/>
      <c r="P359" s="196"/>
      <c r="Q359" s="37"/>
      <c r="R359" s="93"/>
      <c r="S359" s="13" t="str">
        <f ca="1">IF(ISBLANK(Table2[[#This Row],[Complete corrective actions (Approved Date)]]), TODAY()-Table2[[#This Row],[CAR initialized date]], "CLOSED")</f>
        <v>CLOSED</v>
      </c>
    </row>
    <row r="360" spans="1:19" ht="36" customHeight="1" x14ac:dyDescent="0.25">
      <c r="A360" s="9" t="s">
        <v>281</v>
      </c>
      <c r="B360" s="13">
        <f>VLOOKUP(Table2[[#This Row],[Location 
(drop-down)]],'List source'!D$2:E$71,2,FALSE)</f>
        <v>129</v>
      </c>
      <c r="C360" s="11" t="s">
        <v>995</v>
      </c>
      <c r="D360" s="212" t="str">
        <f t="shared" si="5"/>
        <v>C358-129-25</v>
      </c>
      <c r="E360" s="11" t="s">
        <v>472</v>
      </c>
      <c r="F360" s="11"/>
      <c r="G360" s="9" t="s">
        <v>996</v>
      </c>
      <c r="H360" s="10" t="s">
        <v>455</v>
      </c>
      <c r="I360" s="20" t="s">
        <v>48</v>
      </c>
      <c r="J360" s="166">
        <v>45903</v>
      </c>
      <c r="K360" s="166"/>
      <c r="L360" s="166"/>
      <c r="M360" s="63"/>
      <c r="N360" s="166"/>
      <c r="O360" s="63"/>
      <c r="P360" s="196"/>
      <c r="Q360" s="37"/>
      <c r="R360" s="93"/>
      <c r="S360" s="13">
        <f ca="1">IF(ISBLANK(Table2[[#This Row],[Complete corrective actions (Approved Date)]]), TODAY()-Table2[[#This Row],[CAR initialized date]], "CLOSED")</f>
        <v>174</v>
      </c>
    </row>
    <row r="361" spans="1:19" ht="36" customHeight="1" x14ac:dyDescent="0.25">
      <c r="A361" s="9" t="s">
        <v>268</v>
      </c>
      <c r="B361" s="13">
        <f>VLOOKUP(Table2[[#This Row],[Location 
(drop-down)]],'List source'!D$2:E$71,2,FALSE)</f>
        <v>124</v>
      </c>
      <c r="C361" s="11" t="s">
        <v>997</v>
      </c>
      <c r="D361" s="212" t="str">
        <f t="shared" si="5"/>
        <v>C359-124-25</v>
      </c>
      <c r="E361" s="11" t="s">
        <v>472</v>
      </c>
      <c r="F361" s="11"/>
      <c r="G361" s="76" t="s">
        <v>622</v>
      </c>
      <c r="H361" s="10" t="s">
        <v>458</v>
      </c>
      <c r="I361" s="20" t="s">
        <v>18</v>
      </c>
      <c r="J361" s="166">
        <v>45884</v>
      </c>
      <c r="K361" s="166" t="s">
        <v>503</v>
      </c>
      <c r="L361" s="166"/>
      <c r="M361" s="63">
        <v>45903</v>
      </c>
      <c r="N361" s="166" t="s">
        <v>503</v>
      </c>
      <c r="O361" s="63"/>
      <c r="P361" s="196"/>
      <c r="Q361" s="37"/>
      <c r="R361" s="93"/>
      <c r="S361" s="13" t="str">
        <f ca="1">IF(ISBLANK(Table2[[#This Row],[Complete corrective actions (Approved Date)]]), TODAY()-Table2[[#This Row],[CAR initialized date]], "CLOSED")</f>
        <v>CLOSED</v>
      </c>
    </row>
    <row r="362" spans="1:19" ht="36" customHeight="1" x14ac:dyDescent="0.25">
      <c r="A362" s="9" t="s">
        <v>268</v>
      </c>
      <c r="B362" s="13">
        <f>VLOOKUP(Table2[[#This Row],[Location 
(drop-down)]],'List source'!D$2:E$71,2,FALSE)</f>
        <v>124</v>
      </c>
      <c r="C362" s="11" t="s">
        <v>998</v>
      </c>
      <c r="D362" s="212" t="str">
        <f t="shared" si="5"/>
        <v>C360-124-25</v>
      </c>
      <c r="E362" s="11" t="s">
        <v>472</v>
      </c>
      <c r="F362" s="11"/>
      <c r="G362" s="76" t="s">
        <v>525</v>
      </c>
      <c r="H362" s="10" t="s">
        <v>494</v>
      </c>
      <c r="I362" s="20" t="s">
        <v>18</v>
      </c>
      <c r="J362" s="166">
        <v>45884</v>
      </c>
      <c r="K362" s="166" t="s">
        <v>503</v>
      </c>
      <c r="L362" s="166"/>
      <c r="M362" s="63">
        <v>45903</v>
      </c>
      <c r="N362" s="166" t="s">
        <v>503</v>
      </c>
      <c r="O362" s="63"/>
      <c r="P362" s="196"/>
      <c r="Q362" s="37"/>
      <c r="R362" s="93"/>
      <c r="S362" s="13" t="str">
        <f ca="1">IF(ISBLANK(Table2[[#This Row],[Complete corrective actions (Approved Date)]]), TODAY()-Table2[[#This Row],[CAR initialized date]], "CLOSED")</f>
        <v>CLOSED</v>
      </c>
    </row>
    <row r="363" spans="1:19" ht="36" customHeight="1" x14ac:dyDescent="0.25">
      <c r="A363" s="9" t="s">
        <v>268</v>
      </c>
      <c r="B363" s="13">
        <f>VLOOKUP(Table2[[#This Row],[Location 
(drop-down)]],'List source'!D$2:E$71,2,FALSE)</f>
        <v>124</v>
      </c>
      <c r="C363" s="11" t="s">
        <v>999</v>
      </c>
      <c r="D363" s="212" t="str">
        <f t="shared" si="5"/>
        <v>C361-124-25</v>
      </c>
      <c r="E363" s="11" t="s">
        <v>472</v>
      </c>
      <c r="F363" s="11"/>
      <c r="G363" s="9" t="s">
        <v>1000</v>
      </c>
      <c r="H363" s="10" t="s">
        <v>455</v>
      </c>
      <c r="I363" s="20" t="s">
        <v>18</v>
      </c>
      <c r="J363" s="166">
        <v>45884</v>
      </c>
      <c r="K363" s="166" t="s">
        <v>503</v>
      </c>
      <c r="L363" s="166"/>
      <c r="M363" s="63">
        <v>45903</v>
      </c>
      <c r="N363" s="166" t="s">
        <v>503</v>
      </c>
      <c r="O363" s="63"/>
      <c r="P363" s="196"/>
      <c r="Q363" s="37"/>
      <c r="R363" s="93"/>
      <c r="S363" s="13" t="str">
        <f ca="1">IF(ISBLANK(Table2[[#This Row],[Complete corrective actions (Approved Date)]]), TODAY()-Table2[[#This Row],[CAR initialized date]], "CLOSED")</f>
        <v>CLOSED</v>
      </c>
    </row>
    <row r="364" spans="1:19" ht="36" customHeight="1" x14ac:dyDescent="0.25">
      <c r="A364" s="9" t="s">
        <v>268</v>
      </c>
      <c r="B364" s="13">
        <f>VLOOKUP(Table2[[#This Row],[Location 
(drop-down)]],'List source'!D$2:E$71,2,FALSE)</f>
        <v>124</v>
      </c>
      <c r="C364" s="11" t="s">
        <v>1001</v>
      </c>
      <c r="D364" s="212" t="str">
        <f t="shared" si="5"/>
        <v>C362-124-25</v>
      </c>
      <c r="E364" s="11" t="s">
        <v>472</v>
      </c>
      <c r="F364" s="11"/>
      <c r="G364" s="9" t="s">
        <v>819</v>
      </c>
      <c r="H364" s="10" t="s">
        <v>455</v>
      </c>
      <c r="I364" s="20" t="s">
        <v>18</v>
      </c>
      <c r="J364" s="166">
        <v>45884</v>
      </c>
      <c r="K364" s="166" t="s">
        <v>503</v>
      </c>
      <c r="L364" s="166"/>
      <c r="M364" s="63">
        <v>45919</v>
      </c>
      <c r="N364" s="166" t="s">
        <v>503</v>
      </c>
      <c r="O364" s="63"/>
      <c r="P364" s="196"/>
      <c r="Q364" s="37"/>
      <c r="R364" s="93"/>
      <c r="S364" s="13" t="str">
        <f ca="1">IF(ISBLANK(Table2[[#This Row],[Complete corrective actions (Approved Date)]]), TODAY()-Table2[[#This Row],[CAR initialized date]], "CLOSED")</f>
        <v>CLOSED</v>
      </c>
    </row>
    <row r="365" spans="1:19" ht="36" customHeight="1" x14ac:dyDescent="0.25">
      <c r="A365" s="9" t="s">
        <v>257</v>
      </c>
      <c r="B365" s="13">
        <f>VLOOKUP(Table2[[#This Row],[Location 
(drop-down)]],'List source'!D$2:E$71,2,FALSE)</f>
        <v>144</v>
      </c>
      <c r="C365" s="11" t="s">
        <v>1002</v>
      </c>
      <c r="D365" s="212" t="str">
        <f t="shared" si="5"/>
        <v>C363-144-25</v>
      </c>
      <c r="E365" s="11" t="s">
        <v>472</v>
      </c>
      <c r="F365" s="11"/>
      <c r="G365" s="9" t="s">
        <v>1003</v>
      </c>
      <c r="H365" s="10" t="s">
        <v>455</v>
      </c>
      <c r="I365" s="20" t="s">
        <v>27</v>
      </c>
      <c r="J365" s="166">
        <v>45888</v>
      </c>
      <c r="K365" s="166" t="s">
        <v>506</v>
      </c>
      <c r="L365" s="166"/>
      <c r="M365" s="63"/>
      <c r="N365" s="166"/>
      <c r="O365" s="63"/>
      <c r="P365" s="196"/>
      <c r="Q365" s="37"/>
      <c r="R365" s="93"/>
      <c r="S365" s="13">
        <f ca="1">IF(ISBLANK(Table2[[#This Row],[Complete corrective actions (Approved Date)]]), TODAY()-Table2[[#This Row],[CAR initialized date]], "CLOSED")</f>
        <v>189</v>
      </c>
    </row>
    <row r="366" spans="1:19" ht="36" customHeight="1" x14ac:dyDescent="0.25">
      <c r="A366" s="9" t="s">
        <v>257</v>
      </c>
      <c r="B366" s="13">
        <f>VLOOKUP(Table2[[#This Row],[Location 
(drop-down)]],'List source'!D$2:E$71,2,FALSE)</f>
        <v>144</v>
      </c>
      <c r="C366" s="11" t="s">
        <v>1004</v>
      </c>
      <c r="D366" s="212" t="str">
        <f t="shared" si="5"/>
        <v>C364-144-25</v>
      </c>
      <c r="E366" s="11" t="s">
        <v>472</v>
      </c>
      <c r="F366" s="11"/>
      <c r="G366" s="9" t="s">
        <v>551</v>
      </c>
      <c r="H366" s="10" t="s">
        <v>455</v>
      </c>
      <c r="I366" s="20" t="s">
        <v>27</v>
      </c>
      <c r="J366" s="166">
        <v>45888</v>
      </c>
      <c r="K366" s="166" t="s">
        <v>506</v>
      </c>
      <c r="L366" s="166"/>
      <c r="M366" s="63"/>
      <c r="N366" s="166"/>
      <c r="O366" s="63"/>
      <c r="P366" s="196"/>
      <c r="Q366" s="37"/>
      <c r="R366" s="93"/>
      <c r="S366" s="13">
        <f ca="1">IF(ISBLANK(Table2[[#This Row],[Complete corrective actions (Approved Date)]]), TODAY()-Table2[[#This Row],[CAR initialized date]], "CLOSED")</f>
        <v>189</v>
      </c>
    </row>
    <row r="367" spans="1:19" ht="36" customHeight="1" x14ac:dyDescent="0.25">
      <c r="A367" s="9" t="s">
        <v>257</v>
      </c>
      <c r="B367" s="13">
        <f>VLOOKUP(Table2[[#This Row],[Location 
(drop-down)]],'List source'!D$2:E$71,2,FALSE)</f>
        <v>144</v>
      </c>
      <c r="C367" s="11" t="s">
        <v>1005</v>
      </c>
      <c r="D367" s="212" t="str">
        <f t="shared" si="5"/>
        <v>C365-144-25</v>
      </c>
      <c r="E367" s="11" t="s">
        <v>472</v>
      </c>
      <c r="F367" s="11"/>
      <c r="G367" s="9" t="s">
        <v>1006</v>
      </c>
      <c r="H367" s="10" t="s">
        <v>455</v>
      </c>
      <c r="I367" s="20" t="s">
        <v>27</v>
      </c>
      <c r="J367" s="166">
        <v>45888</v>
      </c>
      <c r="K367" s="166" t="s">
        <v>506</v>
      </c>
      <c r="L367" s="166"/>
      <c r="M367" s="63"/>
      <c r="N367" s="166"/>
      <c r="O367" s="63"/>
      <c r="P367" s="196"/>
      <c r="Q367" s="37"/>
      <c r="R367" s="93"/>
      <c r="S367" s="13">
        <f ca="1">IF(ISBLANK(Table2[[#This Row],[Complete corrective actions (Approved Date)]]), TODAY()-Table2[[#This Row],[CAR initialized date]], "CLOSED")</f>
        <v>189</v>
      </c>
    </row>
    <row r="368" spans="1:19" ht="36" customHeight="1" x14ac:dyDescent="0.25">
      <c r="A368" s="9" t="s">
        <v>257</v>
      </c>
      <c r="B368" s="13">
        <f>VLOOKUP(Table2[[#This Row],[Location 
(drop-down)]],'List source'!D$2:E$71,2,FALSE)</f>
        <v>144</v>
      </c>
      <c r="C368" s="11" t="s">
        <v>1007</v>
      </c>
      <c r="D368" s="212" t="str">
        <f t="shared" si="5"/>
        <v>C366-144-25</v>
      </c>
      <c r="E368" s="11" t="s">
        <v>472</v>
      </c>
      <c r="F368" s="11"/>
      <c r="G368" s="9" t="s">
        <v>1008</v>
      </c>
      <c r="H368" s="10" t="s">
        <v>455</v>
      </c>
      <c r="I368" s="20" t="s">
        <v>27</v>
      </c>
      <c r="J368" s="166">
        <v>45888</v>
      </c>
      <c r="K368" s="166" t="s">
        <v>506</v>
      </c>
      <c r="L368" s="166"/>
      <c r="M368" s="63"/>
      <c r="N368" s="166"/>
      <c r="O368" s="63"/>
      <c r="P368" s="196"/>
      <c r="Q368" s="37"/>
      <c r="R368" s="93"/>
      <c r="S368" s="13">
        <f ca="1">IF(ISBLANK(Table2[[#This Row],[Complete corrective actions (Approved Date)]]), TODAY()-Table2[[#This Row],[CAR initialized date]], "CLOSED")</f>
        <v>189</v>
      </c>
    </row>
    <row r="369" spans="1:19" ht="36" customHeight="1" x14ac:dyDescent="0.25">
      <c r="A369" s="9" t="s">
        <v>257</v>
      </c>
      <c r="B369" s="13">
        <f>VLOOKUP(Table2[[#This Row],[Location 
(drop-down)]],'List source'!D$2:E$71,2,FALSE)</f>
        <v>144</v>
      </c>
      <c r="C369" s="11" t="s">
        <v>1009</v>
      </c>
      <c r="D369" s="212" t="str">
        <f t="shared" si="5"/>
        <v>C367-144-25</v>
      </c>
      <c r="E369" s="11" t="s">
        <v>472</v>
      </c>
      <c r="F369" s="11"/>
      <c r="G369" s="9" t="s">
        <v>550</v>
      </c>
      <c r="H369" s="10" t="s">
        <v>455</v>
      </c>
      <c r="I369" s="20" t="s">
        <v>27</v>
      </c>
      <c r="J369" s="166">
        <v>45888</v>
      </c>
      <c r="K369" s="166" t="s">
        <v>506</v>
      </c>
      <c r="L369" s="166"/>
      <c r="M369" s="63"/>
      <c r="N369" s="166"/>
      <c r="O369" s="63"/>
      <c r="P369" s="196"/>
      <c r="Q369" s="37"/>
      <c r="R369" s="93"/>
      <c r="S369" s="13">
        <f ca="1">IF(ISBLANK(Table2[[#This Row],[Complete corrective actions (Approved Date)]]), TODAY()-Table2[[#This Row],[CAR initialized date]], "CLOSED")</f>
        <v>189</v>
      </c>
    </row>
    <row r="370" spans="1:19" ht="36" customHeight="1" x14ac:dyDescent="0.25">
      <c r="A370" s="9" t="s">
        <v>257</v>
      </c>
      <c r="B370" s="13">
        <f>VLOOKUP(Table2[[#This Row],[Location 
(drop-down)]],'List source'!D$2:E$71,2,FALSE)</f>
        <v>144</v>
      </c>
      <c r="C370" s="11" t="s">
        <v>1010</v>
      </c>
      <c r="D370" s="212" t="str">
        <f t="shared" si="5"/>
        <v>C368-144-25</v>
      </c>
      <c r="E370" s="11" t="s">
        <v>472</v>
      </c>
      <c r="F370" s="11"/>
      <c r="G370" s="9" t="s">
        <v>1011</v>
      </c>
      <c r="H370" s="10" t="s">
        <v>455</v>
      </c>
      <c r="I370" s="20" t="s">
        <v>27</v>
      </c>
      <c r="J370" s="166">
        <v>45888</v>
      </c>
      <c r="K370" s="166" t="s">
        <v>506</v>
      </c>
      <c r="L370" s="166"/>
      <c r="M370" s="63"/>
      <c r="N370" s="166"/>
      <c r="O370" s="63"/>
      <c r="P370" s="196"/>
      <c r="Q370" s="37"/>
      <c r="R370" s="93"/>
      <c r="S370" s="13">
        <f ca="1">IF(ISBLANK(Table2[[#This Row],[Complete corrective actions (Approved Date)]]), TODAY()-Table2[[#This Row],[CAR initialized date]], "CLOSED")</f>
        <v>189</v>
      </c>
    </row>
    <row r="371" spans="1:19" ht="36" customHeight="1" x14ac:dyDescent="0.25">
      <c r="A371" s="9" t="s">
        <v>254</v>
      </c>
      <c r="B371" s="13">
        <f>VLOOKUP(Table2[[#This Row],[Location 
(drop-down)]],'List source'!D$2:E$71,2,FALSE)</f>
        <v>133</v>
      </c>
      <c r="C371" s="11" t="s">
        <v>1012</v>
      </c>
      <c r="D371" s="212" t="str">
        <f t="shared" si="5"/>
        <v>C369-133-25</v>
      </c>
      <c r="E371" s="11" t="s">
        <v>465</v>
      </c>
      <c r="F371" s="11" t="s">
        <v>169</v>
      </c>
      <c r="G371" s="9" t="s">
        <v>1013</v>
      </c>
      <c r="H371" s="10" t="s">
        <v>458</v>
      </c>
      <c r="I371" s="20" t="s">
        <v>167</v>
      </c>
      <c r="J371" s="166">
        <v>45888</v>
      </c>
      <c r="K371" s="166" t="s">
        <v>506</v>
      </c>
      <c r="L371" s="166"/>
      <c r="M371" s="63">
        <v>45981</v>
      </c>
      <c r="N371" s="166" t="s">
        <v>506</v>
      </c>
      <c r="O371" s="63">
        <v>45981</v>
      </c>
      <c r="P371" s="196"/>
      <c r="Q371" s="37"/>
      <c r="R371" s="93"/>
      <c r="S371" s="13" t="str">
        <f ca="1">IF(ISBLANK(Table2[[#This Row],[Complete corrective actions (Approved Date)]]), TODAY()-Table2[[#This Row],[CAR initialized date]], "CLOSED")</f>
        <v>CLOSED</v>
      </c>
    </row>
    <row r="372" spans="1:19" ht="36" customHeight="1" x14ac:dyDescent="0.25">
      <c r="A372" s="9" t="s">
        <v>278</v>
      </c>
      <c r="B372" s="13" t="str">
        <f>VLOOKUP(Table2[[#This Row],[Location 
(drop-down)]],'List source'!D$2:E$71,2,FALSE)</f>
        <v>120W</v>
      </c>
      <c r="C372" s="11" t="s">
        <v>1014</v>
      </c>
      <c r="D372" s="212" t="str">
        <f t="shared" si="5"/>
        <v>C370-120W-25</v>
      </c>
      <c r="E372" s="11" t="s">
        <v>472</v>
      </c>
      <c r="F372" s="11"/>
      <c r="G372" s="9" t="s">
        <v>1015</v>
      </c>
      <c r="H372" s="10" t="s">
        <v>455</v>
      </c>
      <c r="I372" s="20" t="s">
        <v>18</v>
      </c>
      <c r="J372" s="166">
        <v>45888</v>
      </c>
      <c r="K372" s="166"/>
      <c r="L372" s="166"/>
      <c r="M372" s="63"/>
      <c r="N372" s="166"/>
      <c r="O372" s="63"/>
      <c r="P372" s="196"/>
      <c r="Q372" s="37"/>
      <c r="R372" s="93"/>
      <c r="S372" s="13">
        <f ca="1">IF(ISBLANK(Table2[[#This Row],[Complete corrective actions (Approved Date)]]), TODAY()-Table2[[#This Row],[CAR initialized date]], "CLOSED")</f>
        <v>189</v>
      </c>
    </row>
    <row r="373" spans="1:19" ht="36" customHeight="1" x14ac:dyDescent="0.25">
      <c r="A373" s="9" t="s">
        <v>278</v>
      </c>
      <c r="B373" s="13" t="str">
        <f>VLOOKUP(Table2[[#This Row],[Location 
(drop-down)]],'List source'!D$2:E$71,2,FALSE)</f>
        <v>120W</v>
      </c>
      <c r="C373" s="11" t="s">
        <v>1016</v>
      </c>
      <c r="D373" s="212" t="str">
        <f t="shared" si="5"/>
        <v>C371-120W-25</v>
      </c>
      <c r="E373" s="11" t="s">
        <v>472</v>
      </c>
      <c r="F373" s="11"/>
      <c r="G373" s="171" t="s">
        <v>1017</v>
      </c>
      <c r="H373" s="10" t="s">
        <v>455</v>
      </c>
      <c r="I373" s="20" t="s">
        <v>18</v>
      </c>
      <c r="J373" s="166">
        <v>45888</v>
      </c>
      <c r="K373" s="166"/>
      <c r="L373" s="166"/>
      <c r="M373" s="63"/>
      <c r="N373" s="166"/>
      <c r="O373" s="63"/>
      <c r="P373" s="196"/>
      <c r="Q373" s="37"/>
      <c r="R373" s="93"/>
      <c r="S373" s="13">
        <f ca="1">IF(ISBLANK(Table2[[#This Row],[Complete corrective actions (Approved Date)]]), TODAY()-Table2[[#This Row],[CAR initialized date]], "CLOSED")</f>
        <v>189</v>
      </c>
    </row>
    <row r="374" spans="1:19" ht="36" customHeight="1" x14ac:dyDescent="0.25">
      <c r="A374" s="9" t="s">
        <v>278</v>
      </c>
      <c r="B374" s="13" t="str">
        <f>VLOOKUP(Table2[[#This Row],[Location 
(drop-down)]],'List source'!D$2:E$71,2,FALSE)</f>
        <v>120W</v>
      </c>
      <c r="C374" s="11" t="s">
        <v>1018</v>
      </c>
      <c r="D374" s="212" t="str">
        <f t="shared" si="5"/>
        <v>C372-120W-25</v>
      </c>
      <c r="E374" s="11" t="s">
        <v>472</v>
      </c>
      <c r="F374" s="11"/>
      <c r="G374" s="9" t="s">
        <v>1019</v>
      </c>
      <c r="H374" s="10" t="s">
        <v>455</v>
      </c>
      <c r="I374" s="20" t="s">
        <v>18</v>
      </c>
      <c r="J374" s="166">
        <v>45888</v>
      </c>
      <c r="K374" s="166"/>
      <c r="L374" s="166"/>
      <c r="M374" s="63"/>
      <c r="N374" s="166"/>
      <c r="O374" s="63"/>
      <c r="P374" s="196"/>
      <c r="Q374" s="37"/>
      <c r="R374" s="93"/>
      <c r="S374" s="13">
        <f ca="1">IF(ISBLANK(Table2[[#This Row],[Complete corrective actions (Approved Date)]]), TODAY()-Table2[[#This Row],[CAR initialized date]], "CLOSED")</f>
        <v>189</v>
      </c>
    </row>
    <row r="375" spans="1:19" ht="36" customHeight="1" x14ac:dyDescent="0.25">
      <c r="A375" s="9" t="s">
        <v>278</v>
      </c>
      <c r="B375" s="13" t="str">
        <f>VLOOKUP(Table2[[#This Row],[Location 
(drop-down)]],'List source'!D$2:E$71,2,FALSE)</f>
        <v>120W</v>
      </c>
      <c r="C375" s="11" t="s">
        <v>1020</v>
      </c>
      <c r="D375" s="212" t="str">
        <f t="shared" si="5"/>
        <v>C373-120W-25</v>
      </c>
      <c r="E375" s="11" t="s">
        <v>472</v>
      </c>
      <c r="F375" s="11"/>
      <c r="G375" s="9" t="s">
        <v>1021</v>
      </c>
      <c r="H375" s="10" t="s">
        <v>455</v>
      </c>
      <c r="I375" s="20" t="s">
        <v>18</v>
      </c>
      <c r="J375" s="166">
        <v>45888</v>
      </c>
      <c r="K375" s="166"/>
      <c r="L375" s="166"/>
      <c r="M375" s="63"/>
      <c r="N375" s="166"/>
      <c r="O375" s="63"/>
      <c r="P375" s="196"/>
      <c r="Q375" s="37"/>
      <c r="R375" s="93"/>
      <c r="S375" s="13">
        <f ca="1">IF(ISBLANK(Table2[[#This Row],[Complete corrective actions (Approved Date)]]), TODAY()-Table2[[#This Row],[CAR initialized date]], "CLOSED")</f>
        <v>189</v>
      </c>
    </row>
    <row r="376" spans="1:19" ht="36" customHeight="1" x14ac:dyDescent="0.25">
      <c r="A376" s="9" t="s">
        <v>278</v>
      </c>
      <c r="B376" s="13" t="str">
        <f>VLOOKUP(Table2[[#This Row],[Location 
(drop-down)]],'List source'!D$2:E$71,2,FALSE)</f>
        <v>120W</v>
      </c>
      <c r="C376" s="11" t="s">
        <v>1022</v>
      </c>
      <c r="D376" s="212" t="str">
        <f t="shared" si="5"/>
        <v>C374-120W-25</v>
      </c>
      <c r="E376" s="11" t="s">
        <v>472</v>
      </c>
      <c r="F376" s="11"/>
      <c r="G376" s="9" t="s">
        <v>1023</v>
      </c>
      <c r="H376" s="10" t="s">
        <v>455</v>
      </c>
      <c r="I376" s="20" t="s">
        <v>18</v>
      </c>
      <c r="J376" s="166">
        <v>45888</v>
      </c>
      <c r="K376" s="166" t="s">
        <v>503</v>
      </c>
      <c r="L376" s="166"/>
      <c r="M376" s="63">
        <v>45961</v>
      </c>
      <c r="N376" s="166" t="s">
        <v>503</v>
      </c>
      <c r="O376" s="63"/>
      <c r="P376" s="196"/>
      <c r="Q376" s="37" t="s">
        <v>1024</v>
      </c>
      <c r="R376" s="93"/>
      <c r="S376" s="13" t="str">
        <f ca="1">IF(ISBLANK(Table2[[#This Row],[Complete corrective actions (Approved Date)]]), TODAY()-Table2[[#This Row],[CAR initialized date]], "CLOSED")</f>
        <v>CLOSED</v>
      </c>
    </row>
    <row r="377" spans="1:19" ht="36" customHeight="1" x14ac:dyDescent="0.25">
      <c r="A377" s="9" t="s">
        <v>220</v>
      </c>
      <c r="B377" s="13">
        <f>VLOOKUP(Table2[[#This Row],[Location 
(drop-down)]],'List source'!D$2:E$71,2,FALSE)</f>
        <v>197</v>
      </c>
      <c r="C377" s="11" t="s">
        <v>1025</v>
      </c>
      <c r="D377" s="212" t="str">
        <f t="shared" si="5"/>
        <v>C375-197-25</v>
      </c>
      <c r="E377" s="11" t="s">
        <v>519</v>
      </c>
      <c r="F377" s="11" t="s">
        <v>41</v>
      </c>
      <c r="G377" s="9" t="s">
        <v>1026</v>
      </c>
      <c r="H377" s="10" t="s">
        <v>455</v>
      </c>
      <c r="I377" s="20" t="s">
        <v>18</v>
      </c>
      <c r="J377" s="166">
        <v>45894</v>
      </c>
      <c r="K377" s="166" t="s">
        <v>503</v>
      </c>
      <c r="L377" s="166"/>
      <c r="M377" s="63">
        <v>45931</v>
      </c>
      <c r="N377" s="166" t="s">
        <v>503</v>
      </c>
      <c r="O377" s="63"/>
      <c r="P377" s="196"/>
      <c r="Q377" s="37" t="s">
        <v>1027</v>
      </c>
      <c r="R377" s="93"/>
      <c r="S377" s="13" t="str">
        <f ca="1">IF(ISBLANK(Table2[[#This Row],[Complete corrective actions (Approved Date)]]), TODAY()-Table2[[#This Row],[CAR initialized date]], "CLOSED")</f>
        <v>CLOSED</v>
      </c>
    </row>
    <row r="378" spans="1:19" ht="36" customHeight="1" x14ac:dyDescent="0.25">
      <c r="A378" s="9" t="s">
        <v>220</v>
      </c>
      <c r="B378" s="13">
        <f>VLOOKUP(Table2[[#This Row],[Location 
(drop-down)]],'List source'!D$2:E$71,2,FALSE)</f>
        <v>197</v>
      </c>
      <c r="C378" s="11" t="s">
        <v>1028</v>
      </c>
      <c r="D378" s="212" t="str">
        <f t="shared" si="5"/>
        <v>C376-197-25</v>
      </c>
      <c r="E378" s="11" t="s">
        <v>519</v>
      </c>
      <c r="F378" s="11" t="s">
        <v>41</v>
      </c>
      <c r="G378" s="9" t="s">
        <v>1029</v>
      </c>
      <c r="H378" s="10" t="s">
        <v>455</v>
      </c>
      <c r="I378" s="20" t="s">
        <v>18</v>
      </c>
      <c r="J378" s="166">
        <v>45894</v>
      </c>
      <c r="K378" s="166" t="s">
        <v>503</v>
      </c>
      <c r="L378" s="166"/>
      <c r="M378" s="63">
        <v>45933</v>
      </c>
      <c r="N378" s="166" t="s">
        <v>503</v>
      </c>
      <c r="O378" s="63"/>
      <c r="P378" s="196"/>
      <c r="Q378" s="37" t="s">
        <v>1027</v>
      </c>
      <c r="R378" s="93"/>
      <c r="S378" s="13" t="str">
        <f ca="1">IF(ISBLANK(Table2[[#This Row],[Complete corrective actions (Approved Date)]]), TODAY()-Table2[[#This Row],[CAR initialized date]], "CLOSED")</f>
        <v>CLOSED</v>
      </c>
    </row>
    <row r="379" spans="1:19" ht="36" customHeight="1" x14ac:dyDescent="0.25">
      <c r="A379" s="9" t="s">
        <v>79</v>
      </c>
      <c r="B379" s="13">
        <f>VLOOKUP(Table2[[#This Row],[Location 
(drop-down)]],'List source'!D$2:E$71,2,FALSE)</f>
        <v>160</v>
      </c>
      <c r="C379" s="11" t="s">
        <v>1030</v>
      </c>
      <c r="D379" s="212" t="str">
        <f t="shared" si="5"/>
        <v>C377-160-25</v>
      </c>
      <c r="E379" s="11" t="s">
        <v>460</v>
      </c>
      <c r="F379" s="11"/>
      <c r="G379" s="78" t="s">
        <v>1031</v>
      </c>
      <c r="H379" s="10" t="s">
        <v>455</v>
      </c>
      <c r="I379" s="20" t="s">
        <v>35</v>
      </c>
      <c r="J379" s="166">
        <v>45896</v>
      </c>
      <c r="K379" s="166"/>
      <c r="L379" s="166"/>
      <c r="M379" s="63">
        <v>45992</v>
      </c>
      <c r="N379" s="166"/>
      <c r="O379" s="63"/>
      <c r="P379" s="196"/>
      <c r="Q379" s="37"/>
      <c r="R379" s="93"/>
      <c r="S379" s="13" t="str">
        <f ca="1">IF(ISBLANK(Table2[[#This Row],[Complete corrective actions (Approved Date)]]), TODAY()-Table2[[#This Row],[CAR initialized date]], "CLOSED")</f>
        <v>CLOSED</v>
      </c>
    </row>
    <row r="380" spans="1:19" ht="36" customHeight="1" x14ac:dyDescent="0.25">
      <c r="A380" s="9" t="s">
        <v>141</v>
      </c>
      <c r="B380" s="13">
        <f>VLOOKUP(Table2[[#This Row],[Location 
(drop-down)]],'List source'!D$2:E$71,2,FALSE)</f>
        <v>165</v>
      </c>
      <c r="C380" s="11" t="s">
        <v>1032</v>
      </c>
      <c r="D380" s="212" t="str">
        <f t="shared" si="5"/>
        <v>C378-165-25</v>
      </c>
      <c r="E380" s="11" t="s">
        <v>452</v>
      </c>
      <c r="F380" s="11" t="s">
        <v>84</v>
      </c>
      <c r="G380" s="9" t="s">
        <v>1033</v>
      </c>
      <c r="H380" s="10" t="s">
        <v>455</v>
      </c>
      <c r="I380" s="20" t="s">
        <v>35</v>
      </c>
      <c r="J380" s="166">
        <v>45889</v>
      </c>
      <c r="K380" s="166" t="s">
        <v>897</v>
      </c>
      <c r="L380" s="166"/>
      <c r="M380" s="63">
        <v>45898</v>
      </c>
      <c r="N380" s="166" t="s">
        <v>503</v>
      </c>
      <c r="O380" s="63"/>
      <c r="P380" s="196"/>
      <c r="Q380" s="37" t="s">
        <v>1034</v>
      </c>
      <c r="R380" s="93"/>
      <c r="S380" s="13" t="str">
        <f ca="1">IF(ISBLANK(Table2[[#This Row],[Complete corrective actions (Approved Date)]]), TODAY()-Table2[[#This Row],[CAR initialized date]], "CLOSED")</f>
        <v>CLOSED</v>
      </c>
    </row>
    <row r="381" spans="1:19" ht="36" customHeight="1" x14ac:dyDescent="0.25">
      <c r="A381" s="9" t="s">
        <v>389</v>
      </c>
      <c r="B381" s="13">
        <f>VLOOKUP(Table2[[#This Row],[Location 
(drop-down)]],'List source'!D$2:E$71,2,FALSE)</f>
        <v>161</v>
      </c>
      <c r="C381" s="11" t="s">
        <v>1035</v>
      </c>
      <c r="D381" s="212" t="str">
        <f t="shared" si="5"/>
        <v>C379-161-25</v>
      </c>
      <c r="E381" s="11" t="s">
        <v>452</v>
      </c>
      <c r="F381" s="11" t="s">
        <v>1036</v>
      </c>
      <c r="G381" s="152" t="s">
        <v>1037</v>
      </c>
      <c r="H381" s="10" t="s">
        <v>458</v>
      </c>
      <c r="I381" s="20" t="s">
        <v>82</v>
      </c>
      <c r="J381" s="166">
        <v>45894</v>
      </c>
      <c r="K381" s="166"/>
      <c r="L381" s="166"/>
      <c r="M381" s="63">
        <v>45904</v>
      </c>
      <c r="N381" s="166"/>
      <c r="O381" s="63"/>
      <c r="P381" s="196"/>
      <c r="Q381" s="37" t="s">
        <v>1038</v>
      </c>
      <c r="R381" s="93"/>
      <c r="S381" s="13" t="str">
        <f ca="1">IF(ISBLANK(Table2[[#This Row],[Complete corrective actions (Approved Date)]]), TODAY()-Table2[[#This Row],[CAR initialized date]], "CLOSED")</f>
        <v>CLOSED</v>
      </c>
    </row>
    <row r="382" spans="1:19" ht="36" customHeight="1" x14ac:dyDescent="0.25">
      <c r="A382" s="9" t="s">
        <v>156</v>
      </c>
      <c r="B382" s="13">
        <f>VLOOKUP(Table2[[#This Row],[Location 
(drop-down)]],'List source'!D$2:E$71,2,FALSE)</f>
        <v>130</v>
      </c>
      <c r="C382" s="11" t="s">
        <v>1039</v>
      </c>
      <c r="D382" s="212" t="str">
        <f t="shared" si="5"/>
        <v>C380-130-25</v>
      </c>
      <c r="E382" s="11" t="s">
        <v>452</v>
      </c>
      <c r="F382" s="11" t="s">
        <v>456</v>
      </c>
      <c r="G382" s="9" t="s">
        <v>1040</v>
      </c>
      <c r="H382" s="10" t="s">
        <v>455</v>
      </c>
      <c r="I382" s="20" t="s">
        <v>167</v>
      </c>
      <c r="J382" s="166">
        <v>45903</v>
      </c>
      <c r="K382" s="166" t="s">
        <v>503</v>
      </c>
      <c r="L382" s="166"/>
      <c r="M382" s="63">
        <v>45946</v>
      </c>
      <c r="N382" s="166" t="s">
        <v>506</v>
      </c>
      <c r="O382" s="63"/>
      <c r="P382" s="196"/>
      <c r="Q382" s="37" t="s">
        <v>1041</v>
      </c>
      <c r="R382" s="93"/>
      <c r="S382" s="13" t="str">
        <f ca="1">IF(ISBLANK(Table2[[#This Row],[Complete corrective actions (Approved Date)]]), TODAY()-Table2[[#This Row],[CAR initialized date]], "CLOSED")</f>
        <v>CLOSED</v>
      </c>
    </row>
    <row r="383" spans="1:19" ht="36" customHeight="1" x14ac:dyDescent="0.25">
      <c r="A383" s="9" t="s">
        <v>141</v>
      </c>
      <c r="B383" s="13">
        <f>VLOOKUP(Table2[[#This Row],[Location 
(drop-down)]],'List source'!D$2:E$71,2,FALSE)</f>
        <v>165</v>
      </c>
      <c r="C383" s="11" t="s">
        <v>1042</v>
      </c>
      <c r="D383" s="212" t="str">
        <f t="shared" si="5"/>
        <v>C381-165-25</v>
      </c>
      <c r="E383" s="11" t="s">
        <v>460</v>
      </c>
      <c r="F383" s="11" t="s">
        <v>41</v>
      </c>
      <c r="G383" s="9" t="s">
        <v>1043</v>
      </c>
      <c r="H383" s="10" t="s">
        <v>455</v>
      </c>
      <c r="I383" s="20" t="s">
        <v>18</v>
      </c>
      <c r="J383" s="166">
        <v>45904</v>
      </c>
      <c r="K383" s="166" t="s">
        <v>503</v>
      </c>
      <c r="L383" s="166"/>
      <c r="M383" s="63">
        <v>45931</v>
      </c>
      <c r="N383" s="166"/>
      <c r="O383" s="63"/>
      <c r="P383" s="196"/>
      <c r="Q383" s="37"/>
      <c r="R383" s="93"/>
      <c r="S383" s="13" t="str">
        <f ca="1">IF(ISBLANK(Table2[[#This Row],[Complete corrective actions (Approved Date)]]), TODAY()-Table2[[#This Row],[CAR initialized date]], "CLOSED")</f>
        <v>CLOSED</v>
      </c>
    </row>
    <row r="384" spans="1:19" ht="36" customHeight="1" x14ac:dyDescent="0.25">
      <c r="A384" s="9" t="s">
        <v>37</v>
      </c>
      <c r="B384" s="13">
        <f>VLOOKUP(Table2[[#This Row],[Location 
(drop-down)]],'List source'!D$2:E$71,2,FALSE)</f>
        <v>210</v>
      </c>
      <c r="C384" s="11" t="s">
        <v>1044</v>
      </c>
      <c r="D384" s="212" t="str">
        <f t="shared" si="5"/>
        <v>C382-210-25</v>
      </c>
      <c r="E384" s="11" t="s">
        <v>472</v>
      </c>
      <c r="F384" s="11"/>
      <c r="G384" s="9" t="s">
        <v>1045</v>
      </c>
      <c r="H384" s="10" t="s">
        <v>458</v>
      </c>
      <c r="I384" s="20" t="s">
        <v>35</v>
      </c>
      <c r="J384" s="166">
        <v>45905</v>
      </c>
      <c r="K384" s="166" t="s">
        <v>503</v>
      </c>
      <c r="L384" s="166"/>
      <c r="M384" s="63">
        <v>45924</v>
      </c>
      <c r="N384" s="166" t="s">
        <v>503</v>
      </c>
      <c r="O384" s="63">
        <v>46042</v>
      </c>
      <c r="P384" s="196" t="s">
        <v>503</v>
      </c>
      <c r="Q384" s="37" t="s">
        <v>1046</v>
      </c>
      <c r="R384" s="93"/>
      <c r="S384" s="13" t="str">
        <f ca="1">IF(ISBLANK(Table2[[#This Row],[Complete corrective actions (Approved Date)]]), TODAY()-Table2[[#This Row],[CAR initialized date]], "CLOSED")</f>
        <v>CLOSED</v>
      </c>
    </row>
    <row r="385" spans="1:19" ht="36" customHeight="1" x14ac:dyDescent="0.25">
      <c r="A385" s="9" t="s">
        <v>37</v>
      </c>
      <c r="B385" s="13">
        <f>VLOOKUP(Table2[[#This Row],[Location 
(drop-down)]],'List source'!D$2:E$71,2,FALSE)</f>
        <v>210</v>
      </c>
      <c r="C385" s="11" t="s">
        <v>1047</v>
      </c>
      <c r="D385" s="212" t="str">
        <f t="shared" si="5"/>
        <v>C383-210-25</v>
      </c>
      <c r="E385" s="11" t="s">
        <v>472</v>
      </c>
      <c r="F385" s="11"/>
      <c r="G385" s="9" t="s">
        <v>1048</v>
      </c>
      <c r="H385" s="10" t="s">
        <v>455</v>
      </c>
      <c r="I385" s="20" t="s">
        <v>35</v>
      </c>
      <c r="J385" s="166">
        <v>45905</v>
      </c>
      <c r="K385" s="166" t="s">
        <v>503</v>
      </c>
      <c r="L385" s="166"/>
      <c r="M385" s="63">
        <v>45924</v>
      </c>
      <c r="N385" s="166" t="s">
        <v>503</v>
      </c>
      <c r="O385" s="63">
        <v>46049</v>
      </c>
      <c r="P385" s="196" t="s">
        <v>503</v>
      </c>
      <c r="Q385" s="37" t="s">
        <v>1046</v>
      </c>
      <c r="R385" s="93"/>
      <c r="S385" s="13" t="str">
        <f ca="1">IF(ISBLANK(Table2[[#This Row],[Complete corrective actions (Approved Date)]]), TODAY()-Table2[[#This Row],[CAR initialized date]], "CLOSED")</f>
        <v>CLOSED</v>
      </c>
    </row>
    <row r="386" spans="1:19" ht="36" customHeight="1" x14ac:dyDescent="0.25">
      <c r="A386" s="9" t="s">
        <v>37</v>
      </c>
      <c r="B386" s="13">
        <f>VLOOKUP(Table2[[#This Row],[Location 
(drop-down)]],'List source'!D$2:E$71,2,FALSE)</f>
        <v>210</v>
      </c>
      <c r="C386" s="11" t="s">
        <v>1049</v>
      </c>
      <c r="D386" s="212" t="str">
        <f t="shared" ref="D386:D449" si="6">"C" &amp; C386 &amp;"-" &amp; B386 &amp; "-" &amp; "25"</f>
        <v>C384-210-25</v>
      </c>
      <c r="E386" s="11" t="s">
        <v>472</v>
      </c>
      <c r="F386" s="11"/>
      <c r="G386" s="9" t="s">
        <v>1050</v>
      </c>
      <c r="H386" s="10" t="s">
        <v>455</v>
      </c>
      <c r="I386" s="20" t="s">
        <v>35</v>
      </c>
      <c r="J386" s="166">
        <v>45905</v>
      </c>
      <c r="K386" s="166" t="s">
        <v>503</v>
      </c>
      <c r="L386" s="166"/>
      <c r="M386" s="63">
        <v>45924</v>
      </c>
      <c r="N386" s="166" t="s">
        <v>897</v>
      </c>
      <c r="O386" s="63">
        <v>46049</v>
      </c>
      <c r="P386" s="196" t="s">
        <v>503</v>
      </c>
      <c r="Q386" s="37" t="s">
        <v>1046</v>
      </c>
      <c r="R386" s="93"/>
      <c r="S386" s="13" t="str">
        <f ca="1">IF(ISBLANK(Table2[[#This Row],[Complete corrective actions (Approved Date)]]), TODAY()-Table2[[#This Row],[CAR initialized date]], "CLOSED")</f>
        <v>CLOSED</v>
      </c>
    </row>
    <row r="387" spans="1:19" ht="36" customHeight="1" x14ac:dyDescent="0.25">
      <c r="A387" s="9" t="s">
        <v>141</v>
      </c>
      <c r="B387" s="13">
        <f>VLOOKUP(Table2[[#This Row],[Location 
(drop-down)]],'List source'!D$2:E$71,2,FALSE)</f>
        <v>165</v>
      </c>
      <c r="C387" s="11" t="s">
        <v>1051</v>
      </c>
      <c r="D387" s="212" t="str">
        <f t="shared" si="6"/>
        <v>C385-165-25</v>
      </c>
      <c r="E387" s="11" t="s">
        <v>519</v>
      </c>
      <c r="F387" s="11" t="s">
        <v>41</v>
      </c>
      <c r="G387" s="9" t="s">
        <v>936</v>
      </c>
      <c r="H387" s="10" t="s">
        <v>455</v>
      </c>
      <c r="I387" s="20" t="s">
        <v>18</v>
      </c>
      <c r="J387" s="166">
        <v>45905</v>
      </c>
      <c r="K387" s="166" t="s">
        <v>503</v>
      </c>
      <c r="L387" s="166"/>
      <c r="M387" s="63">
        <v>45931</v>
      </c>
      <c r="N387" s="166"/>
      <c r="O387" s="63"/>
      <c r="P387" s="196"/>
      <c r="Q387" s="37" t="s">
        <v>1052</v>
      </c>
      <c r="R387" s="93"/>
      <c r="S387" s="13" t="str">
        <f ca="1">IF(ISBLANK(Table2[[#This Row],[Complete corrective actions (Approved Date)]]), TODAY()-Table2[[#This Row],[CAR initialized date]], "CLOSED")</f>
        <v>CLOSED</v>
      </c>
    </row>
    <row r="388" spans="1:19" ht="36" customHeight="1" x14ac:dyDescent="0.25">
      <c r="A388" s="9" t="s">
        <v>141</v>
      </c>
      <c r="B388" s="13">
        <f>VLOOKUP(Table2[[#This Row],[Location 
(drop-down)]],'List source'!D$2:E$71,2,FALSE)</f>
        <v>165</v>
      </c>
      <c r="C388" s="11" t="s">
        <v>1053</v>
      </c>
      <c r="D388" s="212" t="str">
        <f t="shared" si="6"/>
        <v>C386-165-25</v>
      </c>
      <c r="E388" s="11" t="s">
        <v>519</v>
      </c>
      <c r="F388" s="11" t="s">
        <v>41</v>
      </c>
      <c r="G388" s="9" t="s">
        <v>1054</v>
      </c>
      <c r="H388" s="10" t="s">
        <v>455</v>
      </c>
      <c r="I388" s="20" t="s">
        <v>18</v>
      </c>
      <c r="J388" s="166">
        <v>45905</v>
      </c>
      <c r="K388" s="166" t="s">
        <v>503</v>
      </c>
      <c r="L388" s="166"/>
      <c r="M388" s="63">
        <v>45933</v>
      </c>
      <c r="N388" s="166"/>
      <c r="O388" s="63"/>
      <c r="P388" s="196"/>
      <c r="Q388" s="37" t="s">
        <v>1052</v>
      </c>
      <c r="R388" s="93"/>
      <c r="S388" s="13" t="str">
        <f ca="1">IF(ISBLANK(Table2[[#This Row],[Complete corrective actions (Approved Date)]]), TODAY()-Table2[[#This Row],[CAR initialized date]], "CLOSED")</f>
        <v>CLOSED</v>
      </c>
    </row>
    <row r="389" spans="1:19" ht="36" customHeight="1" x14ac:dyDescent="0.25">
      <c r="A389" s="9" t="s">
        <v>14</v>
      </c>
      <c r="B389" s="13">
        <f>VLOOKUP(Table2[[#This Row],[Location 
(drop-down)]],'List source'!D$2:E$71,2,FALSE)</f>
        <v>131</v>
      </c>
      <c r="C389" s="11" t="s">
        <v>1055</v>
      </c>
      <c r="D389" s="212" t="str">
        <f t="shared" si="6"/>
        <v>C387-131-25</v>
      </c>
      <c r="E389" s="11" t="s">
        <v>452</v>
      </c>
      <c r="F389" s="11" t="s">
        <v>456</v>
      </c>
      <c r="G389" s="9" t="s">
        <v>1056</v>
      </c>
      <c r="H389" s="10" t="s">
        <v>455</v>
      </c>
      <c r="I389" s="20" t="s">
        <v>167</v>
      </c>
      <c r="J389" s="166">
        <v>45909</v>
      </c>
      <c r="K389" s="166" t="s">
        <v>503</v>
      </c>
      <c r="L389" s="166"/>
      <c r="M389" s="63">
        <v>45957</v>
      </c>
      <c r="N389" s="166" t="s">
        <v>506</v>
      </c>
      <c r="O389" s="63">
        <v>45957</v>
      </c>
      <c r="P389" s="196"/>
      <c r="Q389" s="37"/>
      <c r="R389" s="93"/>
      <c r="S389" s="13" t="str">
        <f ca="1">IF(ISBLANK(Table2[[#This Row],[Complete corrective actions (Approved Date)]]), TODAY()-Table2[[#This Row],[CAR initialized date]], "CLOSED")</f>
        <v>CLOSED</v>
      </c>
    </row>
    <row r="390" spans="1:19" ht="36" customHeight="1" x14ac:dyDescent="0.25">
      <c r="A390" s="9" t="s">
        <v>94</v>
      </c>
      <c r="B390" s="13">
        <f>VLOOKUP(Table2[[#This Row],[Location 
(drop-down)]],'List source'!D$2:E$71,2,FALSE)</f>
        <v>120</v>
      </c>
      <c r="C390" s="11" t="s">
        <v>1057</v>
      </c>
      <c r="D390" s="212" t="str">
        <f t="shared" si="6"/>
        <v>C388-120-25</v>
      </c>
      <c r="E390" s="11" t="s">
        <v>465</v>
      </c>
      <c r="F390" s="11" t="s">
        <v>265</v>
      </c>
      <c r="G390" s="9" t="s">
        <v>1058</v>
      </c>
      <c r="H390" s="10" t="s">
        <v>455</v>
      </c>
      <c r="I390" s="20" t="s">
        <v>82</v>
      </c>
      <c r="J390" s="166">
        <v>45909</v>
      </c>
      <c r="K390" s="166"/>
      <c r="L390" s="166"/>
      <c r="M390" s="63">
        <v>45965</v>
      </c>
      <c r="N390" s="166"/>
      <c r="O390" s="63"/>
      <c r="P390" s="196"/>
      <c r="Q390" s="37"/>
      <c r="R390" s="93"/>
      <c r="S390" s="13" t="str">
        <f ca="1">IF(ISBLANK(Table2[[#This Row],[Complete corrective actions (Approved Date)]]), TODAY()-Table2[[#This Row],[CAR initialized date]], "CLOSED")</f>
        <v>CLOSED</v>
      </c>
    </row>
    <row r="391" spans="1:19" ht="36" customHeight="1" x14ac:dyDescent="0.25">
      <c r="A391" s="9" t="s">
        <v>73</v>
      </c>
      <c r="B391" s="13">
        <f>VLOOKUP(Table2[[#This Row],[Location 
(drop-down)]],'List source'!D$2:E$71,2,FALSE)</f>
        <v>142</v>
      </c>
      <c r="C391" s="11" t="s">
        <v>1059</v>
      </c>
      <c r="D391" s="212" t="str">
        <f t="shared" si="6"/>
        <v>C389-142-25</v>
      </c>
      <c r="E391" s="11" t="s">
        <v>465</v>
      </c>
      <c r="F391" s="11" t="s">
        <v>103</v>
      </c>
      <c r="G391" s="9" t="s">
        <v>1060</v>
      </c>
      <c r="H391" s="10" t="s">
        <v>458</v>
      </c>
      <c r="I391" s="20" t="s">
        <v>18</v>
      </c>
      <c r="J391" s="166">
        <v>45916</v>
      </c>
      <c r="K391" s="166" t="s">
        <v>503</v>
      </c>
      <c r="L391" s="166"/>
      <c r="M391" s="63">
        <v>45939</v>
      </c>
      <c r="N391" s="166" t="s">
        <v>503</v>
      </c>
      <c r="O391" s="63"/>
      <c r="P391" s="196"/>
      <c r="Q391" s="37" t="s">
        <v>1061</v>
      </c>
      <c r="R391" s="93"/>
      <c r="S391" s="13" t="str">
        <f ca="1">IF(ISBLANK(Table2[[#This Row],[Complete corrective actions (Approved Date)]]), TODAY()-Table2[[#This Row],[CAR initialized date]], "CLOSED")</f>
        <v>CLOSED</v>
      </c>
    </row>
    <row r="392" spans="1:19" ht="36" customHeight="1" x14ac:dyDescent="0.25">
      <c r="A392" s="9" t="s">
        <v>73</v>
      </c>
      <c r="B392" s="13">
        <f>VLOOKUP(Table2[[#This Row],[Location 
(drop-down)]],'List source'!D$2:E$71,2,FALSE)</f>
        <v>142</v>
      </c>
      <c r="C392" s="11" t="s">
        <v>1062</v>
      </c>
      <c r="D392" s="212" t="str">
        <f t="shared" si="6"/>
        <v>C390-142-25</v>
      </c>
      <c r="E392" s="11" t="s">
        <v>465</v>
      </c>
      <c r="F392" s="11" t="s">
        <v>103</v>
      </c>
      <c r="G392" s="9" t="s">
        <v>1063</v>
      </c>
      <c r="H392" s="10" t="s">
        <v>458</v>
      </c>
      <c r="I392" s="20" t="s">
        <v>18</v>
      </c>
      <c r="J392" s="166">
        <v>45916</v>
      </c>
      <c r="K392" s="166" t="s">
        <v>503</v>
      </c>
      <c r="L392" s="166"/>
      <c r="M392" s="63">
        <v>45939</v>
      </c>
      <c r="N392" s="166" t="s">
        <v>503</v>
      </c>
      <c r="O392" s="63"/>
      <c r="P392" s="196"/>
      <c r="Q392" s="37" t="s">
        <v>1061</v>
      </c>
      <c r="R392" s="93"/>
      <c r="S392" s="13" t="str">
        <f ca="1">IF(ISBLANK(Table2[[#This Row],[Complete corrective actions (Approved Date)]]), TODAY()-Table2[[#This Row],[CAR initialized date]], "CLOSED")</f>
        <v>CLOSED</v>
      </c>
    </row>
    <row r="393" spans="1:19" ht="36" customHeight="1" x14ac:dyDescent="0.25">
      <c r="A393" s="9" t="s">
        <v>310</v>
      </c>
      <c r="B393" s="13">
        <f>VLOOKUP(Table2[[#This Row],[Location 
(drop-down)]],'List source'!D$2:E$71,2,FALSE)</f>
        <v>147</v>
      </c>
      <c r="C393" s="11" t="s">
        <v>1064</v>
      </c>
      <c r="D393" s="212" t="str">
        <f t="shared" si="6"/>
        <v>C391-147-25</v>
      </c>
      <c r="E393" s="11" t="s">
        <v>472</v>
      </c>
      <c r="F393" s="11"/>
      <c r="G393" s="9" t="s">
        <v>1065</v>
      </c>
      <c r="H393" s="10" t="s">
        <v>458</v>
      </c>
      <c r="I393" s="20" t="s">
        <v>1066</v>
      </c>
      <c r="J393" s="166">
        <v>45922</v>
      </c>
      <c r="K393" s="166"/>
      <c r="L393" s="166"/>
      <c r="M393" s="63"/>
      <c r="N393" s="166"/>
      <c r="O393" s="63"/>
      <c r="P393" s="196"/>
      <c r="Q393" s="37"/>
      <c r="R393" s="93"/>
      <c r="S393" s="13">
        <f ca="1">IF(ISBLANK(Table2[[#This Row],[Complete corrective actions (Approved Date)]]), TODAY()-Table2[[#This Row],[CAR initialized date]], "CLOSED")</f>
        <v>155</v>
      </c>
    </row>
    <row r="394" spans="1:19" ht="36" customHeight="1" x14ac:dyDescent="0.25">
      <c r="A394" s="9" t="s">
        <v>310</v>
      </c>
      <c r="B394" s="13">
        <f>VLOOKUP(Table2[[#This Row],[Location 
(drop-down)]],'List source'!D$2:E$71,2,FALSE)</f>
        <v>147</v>
      </c>
      <c r="C394" s="11" t="s">
        <v>1067</v>
      </c>
      <c r="D394" s="212" t="str">
        <f t="shared" si="6"/>
        <v>C392-147-25</v>
      </c>
      <c r="E394" s="11" t="s">
        <v>472</v>
      </c>
      <c r="F394" s="11"/>
      <c r="G394" s="9" t="s">
        <v>1068</v>
      </c>
      <c r="H394" s="10" t="s">
        <v>458</v>
      </c>
      <c r="I394" s="20" t="s">
        <v>48</v>
      </c>
      <c r="J394" s="166">
        <v>45922</v>
      </c>
      <c r="K394" s="166"/>
      <c r="L394" s="166"/>
      <c r="M394" s="63"/>
      <c r="N394" s="166"/>
      <c r="O394" s="63"/>
      <c r="P394" s="196"/>
      <c r="Q394" s="37"/>
      <c r="R394" s="93"/>
      <c r="S394" s="13">
        <f ca="1">IF(ISBLANK(Table2[[#This Row],[Complete corrective actions (Approved Date)]]), TODAY()-Table2[[#This Row],[CAR initialized date]], "CLOSED")</f>
        <v>155</v>
      </c>
    </row>
    <row r="395" spans="1:19" ht="36" customHeight="1" x14ac:dyDescent="0.25">
      <c r="A395" s="9" t="s">
        <v>310</v>
      </c>
      <c r="B395" s="13">
        <f>VLOOKUP(Table2[[#This Row],[Location 
(drop-down)]],'List source'!D$2:E$71,2,FALSE)</f>
        <v>147</v>
      </c>
      <c r="C395" s="11" t="s">
        <v>1069</v>
      </c>
      <c r="D395" s="212" t="str">
        <f t="shared" si="6"/>
        <v>C393-147-25</v>
      </c>
      <c r="E395" s="11" t="s">
        <v>472</v>
      </c>
      <c r="F395" s="11"/>
      <c r="G395" s="9" t="s">
        <v>1070</v>
      </c>
      <c r="H395" s="10" t="s">
        <v>458</v>
      </c>
      <c r="I395" s="20" t="s">
        <v>48</v>
      </c>
      <c r="J395" s="166">
        <v>45922</v>
      </c>
      <c r="K395" s="166"/>
      <c r="L395" s="166"/>
      <c r="M395" s="63"/>
      <c r="N395" s="166"/>
      <c r="O395" s="63"/>
      <c r="P395" s="196"/>
      <c r="Q395" s="37"/>
      <c r="R395" s="93"/>
      <c r="S395" s="13">
        <f ca="1">IF(ISBLANK(Table2[[#This Row],[Complete corrective actions (Approved Date)]]), TODAY()-Table2[[#This Row],[CAR initialized date]], "CLOSED")</f>
        <v>155</v>
      </c>
    </row>
    <row r="396" spans="1:19" ht="36" customHeight="1" x14ac:dyDescent="0.25">
      <c r="A396" s="9" t="s">
        <v>58</v>
      </c>
      <c r="B396" s="13">
        <f>VLOOKUP(Table2[[#This Row],[Location 
(drop-down)]],'List source'!D$2:E$71,2,FALSE)</f>
        <v>146</v>
      </c>
      <c r="C396" s="11" t="s">
        <v>1071</v>
      </c>
      <c r="D396" s="212" t="str">
        <f t="shared" si="6"/>
        <v>C394-146-25</v>
      </c>
      <c r="E396" s="11" t="s">
        <v>472</v>
      </c>
      <c r="F396" s="11"/>
      <c r="G396" s="9" t="s">
        <v>1072</v>
      </c>
      <c r="H396" s="10" t="s">
        <v>455</v>
      </c>
      <c r="I396" s="20" t="s">
        <v>48</v>
      </c>
      <c r="J396" s="166">
        <v>45923</v>
      </c>
      <c r="K396" s="166"/>
      <c r="L396" s="166"/>
      <c r="M396" s="63"/>
      <c r="N396" s="166"/>
      <c r="O396" s="63"/>
      <c r="P396" s="196"/>
      <c r="Q396" s="37"/>
      <c r="R396" s="93"/>
      <c r="S396" s="13">
        <f ca="1">IF(ISBLANK(Table2[[#This Row],[Complete corrective actions (Approved Date)]]), TODAY()-Table2[[#This Row],[CAR initialized date]], "CLOSED")</f>
        <v>154</v>
      </c>
    </row>
    <row r="397" spans="1:19" ht="36" customHeight="1" x14ac:dyDescent="0.25">
      <c r="A397" s="9" t="s">
        <v>58</v>
      </c>
      <c r="B397" s="13">
        <f>VLOOKUP(Table2[[#This Row],[Location 
(drop-down)]],'List source'!D$2:E$71,2,FALSE)</f>
        <v>146</v>
      </c>
      <c r="C397" s="11" t="s">
        <v>1073</v>
      </c>
      <c r="D397" s="212" t="str">
        <f t="shared" si="6"/>
        <v>C395-146-25</v>
      </c>
      <c r="E397" s="11" t="s">
        <v>472</v>
      </c>
      <c r="F397" s="11"/>
      <c r="G397" s="9" t="s">
        <v>625</v>
      </c>
      <c r="H397" s="10" t="s">
        <v>455</v>
      </c>
      <c r="I397" s="20" t="s">
        <v>48</v>
      </c>
      <c r="J397" s="166">
        <v>45923</v>
      </c>
      <c r="K397" s="166" t="s">
        <v>503</v>
      </c>
      <c r="L397" s="166"/>
      <c r="M397" s="63">
        <v>46048</v>
      </c>
      <c r="N397" s="166" t="s">
        <v>503</v>
      </c>
      <c r="O397" s="63"/>
      <c r="P397" s="196"/>
      <c r="Q397" s="37"/>
      <c r="R397" s="93"/>
      <c r="S397" s="13" t="str">
        <f ca="1">IF(ISBLANK(Table2[[#This Row],[Complete corrective actions (Approved Date)]]), TODAY()-Table2[[#This Row],[CAR initialized date]], "CLOSED")</f>
        <v>CLOSED</v>
      </c>
    </row>
    <row r="398" spans="1:19" ht="36" customHeight="1" x14ac:dyDescent="0.25">
      <c r="A398" s="9" t="s">
        <v>0</v>
      </c>
      <c r="B398" s="13">
        <f>VLOOKUP(Table2[[#This Row],[Location 
(drop-down)]],'List source'!D$2:E$71,2,FALSE)</f>
        <v>159</v>
      </c>
      <c r="C398" s="11" t="s">
        <v>1074</v>
      </c>
      <c r="D398" s="212" t="str">
        <f t="shared" si="6"/>
        <v>C396-159-25</v>
      </c>
      <c r="E398" s="11" t="s">
        <v>472</v>
      </c>
      <c r="F398" s="11"/>
      <c r="G398" s="9" t="s">
        <v>1075</v>
      </c>
      <c r="H398" s="10" t="s">
        <v>494</v>
      </c>
      <c r="I398" s="20" t="s">
        <v>27</v>
      </c>
      <c r="J398" s="166">
        <v>45919</v>
      </c>
      <c r="K398" s="166" t="s">
        <v>506</v>
      </c>
      <c r="L398" s="166"/>
      <c r="M398" s="63">
        <v>46052</v>
      </c>
      <c r="N398" s="166" t="s">
        <v>506</v>
      </c>
      <c r="O398" s="63"/>
      <c r="P398" s="196"/>
      <c r="Q398" s="37"/>
      <c r="R398" s="93"/>
      <c r="S398" s="13" t="str">
        <f ca="1">IF(ISBLANK(Table2[[#This Row],[Complete corrective actions (Approved Date)]]), TODAY()-Table2[[#This Row],[CAR initialized date]], "CLOSED")</f>
        <v>CLOSED</v>
      </c>
    </row>
    <row r="399" spans="1:19" ht="36" customHeight="1" x14ac:dyDescent="0.25">
      <c r="A399" s="9" t="s">
        <v>0</v>
      </c>
      <c r="B399" s="13">
        <f>VLOOKUP(Table2[[#This Row],[Location 
(drop-down)]],'List source'!D$2:E$71,2,FALSE)</f>
        <v>159</v>
      </c>
      <c r="C399" s="11" t="s">
        <v>1076</v>
      </c>
      <c r="D399" s="212" t="str">
        <f t="shared" si="6"/>
        <v>C397-159-25</v>
      </c>
      <c r="E399" s="11" t="s">
        <v>472</v>
      </c>
      <c r="F399" s="11"/>
      <c r="G399" s="9" t="s">
        <v>1077</v>
      </c>
      <c r="H399" s="10" t="s">
        <v>494</v>
      </c>
      <c r="I399" s="20" t="s">
        <v>27</v>
      </c>
      <c r="J399" s="166">
        <v>45919</v>
      </c>
      <c r="K399" s="166"/>
      <c r="L399" s="166"/>
      <c r="M399" s="63"/>
      <c r="N399" s="166"/>
      <c r="O399" s="63"/>
      <c r="P399" s="196"/>
      <c r="Q399" s="37"/>
      <c r="R399" s="93"/>
      <c r="S399" s="13">
        <f ca="1">IF(ISBLANK(Table2[[#This Row],[Complete corrective actions (Approved Date)]]), TODAY()-Table2[[#This Row],[CAR initialized date]], "CLOSED")</f>
        <v>158</v>
      </c>
    </row>
    <row r="400" spans="1:19" ht="36" customHeight="1" x14ac:dyDescent="0.25">
      <c r="A400" s="9" t="s">
        <v>0</v>
      </c>
      <c r="B400" s="13">
        <f>VLOOKUP(Table2[[#This Row],[Location 
(drop-down)]],'List source'!D$2:E$71,2,FALSE)</f>
        <v>159</v>
      </c>
      <c r="C400" s="11" t="s">
        <v>1078</v>
      </c>
      <c r="D400" s="212" t="str">
        <f t="shared" si="6"/>
        <v>C398-159-25</v>
      </c>
      <c r="E400" s="11" t="s">
        <v>472</v>
      </c>
      <c r="F400" s="11"/>
      <c r="G400" s="281" t="s">
        <v>1079</v>
      </c>
      <c r="H400" s="10" t="s">
        <v>494</v>
      </c>
      <c r="I400" s="20" t="s">
        <v>27</v>
      </c>
      <c r="J400" s="166">
        <v>45919</v>
      </c>
      <c r="K400" s="166" t="s">
        <v>503</v>
      </c>
      <c r="L400" s="166"/>
      <c r="M400" s="63">
        <v>45981</v>
      </c>
      <c r="N400" s="166" t="s">
        <v>503</v>
      </c>
      <c r="O400" s="63"/>
      <c r="P400" s="196"/>
      <c r="Q400" s="37"/>
      <c r="R400" s="93"/>
      <c r="S400" s="13" t="str">
        <f ca="1">IF(ISBLANK(Table2[[#This Row],[Complete corrective actions (Approved Date)]]), TODAY()-Table2[[#This Row],[CAR initialized date]], "CLOSED")</f>
        <v>CLOSED</v>
      </c>
    </row>
    <row r="401" spans="1:19" ht="36" customHeight="1" x14ac:dyDescent="0.25">
      <c r="A401" s="9" t="s">
        <v>141</v>
      </c>
      <c r="B401" s="13">
        <f>VLOOKUP(Table2[[#This Row],[Location 
(drop-down)]],'List source'!D$2:E$71,2,FALSE)</f>
        <v>165</v>
      </c>
      <c r="C401" s="11" t="s">
        <v>1080</v>
      </c>
      <c r="D401" s="212" t="str">
        <f t="shared" si="6"/>
        <v>C399-165-25</v>
      </c>
      <c r="E401" s="11" t="s">
        <v>452</v>
      </c>
      <c r="F401" s="164" t="s">
        <v>84</v>
      </c>
      <c r="G401" s="9" t="s">
        <v>1081</v>
      </c>
      <c r="H401" s="187" t="s">
        <v>458</v>
      </c>
      <c r="I401" s="20" t="s">
        <v>27</v>
      </c>
      <c r="J401" s="166">
        <v>45915</v>
      </c>
      <c r="K401" s="166" t="s">
        <v>503</v>
      </c>
      <c r="L401" s="166"/>
      <c r="M401" s="63">
        <v>45918</v>
      </c>
      <c r="N401" s="166"/>
      <c r="O401" s="63"/>
      <c r="P401" s="196"/>
      <c r="Q401" s="37" t="s">
        <v>1082</v>
      </c>
      <c r="R401" s="93"/>
      <c r="S401" s="13" t="str">
        <f ca="1">IF(ISBLANK(Table2[[#This Row],[Complete corrective actions (Approved Date)]]), TODAY()-Table2[[#This Row],[CAR initialized date]], "CLOSED")</f>
        <v>CLOSED</v>
      </c>
    </row>
    <row r="402" spans="1:19" ht="36" customHeight="1" x14ac:dyDescent="0.25">
      <c r="A402" s="9" t="s">
        <v>287</v>
      </c>
      <c r="B402" s="13">
        <f>VLOOKUP(Table2[[#This Row],[Location 
(drop-down)]],'List source'!D$2:E$71,2,FALSE)</f>
        <v>180</v>
      </c>
      <c r="C402" s="11" t="s">
        <v>1083</v>
      </c>
      <c r="D402" s="212" t="str">
        <f t="shared" si="6"/>
        <v>C400-180-25</v>
      </c>
      <c r="E402" s="11" t="s">
        <v>472</v>
      </c>
      <c r="F402" s="164"/>
      <c r="G402" s="78" t="s">
        <v>1084</v>
      </c>
      <c r="H402" s="187" t="s">
        <v>455</v>
      </c>
      <c r="I402" s="20" t="s">
        <v>48</v>
      </c>
      <c r="J402" s="166">
        <v>45925</v>
      </c>
      <c r="K402" s="166" t="s">
        <v>503</v>
      </c>
      <c r="L402" s="166"/>
      <c r="M402" s="63">
        <v>45971</v>
      </c>
      <c r="N402" s="166" t="s">
        <v>503</v>
      </c>
      <c r="O402" s="63"/>
      <c r="P402" s="196"/>
      <c r="Q402" s="37" t="s">
        <v>1085</v>
      </c>
      <c r="R402" s="93"/>
      <c r="S402" s="13" t="str">
        <f ca="1">IF(ISBLANK(Table2[[#This Row],[Complete corrective actions (Approved Date)]]), TODAY()-Table2[[#This Row],[CAR initialized date]], "CLOSED")</f>
        <v>CLOSED</v>
      </c>
    </row>
    <row r="403" spans="1:19" ht="36" customHeight="1" x14ac:dyDescent="0.25">
      <c r="A403" s="9" t="s">
        <v>287</v>
      </c>
      <c r="B403" s="13">
        <f>VLOOKUP(Table2[[#This Row],[Location 
(drop-down)]],'List source'!D$2:E$71,2,FALSE)</f>
        <v>180</v>
      </c>
      <c r="C403" s="11" t="s">
        <v>1086</v>
      </c>
      <c r="D403" s="212" t="str">
        <f t="shared" si="6"/>
        <v>C401-180-25</v>
      </c>
      <c r="E403" s="11" t="s">
        <v>472</v>
      </c>
      <c r="F403" s="164"/>
      <c r="G403" s="78" t="s">
        <v>1087</v>
      </c>
      <c r="H403" s="187" t="s">
        <v>455</v>
      </c>
      <c r="I403" s="20" t="s">
        <v>48</v>
      </c>
      <c r="J403" s="166">
        <v>45925</v>
      </c>
      <c r="K403" s="166"/>
      <c r="L403" s="166"/>
      <c r="M403" s="63"/>
      <c r="N403" s="166"/>
      <c r="O403" s="63"/>
      <c r="P403" s="196"/>
      <c r="Q403" s="37"/>
      <c r="R403" s="93"/>
      <c r="S403" s="13">
        <f ca="1">IF(ISBLANK(Table2[[#This Row],[Complete corrective actions (Approved Date)]]), TODAY()-Table2[[#This Row],[CAR initialized date]], "CLOSED")</f>
        <v>152</v>
      </c>
    </row>
    <row r="404" spans="1:19" ht="36" customHeight="1" x14ac:dyDescent="0.25">
      <c r="A404" s="9" t="s">
        <v>287</v>
      </c>
      <c r="B404" s="13">
        <f>VLOOKUP(Table2[[#This Row],[Location 
(drop-down)]],'List source'!D$2:E$71,2,FALSE)</f>
        <v>180</v>
      </c>
      <c r="C404" s="11" t="s">
        <v>1088</v>
      </c>
      <c r="D404" s="212" t="str">
        <f t="shared" si="6"/>
        <v>C402-180-25</v>
      </c>
      <c r="E404" s="11" t="s">
        <v>472</v>
      </c>
      <c r="F404" s="164"/>
      <c r="G404" s="78" t="s">
        <v>1089</v>
      </c>
      <c r="H404" s="187" t="s">
        <v>458</v>
      </c>
      <c r="I404" s="20" t="s">
        <v>48</v>
      </c>
      <c r="J404" s="166">
        <v>45925</v>
      </c>
      <c r="K404" s="166"/>
      <c r="L404" s="166"/>
      <c r="M404" s="63"/>
      <c r="N404" s="166"/>
      <c r="O404" s="63"/>
      <c r="P404" s="196"/>
      <c r="Q404" s="37"/>
      <c r="R404" s="93"/>
      <c r="S404" s="13">
        <f ca="1">IF(ISBLANK(Table2[[#This Row],[Complete corrective actions (Approved Date)]]), TODAY()-Table2[[#This Row],[CAR initialized date]], "CLOSED")</f>
        <v>152</v>
      </c>
    </row>
    <row r="405" spans="1:19" ht="64.5" customHeight="1" x14ac:dyDescent="0.25">
      <c r="A405" s="9" t="s">
        <v>94</v>
      </c>
      <c r="B405" s="13">
        <f>VLOOKUP(Table2[[#This Row],[Location 
(drop-down)]],'List source'!D$2:E$71,2,FALSE)</f>
        <v>120</v>
      </c>
      <c r="C405" s="11" t="s">
        <v>1090</v>
      </c>
      <c r="D405" s="212" t="str">
        <f t="shared" si="6"/>
        <v>C403-120-25</v>
      </c>
      <c r="E405" s="11" t="s">
        <v>460</v>
      </c>
      <c r="F405" s="11" t="s">
        <v>1091</v>
      </c>
      <c r="G405" s="9" t="s">
        <v>1092</v>
      </c>
      <c r="H405" s="10" t="s">
        <v>455</v>
      </c>
      <c r="I405" s="20" t="s">
        <v>82</v>
      </c>
      <c r="J405" s="166">
        <v>45925</v>
      </c>
      <c r="K405" s="166" t="s">
        <v>503</v>
      </c>
      <c r="L405" s="166"/>
      <c r="M405" s="63">
        <v>45992</v>
      </c>
      <c r="N405" s="166" t="s">
        <v>503</v>
      </c>
      <c r="O405" s="63"/>
      <c r="P405" s="196"/>
      <c r="Q405" s="37" t="s">
        <v>1093</v>
      </c>
      <c r="R405" s="93"/>
      <c r="S405" s="13" t="str">
        <f ca="1">IF(ISBLANK(Table2[[#This Row],[Complete corrective actions (Approved Date)]]), TODAY()-Table2[[#This Row],[CAR initialized date]], "CLOSED")</f>
        <v>CLOSED</v>
      </c>
    </row>
    <row r="406" spans="1:19" ht="36" customHeight="1" x14ac:dyDescent="0.25">
      <c r="A406" s="9" t="s">
        <v>86</v>
      </c>
      <c r="B406" s="13">
        <f>VLOOKUP(Table2[[#This Row],[Location 
(drop-down)]],'List source'!D$2:E$71,2,FALSE)</f>
        <v>150</v>
      </c>
      <c r="C406" s="11" t="s">
        <v>1094</v>
      </c>
      <c r="D406" s="212" t="str">
        <f t="shared" si="6"/>
        <v>C404-150-25</v>
      </c>
      <c r="E406" s="11" t="s">
        <v>460</v>
      </c>
      <c r="F406" s="11" t="s">
        <v>277</v>
      </c>
      <c r="G406" s="80" t="s">
        <v>1095</v>
      </c>
      <c r="H406" s="10" t="s">
        <v>458</v>
      </c>
      <c r="I406" s="20" t="s">
        <v>82</v>
      </c>
      <c r="J406" s="166">
        <v>45925</v>
      </c>
      <c r="K406" s="166" t="s">
        <v>503</v>
      </c>
      <c r="L406" s="166"/>
      <c r="M406" s="63">
        <v>45930</v>
      </c>
      <c r="N406" s="166" t="s">
        <v>503</v>
      </c>
      <c r="O406" s="63">
        <v>46027</v>
      </c>
      <c r="P406" s="196" t="s">
        <v>503</v>
      </c>
      <c r="Q406" s="37" t="s">
        <v>1096</v>
      </c>
      <c r="R406" s="93"/>
      <c r="S406" s="13" t="str">
        <f ca="1">IF(ISBLANK(Table2[[#This Row],[Complete corrective actions (Approved Date)]]), TODAY()-Table2[[#This Row],[CAR initialized date]], "CLOSED")</f>
        <v>CLOSED</v>
      </c>
    </row>
    <row r="407" spans="1:19" ht="36" customHeight="1" x14ac:dyDescent="0.25">
      <c r="A407" s="9" t="s">
        <v>156</v>
      </c>
      <c r="B407" s="13">
        <f>VLOOKUP(Table2[[#This Row],[Location 
(drop-down)]],'List source'!D$2:E$71,2,FALSE)</f>
        <v>130</v>
      </c>
      <c r="C407" s="11" t="s">
        <v>1097</v>
      </c>
      <c r="D407" s="212" t="str">
        <f t="shared" si="6"/>
        <v>C405-130-25</v>
      </c>
      <c r="E407" s="11" t="s">
        <v>465</v>
      </c>
      <c r="F407" s="11" t="s">
        <v>169</v>
      </c>
      <c r="G407" s="9" t="s">
        <v>1098</v>
      </c>
      <c r="H407" s="12" t="s">
        <v>455</v>
      </c>
      <c r="I407" s="20" t="s">
        <v>167</v>
      </c>
      <c r="J407" s="166">
        <v>45807</v>
      </c>
      <c r="K407" s="166" t="s">
        <v>506</v>
      </c>
      <c r="L407" s="166"/>
      <c r="M407" s="63">
        <v>45946</v>
      </c>
      <c r="N407" s="166" t="s">
        <v>506</v>
      </c>
      <c r="O407" s="63"/>
      <c r="P407" s="196"/>
      <c r="Q407" s="267" t="s">
        <v>1099</v>
      </c>
      <c r="R407" s="93"/>
      <c r="S407" s="13" t="str">
        <f ca="1">IF(ISBLANK(Table2[[#This Row],[Complete corrective actions (Approved Date)]]), TODAY()-Table2[[#This Row],[CAR initialized date]], "CLOSED")</f>
        <v>CLOSED</v>
      </c>
    </row>
    <row r="408" spans="1:19" ht="36" customHeight="1" x14ac:dyDescent="0.25">
      <c r="A408" s="9" t="s">
        <v>107</v>
      </c>
      <c r="B408" s="13">
        <f>VLOOKUP(Table2[[#This Row],[Location 
(drop-down)]],'List source'!D$2:E$71,2,FALSE)</f>
        <v>170</v>
      </c>
      <c r="C408" s="11" t="s">
        <v>1100</v>
      </c>
      <c r="D408" s="212" t="str">
        <f t="shared" si="6"/>
        <v>C406-170-25</v>
      </c>
      <c r="E408" s="11" t="s">
        <v>460</v>
      </c>
      <c r="F408" s="11" t="s">
        <v>456</v>
      </c>
      <c r="G408" s="9" t="s">
        <v>1101</v>
      </c>
      <c r="H408" s="10" t="s">
        <v>458</v>
      </c>
      <c r="I408" s="20" t="s">
        <v>109</v>
      </c>
      <c r="J408" s="166">
        <v>45931</v>
      </c>
      <c r="K408" s="166" t="s">
        <v>503</v>
      </c>
      <c r="L408" s="166"/>
      <c r="M408" s="63">
        <v>45951</v>
      </c>
      <c r="N408" s="166" t="s">
        <v>503</v>
      </c>
      <c r="O408" s="63"/>
      <c r="P408" s="196"/>
      <c r="Q408" s="37"/>
      <c r="R408" s="93"/>
      <c r="S408" s="13" t="str">
        <f ca="1">IF(ISBLANK(Table2[[#This Row],[Complete corrective actions (Approved Date)]]), TODAY()-Table2[[#This Row],[CAR initialized date]], "CLOSED")</f>
        <v>CLOSED</v>
      </c>
    </row>
    <row r="409" spans="1:19" ht="36" customHeight="1" x14ac:dyDescent="0.25">
      <c r="A409" s="9" t="s">
        <v>37</v>
      </c>
      <c r="B409" s="13">
        <f>VLOOKUP(Table2[[#This Row],[Location 
(drop-down)]],'List source'!D$2:E$71,2,FALSE)</f>
        <v>210</v>
      </c>
      <c r="C409" s="11" t="s">
        <v>1102</v>
      </c>
      <c r="D409" s="212" t="str">
        <f t="shared" si="6"/>
        <v>C407-210-25</v>
      </c>
      <c r="E409" s="11" t="s">
        <v>519</v>
      </c>
      <c r="F409" s="11" t="s">
        <v>185</v>
      </c>
      <c r="G409" s="9" t="s">
        <v>1103</v>
      </c>
      <c r="H409" s="10" t="s">
        <v>494</v>
      </c>
      <c r="I409" s="20" t="s">
        <v>189</v>
      </c>
      <c r="J409" s="166">
        <v>45940</v>
      </c>
      <c r="K409" s="166" t="s">
        <v>503</v>
      </c>
      <c r="L409" s="166"/>
      <c r="M409" s="63">
        <v>45967</v>
      </c>
      <c r="N409" s="166" t="s">
        <v>503</v>
      </c>
      <c r="O409" s="63"/>
      <c r="P409" s="196"/>
      <c r="Q409" s="37" t="s">
        <v>1104</v>
      </c>
      <c r="R409" s="93"/>
      <c r="S409" s="13" t="str">
        <f ca="1">IF(ISBLANK(Table2[[#This Row],[Complete corrective actions (Approved Date)]]), TODAY()-Table2[[#This Row],[CAR initialized date]], "CLOSED")</f>
        <v>CLOSED</v>
      </c>
    </row>
    <row r="410" spans="1:19" ht="36" customHeight="1" x14ac:dyDescent="0.25">
      <c r="A410" s="9" t="s">
        <v>37</v>
      </c>
      <c r="B410" s="13">
        <f>VLOOKUP(Table2[[#This Row],[Location 
(drop-down)]],'List source'!D$2:E$71,2,FALSE)</f>
        <v>210</v>
      </c>
      <c r="C410" s="11" t="s">
        <v>1105</v>
      </c>
      <c r="D410" s="212" t="str">
        <f t="shared" si="6"/>
        <v>C408-210-25</v>
      </c>
      <c r="E410" s="11" t="s">
        <v>519</v>
      </c>
      <c r="F410" s="11" t="s">
        <v>185</v>
      </c>
      <c r="G410" s="9" t="s">
        <v>1106</v>
      </c>
      <c r="H410" s="10" t="s">
        <v>458</v>
      </c>
      <c r="I410" s="20" t="s">
        <v>189</v>
      </c>
      <c r="J410" s="166">
        <v>45940</v>
      </c>
      <c r="K410" s="166" t="s">
        <v>503</v>
      </c>
      <c r="L410" s="166"/>
      <c r="M410" s="63">
        <v>45967</v>
      </c>
      <c r="N410" s="166" t="s">
        <v>503</v>
      </c>
      <c r="O410" s="63"/>
      <c r="P410" s="196"/>
      <c r="Q410" s="37" t="s">
        <v>1104</v>
      </c>
      <c r="R410" s="93"/>
      <c r="S410" s="13" t="str">
        <f ca="1">IF(ISBLANK(Table2[[#This Row],[Complete corrective actions (Approved Date)]]), TODAY()-Table2[[#This Row],[CAR initialized date]], "CLOSED")</f>
        <v>CLOSED</v>
      </c>
    </row>
    <row r="411" spans="1:19" ht="36" customHeight="1" x14ac:dyDescent="0.25">
      <c r="A411" s="9" t="s">
        <v>37</v>
      </c>
      <c r="B411" s="13">
        <f>VLOOKUP(Table2[[#This Row],[Location 
(drop-down)]],'List source'!D$2:E$71,2,FALSE)</f>
        <v>210</v>
      </c>
      <c r="C411" s="11" t="s">
        <v>1107</v>
      </c>
      <c r="D411" s="212" t="str">
        <f t="shared" si="6"/>
        <v>C409-210-25</v>
      </c>
      <c r="E411" s="11" t="s">
        <v>519</v>
      </c>
      <c r="F411" s="11" t="s">
        <v>185</v>
      </c>
      <c r="G411" s="9" t="s">
        <v>1108</v>
      </c>
      <c r="H411" s="10" t="s">
        <v>455</v>
      </c>
      <c r="I411" s="20" t="s">
        <v>189</v>
      </c>
      <c r="J411" s="166">
        <v>45940</v>
      </c>
      <c r="K411" s="166" t="s">
        <v>503</v>
      </c>
      <c r="L411" s="166"/>
      <c r="M411" s="63">
        <v>45967</v>
      </c>
      <c r="N411" s="166" t="s">
        <v>503</v>
      </c>
      <c r="O411" s="63"/>
      <c r="P411" s="196"/>
      <c r="Q411" s="37" t="s">
        <v>1104</v>
      </c>
      <c r="R411" s="93"/>
      <c r="S411" s="13" t="str">
        <f ca="1">IF(ISBLANK(Table2[[#This Row],[Complete corrective actions (Approved Date)]]), TODAY()-Table2[[#This Row],[CAR initialized date]], "CLOSED")</f>
        <v>CLOSED</v>
      </c>
    </row>
    <row r="412" spans="1:19" ht="36" customHeight="1" x14ac:dyDescent="0.25">
      <c r="A412" s="9" t="s">
        <v>37</v>
      </c>
      <c r="B412" s="13">
        <f>VLOOKUP(Table2[[#This Row],[Location 
(drop-down)]],'List source'!D$2:E$71,2,FALSE)</f>
        <v>210</v>
      </c>
      <c r="C412" s="11" t="s">
        <v>1109</v>
      </c>
      <c r="D412" s="212" t="str">
        <f t="shared" si="6"/>
        <v>C410-210-25</v>
      </c>
      <c r="E412" s="11" t="s">
        <v>519</v>
      </c>
      <c r="F412" s="11" t="s">
        <v>185</v>
      </c>
      <c r="G412" s="9" t="s">
        <v>1110</v>
      </c>
      <c r="H412" s="10" t="s">
        <v>455</v>
      </c>
      <c r="I412" s="20" t="s">
        <v>189</v>
      </c>
      <c r="J412" s="166">
        <v>45940</v>
      </c>
      <c r="K412" s="166" t="s">
        <v>503</v>
      </c>
      <c r="L412" s="166"/>
      <c r="M412" s="63">
        <v>45967</v>
      </c>
      <c r="N412" s="166" t="s">
        <v>503</v>
      </c>
      <c r="O412" s="63"/>
      <c r="P412" s="196"/>
      <c r="Q412" s="37" t="s">
        <v>1104</v>
      </c>
      <c r="R412" s="93"/>
      <c r="S412" s="13" t="str">
        <f ca="1">IF(ISBLANK(Table2[[#This Row],[Complete corrective actions (Approved Date)]]), TODAY()-Table2[[#This Row],[CAR initialized date]], "CLOSED")</f>
        <v>CLOSED</v>
      </c>
    </row>
    <row r="413" spans="1:19" ht="36" customHeight="1" x14ac:dyDescent="0.25">
      <c r="A413" s="9" t="s">
        <v>131</v>
      </c>
      <c r="B413" s="13">
        <f>VLOOKUP(Table2[[#This Row],[Location 
(drop-down)]],'List source'!D$2:E$71,2,FALSE)</f>
        <v>145</v>
      </c>
      <c r="C413" s="11" t="s">
        <v>1111</v>
      </c>
      <c r="D413" s="212" t="str">
        <f t="shared" si="6"/>
        <v>C411-145-25</v>
      </c>
      <c r="E413" s="11" t="s">
        <v>465</v>
      </c>
      <c r="F413" s="11" t="s">
        <v>1112</v>
      </c>
      <c r="G413" s="9" t="s">
        <v>1113</v>
      </c>
      <c r="H413" s="10" t="s">
        <v>455</v>
      </c>
      <c r="I413" s="20" t="s">
        <v>18</v>
      </c>
      <c r="J413" s="166">
        <v>45940</v>
      </c>
      <c r="K413" s="166"/>
      <c r="L413" s="166"/>
      <c r="M413" s="63">
        <v>45957</v>
      </c>
      <c r="N413" s="166"/>
      <c r="O413" s="63"/>
      <c r="P413" s="196"/>
      <c r="Q413" s="37" t="s">
        <v>1114</v>
      </c>
      <c r="R413" s="93"/>
      <c r="S413" s="13" t="str">
        <f ca="1">IF(ISBLANK(Table2[[#This Row],[Complete corrective actions (Approved Date)]]), TODAY()-Table2[[#This Row],[CAR initialized date]], "CLOSED")</f>
        <v>CLOSED</v>
      </c>
    </row>
    <row r="414" spans="1:19" ht="36" customHeight="1" x14ac:dyDescent="0.25">
      <c r="A414" s="9" t="s">
        <v>131</v>
      </c>
      <c r="B414" s="13">
        <f>VLOOKUP(Table2[[#This Row],[Location 
(drop-down)]],'List source'!D$2:E$71,2,FALSE)</f>
        <v>145</v>
      </c>
      <c r="C414" s="11" t="s">
        <v>1115</v>
      </c>
      <c r="D414" s="212" t="str">
        <f t="shared" si="6"/>
        <v>C412-145-25</v>
      </c>
      <c r="E414" s="11" t="s">
        <v>465</v>
      </c>
      <c r="F414" s="11" t="s">
        <v>265</v>
      </c>
      <c r="G414" s="9" t="s">
        <v>1116</v>
      </c>
      <c r="H414" s="10" t="s">
        <v>455</v>
      </c>
      <c r="I414" s="20" t="s">
        <v>18</v>
      </c>
      <c r="J414" s="166">
        <v>45940</v>
      </c>
      <c r="K414" s="166"/>
      <c r="L414" s="166"/>
      <c r="M414" s="63">
        <v>45957</v>
      </c>
      <c r="N414" s="166"/>
      <c r="O414" s="63"/>
      <c r="P414" s="196"/>
      <c r="Q414" s="37" t="s">
        <v>1114</v>
      </c>
      <c r="R414" s="93"/>
      <c r="S414" s="13" t="str">
        <f ca="1">IF(ISBLANK(Table2[[#This Row],[Complete corrective actions (Approved Date)]]), TODAY()-Table2[[#This Row],[CAR initialized date]], "CLOSED")</f>
        <v>CLOSED</v>
      </c>
    </row>
    <row r="415" spans="1:19" ht="36" customHeight="1" x14ac:dyDescent="0.25">
      <c r="A415" s="9" t="s">
        <v>203</v>
      </c>
      <c r="B415" s="13">
        <f>VLOOKUP(Table2[[#This Row],[Location 
(drop-down)]],'List source'!D$2:E$71,2,FALSE)</f>
        <v>140</v>
      </c>
      <c r="C415" s="11" t="s">
        <v>1117</v>
      </c>
      <c r="D415" s="212" t="str">
        <f t="shared" si="6"/>
        <v>C413-140-25</v>
      </c>
      <c r="E415" s="11" t="s">
        <v>465</v>
      </c>
      <c r="F415" s="11" t="s">
        <v>265</v>
      </c>
      <c r="G415" s="9" t="s">
        <v>1116</v>
      </c>
      <c r="H415" s="10" t="s">
        <v>455</v>
      </c>
      <c r="I415" s="20" t="s">
        <v>135</v>
      </c>
      <c r="J415" s="166">
        <v>45940</v>
      </c>
      <c r="K415" s="166"/>
      <c r="L415" s="166"/>
      <c r="M415" s="63">
        <v>45957</v>
      </c>
      <c r="N415" s="166"/>
      <c r="O415" s="63"/>
      <c r="P415" s="196"/>
      <c r="Q415" s="37" t="s">
        <v>1118</v>
      </c>
      <c r="R415" s="93"/>
      <c r="S415" s="13" t="str">
        <f ca="1">IF(ISBLANK(Table2[[#This Row],[Complete corrective actions (Approved Date)]]), TODAY()-Table2[[#This Row],[CAR initialized date]], "CLOSED")</f>
        <v>CLOSED</v>
      </c>
    </row>
    <row r="416" spans="1:19" ht="36" customHeight="1" x14ac:dyDescent="0.25">
      <c r="A416" s="9" t="s">
        <v>287</v>
      </c>
      <c r="B416" s="13">
        <f>VLOOKUP(Table2[[#This Row],[Location 
(drop-down)]],'List source'!D$2:E$71,2,FALSE)</f>
        <v>180</v>
      </c>
      <c r="C416" s="11" t="s">
        <v>1119</v>
      </c>
      <c r="D416" s="212" t="str">
        <f t="shared" si="6"/>
        <v>C414-180-25</v>
      </c>
      <c r="E416" s="11" t="s">
        <v>519</v>
      </c>
      <c r="F416" s="11" t="s">
        <v>346</v>
      </c>
      <c r="G416" s="9" t="s">
        <v>1120</v>
      </c>
      <c r="H416" s="10" t="s">
        <v>455</v>
      </c>
      <c r="I416" s="20" t="s">
        <v>35</v>
      </c>
      <c r="J416" s="166">
        <v>45943</v>
      </c>
      <c r="K416" s="166" t="s">
        <v>503</v>
      </c>
      <c r="L416" s="166"/>
      <c r="M416" s="63">
        <v>45968</v>
      </c>
      <c r="N416" s="166" t="s">
        <v>503</v>
      </c>
      <c r="O416" s="63"/>
      <c r="P416" s="196"/>
      <c r="Q416" s="37"/>
      <c r="R416" s="93"/>
      <c r="S416" s="13" t="str">
        <f ca="1">IF(ISBLANK(Table2[[#This Row],[Complete corrective actions (Approved Date)]]), TODAY()-Table2[[#This Row],[CAR initialized date]], "CLOSED")</f>
        <v>CLOSED</v>
      </c>
    </row>
    <row r="417" spans="1:19" ht="36" customHeight="1" x14ac:dyDescent="0.25">
      <c r="A417" s="9" t="s">
        <v>325</v>
      </c>
      <c r="B417" s="13" t="str">
        <f>VLOOKUP(Table2[[#This Row],[Location 
(drop-down)]],'List source'!D$2:E$71,2,FALSE)</f>
        <v>155A</v>
      </c>
      <c r="C417" s="11" t="s">
        <v>1121</v>
      </c>
      <c r="D417" s="212" t="str">
        <f t="shared" si="6"/>
        <v>C415-155A-25</v>
      </c>
      <c r="E417" s="11" t="s">
        <v>472</v>
      </c>
      <c r="F417" s="11"/>
      <c r="G417" s="9" t="s">
        <v>1122</v>
      </c>
      <c r="H417" s="10" t="s">
        <v>458</v>
      </c>
      <c r="I417" s="20" t="s">
        <v>18</v>
      </c>
      <c r="J417" s="166">
        <v>45944</v>
      </c>
      <c r="K417" s="166" t="s">
        <v>503</v>
      </c>
      <c r="L417" s="166"/>
      <c r="M417" s="63">
        <v>46014</v>
      </c>
      <c r="N417" s="166" t="s">
        <v>503</v>
      </c>
      <c r="O417" s="63"/>
      <c r="P417" s="196"/>
      <c r="Q417" s="37"/>
      <c r="R417" s="93"/>
      <c r="S417" s="13" t="str">
        <f ca="1">IF(ISBLANK(Table2[[#This Row],[Complete corrective actions (Approved Date)]]), TODAY()-Table2[[#This Row],[CAR initialized date]], "CLOSED")</f>
        <v>CLOSED</v>
      </c>
    </row>
    <row r="418" spans="1:19" ht="36" customHeight="1" x14ac:dyDescent="0.25">
      <c r="A418" s="9" t="s">
        <v>325</v>
      </c>
      <c r="B418" s="13" t="str">
        <f>VLOOKUP(Table2[[#This Row],[Location 
(drop-down)]],'List source'!D$2:E$71,2,FALSE)</f>
        <v>155A</v>
      </c>
      <c r="C418" s="11" t="s">
        <v>1123</v>
      </c>
      <c r="D418" s="212" t="str">
        <f t="shared" si="6"/>
        <v>C416-155A-25</v>
      </c>
      <c r="E418" s="11" t="s">
        <v>472</v>
      </c>
      <c r="F418" s="11"/>
      <c r="G418" s="9" t="s">
        <v>1124</v>
      </c>
      <c r="H418" s="10" t="s">
        <v>494</v>
      </c>
      <c r="I418" s="20" t="s">
        <v>18</v>
      </c>
      <c r="J418" s="166">
        <v>45944</v>
      </c>
      <c r="K418" s="166" t="s">
        <v>503</v>
      </c>
      <c r="L418" s="166"/>
      <c r="M418" s="63">
        <v>46014</v>
      </c>
      <c r="N418" s="166" t="s">
        <v>503</v>
      </c>
      <c r="O418" s="63"/>
      <c r="P418" s="196"/>
      <c r="Q418" s="37"/>
      <c r="R418" s="93"/>
      <c r="S418" s="13" t="str">
        <f ca="1">IF(ISBLANK(Table2[[#This Row],[Complete corrective actions (Approved Date)]]), TODAY()-Table2[[#This Row],[CAR initialized date]], "CLOSED")</f>
        <v>CLOSED</v>
      </c>
    </row>
    <row r="419" spans="1:19" ht="36" customHeight="1" x14ac:dyDescent="0.25">
      <c r="A419" s="9" t="s">
        <v>325</v>
      </c>
      <c r="B419" s="13" t="str">
        <f>VLOOKUP(Table2[[#This Row],[Location 
(drop-down)]],'List source'!D$2:E$71,2,FALSE)</f>
        <v>155A</v>
      </c>
      <c r="C419" s="11" t="s">
        <v>1125</v>
      </c>
      <c r="D419" s="212" t="str">
        <f t="shared" si="6"/>
        <v>C417-155A-25</v>
      </c>
      <c r="E419" s="11" t="s">
        <v>472</v>
      </c>
      <c r="F419" s="11"/>
      <c r="G419" s="9" t="s">
        <v>1126</v>
      </c>
      <c r="H419" s="10" t="s">
        <v>455</v>
      </c>
      <c r="I419" s="20" t="s">
        <v>18</v>
      </c>
      <c r="J419" s="166">
        <v>45944</v>
      </c>
      <c r="K419" s="166" t="s">
        <v>503</v>
      </c>
      <c r="L419" s="166"/>
      <c r="M419" s="63">
        <v>46014</v>
      </c>
      <c r="N419" s="166" t="s">
        <v>503</v>
      </c>
      <c r="O419" s="63"/>
      <c r="P419" s="196"/>
      <c r="Q419" s="37"/>
      <c r="R419" s="93"/>
      <c r="S419" s="13" t="str">
        <f ca="1">IF(ISBLANK(Table2[[#This Row],[Complete corrective actions (Approved Date)]]), TODAY()-Table2[[#This Row],[CAR initialized date]], "CLOSED")</f>
        <v>CLOSED</v>
      </c>
    </row>
    <row r="420" spans="1:19" ht="36" customHeight="1" x14ac:dyDescent="0.25">
      <c r="A420" s="9" t="s">
        <v>325</v>
      </c>
      <c r="B420" s="13" t="str">
        <f>VLOOKUP(Table2[[#This Row],[Location 
(drop-down)]],'List source'!D$2:E$71,2,FALSE)</f>
        <v>155A</v>
      </c>
      <c r="C420" s="11" t="s">
        <v>1127</v>
      </c>
      <c r="D420" s="212" t="str">
        <f t="shared" si="6"/>
        <v>C418-155A-25</v>
      </c>
      <c r="E420" s="11" t="s">
        <v>472</v>
      </c>
      <c r="F420" s="11"/>
      <c r="G420" s="9" t="s">
        <v>1128</v>
      </c>
      <c r="H420" s="10" t="s">
        <v>455</v>
      </c>
      <c r="I420" s="20" t="s">
        <v>18</v>
      </c>
      <c r="J420" s="166">
        <v>45944</v>
      </c>
      <c r="K420" s="166" t="s">
        <v>503</v>
      </c>
      <c r="L420" s="166"/>
      <c r="M420" s="63">
        <v>46014</v>
      </c>
      <c r="N420" s="166" t="s">
        <v>503</v>
      </c>
      <c r="O420" s="63"/>
      <c r="P420" s="196"/>
      <c r="Q420" s="37"/>
      <c r="R420" s="93"/>
      <c r="S420" s="13" t="str">
        <f ca="1">IF(ISBLANK(Table2[[#This Row],[Complete corrective actions (Approved Date)]]), TODAY()-Table2[[#This Row],[CAR initialized date]], "CLOSED")</f>
        <v>CLOSED</v>
      </c>
    </row>
    <row r="421" spans="1:19" ht="36" customHeight="1" x14ac:dyDescent="0.25">
      <c r="A421" s="9" t="s">
        <v>249</v>
      </c>
      <c r="B421" s="13">
        <f>VLOOKUP(Table2[[#This Row],[Location 
(drop-down)]],'List source'!D$2:E$71,2,FALSE)</f>
        <v>199</v>
      </c>
      <c r="C421" s="11" t="s">
        <v>1129</v>
      </c>
      <c r="D421" s="212" t="str">
        <f t="shared" si="6"/>
        <v>C419-199-25</v>
      </c>
      <c r="E421" s="11" t="s">
        <v>452</v>
      </c>
      <c r="F421" s="11" t="s">
        <v>103</v>
      </c>
      <c r="G421" s="9" t="s">
        <v>1130</v>
      </c>
      <c r="H421" s="10" t="s">
        <v>458</v>
      </c>
      <c r="I421" s="20" t="s">
        <v>101</v>
      </c>
      <c r="J421" s="166">
        <v>45945</v>
      </c>
      <c r="K421" s="166" t="s">
        <v>503</v>
      </c>
      <c r="L421" s="166"/>
      <c r="M421" s="63">
        <v>45953</v>
      </c>
      <c r="N421" s="166" t="s">
        <v>503</v>
      </c>
      <c r="O421" s="63">
        <v>45958</v>
      </c>
      <c r="P421" s="196" t="s">
        <v>503</v>
      </c>
      <c r="Q421" s="37"/>
      <c r="R421" s="93"/>
      <c r="S421" s="13" t="str">
        <f ca="1">IF(ISBLANK(Table2[[#This Row],[Complete corrective actions (Approved Date)]]), TODAY()-Table2[[#This Row],[CAR initialized date]], "CLOSED")</f>
        <v>CLOSED</v>
      </c>
    </row>
    <row r="422" spans="1:19" ht="36" customHeight="1" x14ac:dyDescent="0.25">
      <c r="A422" s="9" t="s">
        <v>153</v>
      </c>
      <c r="B422" s="13">
        <f>VLOOKUP(Table2[[#This Row],[Location 
(drop-down)]],'List source'!D$2:E$71,2,FALSE)</f>
        <v>110</v>
      </c>
      <c r="C422" s="11" t="s">
        <v>1131</v>
      </c>
      <c r="D422" s="212" t="str">
        <f t="shared" si="6"/>
        <v>C420-110-25</v>
      </c>
      <c r="E422" s="11" t="s">
        <v>472</v>
      </c>
      <c r="F422" s="11"/>
      <c r="G422" s="9" t="s">
        <v>1132</v>
      </c>
      <c r="H422" s="10" t="s">
        <v>494</v>
      </c>
      <c r="I422" s="20" t="s">
        <v>27</v>
      </c>
      <c r="J422" s="166">
        <v>45951</v>
      </c>
      <c r="K422" s="166"/>
      <c r="L422" s="166"/>
      <c r="M422" s="63"/>
      <c r="N422" s="166"/>
      <c r="O422" s="63"/>
      <c r="P422" s="196"/>
      <c r="Q422" s="37"/>
      <c r="R422" s="93"/>
      <c r="S422" s="13">
        <f ca="1">IF(ISBLANK(Table2[[#This Row],[Complete corrective actions (Approved Date)]]), TODAY()-Table2[[#This Row],[CAR initialized date]], "CLOSED")</f>
        <v>126</v>
      </c>
    </row>
    <row r="423" spans="1:19" ht="36" customHeight="1" x14ac:dyDescent="0.25">
      <c r="A423" s="9" t="s">
        <v>153</v>
      </c>
      <c r="B423" s="13">
        <f>VLOOKUP(Table2[[#This Row],[Location 
(drop-down)]],'List source'!D$2:E$71,2,FALSE)</f>
        <v>110</v>
      </c>
      <c r="C423" s="11" t="s">
        <v>1133</v>
      </c>
      <c r="D423" s="212" t="str">
        <f t="shared" si="6"/>
        <v>C421-110-25</v>
      </c>
      <c r="E423" s="11" t="s">
        <v>472</v>
      </c>
      <c r="F423" s="11"/>
      <c r="G423" s="9" t="s">
        <v>686</v>
      </c>
      <c r="H423" s="10" t="s">
        <v>494</v>
      </c>
      <c r="I423" s="20" t="s">
        <v>27</v>
      </c>
      <c r="J423" s="166">
        <v>45951</v>
      </c>
      <c r="K423" s="166"/>
      <c r="L423" s="166"/>
      <c r="M423" s="63"/>
      <c r="N423" s="166"/>
      <c r="O423" s="63"/>
      <c r="P423" s="196"/>
      <c r="Q423" s="37"/>
      <c r="R423" s="93"/>
      <c r="S423" s="13">
        <f ca="1">IF(ISBLANK(Table2[[#This Row],[Complete corrective actions (Approved Date)]]), TODAY()-Table2[[#This Row],[CAR initialized date]], "CLOSED")</f>
        <v>126</v>
      </c>
    </row>
    <row r="424" spans="1:19" ht="36" customHeight="1" x14ac:dyDescent="0.25">
      <c r="A424" s="9" t="s">
        <v>79</v>
      </c>
      <c r="B424" s="13">
        <f>VLOOKUP(Table2[[#This Row],[Location 
(drop-down)]],'List source'!D$2:E$71,2,FALSE)</f>
        <v>160</v>
      </c>
      <c r="C424" s="11" t="s">
        <v>1134</v>
      </c>
      <c r="D424" s="212" t="str">
        <f t="shared" si="6"/>
        <v>C422-160-25</v>
      </c>
      <c r="E424" s="174" t="s">
        <v>465</v>
      </c>
      <c r="F424" s="11" t="s">
        <v>169</v>
      </c>
      <c r="G424" s="9" t="s">
        <v>1135</v>
      </c>
      <c r="H424" s="10" t="s">
        <v>455</v>
      </c>
      <c r="I424" s="20" t="s">
        <v>82</v>
      </c>
      <c r="J424" s="166">
        <v>45950</v>
      </c>
      <c r="K424" s="166"/>
      <c r="L424" s="166"/>
      <c r="M424" s="63">
        <v>46010</v>
      </c>
      <c r="N424" s="166"/>
      <c r="O424" s="63"/>
      <c r="P424" s="196"/>
      <c r="Q424" s="37" t="s">
        <v>1136</v>
      </c>
      <c r="R424" s="93"/>
      <c r="S424" s="13" t="str">
        <f ca="1">IF(ISBLANK(Table2[[#This Row],[Complete corrective actions (Approved Date)]]), TODAY()-Table2[[#This Row],[CAR initialized date]], "CLOSED")</f>
        <v>CLOSED</v>
      </c>
    </row>
    <row r="425" spans="1:19" ht="36" customHeight="1" x14ac:dyDescent="0.25">
      <c r="A425" s="9" t="s">
        <v>79</v>
      </c>
      <c r="B425" s="13">
        <f>VLOOKUP(Table2[[#This Row],[Location 
(drop-down)]],'List source'!D$2:E$71,2,FALSE)</f>
        <v>160</v>
      </c>
      <c r="C425" s="11" t="s">
        <v>1137</v>
      </c>
      <c r="D425" s="212" t="str">
        <f t="shared" si="6"/>
        <v>C423-160-25</v>
      </c>
      <c r="E425" s="174" t="s">
        <v>465</v>
      </c>
      <c r="F425" s="11" t="s">
        <v>169</v>
      </c>
      <c r="G425" s="9" t="s">
        <v>1138</v>
      </c>
      <c r="H425" s="10" t="s">
        <v>455</v>
      </c>
      <c r="I425" s="20" t="s">
        <v>82</v>
      </c>
      <c r="J425" s="166">
        <v>45950</v>
      </c>
      <c r="K425" s="166"/>
      <c r="L425" s="166"/>
      <c r="M425" s="63">
        <v>45993</v>
      </c>
      <c r="N425" s="166"/>
      <c r="O425" s="63"/>
      <c r="P425" s="196"/>
      <c r="Q425" s="37" t="s">
        <v>1136</v>
      </c>
      <c r="R425" s="93"/>
      <c r="S425" s="13" t="str">
        <f ca="1">IF(ISBLANK(Table2[[#This Row],[Complete corrective actions (Approved Date)]]), TODAY()-Table2[[#This Row],[CAR initialized date]], "CLOSED")</f>
        <v>CLOSED</v>
      </c>
    </row>
    <row r="426" spans="1:19" ht="36" customHeight="1" x14ac:dyDescent="0.25">
      <c r="A426" s="9" t="s">
        <v>69</v>
      </c>
      <c r="B426" s="13">
        <f>VLOOKUP(Table2[[#This Row],[Location 
(drop-down)]],'List source'!D$2:E$71,2,FALSE)</f>
        <v>141</v>
      </c>
      <c r="C426" s="11" t="s">
        <v>1139</v>
      </c>
      <c r="D426" s="212" t="str">
        <f t="shared" si="6"/>
        <v>C424-141-25</v>
      </c>
      <c r="E426" s="174" t="s">
        <v>465</v>
      </c>
      <c r="F426" s="11" t="s">
        <v>103</v>
      </c>
      <c r="G426" s="9" t="s">
        <v>1140</v>
      </c>
      <c r="H426" s="10" t="s">
        <v>458</v>
      </c>
      <c r="I426" s="20" t="s">
        <v>27</v>
      </c>
      <c r="J426" s="166">
        <v>45950</v>
      </c>
      <c r="K426" s="166" t="s">
        <v>503</v>
      </c>
      <c r="L426" s="166"/>
      <c r="M426" s="63">
        <v>45961</v>
      </c>
      <c r="N426" s="166"/>
      <c r="O426" s="63"/>
      <c r="P426" s="196"/>
      <c r="Q426" s="37" t="s">
        <v>1141</v>
      </c>
      <c r="R426" s="93"/>
      <c r="S426" s="13" t="str">
        <f ca="1">IF(ISBLANK(Table2[[#This Row],[Complete corrective actions (Approved Date)]]), TODAY()-Table2[[#This Row],[CAR initialized date]], "CLOSED")</f>
        <v>CLOSED</v>
      </c>
    </row>
    <row r="427" spans="1:19" ht="36" customHeight="1" x14ac:dyDescent="0.25">
      <c r="A427" s="9" t="s">
        <v>69</v>
      </c>
      <c r="B427" s="13">
        <f>VLOOKUP(Table2[[#This Row],[Location 
(drop-down)]],'List source'!D$2:E$71,2,FALSE)</f>
        <v>141</v>
      </c>
      <c r="C427" s="11" t="s">
        <v>1142</v>
      </c>
      <c r="D427" s="212" t="str">
        <f t="shared" si="6"/>
        <v>C425-141-25</v>
      </c>
      <c r="E427" s="174" t="s">
        <v>465</v>
      </c>
      <c r="F427" s="11" t="s">
        <v>103</v>
      </c>
      <c r="G427" s="9" t="s">
        <v>1143</v>
      </c>
      <c r="H427" s="10" t="s">
        <v>458</v>
      </c>
      <c r="I427" s="20" t="s">
        <v>27</v>
      </c>
      <c r="J427" s="166">
        <v>45950</v>
      </c>
      <c r="K427" s="166" t="s">
        <v>503</v>
      </c>
      <c r="L427" s="166"/>
      <c r="M427" s="63">
        <v>45961</v>
      </c>
      <c r="N427" s="166"/>
      <c r="O427" s="63"/>
      <c r="P427" s="196"/>
      <c r="Q427" s="37"/>
      <c r="R427" s="93"/>
      <c r="S427" s="13" t="str">
        <f ca="1">IF(ISBLANK(Table2[[#This Row],[Complete corrective actions (Approved Date)]]), TODAY()-Table2[[#This Row],[CAR initialized date]], "CLOSED")</f>
        <v>CLOSED</v>
      </c>
    </row>
    <row r="428" spans="1:19" ht="36" customHeight="1" x14ac:dyDescent="0.25">
      <c r="A428" s="9" t="s">
        <v>186</v>
      </c>
      <c r="B428" s="13">
        <f>VLOOKUP(Table2[[#This Row],[Location 
(drop-down)]],'List source'!D$2:E$71,2,FALSE)</f>
        <v>136</v>
      </c>
      <c r="C428" s="11" t="s">
        <v>1144</v>
      </c>
      <c r="D428" s="212" t="str">
        <f t="shared" si="6"/>
        <v>C426-136-25</v>
      </c>
      <c r="E428" s="174" t="s">
        <v>460</v>
      </c>
      <c r="F428" s="11" t="s">
        <v>1145</v>
      </c>
      <c r="G428" s="9" t="s">
        <v>1146</v>
      </c>
      <c r="H428" s="10" t="s">
        <v>494</v>
      </c>
      <c r="I428" s="20" t="s">
        <v>109</v>
      </c>
      <c r="J428" s="166">
        <v>45953</v>
      </c>
      <c r="K428" s="166"/>
      <c r="L428" s="166"/>
      <c r="M428" s="63">
        <v>45953</v>
      </c>
      <c r="N428" s="166"/>
      <c r="O428" s="63"/>
      <c r="P428" s="196"/>
      <c r="Q428" s="37"/>
      <c r="R428" s="93"/>
      <c r="S428" s="13" t="str">
        <f ca="1">IF(ISBLANK(Table2[[#This Row],[Complete corrective actions (Approved Date)]]), TODAY()-Table2[[#This Row],[CAR initialized date]], "CLOSED")</f>
        <v>CLOSED</v>
      </c>
    </row>
    <row r="429" spans="1:19" ht="36" customHeight="1" x14ac:dyDescent="0.25">
      <c r="A429" s="9" t="s">
        <v>656</v>
      </c>
      <c r="B429" s="13" t="str">
        <f>VLOOKUP(Table2[[#This Row],[Location 
(drop-down)]],'List source'!D$2:E$71,2,FALSE)</f>
        <v>VOID</v>
      </c>
      <c r="C429" s="11" t="s">
        <v>1147</v>
      </c>
      <c r="D429" s="212" t="str">
        <f t="shared" si="6"/>
        <v>C427-VOID-25</v>
      </c>
      <c r="E429" s="174" t="s">
        <v>519</v>
      </c>
      <c r="F429" s="11" t="s">
        <v>185</v>
      </c>
      <c r="G429" s="9" t="s">
        <v>1148</v>
      </c>
      <c r="H429" s="10" t="s">
        <v>657</v>
      </c>
      <c r="I429" s="20" t="s">
        <v>657</v>
      </c>
      <c r="J429" s="166" t="s">
        <v>657</v>
      </c>
      <c r="K429" s="166"/>
      <c r="L429" s="166"/>
      <c r="M429" s="63" t="s">
        <v>657</v>
      </c>
      <c r="N429" s="166"/>
      <c r="O429" s="63" t="s">
        <v>657</v>
      </c>
      <c r="P429" s="196"/>
      <c r="Q429" s="37" t="s">
        <v>1149</v>
      </c>
      <c r="R429" s="93"/>
      <c r="S429" s="13" t="str">
        <f ca="1">IF(ISBLANK(Table2[[#This Row],[Complete corrective actions (Approved Date)]]), TODAY()-Table2[[#This Row],[CAR initialized date]], "CLOSED")</f>
        <v>CLOSED</v>
      </c>
    </row>
    <row r="430" spans="1:19" ht="36" customHeight="1" x14ac:dyDescent="0.25">
      <c r="A430" s="9" t="s">
        <v>73</v>
      </c>
      <c r="B430" s="13">
        <f>VLOOKUP(Table2[[#This Row],[Location 
(drop-down)]],'List source'!D$2:E$71,2,FALSE)</f>
        <v>142</v>
      </c>
      <c r="C430" s="11" t="s">
        <v>1150</v>
      </c>
      <c r="D430" s="212" t="str">
        <f t="shared" si="6"/>
        <v>C428-142-25</v>
      </c>
      <c r="E430" s="174" t="s">
        <v>519</v>
      </c>
      <c r="F430" s="11" t="s">
        <v>185</v>
      </c>
      <c r="G430" s="9" t="s">
        <v>1151</v>
      </c>
      <c r="H430" s="10" t="s">
        <v>458</v>
      </c>
      <c r="I430" s="20" t="s">
        <v>18</v>
      </c>
      <c r="J430" s="166">
        <v>45954</v>
      </c>
      <c r="K430" s="166" t="s">
        <v>503</v>
      </c>
      <c r="L430" s="166"/>
      <c r="M430" s="63">
        <v>45992</v>
      </c>
      <c r="N430" s="166"/>
      <c r="O430" s="63"/>
      <c r="P430" s="196"/>
      <c r="Q430" s="37" t="s">
        <v>1152</v>
      </c>
      <c r="R430" s="93"/>
      <c r="S430" s="13" t="str">
        <f ca="1">IF(ISBLANK(Table2[[#This Row],[Complete corrective actions (Approved Date)]]), TODAY()-Table2[[#This Row],[CAR initialized date]], "CLOSED")</f>
        <v>CLOSED</v>
      </c>
    </row>
    <row r="431" spans="1:19" ht="36" customHeight="1" x14ac:dyDescent="0.25">
      <c r="A431" s="9" t="s">
        <v>73</v>
      </c>
      <c r="B431" s="13">
        <f>VLOOKUP(Table2[[#This Row],[Location 
(drop-down)]],'List source'!D$2:E$71,2,FALSE)</f>
        <v>142</v>
      </c>
      <c r="C431" s="11" t="s">
        <v>1153</v>
      </c>
      <c r="D431" s="212" t="str">
        <f t="shared" si="6"/>
        <v>C429-142-25</v>
      </c>
      <c r="E431" s="11" t="s">
        <v>519</v>
      </c>
      <c r="F431" s="11" t="s">
        <v>185</v>
      </c>
      <c r="G431" s="9" t="s">
        <v>1154</v>
      </c>
      <c r="H431" s="10" t="s">
        <v>458</v>
      </c>
      <c r="I431" s="20" t="s">
        <v>18</v>
      </c>
      <c r="J431" s="166">
        <v>45954</v>
      </c>
      <c r="K431" s="166" t="s">
        <v>503</v>
      </c>
      <c r="L431" s="166"/>
      <c r="M431" s="63">
        <v>45992</v>
      </c>
      <c r="N431" s="166"/>
      <c r="O431" s="63"/>
      <c r="P431" s="196"/>
      <c r="Q431" s="37" t="s">
        <v>1152</v>
      </c>
      <c r="R431" s="93"/>
      <c r="S431" s="13" t="str">
        <f ca="1">IF(ISBLANK(Table2[[#This Row],[Complete corrective actions (Approved Date)]]), TODAY()-Table2[[#This Row],[CAR initialized date]], "CLOSED")</f>
        <v>CLOSED</v>
      </c>
    </row>
    <row r="432" spans="1:19" ht="36" customHeight="1" x14ac:dyDescent="0.25">
      <c r="A432" s="9" t="s">
        <v>105</v>
      </c>
      <c r="B432" s="13">
        <f>VLOOKUP(Table2[[#This Row],[Location 
(drop-down)]],'List source'!D$2:E$71,2,FALSE)</f>
        <v>215</v>
      </c>
      <c r="C432" s="11" t="s">
        <v>1155</v>
      </c>
      <c r="D432" s="212" t="str">
        <f t="shared" si="6"/>
        <v>C430-215-25</v>
      </c>
      <c r="E432" s="11" t="s">
        <v>465</v>
      </c>
      <c r="F432" s="11" t="s">
        <v>265</v>
      </c>
      <c r="G432" t="s">
        <v>1156</v>
      </c>
      <c r="H432" s="10" t="s">
        <v>455</v>
      </c>
      <c r="I432" s="20" t="s">
        <v>189</v>
      </c>
      <c r="J432" s="166">
        <v>45957</v>
      </c>
      <c r="K432" s="166" t="s">
        <v>503</v>
      </c>
      <c r="L432" s="166"/>
      <c r="M432" s="63">
        <v>46010</v>
      </c>
      <c r="N432" s="166" t="s">
        <v>503</v>
      </c>
      <c r="O432" s="63"/>
      <c r="P432" s="196"/>
      <c r="Q432" s="37"/>
      <c r="R432" s="93"/>
      <c r="S432" s="13" t="str">
        <f ca="1">IF(ISBLANK(Table2[[#This Row],[Complete corrective actions (Approved Date)]]), TODAY()-Table2[[#This Row],[CAR initialized date]], "CLOSED")</f>
        <v>CLOSED</v>
      </c>
    </row>
    <row r="433" spans="1:19" ht="36" customHeight="1" x14ac:dyDescent="0.25">
      <c r="A433" s="9" t="s">
        <v>105</v>
      </c>
      <c r="B433" s="13">
        <f>VLOOKUP(Table2[[#This Row],[Location 
(drop-down)]],'List source'!D$2:E$71,2,FALSE)</f>
        <v>215</v>
      </c>
      <c r="C433" s="11" t="s">
        <v>1157</v>
      </c>
      <c r="D433" s="212" t="str">
        <f t="shared" si="6"/>
        <v>C431-215-25</v>
      </c>
      <c r="E433" s="11" t="s">
        <v>465</v>
      </c>
      <c r="F433" s="11" t="s">
        <v>265</v>
      </c>
      <c r="G433" t="s">
        <v>1158</v>
      </c>
      <c r="H433" s="10" t="s">
        <v>455</v>
      </c>
      <c r="I433" s="20" t="s">
        <v>189</v>
      </c>
      <c r="J433" s="166">
        <v>45957</v>
      </c>
      <c r="K433" s="166" t="s">
        <v>503</v>
      </c>
      <c r="L433" s="166"/>
      <c r="M433" s="63">
        <v>46010</v>
      </c>
      <c r="N433" s="166" t="s">
        <v>503</v>
      </c>
      <c r="O433" s="63"/>
      <c r="P433" s="196"/>
      <c r="Q433" s="37"/>
      <c r="R433" s="93"/>
      <c r="S433" s="13" t="str">
        <f ca="1">IF(ISBLANK(Table2[[#This Row],[Complete corrective actions (Approved Date)]]), TODAY()-Table2[[#This Row],[CAR initialized date]], "CLOSED")</f>
        <v>CLOSED</v>
      </c>
    </row>
    <row r="434" spans="1:19" ht="36" customHeight="1" x14ac:dyDescent="0.25">
      <c r="A434" s="9" t="s">
        <v>105</v>
      </c>
      <c r="B434" s="13">
        <f>VLOOKUP(Table2[[#This Row],[Location 
(drop-down)]],'List source'!D$2:E$71,2,FALSE)</f>
        <v>215</v>
      </c>
      <c r="C434" s="11" t="s">
        <v>1159</v>
      </c>
      <c r="D434" s="212" t="str">
        <f t="shared" si="6"/>
        <v>C432-215-25</v>
      </c>
      <c r="E434" s="11" t="s">
        <v>465</v>
      </c>
      <c r="F434" s="11" t="s">
        <v>265</v>
      </c>
      <c r="G434" t="s">
        <v>1160</v>
      </c>
      <c r="H434" s="10" t="s">
        <v>455</v>
      </c>
      <c r="I434" s="20" t="s">
        <v>189</v>
      </c>
      <c r="J434" s="166">
        <v>45957</v>
      </c>
      <c r="K434" s="166" t="s">
        <v>503</v>
      </c>
      <c r="L434" s="166"/>
      <c r="M434" s="63">
        <v>46010</v>
      </c>
      <c r="N434" s="166" t="s">
        <v>503</v>
      </c>
      <c r="O434" s="63"/>
      <c r="P434" s="196"/>
      <c r="Q434" s="37"/>
      <c r="R434" s="93"/>
      <c r="S434" s="13" t="str">
        <f ca="1">IF(ISBLANK(Table2[[#This Row],[Complete corrective actions (Approved Date)]]), TODAY()-Table2[[#This Row],[CAR initialized date]], "CLOSED")</f>
        <v>CLOSED</v>
      </c>
    </row>
    <row r="435" spans="1:19" ht="36" customHeight="1" x14ac:dyDescent="0.25">
      <c r="A435" s="9" t="s">
        <v>46</v>
      </c>
      <c r="B435" s="13">
        <f>VLOOKUP(Table2[[#This Row],[Location 
(drop-down)]],'List source'!D$2:E$71,2,FALSE)</f>
        <v>155</v>
      </c>
      <c r="C435" s="11" t="s">
        <v>1161</v>
      </c>
      <c r="D435" s="212" t="str">
        <f t="shared" si="6"/>
        <v>C433-155-25</v>
      </c>
      <c r="E435" s="11" t="s">
        <v>452</v>
      </c>
      <c r="F435" s="11" t="s">
        <v>1162</v>
      </c>
      <c r="G435" s="9" t="s">
        <v>1163</v>
      </c>
      <c r="H435" s="10" t="s">
        <v>458</v>
      </c>
      <c r="I435" s="20" t="s">
        <v>35</v>
      </c>
      <c r="J435" s="166">
        <v>45960</v>
      </c>
      <c r="K435" s="166" t="s">
        <v>503</v>
      </c>
      <c r="L435" s="166"/>
      <c r="M435" s="63">
        <v>45975</v>
      </c>
      <c r="N435" s="166" t="s">
        <v>503</v>
      </c>
      <c r="O435" s="63"/>
      <c r="P435" s="196"/>
      <c r="Q435" s="37" t="s">
        <v>1164</v>
      </c>
      <c r="R435" s="93"/>
      <c r="S435" s="13" t="str">
        <f ca="1">IF(ISBLANK(Table2[[#This Row],[Complete corrective actions (Approved Date)]]), TODAY()-Table2[[#This Row],[CAR initialized date]], "CLOSED")</f>
        <v>CLOSED</v>
      </c>
    </row>
    <row r="436" spans="1:19" ht="36" customHeight="1" x14ac:dyDescent="0.25">
      <c r="A436" s="9" t="s">
        <v>156</v>
      </c>
      <c r="B436" s="13">
        <f>VLOOKUP(Table2[[#This Row],[Location 
(drop-down)]],'List source'!D$2:E$71,2,FALSE)</f>
        <v>130</v>
      </c>
      <c r="C436" s="11" t="s">
        <v>1165</v>
      </c>
      <c r="D436" s="212" t="str">
        <f t="shared" si="6"/>
        <v>C434-130-25</v>
      </c>
      <c r="E436" s="11" t="s">
        <v>452</v>
      </c>
      <c r="F436" s="11" t="s">
        <v>456</v>
      </c>
      <c r="G436" s="9" t="s">
        <v>1166</v>
      </c>
      <c r="H436" s="10" t="s">
        <v>458</v>
      </c>
      <c r="I436" s="20" t="s">
        <v>167</v>
      </c>
      <c r="J436" s="166">
        <v>45960</v>
      </c>
      <c r="K436" s="166" t="s">
        <v>506</v>
      </c>
      <c r="L436" s="166"/>
      <c r="M436" s="63">
        <v>46000</v>
      </c>
      <c r="N436" s="166" t="s">
        <v>506</v>
      </c>
      <c r="O436" s="63">
        <v>46000</v>
      </c>
      <c r="P436" s="196" t="s">
        <v>503</v>
      </c>
      <c r="Q436" s="37" t="s">
        <v>1167</v>
      </c>
      <c r="R436" s="93"/>
      <c r="S436" s="13" t="str">
        <f ca="1">IF(ISBLANK(Table2[[#This Row],[Complete corrective actions (Approved Date)]]), TODAY()-Table2[[#This Row],[CAR initialized date]], "CLOSED")</f>
        <v>CLOSED</v>
      </c>
    </row>
    <row r="437" spans="1:19" ht="36" customHeight="1" x14ac:dyDescent="0.25">
      <c r="A437" s="9" t="s">
        <v>14</v>
      </c>
      <c r="B437" s="13">
        <f>VLOOKUP(Table2[[#This Row],[Location 
(drop-down)]],'List source'!D$2:E$71,2,FALSE)</f>
        <v>131</v>
      </c>
      <c r="C437" s="11" t="s">
        <v>1168</v>
      </c>
      <c r="D437" s="212" t="str">
        <f t="shared" si="6"/>
        <v>C435-131-25</v>
      </c>
      <c r="E437" s="279" t="s">
        <v>452</v>
      </c>
      <c r="F437" s="11" t="s">
        <v>456</v>
      </c>
      <c r="G437" s="9" t="s">
        <v>1169</v>
      </c>
      <c r="H437" s="10" t="s">
        <v>458</v>
      </c>
      <c r="I437" s="20" t="s">
        <v>167</v>
      </c>
      <c r="J437" s="166">
        <v>45960</v>
      </c>
      <c r="K437" s="166" t="s">
        <v>506</v>
      </c>
      <c r="L437" s="166"/>
      <c r="M437" s="63">
        <v>46006</v>
      </c>
      <c r="N437" s="166" t="s">
        <v>506</v>
      </c>
      <c r="O437" s="63">
        <v>46006</v>
      </c>
      <c r="P437" s="196" t="s">
        <v>503</v>
      </c>
      <c r="Q437" s="37" t="s">
        <v>1170</v>
      </c>
      <c r="R437" s="93"/>
      <c r="S437" s="13" t="str">
        <f ca="1">IF(ISBLANK(Table2[[#This Row],[Complete corrective actions (Approved Date)]]), TODAY()-Table2[[#This Row],[CAR initialized date]], "CLOSED")</f>
        <v>CLOSED</v>
      </c>
    </row>
    <row r="438" spans="1:19" ht="36" customHeight="1" x14ac:dyDescent="0.25">
      <c r="A438" s="9" t="s">
        <v>338</v>
      </c>
      <c r="B438" s="13">
        <f>VLOOKUP(Table2[[#This Row],[Location 
(drop-down)]],'List source'!D$2:E$71,2,FALSE)</f>
        <v>191</v>
      </c>
      <c r="C438" s="11" t="s">
        <v>1171</v>
      </c>
      <c r="D438" s="212" t="str">
        <f t="shared" si="6"/>
        <v>C436-191-25</v>
      </c>
      <c r="E438" s="19" t="s">
        <v>472</v>
      </c>
      <c r="F438" s="11"/>
      <c r="G438" s="9" t="s">
        <v>1172</v>
      </c>
      <c r="H438" s="10" t="s">
        <v>458</v>
      </c>
      <c r="I438" s="20" t="s">
        <v>18</v>
      </c>
      <c r="J438" s="166">
        <v>45960</v>
      </c>
      <c r="K438" s="166"/>
      <c r="L438" s="166"/>
      <c r="M438" s="63"/>
      <c r="N438" s="166"/>
      <c r="O438" s="63"/>
      <c r="P438" s="196"/>
      <c r="Q438" s="37"/>
      <c r="R438" s="93"/>
      <c r="S438" s="13">
        <f ca="1">IF(ISBLANK(Table2[[#This Row],[Complete corrective actions (Approved Date)]]), TODAY()-Table2[[#This Row],[CAR initialized date]], "CLOSED")</f>
        <v>117</v>
      </c>
    </row>
    <row r="439" spans="1:19" ht="36" customHeight="1" x14ac:dyDescent="0.25">
      <c r="A439" s="9" t="s">
        <v>338</v>
      </c>
      <c r="B439" s="13">
        <f>VLOOKUP(Table2[[#This Row],[Location 
(drop-down)]],'List source'!D$2:E$71,2,FALSE)</f>
        <v>191</v>
      </c>
      <c r="C439" s="11" t="s">
        <v>1173</v>
      </c>
      <c r="D439" s="212" t="str">
        <f t="shared" si="6"/>
        <v>C437-191-25</v>
      </c>
      <c r="E439" s="11" t="s">
        <v>472</v>
      </c>
      <c r="F439" s="11"/>
      <c r="G439" s="9" t="s">
        <v>1174</v>
      </c>
      <c r="H439" s="10" t="s">
        <v>458</v>
      </c>
      <c r="I439" s="20" t="s">
        <v>18</v>
      </c>
      <c r="J439" s="166">
        <v>45960</v>
      </c>
      <c r="K439" s="166"/>
      <c r="L439" s="166"/>
      <c r="M439" s="63"/>
      <c r="N439" s="166"/>
      <c r="O439" s="63"/>
      <c r="P439" s="196"/>
      <c r="Q439" s="254"/>
      <c r="R439" s="93"/>
      <c r="S439" s="13">
        <f ca="1">IF(ISBLANK(Table2[[#This Row],[Complete corrective actions (Approved Date)]]), TODAY()-Table2[[#This Row],[CAR initialized date]], "CLOSED")</f>
        <v>117</v>
      </c>
    </row>
    <row r="440" spans="1:19" ht="36" customHeight="1" x14ac:dyDescent="0.25">
      <c r="A440" s="9" t="s">
        <v>338</v>
      </c>
      <c r="B440" s="13">
        <f>VLOOKUP(Table2[[#This Row],[Location 
(drop-down)]],'List source'!D$2:E$71,2,FALSE)</f>
        <v>191</v>
      </c>
      <c r="C440" s="11" t="s">
        <v>1175</v>
      </c>
      <c r="D440" s="212" t="str">
        <f t="shared" si="6"/>
        <v>C438-191-25</v>
      </c>
      <c r="E440" s="11" t="s">
        <v>472</v>
      </c>
      <c r="F440" s="11"/>
      <c r="G440" s="9" t="s">
        <v>1176</v>
      </c>
      <c r="H440" s="10" t="s">
        <v>455</v>
      </c>
      <c r="I440" s="20" t="s">
        <v>18</v>
      </c>
      <c r="J440" s="166">
        <v>45960</v>
      </c>
      <c r="K440" s="166" t="s">
        <v>503</v>
      </c>
      <c r="L440" s="166"/>
      <c r="M440" s="63">
        <v>46051</v>
      </c>
      <c r="N440" s="166" t="s">
        <v>503</v>
      </c>
      <c r="O440" s="63"/>
      <c r="P440" s="196"/>
      <c r="Q440" s="254"/>
      <c r="R440" s="93"/>
      <c r="S440" s="13" t="str">
        <f ca="1">IF(ISBLANK(Table2[[#This Row],[Complete corrective actions (Approved Date)]]), TODAY()-Table2[[#This Row],[CAR initialized date]], "CLOSED")</f>
        <v>CLOSED</v>
      </c>
    </row>
    <row r="441" spans="1:19" ht="36" customHeight="1" x14ac:dyDescent="0.25">
      <c r="A441" s="9" t="s">
        <v>338</v>
      </c>
      <c r="B441" s="13">
        <f>VLOOKUP(Table2[[#This Row],[Location 
(drop-down)]],'List source'!D$2:E$71,2,FALSE)</f>
        <v>191</v>
      </c>
      <c r="C441" s="11" t="s">
        <v>1177</v>
      </c>
      <c r="D441" s="212" t="str">
        <f t="shared" si="6"/>
        <v>C439-191-25</v>
      </c>
      <c r="E441" s="11" t="s">
        <v>472</v>
      </c>
      <c r="F441" s="11"/>
      <c r="G441" s="9" t="s">
        <v>1178</v>
      </c>
      <c r="H441" s="10" t="s">
        <v>455</v>
      </c>
      <c r="I441" s="20" t="s">
        <v>18</v>
      </c>
      <c r="J441" s="166">
        <v>45960</v>
      </c>
      <c r="K441" s="166"/>
      <c r="L441" s="166"/>
      <c r="M441" s="63"/>
      <c r="N441" s="166"/>
      <c r="O441" s="63"/>
      <c r="P441" s="196"/>
      <c r="Q441" s="37"/>
      <c r="R441" s="93"/>
      <c r="S441" s="13">
        <f ca="1">IF(ISBLANK(Table2[[#This Row],[Complete corrective actions (Approved Date)]]), TODAY()-Table2[[#This Row],[CAR initialized date]], "CLOSED")</f>
        <v>117</v>
      </c>
    </row>
    <row r="442" spans="1:19" ht="36" customHeight="1" x14ac:dyDescent="0.25">
      <c r="A442" s="9" t="s">
        <v>338</v>
      </c>
      <c r="B442" s="13">
        <f>VLOOKUP(Table2[[#This Row],[Location 
(drop-down)]],'List source'!D$2:E$71,2,FALSE)</f>
        <v>191</v>
      </c>
      <c r="C442" s="11" t="s">
        <v>1179</v>
      </c>
      <c r="D442" s="212" t="str">
        <f t="shared" si="6"/>
        <v>C440-191-25</v>
      </c>
      <c r="E442" s="11" t="s">
        <v>472</v>
      </c>
      <c r="F442" s="11"/>
      <c r="G442" s="9" t="s">
        <v>1180</v>
      </c>
      <c r="H442" s="10" t="s">
        <v>455</v>
      </c>
      <c r="I442" s="20" t="s">
        <v>18</v>
      </c>
      <c r="J442" s="166">
        <v>45960</v>
      </c>
      <c r="K442" s="166"/>
      <c r="L442" s="166"/>
      <c r="M442" s="63"/>
      <c r="N442" s="166"/>
      <c r="O442" s="63"/>
      <c r="P442" s="196"/>
      <c r="Q442" s="37"/>
      <c r="R442" s="93"/>
      <c r="S442" s="13">
        <f ca="1">IF(ISBLANK(Table2[[#This Row],[Complete corrective actions (Approved Date)]]), TODAY()-Table2[[#This Row],[CAR initialized date]], "CLOSED")</f>
        <v>117</v>
      </c>
    </row>
    <row r="443" spans="1:19" ht="36" customHeight="1" x14ac:dyDescent="0.25">
      <c r="A443" s="9" t="s">
        <v>338</v>
      </c>
      <c r="B443" s="13">
        <f>VLOOKUP(Table2[[#This Row],[Location 
(drop-down)]],'List source'!D$2:E$71,2,FALSE)</f>
        <v>191</v>
      </c>
      <c r="C443" s="11" t="s">
        <v>1181</v>
      </c>
      <c r="D443" s="212" t="str">
        <f t="shared" si="6"/>
        <v>C441-191-25</v>
      </c>
      <c r="E443" s="11" t="s">
        <v>472</v>
      </c>
      <c r="F443" s="11"/>
      <c r="G443" s="9" t="s">
        <v>626</v>
      </c>
      <c r="H443" s="10" t="s">
        <v>455</v>
      </c>
      <c r="I443" s="20" t="s">
        <v>18</v>
      </c>
      <c r="J443" s="166">
        <v>45960</v>
      </c>
      <c r="K443" s="166" t="s">
        <v>503</v>
      </c>
      <c r="L443" s="166"/>
      <c r="M443" s="63">
        <v>46051</v>
      </c>
      <c r="N443" s="166" t="s">
        <v>503</v>
      </c>
      <c r="O443" s="63"/>
      <c r="P443" s="196"/>
      <c r="Q443" s="37"/>
      <c r="R443" s="93"/>
      <c r="S443" s="13" t="str">
        <f ca="1">IF(ISBLANK(Table2[[#This Row],[Complete corrective actions (Approved Date)]]), TODAY()-Table2[[#This Row],[CAR initialized date]], "CLOSED")</f>
        <v>CLOSED</v>
      </c>
    </row>
    <row r="444" spans="1:19" ht="36" customHeight="1" x14ac:dyDescent="0.25">
      <c r="A444" s="9" t="s">
        <v>338</v>
      </c>
      <c r="B444" s="13">
        <f>VLOOKUP(Table2[[#This Row],[Location 
(drop-down)]],'List source'!D$2:E$71,2,FALSE)</f>
        <v>191</v>
      </c>
      <c r="C444" s="11" t="s">
        <v>1182</v>
      </c>
      <c r="D444" s="212" t="str">
        <f t="shared" si="6"/>
        <v>C442-191-25</v>
      </c>
      <c r="E444" s="11" t="s">
        <v>472</v>
      </c>
      <c r="F444" s="11"/>
      <c r="G444" s="9" t="s">
        <v>1183</v>
      </c>
      <c r="H444" s="10" t="s">
        <v>455</v>
      </c>
      <c r="I444" s="20" t="s">
        <v>18</v>
      </c>
      <c r="J444" s="166">
        <v>45960</v>
      </c>
      <c r="K444" s="166"/>
      <c r="L444" s="166"/>
      <c r="M444" s="63"/>
      <c r="N444" s="166"/>
      <c r="O444" s="63"/>
      <c r="P444" s="196"/>
      <c r="Q444" s="37"/>
      <c r="R444" s="93"/>
      <c r="S444" s="13">
        <f ca="1">IF(ISBLANK(Table2[[#This Row],[Complete corrective actions (Approved Date)]]), TODAY()-Table2[[#This Row],[CAR initialized date]], "CLOSED")</f>
        <v>117</v>
      </c>
    </row>
    <row r="445" spans="1:19" ht="36" customHeight="1" x14ac:dyDescent="0.25">
      <c r="A445" s="9" t="s">
        <v>338</v>
      </c>
      <c r="B445" s="13">
        <f>VLOOKUP(Table2[[#This Row],[Location 
(drop-down)]],'List source'!D$2:E$71,2,FALSE)</f>
        <v>191</v>
      </c>
      <c r="C445" s="11" t="s">
        <v>1184</v>
      </c>
      <c r="D445" s="212" t="str">
        <f t="shared" si="6"/>
        <v>C443-191-25</v>
      </c>
      <c r="E445" s="11" t="s">
        <v>472</v>
      </c>
      <c r="F445" s="11"/>
      <c r="G445" s="9" t="s">
        <v>543</v>
      </c>
      <c r="H445" s="10" t="s">
        <v>455</v>
      </c>
      <c r="I445" s="20" t="s">
        <v>18</v>
      </c>
      <c r="J445" s="166">
        <v>45960</v>
      </c>
      <c r="K445" s="166"/>
      <c r="L445" s="166"/>
      <c r="M445" s="63"/>
      <c r="N445" s="166"/>
      <c r="O445" s="63"/>
      <c r="P445" s="196"/>
      <c r="Q445" s="37"/>
      <c r="R445" s="93"/>
      <c r="S445" s="13">
        <f ca="1">IF(ISBLANK(Table2[[#This Row],[Complete corrective actions (Approved Date)]]), TODAY()-Table2[[#This Row],[CAR initialized date]], "CLOSED")</f>
        <v>117</v>
      </c>
    </row>
    <row r="446" spans="1:19" ht="36" customHeight="1" x14ac:dyDescent="0.25">
      <c r="A446" s="9" t="s">
        <v>338</v>
      </c>
      <c r="B446" s="13">
        <f>VLOOKUP(Table2[[#This Row],[Location 
(drop-down)]],'List source'!D$2:E$71,2,FALSE)</f>
        <v>191</v>
      </c>
      <c r="C446" s="11" t="s">
        <v>1185</v>
      </c>
      <c r="D446" s="212" t="str">
        <f t="shared" si="6"/>
        <v>C444-191-25</v>
      </c>
      <c r="E446" s="11" t="s">
        <v>472</v>
      </c>
      <c r="F446" s="11"/>
      <c r="G446" s="9" t="s">
        <v>1186</v>
      </c>
      <c r="H446" s="10" t="s">
        <v>455</v>
      </c>
      <c r="I446" s="20" t="s">
        <v>18</v>
      </c>
      <c r="J446" s="166">
        <v>45960</v>
      </c>
      <c r="K446" s="166" t="s">
        <v>503</v>
      </c>
      <c r="L446" s="166"/>
      <c r="M446" s="63">
        <v>46003</v>
      </c>
      <c r="N446" s="166" t="s">
        <v>503</v>
      </c>
      <c r="O446" s="63"/>
      <c r="P446" s="196"/>
      <c r="Q446" s="37"/>
      <c r="R446" s="93"/>
      <c r="S446" s="13" t="str">
        <f ca="1">IF(ISBLANK(Table2[[#This Row],[Complete corrective actions (Approved Date)]]), TODAY()-Table2[[#This Row],[CAR initialized date]], "CLOSED")</f>
        <v>CLOSED</v>
      </c>
    </row>
    <row r="447" spans="1:19" ht="36" customHeight="1" x14ac:dyDescent="0.25">
      <c r="A447" s="9" t="s">
        <v>341</v>
      </c>
      <c r="B447" s="13">
        <f>VLOOKUP(Table2[[#This Row],[Location 
(drop-down)]],'List source'!D$2:E$71,2,FALSE)</f>
        <v>135</v>
      </c>
      <c r="C447" s="11" t="s">
        <v>1187</v>
      </c>
      <c r="D447" s="212" t="str">
        <f t="shared" si="6"/>
        <v>C445-135-25</v>
      </c>
      <c r="E447" s="11" t="s">
        <v>472</v>
      </c>
      <c r="F447" s="11"/>
      <c r="G447" s="9" t="s">
        <v>1188</v>
      </c>
      <c r="H447" s="10" t="s">
        <v>455</v>
      </c>
      <c r="I447" s="20" t="s">
        <v>35</v>
      </c>
      <c r="J447" s="166">
        <v>45964</v>
      </c>
      <c r="K447" s="166"/>
      <c r="L447" s="166"/>
      <c r="M447" s="63"/>
      <c r="N447" s="166"/>
      <c r="O447" s="63"/>
      <c r="P447" s="196"/>
      <c r="Q447" s="37"/>
      <c r="R447" s="93"/>
      <c r="S447" s="13">
        <f ca="1">IF(ISBLANK(Table2[[#This Row],[Complete corrective actions (Approved Date)]]), TODAY()-Table2[[#This Row],[CAR initialized date]], "CLOSED")</f>
        <v>113</v>
      </c>
    </row>
    <row r="448" spans="1:19" ht="36" customHeight="1" x14ac:dyDescent="0.25">
      <c r="A448" s="9" t="s">
        <v>341</v>
      </c>
      <c r="B448" s="13">
        <f>VLOOKUP(Table2[[#This Row],[Location 
(drop-down)]],'List source'!D$2:E$71,2,FALSE)</f>
        <v>135</v>
      </c>
      <c r="C448" s="11" t="s">
        <v>1189</v>
      </c>
      <c r="D448" s="212" t="str">
        <f t="shared" si="6"/>
        <v>C446-135-25</v>
      </c>
      <c r="E448" s="11" t="s">
        <v>472</v>
      </c>
      <c r="F448" s="11"/>
      <c r="G448" s="9" t="s">
        <v>1190</v>
      </c>
      <c r="H448" s="10" t="s">
        <v>455</v>
      </c>
      <c r="I448" s="20" t="s">
        <v>35</v>
      </c>
      <c r="J448" s="166">
        <v>45964</v>
      </c>
      <c r="K448" s="166"/>
      <c r="L448" s="166"/>
      <c r="M448" s="63"/>
      <c r="N448" s="166"/>
      <c r="O448" s="63"/>
      <c r="P448" s="196"/>
      <c r="Q448" s="37"/>
      <c r="R448" s="93"/>
      <c r="S448" s="13">
        <f ca="1">IF(ISBLANK(Table2[[#This Row],[Complete corrective actions (Approved Date)]]), TODAY()-Table2[[#This Row],[CAR initialized date]], "CLOSED")</f>
        <v>113</v>
      </c>
    </row>
    <row r="449" spans="1:19" ht="36" customHeight="1" x14ac:dyDescent="0.25">
      <c r="A449" s="9" t="s">
        <v>341</v>
      </c>
      <c r="B449" s="13">
        <f>VLOOKUP(Table2[[#This Row],[Location 
(drop-down)]],'List source'!D$2:E$71,2,FALSE)</f>
        <v>135</v>
      </c>
      <c r="C449" s="11" t="s">
        <v>1191</v>
      </c>
      <c r="D449" s="212" t="str">
        <f t="shared" si="6"/>
        <v>C447-135-25</v>
      </c>
      <c r="E449" s="11" t="s">
        <v>472</v>
      </c>
      <c r="F449" s="11"/>
      <c r="G449" s="9" t="s">
        <v>1192</v>
      </c>
      <c r="H449" s="10" t="s">
        <v>455</v>
      </c>
      <c r="I449" s="20" t="s">
        <v>35</v>
      </c>
      <c r="J449" s="166">
        <v>45964</v>
      </c>
      <c r="K449" s="166"/>
      <c r="L449" s="166"/>
      <c r="M449" s="63"/>
      <c r="N449" s="166"/>
      <c r="O449" s="63"/>
      <c r="P449" s="196"/>
      <c r="Q449" s="37"/>
      <c r="R449" s="93"/>
      <c r="S449" s="13">
        <f ca="1">IF(ISBLANK(Table2[[#This Row],[Complete corrective actions (Approved Date)]]), TODAY()-Table2[[#This Row],[CAR initialized date]], "CLOSED")</f>
        <v>113</v>
      </c>
    </row>
    <row r="450" spans="1:19" ht="36" customHeight="1" x14ac:dyDescent="0.25">
      <c r="A450" s="9" t="s">
        <v>341</v>
      </c>
      <c r="B450" s="13">
        <f>VLOOKUP(Table2[[#This Row],[Location 
(drop-down)]],'List source'!D$2:E$71,2,FALSE)</f>
        <v>135</v>
      </c>
      <c r="C450" s="11" t="s">
        <v>1193</v>
      </c>
      <c r="D450" s="212" t="str">
        <f t="shared" ref="D450:D511" si="7">"C" &amp; C450 &amp;"-" &amp; B450 &amp; "-" &amp; "25"</f>
        <v>C448-135-25</v>
      </c>
      <c r="E450" s="11" t="s">
        <v>472</v>
      </c>
      <c r="F450" s="11"/>
      <c r="G450" s="9" t="s">
        <v>1194</v>
      </c>
      <c r="H450" s="12" t="s">
        <v>455</v>
      </c>
      <c r="I450" s="20" t="s">
        <v>35</v>
      </c>
      <c r="J450" s="166">
        <v>45964</v>
      </c>
      <c r="K450" s="166"/>
      <c r="L450" s="166"/>
      <c r="M450" s="63"/>
      <c r="N450" s="166"/>
      <c r="O450" s="12"/>
      <c r="P450" s="188"/>
      <c r="Q450" s="188"/>
      <c r="R450" s="93"/>
      <c r="S450" s="13">
        <f ca="1">IF(ISBLANK(Table2[[#This Row],[Complete corrective actions (Approved Date)]]), TODAY()-Table2[[#This Row],[CAR initialized date]], "CLOSED")</f>
        <v>113</v>
      </c>
    </row>
    <row r="451" spans="1:19" ht="36" customHeight="1" x14ac:dyDescent="0.25">
      <c r="A451" s="9" t="s">
        <v>341</v>
      </c>
      <c r="B451" s="13">
        <f>VLOOKUP(Table2[[#This Row],[Location 
(drop-down)]],'List source'!D$2:E$71,2,FALSE)</f>
        <v>135</v>
      </c>
      <c r="C451" s="11" t="s">
        <v>1195</v>
      </c>
      <c r="D451" s="212" t="str">
        <f t="shared" si="7"/>
        <v>C449-135-25</v>
      </c>
      <c r="E451" s="11" t="s">
        <v>472</v>
      </c>
      <c r="F451" s="11"/>
      <c r="G451" s="9" t="s">
        <v>1196</v>
      </c>
      <c r="H451" s="10" t="s">
        <v>455</v>
      </c>
      <c r="I451" s="20" t="s">
        <v>35</v>
      </c>
      <c r="J451" s="166">
        <v>45964</v>
      </c>
      <c r="K451" s="166"/>
      <c r="L451" s="166"/>
      <c r="M451" s="63"/>
      <c r="N451" s="166"/>
      <c r="O451" s="63"/>
      <c r="P451" s="196"/>
      <c r="Q451" s="37"/>
      <c r="R451" s="93"/>
      <c r="S451" s="13">
        <f ca="1">IF(ISBLANK(Table2[[#This Row],[Complete corrective actions (Approved Date)]]), TODAY()-Table2[[#This Row],[CAR initialized date]], "CLOSED")</f>
        <v>113</v>
      </c>
    </row>
    <row r="452" spans="1:19" ht="36" customHeight="1" x14ac:dyDescent="0.25">
      <c r="A452" s="9" t="s">
        <v>341</v>
      </c>
      <c r="B452" s="13">
        <f>VLOOKUP(Table2[[#This Row],[Location 
(drop-down)]],'List source'!D$2:E$71,2,FALSE)</f>
        <v>135</v>
      </c>
      <c r="C452" s="11" t="s">
        <v>1197</v>
      </c>
      <c r="D452" s="212" t="str">
        <f t="shared" si="7"/>
        <v>C450-135-25</v>
      </c>
      <c r="E452" s="11" t="s">
        <v>472</v>
      </c>
      <c r="F452" s="11"/>
      <c r="G452" s="9" t="s">
        <v>668</v>
      </c>
      <c r="H452" s="10" t="s">
        <v>455</v>
      </c>
      <c r="I452" s="20" t="s">
        <v>35</v>
      </c>
      <c r="J452" s="166">
        <v>45964</v>
      </c>
      <c r="K452" s="166"/>
      <c r="L452" s="166"/>
      <c r="M452" s="63"/>
      <c r="N452" s="166"/>
      <c r="O452" s="63"/>
      <c r="P452" s="196"/>
      <c r="Q452" s="37"/>
      <c r="R452" s="93"/>
      <c r="S452" s="13">
        <f ca="1">IF(ISBLANK(Table2[[#This Row],[Complete corrective actions (Approved Date)]]), TODAY()-Table2[[#This Row],[CAR initialized date]], "CLOSED")</f>
        <v>113</v>
      </c>
    </row>
    <row r="453" spans="1:19" ht="36" customHeight="1" x14ac:dyDescent="0.25">
      <c r="A453" s="9" t="s">
        <v>341</v>
      </c>
      <c r="B453" s="13">
        <f>VLOOKUP(Table2[[#This Row],[Location 
(drop-down)]],'List source'!D$2:E$71,2,FALSE)</f>
        <v>135</v>
      </c>
      <c r="C453" s="11" t="s">
        <v>1198</v>
      </c>
      <c r="D453" s="212" t="str">
        <f t="shared" si="7"/>
        <v>C451-135-25</v>
      </c>
      <c r="E453" s="11" t="s">
        <v>472</v>
      </c>
      <c r="F453" s="11"/>
      <c r="G453" s="15" t="s">
        <v>1199</v>
      </c>
      <c r="H453" s="10" t="s">
        <v>1200</v>
      </c>
      <c r="I453" s="20" t="s">
        <v>35</v>
      </c>
      <c r="J453" s="166">
        <v>45964</v>
      </c>
      <c r="K453" s="166"/>
      <c r="L453" s="166"/>
      <c r="M453" s="63"/>
      <c r="N453" s="166"/>
      <c r="O453" s="63"/>
      <c r="P453" s="196"/>
      <c r="Q453" s="37"/>
      <c r="R453" s="93"/>
      <c r="S453" s="13">
        <f ca="1">IF(ISBLANK(Table2[[#This Row],[Complete corrective actions (Approved Date)]]), TODAY()-Table2[[#This Row],[CAR initialized date]], "CLOSED")</f>
        <v>113</v>
      </c>
    </row>
    <row r="454" spans="1:19" ht="36" customHeight="1" x14ac:dyDescent="0.25">
      <c r="A454" s="9" t="s">
        <v>341</v>
      </c>
      <c r="B454" s="13">
        <f>VLOOKUP(Table2[[#This Row],[Location 
(drop-down)]],'List source'!D$2:E$71,2,FALSE)</f>
        <v>135</v>
      </c>
      <c r="C454" s="11" t="s">
        <v>1201</v>
      </c>
      <c r="D454" s="212" t="str">
        <f t="shared" si="7"/>
        <v>C452-135-25</v>
      </c>
      <c r="E454" s="11" t="s">
        <v>472</v>
      </c>
      <c r="F454" s="11"/>
      <c r="G454" s="9" t="s">
        <v>475</v>
      </c>
      <c r="H454" s="10" t="s">
        <v>455</v>
      </c>
      <c r="I454" s="20" t="s">
        <v>35</v>
      </c>
      <c r="J454" s="166">
        <v>45964</v>
      </c>
      <c r="K454" s="166"/>
      <c r="L454" s="166"/>
      <c r="M454" s="63"/>
      <c r="N454" s="166"/>
      <c r="O454" s="63"/>
      <c r="P454" s="196"/>
      <c r="Q454" s="37"/>
      <c r="R454" s="93"/>
      <c r="S454" s="13">
        <f ca="1">IF(ISBLANK(Table2[[#This Row],[Complete corrective actions (Approved Date)]]), TODAY()-Table2[[#This Row],[CAR initialized date]], "CLOSED")</f>
        <v>113</v>
      </c>
    </row>
    <row r="455" spans="1:19" ht="36" customHeight="1" x14ac:dyDescent="0.25">
      <c r="A455" s="9" t="s">
        <v>341</v>
      </c>
      <c r="B455" s="13">
        <f>VLOOKUP(Table2[[#This Row],[Location 
(drop-down)]],'List source'!D$2:E$71,2,FALSE)</f>
        <v>135</v>
      </c>
      <c r="C455" s="11" t="s">
        <v>1202</v>
      </c>
      <c r="D455" s="212" t="str">
        <f t="shared" si="7"/>
        <v>C453-135-25</v>
      </c>
      <c r="E455" s="11" t="s">
        <v>472</v>
      </c>
      <c r="F455" s="11"/>
      <c r="G455" s="9" t="s">
        <v>604</v>
      </c>
      <c r="H455" s="10" t="s">
        <v>458</v>
      </c>
      <c r="I455" s="20" t="s">
        <v>35</v>
      </c>
      <c r="J455" s="166">
        <v>45964</v>
      </c>
      <c r="K455" s="166"/>
      <c r="L455" s="166"/>
      <c r="M455" s="63"/>
      <c r="N455" s="166"/>
      <c r="O455" s="63"/>
      <c r="P455" s="196"/>
      <c r="Q455" s="37"/>
      <c r="R455" s="93"/>
      <c r="S455" s="13">
        <f ca="1">IF(ISBLANK(Table2[[#This Row],[Complete corrective actions (Approved Date)]]), TODAY()-Table2[[#This Row],[CAR initialized date]], "CLOSED")</f>
        <v>113</v>
      </c>
    </row>
    <row r="456" spans="1:19" ht="36" customHeight="1" x14ac:dyDescent="0.25">
      <c r="A456" s="9" t="s">
        <v>341</v>
      </c>
      <c r="B456" s="13">
        <f>VLOOKUP(Table2[[#This Row],[Location 
(drop-down)]],'List source'!D$2:E$71,2,FALSE)</f>
        <v>135</v>
      </c>
      <c r="C456" s="11" t="s">
        <v>1203</v>
      </c>
      <c r="D456" s="212" t="str">
        <f t="shared" si="7"/>
        <v>C454-135-25</v>
      </c>
      <c r="E456" s="11" t="s">
        <v>472</v>
      </c>
      <c r="F456" s="11"/>
      <c r="G456" s="9" t="s">
        <v>1204</v>
      </c>
      <c r="H456" s="10" t="s">
        <v>455</v>
      </c>
      <c r="I456" s="20" t="s">
        <v>35</v>
      </c>
      <c r="J456" s="166">
        <v>45964</v>
      </c>
      <c r="K456" s="166"/>
      <c r="L456" s="166"/>
      <c r="M456" s="63"/>
      <c r="N456" s="166"/>
      <c r="O456" s="63"/>
      <c r="P456" s="196"/>
      <c r="Q456" s="37"/>
      <c r="R456" s="93"/>
      <c r="S456" s="13">
        <f ca="1">IF(ISBLANK(Table2[[#This Row],[Complete corrective actions (Approved Date)]]), TODAY()-Table2[[#This Row],[CAR initialized date]], "CLOSED")</f>
        <v>113</v>
      </c>
    </row>
    <row r="457" spans="1:19" ht="36" customHeight="1" x14ac:dyDescent="0.25">
      <c r="A457" s="9" t="s">
        <v>94</v>
      </c>
      <c r="B457" s="13">
        <f>VLOOKUP(Table2[[#This Row],[Location 
(drop-down)]],'List source'!D$2:E$71,2,FALSE)</f>
        <v>120</v>
      </c>
      <c r="C457" s="11" t="s">
        <v>1205</v>
      </c>
      <c r="D457" s="212" t="str">
        <f t="shared" si="7"/>
        <v>C455-120-25</v>
      </c>
      <c r="E457" s="11" t="s">
        <v>465</v>
      </c>
      <c r="F457" s="11" t="s">
        <v>265</v>
      </c>
      <c r="G457" s="9" t="s">
        <v>1206</v>
      </c>
      <c r="H457" s="10" t="s">
        <v>455</v>
      </c>
      <c r="I457" s="20" t="s">
        <v>35</v>
      </c>
      <c r="J457" s="166">
        <v>45909</v>
      </c>
      <c r="K457" s="166"/>
      <c r="L457" s="166"/>
      <c r="M457" s="63">
        <v>45965</v>
      </c>
      <c r="N457" s="166"/>
      <c r="O457" s="63"/>
      <c r="P457" s="196"/>
      <c r="Q457" s="37"/>
      <c r="R457" s="93"/>
      <c r="S457" s="13" t="str">
        <f ca="1">IF(ISBLANK(Table2[[#This Row],[Complete corrective actions (Approved Date)]]), TODAY()-Table2[[#This Row],[CAR initialized date]], "CLOSED")</f>
        <v>CLOSED</v>
      </c>
    </row>
    <row r="458" spans="1:19" ht="36" customHeight="1" x14ac:dyDescent="0.25">
      <c r="A458" s="9" t="s">
        <v>153</v>
      </c>
      <c r="B458" s="13">
        <f>VLOOKUP(Table2[[#This Row],[Location 
(drop-down)]],'List source'!D$2:E$71,2,FALSE)</f>
        <v>110</v>
      </c>
      <c r="C458" s="11" t="s">
        <v>1207</v>
      </c>
      <c r="D458" s="212" t="str">
        <f t="shared" si="7"/>
        <v>C456-110-25</v>
      </c>
      <c r="E458" s="11" t="s">
        <v>465</v>
      </c>
      <c r="F458" s="11" t="s">
        <v>103</v>
      </c>
      <c r="G458" s="9" t="s">
        <v>1208</v>
      </c>
      <c r="H458" s="10" t="s">
        <v>458</v>
      </c>
      <c r="I458" s="20" t="s">
        <v>18</v>
      </c>
      <c r="J458" s="166">
        <v>45945</v>
      </c>
      <c r="K458" s="166" t="s">
        <v>503</v>
      </c>
      <c r="L458" s="166"/>
      <c r="M458" s="63">
        <v>45967</v>
      </c>
      <c r="N458" s="166"/>
      <c r="O458" s="63"/>
      <c r="P458" s="196"/>
      <c r="Q458" s="37" t="s">
        <v>1209</v>
      </c>
      <c r="R458" s="93"/>
      <c r="S458" s="13" t="str">
        <f ca="1">IF(ISBLANK(Table2[[#This Row],[Complete corrective actions (Approved Date)]]), TODAY()-Table2[[#This Row],[CAR initialized date]], "CLOSED")</f>
        <v>CLOSED</v>
      </c>
    </row>
    <row r="459" spans="1:19" ht="36" customHeight="1" x14ac:dyDescent="0.25">
      <c r="A459" s="9" t="s">
        <v>153</v>
      </c>
      <c r="B459" s="13">
        <f>VLOOKUP(Table2[[#This Row],[Location 
(drop-down)]],'List source'!D$2:E$71,2,FALSE)</f>
        <v>110</v>
      </c>
      <c r="C459" s="11" t="s">
        <v>1210</v>
      </c>
      <c r="D459" s="212" t="str">
        <f t="shared" si="7"/>
        <v>C457-110-25</v>
      </c>
      <c r="E459" s="11" t="s">
        <v>465</v>
      </c>
      <c r="F459" s="11" t="s">
        <v>103</v>
      </c>
      <c r="G459" s="9" t="s">
        <v>1211</v>
      </c>
      <c r="H459" s="10" t="s">
        <v>458</v>
      </c>
      <c r="I459" s="20" t="s">
        <v>1212</v>
      </c>
      <c r="J459" s="166">
        <v>45945</v>
      </c>
      <c r="K459" s="166" t="s">
        <v>503</v>
      </c>
      <c r="L459" s="166"/>
      <c r="M459" s="63">
        <v>45967</v>
      </c>
      <c r="N459" s="166"/>
      <c r="O459" s="63"/>
      <c r="P459" s="196"/>
      <c r="Q459" s="37" t="s">
        <v>1209</v>
      </c>
      <c r="R459" s="93"/>
      <c r="S459" s="13" t="str">
        <f ca="1">IF(ISBLANK(Table2[[#This Row],[Complete corrective actions (Approved Date)]]), TODAY()-Table2[[#This Row],[CAR initialized date]], "CLOSED")</f>
        <v>CLOSED</v>
      </c>
    </row>
    <row r="460" spans="1:19" ht="36" customHeight="1" x14ac:dyDescent="0.25">
      <c r="A460" s="9" t="s">
        <v>151</v>
      </c>
      <c r="B460" s="13">
        <f>VLOOKUP(Table2[[#This Row],[Location 
(drop-down)]],'List source'!D$2:E$71,2,FALSE)</f>
        <v>115</v>
      </c>
      <c r="C460" s="11" t="s">
        <v>1213</v>
      </c>
      <c r="D460" s="212" t="str">
        <f t="shared" si="7"/>
        <v>C458-115-25</v>
      </c>
      <c r="E460" s="11" t="s">
        <v>472</v>
      </c>
      <c r="F460" s="11"/>
      <c r="G460" s="9" t="s">
        <v>1126</v>
      </c>
      <c r="H460" s="10" t="s">
        <v>455</v>
      </c>
      <c r="I460" s="20" t="s">
        <v>18</v>
      </c>
      <c r="J460" s="166">
        <v>45972</v>
      </c>
      <c r="K460" s="166"/>
      <c r="L460" s="166"/>
      <c r="M460" s="63"/>
      <c r="N460" s="166"/>
      <c r="O460" s="63"/>
      <c r="P460" s="196"/>
      <c r="Q460" s="37"/>
      <c r="R460" s="93"/>
      <c r="S460" s="13">
        <f ca="1">IF(ISBLANK(Table2[[#This Row],[Complete corrective actions (Approved Date)]]), TODAY()-Table2[[#This Row],[CAR initialized date]], "CLOSED")</f>
        <v>105</v>
      </c>
    </row>
    <row r="461" spans="1:19" ht="36" customHeight="1" x14ac:dyDescent="0.25">
      <c r="A461" s="9" t="s">
        <v>151</v>
      </c>
      <c r="B461" s="13">
        <f>VLOOKUP(Table2[[#This Row],[Location 
(drop-down)]],'List source'!D$2:E$71,2,FALSE)</f>
        <v>115</v>
      </c>
      <c r="C461" s="11" t="s">
        <v>1214</v>
      </c>
      <c r="D461" s="212" t="str">
        <f t="shared" si="7"/>
        <v>C459-115-25</v>
      </c>
      <c r="E461" s="11" t="s">
        <v>472</v>
      </c>
      <c r="F461" s="11"/>
      <c r="G461" s="9" t="s">
        <v>1215</v>
      </c>
      <c r="H461" s="10" t="s">
        <v>455</v>
      </c>
      <c r="I461" s="20" t="s">
        <v>18</v>
      </c>
      <c r="J461" s="166">
        <v>45972</v>
      </c>
      <c r="K461" s="166"/>
      <c r="L461" s="166"/>
      <c r="M461" s="63"/>
      <c r="N461" s="166"/>
      <c r="O461" s="63"/>
      <c r="P461" s="196"/>
      <c r="Q461" s="37"/>
      <c r="R461" s="93"/>
      <c r="S461" s="13">
        <f ca="1">IF(ISBLANK(Table2[[#This Row],[Complete corrective actions (Approved Date)]]), TODAY()-Table2[[#This Row],[CAR initialized date]], "CLOSED")</f>
        <v>105</v>
      </c>
    </row>
    <row r="462" spans="1:19" ht="36" customHeight="1" x14ac:dyDescent="0.25">
      <c r="A462" s="9" t="s">
        <v>151</v>
      </c>
      <c r="B462" s="13">
        <f>VLOOKUP(Table2[[#This Row],[Location 
(drop-down)]],'List source'!D$2:E$71,2,FALSE)</f>
        <v>115</v>
      </c>
      <c r="C462" s="11" t="s">
        <v>1216</v>
      </c>
      <c r="D462" s="212" t="str">
        <f t="shared" si="7"/>
        <v>C460-115-25</v>
      </c>
      <c r="E462" s="11" t="s">
        <v>472</v>
      </c>
      <c r="F462" s="11"/>
      <c r="G462" s="9" t="s">
        <v>1217</v>
      </c>
      <c r="H462" s="10" t="s">
        <v>455</v>
      </c>
      <c r="I462" s="20" t="s">
        <v>18</v>
      </c>
      <c r="J462" s="166">
        <v>45972</v>
      </c>
      <c r="K462" s="166"/>
      <c r="L462" s="166"/>
      <c r="M462" s="63"/>
      <c r="N462" s="166"/>
      <c r="O462" s="63"/>
      <c r="P462" s="196"/>
      <c r="Q462" s="37"/>
      <c r="R462" s="93"/>
      <c r="S462" s="13">
        <f ca="1">IF(ISBLANK(Table2[[#This Row],[Complete corrective actions (Approved Date)]]), TODAY()-Table2[[#This Row],[CAR initialized date]], "CLOSED")</f>
        <v>105</v>
      </c>
    </row>
    <row r="463" spans="1:19" ht="36" customHeight="1" x14ac:dyDescent="0.25">
      <c r="A463" s="9" t="s">
        <v>151</v>
      </c>
      <c r="B463" s="13">
        <f>VLOOKUP(Table2[[#This Row],[Location 
(drop-down)]],'List source'!D$2:E$71,2,FALSE)</f>
        <v>115</v>
      </c>
      <c r="C463" s="11" t="s">
        <v>1218</v>
      </c>
      <c r="D463" s="212" t="str">
        <f t="shared" si="7"/>
        <v>C461-115-25</v>
      </c>
      <c r="E463" s="11" t="s">
        <v>472</v>
      </c>
      <c r="F463" s="11"/>
      <c r="G463" s="9" t="s">
        <v>1128</v>
      </c>
      <c r="H463" s="10" t="s">
        <v>455</v>
      </c>
      <c r="I463" s="20" t="s">
        <v>18</v>
      </c>
      <c r="J463" s="166">
        <v>45972</v>
      </c>
      <c r="K463" s="166"/>
      <c r="L463" s="166"/>
      <c r="M463" s="63"/>
      <c r="N463" s="166"/>
      <c r="O463" s="63"/>
      <c r="P463" s="196"/>
      <c r="Q463" s="37"/>
      <c r="R463" s="93"/>
      <c r="S463" s="13">
        <f ca="1">IF(ISBLANK(Table2[[#This Row],[Complete corrective actions (Approved Date)]]), TODAY()-Table2[[#This Row],[CAR initialized date]], "CLOSED")</f>
        <v>105</v>
      </c>
    </row>
    <row r="464" spans="1:19" ht="36" customHeight="1" x14ac:dyDescent="0.25">
      <c r="A464" s="9" t="s">
        <v>656</v>
      </c>
      <c r="B464" s="13" t="str">
        <f>VLOOKUP(Table2[[#This Row],[Location 
(drop-down)]],'List source'!D$2:E$71,2,FALSE)</f>
        <v>VOID</v>
      </c>
      <c r="C464" s="11" t="s">
        <v>1219</v>
      </c>
      <c r="D464" s="212" t="str">
        <f t="shared" si="7"/>
        <v>C462-VOID-25</v>
      </c>
      <c r="E464" s="11" t="s">
        <v>657</v>
      </c>
      <c r="F464" s="11"/>
      <c r="G464" s="9" t="s">
        <v>1220</v>
      </c>
      <c r="H464" s="10" t="s">
        <v>657</v>
      </c>
      <c r="I464" s="20" t="s">
        <v>657</v>
      </c>
      <c r="J464" s="20" t="s">
        <v>657</v>
      </c>
      <c r="K464" s="166"/>
      <c r="L464" s="166"/>
      <c r="M464" s="20" t="s">
        <v>657</v>
      </c>
      <c r="N464" s="166"/>
      <c r="O464" s="20" t="s">
        <v>657</v>
      </c>
      <c r="P464" s="196"/>
      <c r="Q464" s="37"/>
      <c r="R464" s="93"/>
      <c r="S464" s="13" t="str">
        <f ca="1">IF(ISBLANK(Table2[[#This Row],[Complete corrective actions (Approved Date)]]), TODAY()-Table2[[#This Row],[CAR initialized date]], "CLOSED")</f>
        <v>CLOSED</v>
      </c>
    </row>
    <row r="465" spans="1:19" ht="36" customHeight="1" x14ac:dyDescent="0.25">
      <c r="A465" s="9" t="s">
        <v>156</v>
      </c>
      <c r="B465" s="13">
        <f>VLOOKUP(Table2[[#This Row],[Location 
(drop-down)]],'List source'!D$2:E$71,2,FALSE)</f>
        <v>130</v>
      </c>
      <c r="C465" s="11" t="s">
        <v>1221</v>
      </c>
      <c r="D465" s="212" t="str">
        <f t="shared" si="7"/>
        <v>C463-130-25</v>
      </c>
      <c r="E465" s="11" t="s">
        <v>519</v>
      </c>
      <c r="F465" s="11" t="s">
        <v>41</v>
      </c>
      <c r="G465" s="9" t="s">
        <v>1222</v>
      </c>
      <c r="H465" s="10" t="s">
        <v>455</v>
      </c>
      <c r="I465" s="20" t="s">
        <v>167</v>
      </c>
      <c r="J465" s="166">
        <v>45973</v>
      </c>
      <c r="K465" s="166" t="s">
        <v>503</v>
      </c>
      <c r="L465" s="166"/>
      <c r="M465" s="63">
        <v>46007</v>
      </c>
      <c r="N465" s="166"/>
      <c r="O465" s="63"/>
      <c r="P465" s="196"/>
      <c r="Q465" s="37" t="s">
        <v>1223</v>
      </c>
      <c r="R465" s="93"/>
      <c r="S465" s="13" t="str">
        <f ca="1">IF(ISBLANK(Table2[[#This Row],[Complete corrective actions (Approved Date)]]), TODAY()-Table2[[#This Row],[CAR initialized date]], "CLOSED")</f>
        <v>CLOSED</v>
      </c>
    </row>
    <row r="466" spans="1:19" ht="36" customHeight="1" x14ac:dyDescent="0.25">
      <c r="A466" s="9" t="s">
        <v>156</v>
      </c>
      <c r="B466" s="13">
        <f>VLOOKUP(Table2[[#This Row],[Location 
(drop-down)]],'List source'!D$2:E$71,2,FALSE)</f>
        <v>130</v>
      </c>
      <c r="C466" s="11" t="s">
        <v>1224</v>
      </c>
      <c r="D466" s="212" t="str">
        <f t="shared" si="7"/>
        <v>C464-130-25</v>
      </c>
      <c r="E466" s="11" t="s">
        <v>519</v>
      </c>
      <c r="F466" s="11" t="s">
        <v>41</v>
      </c>
      <c r="G466" s="9" t="s">
        <v>1225</v>
      </c>
      <c r="H466" s="10" t="s">
        <v>455</v>
      </c>
      <c r="I466" s="20" t="s">
        <v>167</v>
      </c>
      <c r="J466" s="166">
        <v>45973</v>
      </c>
      <c r="K466" s="166" t="s">
        <v>503</v>
      </c>
      <c r="L466" s="166"/>
      <c r="M466" s="63"/>
      <c r="N466" s="166"/>
      <c r="O466" s="63"/>
      <c r="P466" s="196"/>
      <c r="Q466" s="37" t="s">
        <v>1223</v>
      </c>
      <c r="R466" s="93"/>
      <c r="S466" s="13">
        <f ca="1">IF(ISBLANK(Table2[[#This Row],[Complete corrective actions (Approved Date)]]), TODAY()-Table2[[#This Row],[CAR initialized date]], "CLOSED")</f>
        <v>104</v>
      </c>
    </row>
    <row r="467" spans="1:19" ht="36" customHeight="1" x14ac:dyDescent="0.25">
      <c r="A467" s="9" t="s">
        <v>156</v>
      </c>
      <c r="B467" s="13">
        <f>VLOOKUP(Table2[[#This Row],[Location 
(drop-down)]],'List source'!D$2:E$71,2,FALSE)</f>
        <v>130</v>
      </c>
      <c r="C467" s="11" t="s">
        <v>1226</v>
      </c>
      <c r="D467" s="212" t="str">
        <f t="shared" si="7"/>
        <v>C465-130-25</v>
      </c>
      <c r="E467" s="11" t="s">
        <v>519</v>
      </c>
      <c r="F467" s="11" t="s">
        <v>41</v>
      </c>
      <c r="G467" s="9" t="s">
        <v>1227</v>
      </c>
      <c r="H467" s="10" t="s">
        <v>455</v>
      </c>
      <c r="I467" s="20" t="s">
        <v>167</v>
      </c>
      <c r="J467" s="166">
        <v>45973</v>
      </c>
      <c r="K467" s="166" t="s">
        <v>503</v>
      </c>
      <c r="L467" s="166"/>
      <c r="M467" s="63"/>
      <c r="N467" s="166"/>
      <c r="O467" s="63"/>
      <c r="P467" s="196"/>
      <c r="Q467" s="37" t="s">
        <v>1223</v>
      </c>
      <c r="R467" s="93"/>
      <c r="S467" s="13">
        <f ca="1">IF(ISBLANK(Table2[[#This Row],[Complete corrective actions (Approved Date)]]), TODAY()-Table2[[#This Row],[CAR initialized date]], "CLOSED")</f>
        <v>104</v>
      </c>
    </row>
    <row r="468" spans="1:19" ht="36" customHeight="1" x14ac:dyDescent="0.25">
      <c r="A468" s="9" t="s">
        <v>156</v>
      </c>
      <c r="B468" s="13">
        <f>VLOOKUP(Table2[[#This Row],[Location 
(drop-down)]],'List source'!D$2:E$71,2,FALSE)</f>
        <v>130</v>
      </c>
      <c r="C468" s="11" t="s">
        <v>1228</v>
      </c>
      <c r="D468" s="212" t="str">
        <f t="shared" si="7"/>
        <v>C466-130-25</v>
      </c>
      <c r="E468" s="11" t="s">
        <v>519</v>
      </c>
      <c r="F468" s="11" t="s">
        <v>41</v>
      </c>
      <c r="G468" s="9" t="s">
        <v>1229</v>
      </c>
      <c r="H468" s="10" t="s">
        <v>455</v>
      </c>
      <c r="I468" s="20" t="s">
        <v>167</v>
      </c>
      <c r="J468" s="166">
        <v>45973</v>
      </c>
      <c r="K468" s="166" t="s">
        <v>503</v>
      </c>
      <c r="L468" s="166"/>
      <c r="M468" s="63"/>
      <c r="N468" s="166"/>
      <c r="O468" s="63"/>
      <c r="P468" s="196"/>
      <c r="Q468" s="37" t="s">
        <v>1223</v>
      </c>
      <c r="R468" s="93"/>
      <c r="S468" s="13">
        <f ca="1">IF(ISBLANK(Table2[[#This Row],[Complete corrective actions (Approved Date)]]), TODAY()-Table2[[#This Row],[CAR initialized date]], "CLOSED")</f>
        <v>104</v>
      </c>
    </row>
    <row r="469" spans="1:19" ht="36" customHeight="1" x14ac:dyDescent="0.25">
      <c r="A469" s="9" t="s">
        <v>156</v>
      </c>
      <c r="B469" s="13">
        <f>VLOOKUP(Table2[[#This Row],[Location 
(drop-down)]],'List source'!D$2:E$71,2,FALSE)</f>
        <v>130</v>
      </c>
      <c r="C469" s="11" t="s">
        <v>1230</v>
      </c>
      <c r="D469" s="212" t="str">
        <f t="shared" si="7"/>
        <v>C467-130-25</v>
      </c>
      <c r="E469" s="11" t="s">
        <v>519</v>
      </c>
      <c r="F469" s="11" t="s">
        <v>41</v>
      </c>
      <c r="G469" s="9" t="s">
        <v>1231</v>
      </c>
      <c r="H469" s="10" t="s">
        <v>455</v>
      </c>
      <c r="I469" s="20" t="s">
        <v>167</v>
      </c>
      <c r="J469" s="166">
        <v>45973</v>
      </c>
      <c r="K469" s="166" t="s">
        <v>503</v>
      </c>
      <c r="L469" s="166"/>
      <c r="M469" s="63">
        <v>46041</v>
      </c>
      <c r="N469" s="166" t="s">
        <v>503</v>
      </c>
      <c r="O469" s="63"/>
      <c r="P469" s="196"/>
      <c r="Q469" s="37" t="s">
        <v>1223</v>
      </c>
      <c r="R469" s="93"/>
      <c r="S469" s="13" t="str">
        <f ca="1">IF(ISBLANK(Table2[[#This Row],[Complete corrective actions (Approved Date)]]), TODAY()-Table2[[#This Row],[CAR initialized date]], "CLOSED")</f>
        <v>CLOSED</v>
      </c>
    </row>
    <row r="470" spans="1:19" ht="36" customHeight="1" x14ac:dyDescent="0.25">
      <c r="A470" s="9" t="s">
        <v>287</v>
      </c>
      <c r="B470" s="13">
        <f>VLOOKUP(Table2[[#This Row],[Location 
(drop-down)]],'List source'!D$2:E$71,2,FALSE)</f>
        <v>180</v>
      </c>
      <c r="C470" s="11" t="s">
        <v>1232</v>
      </c>
      <c r="D470" s="212" t="str">
        <f t="shared" si="7"/>
        <v>C468-180-25</v>
      </c>
      <c r="E470" s="11" t="s">
        <v>519</v>
      </c>
      <c r="F470" s="11" t="s">
        <v>41</v>
      </c>
      <c r="G470" s="9" t="s">
        <v>1233</v>
      </c>
      <c r="H470" s="10" t="s">
        <v>455</v>
      </c>
      <c r="I470" s="20" t="s">
        <v>18</v>
      </c>
      <c r="J470" s="166">
        <v>45958</v>
      </c>
      <c r="K470" s="166"/>
      <c r="L470" s="166"/>
      <c r="M470" s="63"/>
      <c r="N470" s="166"/>
      <c r="O470" s="63"/>
      <c r="P470" s="196"/>
      <c r="Q470" s="37" t="s">
        <v>1234</v>
      </c>
      <c r="R470" s="93"/>
      <c r="S470" s="13">
        <f ca="1">IF(ISBLANK(Table2[[#This Row],[Complete corrective actions (Approved Date)]]), TODAY()-Table2[[#This Row],[CAR initialized date]], "CLOSED")</f>
        <v>119</v>
      </c>
    </row>
    <row r="471" spans="1:19" ht="36" customHeight="1" x14ac:dyDescent="0.25">
      <c r="A471" s="9" t="s">
        <v>287</v>
      </c>
      <c r="B471" s="13">
        <f>VLOOKUP(Table2[[#This Row],[Location 
(drop-down)]],'List source'!D$2:E$71,2,FALSE)</f>
        <v>180</v>
      </c>
      <c r="C471" s="11" t="s">
        <v>1235</v>
      </c>
      <c r="D471" s="212" t="str">
        <f t="shared" si="7"/>
        <v>C469-180-25</v>
      </c>
      <c r="E471" s="11" t="s">
        <v>519</v>
      </c>
      <c r="F471" s="11" t="s">
        <v>41</v>
      </c>
      <c r="G471" s="9" t="s">
        <v>1236</v>
      </c>
      <c r="H471" s="10" t="s">
        <v>455</v>
      </c>
      <c r="I471" s="20" t="s">
        <v>18</v>
      </c>
      <c r="J471" s="166">
        <v>45958</v>
      </c>
      <c r="K471" s="166"/>
      <c r="L471" s="166"/>
      <c r="M471" s="63"/>
      <c r="N471" s="166"/>
      <c r="O471" s="63"/>
      <c r="P471" s="196"/>
      <c r="Q471" s="37" t="s">
        <v>1234</v>
      </c>
      <c r="R471" s="93"/>
      <c r="S471" s="13">
        <f ca="1">IF(ISBLANK(Table2[[#This Row],[Complete corrective actions (Approved Date)]]), TODAY()-Table2[[#This Row],[CAR initialized date]], "CLOSED")</f>
        <v>119</v>
      </c>
    </row>
    <row r="472" spans="1:19" ht="36" customHeight="1" x14ac:dyDescent="0.25">
      <c r="A472" s="9" t="s">
        <v>69</v>
      </c>
      <c r="B472" s="13">
        <f>VLOOKUP(Table2[[#This Row],[Location 
(drop-down)]],'List source'!D$2:E$71,2,FALSE)</f>
        <v>141</v>
      </c>
      <c r="C472" s="11" t="s">
        <v>1237</v>
      </c>
      <c r="D472" s="212" t="str">
        <f t="shared" si="7"/>
        <v>C470-141-25</v>
      </c>
      <c r="E472" s="11" t="s">
        <v>519</v>
      </c>
      <c r="F472" s="11" t="s">
        <v>103</v>
      </c>
      <c r="G472" s="9" t="s">
        <v>1238</v>
      </c>
      <c r="H472" s="10" t="s">
        <v>455</v>
      </c>
      <c r="I472" s="20" t="s">
        <v>18</v>
      </c>
      <c r="J472" s="166">
        <v>45981</v>
      </c>
      <c r="K472" s="166" t="s">
        <v>503</v>
      </c>
      <c r="L472" s="166"/>
      <c r="M472" s="63">
        <v>45981</v>
      </c>
      <c r="N472" s="166"/>
      <c r="O472" s="63"/>
      <c r="P472" s="196"/>
      <c r="Q472" s="37" t="s">
        <v>1239</v>
      </c>
      <c r="R472" s="93"/>
      <c r="S472" s="13" t="str">
        <f ca="1">IF(ISBLANK(Table2[[#This Row],[Complete corrective actions (Approved Date)]]), TODAY()-Table2[[#This Row],[CAR initialized date]], "CLOSED")</f>
        <v>CLOSED</v>
      </c>
    </row>
    <row r="473" spans="1:19" ht="36" customHeight="1" x14ac:dyDescent="0.25">
      <c r="A473" s="9" t="s">
        <v>211</v>
      </c>
      <c r="B473" s="13">
        <f>VLOOKUP(Table2[[#This Row],[Location 
(drop-down)]],'List source'!D$2:E$71,2,FALSE)</f>
        <v>132</v>
      </c>
      <c r="C473" s="11" t="s">
        <v>1240</v>
      </c>
      <c r="D473" s="212" t="str">
        <f>"C" &amp; C473 &amp;"-" &amp; B473 &amp; "-" &amp; "25"</f>
        <v>C471-132-25</v>
      </c>
      <c r="E473" s="11" t="s">
        <v>519</v>
      </c>
      <c r="F473" s="11" t="s">
        <v>41</v>
      </c>
      <c r="G473" s="9" t="s">
        <v>1241</v>
      </c>
      <c r="H473" s="10" t="s">
        <v>455</v>
      </c>
      <c r="I473" s="20" t="s">
        <v>167</v>
      </c>
      <c r="J473" s="166">
        <v>45981</v>
      </c>
      <c r="K473" s="166" t="s">
        <v>503</v>
      </c>
      <c r="L473" s="166"/>
      <c r="M473" s="63">
        <v>46010</v>
      </c>
      <c r="N473" s="166"/>
      <c r="O473" s="63"/>
      <c r="P473" s="196"/>
      <c r="Q473" s="37" t="s">
        <v>1242</v>
      </c>
      <c r="R473" s="93"/>
      <c r="S473" s="13" t="str">
        <f ca="1">IF(ISBLANK(Table2[[#This Row],[Complete corrective actions (Approved Date)]]), TODAY()-Table2[[#This Row],[CAR initialized date]], "CLOSED")</f>
        <v>CLOSED</v>
      </c>
    </row>
    <row r="474" spans="1:19" ht="36" customHeight="1" x14ac:dyDescent="0.25">
      <c r="A474" s="9" t="s">
        <v>211</v>
      </c>
      <c r="B474" s="13">
        <f>VLOOKUP(Table2[[#This Row],[Location 
(drop-down)]],'List source'!D$2:E$71,2,FALSE)</f>
        <v>132</v>
      </c>
      <c r="C474" s="11" t="s">
        <v>1243</v>
      </c>
      <c r="D474" s="212" t="str">
        <f t="shared" si="7"/>
        <v>C472-132-25</v>
      </c>
      <c r="E474" s="11" t="s">
        <v>519</v>
      </c>
      <c r="F474" s="11" t="s">
        <v>41</v>
      </c>
      <c r="G474" s="9" t="s">
        <v>1244</v>
      </c>
      <c r="H474" s="10" t="s">
        <v>455</v>
      </c>
      <c r="I474" s="20" t="s">
        <v>167</v>
      </c>
      <c r="J474" s="166">
        <v>45981</v>
      </c>
      <c r="K474" s="166" t="s">
        <v>503</v>
      </c>
      <c r="L474" s="166"/>
      <c r="M474" s="63">
        <v>46041</v>
      </c>
      <c r="N474" s="166" t="s">
        <v>503</v>
      </c>
      <c r="O474" s="63"/>
      <c r="P474" s="196"/>
      <c r="Q474" s="37" t="s">
        <v>1242</v>
      </c>
      <c r="R474" s="93"/>
      <c r="S474" s="13" t="str">
        <f ca="1">IF(ISBLANK(Table2[[#This Row],[Complete corrective actions (Approved Date)]]), TODAY()-Table2[[#This Row],[CAR initialized date]], "CLOSED")</f>
        <v>CLOSED</v>
      </c>
    </row>
    <row r="475" spans="1:19" ht="36" customHeight="1" x14ac:dyDescent="0.25">
      <c r="A475" s="9" t="s">
        <v>211</v>
      </c>
      <c r="B475" s="13">
        <f>VLOOKUP(Table2[[#This Row],[Location 
(drop-down)]],'List source'!D$2:E$71,2,FALSE)</f>
        <v>132</v>
      </c>
      <c r="C475" s="11" t="s">
        <v>1245</v>
      </c>
      <c r="D475" s="212" t="str">
        <f t="shared" si="7"/>
        <v>C473-132-25</v>
      </c>
      <c r="E475" s="11" t="s">
        <v>519</v>
      </c>
      <c r="F475" s="11" t="s">
        <v>41</v>
      </c>
      <c r="G475" s="9" t="s">
        <v>1246</v>
      </c>
      <c r="H475" s="10" t="s">
        <v>455</v>
      </c>
      <c r="I475" s="20" t="s">
        <v>167</v>
      </c>
      <c r="J475" s="166">
        <v>45981</v>
      </c>
      <c r="K475" s="166" t="s">
        <v>503</v>
      </c>
      <c r="L475" s="166"/>
      <c r="M475" s="63">
        <v>46010</v>
      </c>
      <c r="N475" s="166" t="s">
        <v>503</v>
      </c>
      <c r="O475" s="63"/>
      <c r="P475" s="196"/>
      <c r="Q475" s="37" t="s">
        <v>1242</v>
      </c>
      <c r="R475" s="93"/>
      <c r="S475" s="13" t="str">
        <f ca="1">IF(ISBLANK(Table2[[#This Row],[Complete corrective actions (Approved Date)]]), TODAY()-Table2[[#This Row],[CAR initialized date]], "CLOSED")</f>
        <v>CLOSED</v>
      </c>
    </row>
    <row r="476" spans="1:19" ht="36" customHeight="1" x14ac:dyDescent="0.25">
      <c r="A476" s="9" t="s">
        <v>211</v>
      </c>
      <c r="B476" s="13">
        <f>VLOOKUP(Table2[[#This Row],[Location 
(drop-down)]],'List source'!D$2:E$71,2,FALSE)</f>
        <v>132</v>
      </c>
      <c r="C476" s="11" t="s">
        <v>1247</v>
      </c>
      <c r="D476" s="212" t="str">
        <f t="shared" si="7"/>
        <v>C474-132-25</v>
      </c>
      <c r="E476" s="11" t="s">
        <v>519</v>
      </c>
      <c r="F476" s="11" t="s">
        <v>41</v>
      </c>
      <c r="G476" s="9" t="s">
        <v>1248</v>
      </c>
      <c r="H476" s="10" t="s">
        <v>455</v>
      </c>
      <c r="I476" s="20" t="s">
        <v>167</v>
      </c>
      <c r="J476" s="166">
        <v>45981</v>
      </c>
      <c r="K476" s="166" t="s">
        <v>503</v>
      </c>
      <c r="L476" s="166"/>
      <c r="M476" s="63">
        <v>46008</v>
      </c>
      <c r="N476" s="166" t="s">
        <v>503</v>
      </c>
      <c r="O476" s="63"/>
      <c r="P476" s="196"/>
      <c r="Q476" s="37" t="s">
        <v>1242</v>
      </c>
      <c r="R476" s="93"/>
      <c r="S476" s="13" t="str">
        <f ca="1">IF(ISBLANK(Table2[[#This Row],[Complete corrective actions (Approved Date)]]), TODAY()-Table2[[#This Row],[CAR initialized date]], "CLOSED")</f>
        <v>CLOSED</v>
      </c>
    </row>
    <row r="477" spans="1:19" ht="36" customHeight="1" x14ac:dyDescent="0.25">
      <c r="A477" s="9" t="s">
        <v>211</v>
      </c>
      <c r="B477" s="13">
        <f>VLOOKUP(Table2[[#This Row],[Location 
(drop-down)]],'List source'!D$2:E$71,2,FALSE)</f>
        <v>132</v>
      </c>
      <c r="C477" s="11" t="s">
        <v>1249</v>
      </c>
      <c r="D477" s="212" t="str">
        <f t="shared" si="7"/>
        <v>C475-132-25</v>
      </c>
      <c r="E477" s="11" t="s">
        <v>519</v>
      </c>
      <c r="F477" s="11" t="s">
        <v>41</v>
      </c>
      <c r="G477" s="9" t="s">
        <v>1250</v>
      </c>
      <c r="H477" s="10" t="s">
        <v>455</v>
      </c>
      <c r="I477" s="20" t="s">
        <v>167</v>
      </c>
      <c r="J477" s="166">
        <v>45981</v>
      </c>
      <c r="K477" s="166" t="s">
        <v>503</v>
      </c>
      <c r="L477" s="166"/>
      <c r="M477" s="63"/>
      <c r="N477" s="166"/>
      <c r="O477" s="63"/>
      <c r="P477" s="196"/>
      <c r="Q477" s="37" t="s">
        <v>1242</v>
      </c>
      <c r="R477" s="93"/>
      <c r="S477" s="13">
        <f ca="1">IF(ISBLANK(Table2[[#This Row],[Complete corrective actions (Approved Date)]]), TODAY()-Table2[[#This Row],[CAR initialized date]], "CLOSED")</f>
        <v>96</v>
      </c>
    </row>
    <row r="478" spans="1:19" ht="36" customHeight="1" x14ac:dyDescent="0.25">
      <c r="A478" s="9" t="s">
        <v>94</v>
      </c>
      <c r="B478" s="13">
        <f>VLOOKUP(Table2[[#This Row],[Location 
(drop-down)]],'List source'!D$2:E$71,2,FALSE)</f>
        <v>120</v>
      </c>
      <c r="C478" s="11" t="s">
        <v>1251</v>
      </c>
      <c r="D478" s="212" t="str">
        <f t="shared" si="7"/>
        <v>C476-120-25</v>
      </c>
      <c r="E478" s="11" t="s">
        <v>452</v>
      </c>
      <c r="F478" s="11" t="s">
        <v>111</v>
      </c>
      <c r="G478" s="9" t="s">
        <v>1252</v>
      </c>
      <c r="H478" s="10" t="s">
        <v>458</v>
      </c>
      <c r="I478" s="20" t="s">
        <v>82</v>
      </c>
      <c r="J478" s="166">
        <v>45982</v>
      </c>
      <c r="K478" s="166" t="s">
        <v>503</v>
      </c>
      <c r="L478" s="166"/>
      <c r="M478" s="63">
        <v>45992</v>
      </c>
      <c r="N478" s="166" t="s">
        <v>503</v>
      </c>
      <c r="O478" s="63"/>
      <c r="P478" s="196"/>
      <c r="Q478" s="37" t="s">
        <v>1253</v>
      </c>
      <c r="R478" s="93"/>
      <c r="S478" s="13" t="str">
        <f ca="1">IF(ISBLANK(Table2[[#This Row],[Complete corrective actions (Approved Date)]]), TODAY()-Table2[[#This Row],[CAR initialized date]], "CLOSED")</f>
        <v>CLOSED</v>
      </c>
    </row>
    <row r="479" spans="1:19" ht="36" customHeight="1" x14ac:dyDescent="0.25">
      <c r="A479" s="9" t="s">
        <v>94</v>
      </c>
      <c r="B479" s="13">
        <f>VLOOKUP(Table2[[#This Row],[Location 
(drop-down)]],'List source'!D$2:E$71,2,FALSE)</f>
        <v>120</v>
      </c>
      <c r="C479" s="11" t="s">
        <v>1254</v>
      </c>
      <c r="D479" s="212" t="str">
        <f t="shared" si="7"/>
        <v>C477-120-25</v>
      </c>
      <c r="E479" s="11" t="s">
        <v>452</v>
      </c>
      <c r="F479" s="11" t="s">
        <v>169</v>
      </c>
      <c r="G479" s="9" t="s">
        <v>1255</v>
      </c>
      <c r="H479" s="10" t="s">
        <v>458</v>
      </c>
      <c r="I479" s="20" t="s">
        <v>82</v>
      </c>
      <c r="J479" s="166">
        <v>45985</v>
      </c>
      <c r="K479" s="166" t="s">
        <v>503</v>
      </c>
      <c r="L479" s="166"/>
      <c r="M479" s="63">
        <v>45985</v>
      </c>
      <c r="N479" s="166" t="s">
        <v>897</v>
      </c>
      <c r="O479" s="63"/>
      <c r="P479" s="196"/>
      <c r="Q479" s="37" t="s">
        <v>1256</v>
      </c>
      <c r="R479" s="93"/>
      <c r="S479" s="13" t="str">
        <f ca="1">IF(ISBLANK(Table2[[#This Row],[Complete corrective actions (Approved Date)]]), TODAY()-Table2[[#This Row],[CAR initialized date]], "CLOSED")</f>
        <v>CLOSED</v>
      </c>
    </row>
    <row r="480" spans="1:19" ht="45.75" customHeight="1" x14ac:dyDescent="0.25">
      <c r="A480" s="9" t="s">
        <v>156</v>
      </c>
      <c r="B480" s="13">
        <f>VLOOKUP(Table2[[#This Row],[Location 
(drop-down)]],'List source'!D$2:E$71,2,FALSE)</f>
        <v>130</v>
      </c>
      <c r="C480" s="11" t="s">
        <v>1257</v>
      </c>
      <c r="D480" s="212" t="str">
        <f t="shared" si="7"/>
        <v>C478-130-25</v>
      </c>
      <c r="E480" s="11" t="s">
        <v>519</v>
      </c>
      <c r="F480" s="11" t="s">
        <v>185</v>
      </c>
      <c r="G480" s="9" t="s">
        <v>1258</v>
      </c>
      <c r="H480" s="10" t="s">
        <v>455</v>
      </c>
      <c r="I480" s="20" t="s">
        <v>167</v>
      </c>
      <c r="J480" s="166">
        <v>45982</v>
      </c>
      <c r="K480" s="166" t="s">
        <v>503</v>
      </c>
      <c r="L480" s="166"/>
      <c r="M480" s="63">
        <v>46020</v>
      </c>
      <c r="N480" s="166" t="s">
        <v>503</v>
      </c>
      <c r="O480" s="63"/>
      <c r="P480" s="196"/>
      <c r="Q480" s="37" t="s">
        <v>1259</v>
      </c>
      <c r="R480" s="93"/>
      <c r="S480" s="13" t="str">
        <f ca="1">IF(ISBLANK(Table2[[#This Row],[Complete corrective actions (Approved Date)]]), TODAY()-Table2[[#This Row],[CAR initialized date]], "CLOSED")</f>
        <v>CLOSED</v>
      </c>
    </row>
    <row r="481" spans="1:19" ht="36" customHeight="1" x14ac:dyDescent="0.25">
      <c r="A481" s="9" t="s">
        <v>51</v>
      </c>
      <c r="B481" s="13">
        <f>VLOOKUP(Table2[[#This Row],[Location 
(drop-down)]],'List source'!D$2:E$71,2,FALSE)</f>
        <v>139</v>
      </c>
      <c r="C481" s="11" t="s">
        <v>1260</v>
      </c>
      <c r="D481" s="212" t="str">
        <f t="shared" ref="D481" si="8">"C" &amp; C481 &amp;"-" &amp; B481 &amp; "-" &amp; "25"</f>
        <v>C479-139-25</v>
      </c>
      <c r="E481" s="11" t="s">
        <v>472</v>
      </c>
      <c r="F481" s="11"/>
      <c r="G481" s="9" t="s">
        <v>1261</v>
      </c>
      <c r="H481" s="10" t="s">
        <v>455</v>
      </c>
      <c r="I481" s="20" t="s">
        <v>48</v>
      </c>
      <c r="J481" s="166">
        <v>45996</v>
      </c>
      <c r="K481" s="166"/>
      <c r="L481" s="166"/>
      <c r="M481" s="63"/>
      <c r="N481" s="166"/>
      <c r="O481" s="63"/>
      <c r="P481" s="196"/>
      <c r="Q481" s="37"/>
      <c r="R481" s="93"/>
      <c r="S481" s="13">
        <f ca="1">IF(ISBLANK(Table2[[#This Row],[Complete corrective actions (Approved Date)]]), TODAY()-Table2[[#This Row],[CAR initialized date]], "CLOSED")</f>
        <v>81</v>
      </c>
    </row>
    <row r="482" spans="1:19" ht="36" customHeight="1" x14ac:dyDescent="0.25">
      <c r="A482" s="9" t="s">
        <v>51</v>
      </c>
      <c r="B482" s="13">
        <f>VLOOKUP(Table2[[#This Row],[Location 
(drop-down)]],'List source'!D$2:E$71,2,FALSE)</f>
        <v>139</v>
      </c>
      <c r="C482" s="11" t="s">
        <v>1262</v>
      </c>
      <c r="D482" s="212" t="str">
        <f t="shared" si="7"/>
        <v>C480-139-25</v>
      </c>
      <c r="E482" s="11" t="s">
        <v>472</v>
      </c>
      <c r="F482" s="11"/>
      <c r="G482" s="9" t="s">
        <v>1263</v>
      </c>
      <c r="H482" s="10" t="s">
        <v>455</v>
      </c>
      <c r="I482" s="20" t="s">
        <v>48</v>
      </c>
      <c r="J482" s="166">
        <v>45996</v>
      </c>
      <c r="K482" s="166"/>
      <c r="L482" s="166"/>
      <c r="M482" s="63"/>
      <c r="N482" s="166"/>
      <c r="O482" s="63"/>
      <c r="P482" s="196"/>
      <c r="Q482" s="37"/>
      <c r="R482" s="93"/>
      <c r="S482" s="13">
        <f ca="1">IF(ISBLANK(Table2[[#This Row],[Complete corrective actions (Approved Date)]]), TODAY()-Table2[[#This Row],[CAR initialized date]], "CLOSED")</f>
        <v>81</v>
      </c>
    </row>
    <row r="483" spans="1:19" ht="36" customHeight="1" x14ac:dyDescent="0.25">
      <c r="A483" s="9" t="s">
        <v>51</v>
      </c>
      <c r="B483" s="13">
        <f>VLOOKUP(Table2[[#This Row],[Location 
(drop-down)]],'List source'!D$2:E$71,2,FALSE)</f>
        <v>139</v>
      </c>
      <c r="C483" s="11" t="s">
        <v>1264</v>
      </c>
      <c r="D483" s="212" t="str">
        <f t="shared" si="7"/>
        <v>C481-139-25</v>
      </c>
      <c r="E483" s="11" t="s">
        <v>472</v>
      </c>
      <c r="F483" s="11"/>
      <c r="G483" s="9" t="s">
        <v>1265</v>
      </c>
      <c r="H483" s="10" t="s">
        <v>455</v>
      </c>
      <c r="I483" s="20" t="s">
        <v>48</v>
      </c>
      <c r="J483" s="166">
        <v>45996</v>
      </c>
      <c r="K483" s="166"/>
      <c r="L483" s="166"/>
      <c r="M483" s="63"/>
      <c r="N483" s="166"/>
      <c r="O483" s="63"/>
      <c r="P483" s="196"/>
      <c r="Q483" s="37"/>
      <c r="R483" s="93"/>
      <c r="S483" s="13">
        <f ca="1">IF(ISBLANK(Table2[[#This Row],[Complete corrective actions (Approved Date)]]), TODAY()-Table2[[#This Row],[CAR initialized date]], "CLOSED")</f>
        <v>81</v>
      </c>
    </row>
    <row r="484" spans="1:19" ht="36" customHeight="1" x14ac:dyDescent="0.25">
      <c r="A484" s="9" t="s">
        <v>51</v>
      </c>
      <c r="B484" s="13">
        <f>VLOOKUP(Table2[[#This Row],[Location 
(drop-down)]],'List source'!D$2:E$71,2,FALSE)</f>
        <v>139</v>
      </c>
      <c r="C484" s="11" t="s">
        <v>1266</v>
      </c>
      <c r="D484" s="212" t="str">
        <f t="shared" si="7"/>
        <v>C482-139-25</v>
      </c>
      <c r="E484" s="11" t="s">
        <v>472</v>
      </c>
      <c r="F484" s="11"/>
      <c r="G484" s="9" t="s">
        <v>1267</v>
      </c>
      <c r="H484" s="10" t="s">
        <v>455</v>
      </c>
      <c r="I484" s="20" t="s">
        <v>48</v>
      </c>
      <c r="J484" s="166">
        <v>45996</v>
      </c>
      <c r="K484" s="166"/>
      <c r="L484" s="166"/>
      <c r="M484" s="63"/>
      <c r="N484" s="166"/>
      <c r="O484" s="63"/>
      <c r="P484" s="196"/>
      <c r="Q484" s="37"/>
      <c r="R484" s="93"/>
      <c r="S484" s="13">
        <f ca="1">IF(ISBLANK(Table2[[#This Row],[Complete corrective actions (Approved Date)]]), TODAY()-Table2[[#This Row],[CAR initialized date]], "CLOSED")</f>
        <v>81</v>
      </c>
    </row>
    <row r="485" spans="1:19" ht="36" customHeight="1" x14ac:dyDescent="0.25">
      <c r="A485" s="9" t="s">
        <v>51</v>
      </c>
      <c r="B485" s="13">
        <f>VLOOKUP(Table2[[#This Row],[Location 
(drop-down)]],'List source'!D$2:E$71,2,FALSE)</f>
        <v>139</v>
      </c>
      <c r="C485" s="11" t="s">
        <v>1268</v>
      </c>
      <c r="D485" s="212" t="str">
        <f t="shared" si="7"/>
        <v>C483-139-25</v>
      </c>
      <c r="E485" s="11" t="s">
        <v>472</v>
      </c>
      <c r="F485" s="11"/>
      <c r="G485" s="9" t="s">
        <v>1269</v>
      </c>
      <c r="H485" s="10" t="s">
        <v>455</v>
      </c>
      <c r="I485" s="20" t="s">
        <v>48</v>
      </c>
      <c r="J485" s="166">
        <v>45996</v>
      </c>
      <c r="K485" s="166"/>
      <c r="L485" s="166"/>
      <c r="M485" s="63"/>
      <c r="N485" s="166"/>
      <c r="O485" s="63"/>
      <c r="P485" s="196"/>
      <c r="Q485" s="37"/>
      <c r="R485" s="93"/>
      <c r="S485" s="13">
        <f ca="1">IF(ISBLANK(Table2[[#This Row],[Complete corrective actions (Approved Date)]]), TODAY()-Table2[[#This Row],[CAR initialized date]], "CLOSED")</f>
        <v>81</v>
      </c>
    </row>
    <row r="486" spans="1:19" ht="36" customHeight="1" x14ac:dyDescent="0.25">
      <c r="A486" s="9" t="s">
        <v>51</v>
      </c>
      <c r="B486" s="13">
        <f>VLOOKUP(Table2[[#This Row],[Location 
(drop-down)]],'List source'!D$2:E$71,2,FALSE)</f>
        <v>139</v>
      </c>
      <c r="C486" s="11" t="s">
        <v>1270</v>
      </c>
      <c r="D486" s="212" t="str">
        <f t="shared" si="7"/>
        <v>C484-139-25</v>
      </c>
      <c r="E486" s="11" t="s">
        <v>472</v>
      </c>
      <c r="F486" s="11"/>
      <c r="G486" s="9" t="s">
        <v>1271</v>
      </c>
      <c r="H486" s="10" t="s">
        <v>494</v>
      </c>
      <c r="I486" s="20" t="s">
        <v>48</v>
      </c>
      <c r="J486" s="166">
        <v>45996</v>
      </c>
      <c r="K486" s="166"/>
      <c r="L486" s="166"/>
      <c r="M486" s="63"/>
      <c r="N486" s="166"/>
      <c r="O486" s="63"/>
      <c r="P486" s="196"/>
      <c r="Q486" s="37"/>
      <c r="R486" s="93"/>
      <c r="S486" s="13">
        <f ca="1">IF(ISBLANK(Table2[[#This Row],[Complete corrective actions (Approved Date)]]), TODAY()-Table2[[#This Row],[CAR initialized date]], "CLOSED")</f>
        <v>81</v>
      </c>
    </row>
    <row r="487" spans="1:19" ht="30" x14ac:dyDescent="0.25">
      <c r="A487" s="9" t="s">
        <v>287</v>
      </c>
      <c r="B487" s="13">
        <f>VLOOKUP(Table2[[#This Row],[Location 
(drop-down)]],'List source'!D$2:E$71,2,FALSE)</f>
        <v>180</v>
      </c>
      <c r="C487" s="11" t="s">
        <v>1272</v>
      </c>
      <c r="D487" s="212" t="str">
        <f t="shared" si="7"/>
        <v>C485-180-25</v>
      </c>
      <c r="E487" s="11" t="s">
        <v>519</v>
      </c>
      <c r="F487" s="11" t="s">
        <v>185</v>
      </c>
      <c r="G487" s="9" t="s">
        <v>1273</v>
      </c>
      <c r="H487" s="10" t="s">
        <v>455</v>
      </c>
      <c r="I487" s="20" t="s">
        <v>48</v>
      </c>
      <c r="J487" s="166">
        <v>45999</v>
      </c>
      <c r="K487" s="166"/>
      <c r="L487" s="166"/>
      <c r="M487" s="63">
        <v>46043</v>
      </c>
      <c r="N487" s="166" t="s">
        <v>503</v>
      </c>
      <c r="O487" s="63"/>
      <c r="P487" s="196"/>
      <c r="Q487" s="37"/>
      <c r="R487" s="93"/>
      <c r="S487" s="13" t="str">
        <f ca="1">IF(ISBLANK(Table2[[#This Row],[Complete corrective actions (Approved Date)]]), TODAY()-Table2[[#This Row],[CAR initialized date]], "CLOSED")</f>
        <v>CLOSED</v>
      </c>
    </row>
    <row r="488" spans="1:19" ht="36" customHeight="1" x14ac:dyDescent="0.25">
      <c r="A488" s="9" t="s">
        <v>237</v>
      </c>
      <c r="B488" s="13">
        <f>VLOOKUP(Table2[[#This Row],[Location 
(drop-down)]],'List source'!D$2:E$71,2,FALSE)</f>
        <v>171</v>
      </c>
      <c r="C488" s="11" t="s">
        <v>1274</v>
      </c>
      <c r="D488" s="212" t="str">
        <f t="shared" si="7"/>
        <v>C486-171-25</v>
      </c>
      <c r="E488" s="11" t="s">
        <v>472</v>
      </c>
      <c r="F488" s="11"/>
      <c r="G488" s="9" t="s">
        <v>1275</v>
      </c>
      <c r="H488" s="10" t="s">
        <v>458</v>
      </c>
      <c r="I488" s="20" t="s">
        <v>48</v>
      </c>
      <c r="J488" s="166">
        <v>46001</v>
      </c>
      <c r="K488" s="166" t="s">
        <v>503</v>
      </c>
      <c r="L488" s="166"/>
      <c r="M488" s="63">
        <v>46048</v>
      </c>
      <c r="N488" s="166" t="s">
        <v>503</v>
      </c>
      <c r="O488" s="63"/>
      <c r="P488" s="196"/>
      <c r="Q488" s="37"/>
      <c r="R488" s="93"/>
      <c r="S488" s="13" t="str">
        <f ca="1">IF(ISBLANK(Table2[[#This Row],[Complete corrective actions (Approved Date)]]), TODAY()-Table2[[#This Row],[CAR initialized date]], "CLOSED")</f>
        <v>CLOSED</v>
      </c>
    </row>
    <row r="489" spans="1:19" ht="36" customHeight="1" x14ac:dyDescent="0.25">
      <c r="A489" s="9" t="s">
        <v>237</v>
      </c>
      <c r="B489" s="13">
        <f>VLOOKUP(Table2[[#This Row],[Location 
(drop-down)]],'List source'!D$2:E$71,2,FALSE)</f>
        <v>171</v>
      </c>
      <c r="C489" s="11" t="s">
        <v>1276</v>
      </c>
      <c r="D489" s="212" t="str">
        <f t="shared" si="7"/>
        <v>C487-171-25</v>
      </c>
      <c r="E489" s="11" t="s">
        <v>472</v>
      </c>
      <c r="F489" s="11"/>
      <c r="G489" s="9" t="s">
        <v>1277</v>
      </c>
      <c r="H489" s="10" t="s">
        <v>458</v>
      </c>
      <c r="I489" s="20" t="s">
        <v>48</v>
      </c>
      <c r="J489" s="166">
        <v>46001</v>
      </c>
      <c r="K489" s="166" t="s">
        <v>503</v>
      </c>
      <c r="L489" s="166"/>
      <c r="M489" s="63">
        <v>46048</v>
      </c>
      <c r="N489" s="166" t="s">
        <v>503</v>
      </c>
      <c r="O489" s="63"/>
      <c r="P489" s="196"/>
      <c r="Q489" s="37"/>
      <c r="R489" s="93"/>
      <c r="S489" s="13" t="str">
        <f ca="1">IF(ISBLANK(Table2[[#This Row],[Complete corrective actions (Approved Date)]]), TODAY()-Table2[[#This Row],[CAR initialized date]], "CLOSED")</f>
        <v>CLOSED</v>
      </c>
    </row>
    <row r="490" spans="1:19" ht="36" customHeight="1" x14ac:dyDescent="0.25">
      <c r="A490" s="9" t="s">
        <v>237</v>
      </c>
      <c r="B490" s="13">
        <f>VLOOKUP(Table2[[#This Row],[Location 
(drop-down)]],'List source'!D$2:E$71,2,FALSE)</f>
        <v>171</v>
      </c>
      <c r="C490" s="11" t="s">
        <v>1278</v>
      </c>
      <c r="D490" s="212" t="str">
        <f t="shared" si="7"/>
        <v>C488-171-25</v>
      </c>
      <c r="E490" s="11" t="s">
        <v>472</v>
      </c>
      <c r="F490" s="11"/>
      <c r="G490" s="9" t="s">
        <v>1279</v>
      </c>
      <c r="H490" s="10" t="s">
        <v>458</v>
      </c>
      <c r="I490" s="20" t="s">
        <v>48</v>
      </c>
      <c r="J490" s="166">
        <v>46001</v>
      </c>
      <c r="K490" s="166" t="s">
        <v>503</v>
      </c>
      <c r="L490" s="166"/>
      <c r="M490" s="63">
        <v>46048</v>
      </c>
      <c r="N490" s="166" t="s">
        <v>503</v>
      </c>
      <c r="O490" s="63"/>
      <c r="P490" s="196"/>
      <c r="Q490" s="37"/>
      <c r="R490" s="93"/>
      <c r="S490" s="13" t="str">
        <f ca="1">IF(ISBLANK(Table2[[#This Row],[Complete corrective actions (Approved Date)]]), TODAY()-Table2[[#This Row],[CAR initialized date]], "CLOSED")</f>
        <v>CLOSED</v>
      </c>
    </row>
    <row r="491" spans="1:19" ht="36" customHeight="1" x14ac:dyDescent="0.25">
      <c r="A491" s="9" t="s">
        <v>237</v>
      </c>
      <c r="B491" s="13">
        <f>VLOOKUP(Table2[[#This Row],[Location 
(drop-down)]],'List source'!D$2:E$71,2,FALSE)</f>
        <v>171</v>
      </c>
      <c r="C491" s="11" t="s">
        <v>1280</v>
      </c>
      <c r="D491" s="212" t="str">
        <f t="shared" si="7"/>
        <v>C489-171-25</v>
      </c>
      <c r="E491" s="11" t="s">
        <v>472</v>
      </c>
      <c r="F491" s="11"/>
      <c r="G491" s="9" t="s">
        <v>1281</v>
      </c>
      <c r="H491" s="10" t="s">
        <v>455</v>
      </c>
      <c r="I491" s="20" t="s">
        <v>48</v>
      </c>
      <c r="J491" s="166">
        <v>46001</v>
      </c>
      <c r="K491" s="166" t="s">
        <v>503</v>
      </c>
      <c r="L491" s="166"/>
      <c r="M491" s="63">
        <v>46024</v>
      </c>
      <c r="N491" s="166" t="s">
        <v>503</v>
      </c>
      <c r="O491" s="63"/>
      <c r="P491" s="196"/>
      <c r="Q491" s="37"/>
      <c r="R491" s="93"/>
      <c r="S491" s="13" t="str">
        <f ca="1">IF(ISBLANK(Table2[[#This Row],[Complete corrective actions (Approved Date)]]), TODAY()-Table2[[#This Row],[CAR initialized date]], "CLOSED")</f>
        <v>CLOSED</v>
      </c>
    </row>
    <row r="492" spans="1:19" ht="36" customHeight="1" x14ac:dyDescent="0.25">
      <c r="A492" s="9" t="s">
        <v>361</v>
      </c>
      <c r="B492" s="13">
        <f>VLOOKUP(Table2[[#This Row],[Location 
(drop-down)]],'List source'!D$2:E$71,2,FALSE)</f>
        <v>116</v>
      </c>
      <c r="C492" s="11" t="s">
        <v>1282</v>
      </c>
      <c r="D492" s="212" t="str">
        <f t="shared" si="7"/>
        <v>C490-116-25</v>
      </c>
      <c r="E492" s="11" t="s">
        <v>472</v>
      </c>
      <c r="F492" s="11"/>
      <c r="G492" s="9" t="s">
        <v>1283</v>
      </c>
      <c r="H492" s="10" t="s">
        <v>455</v>
      </c>
      <c r="I492" s="20" t="s">
        <v>48</v>
      </c>
      <c r="J492" s="166">
        <v>46002</v>
      </c>
      <c r="K492" s="166" t="s">
        <v>503</v>
      </c>
      <c r="L492" s="166"/>
      <c r="M492" s="63">
        <v>46062</v>
      </c>
      <c r="N492" s="166" t="s">
        <v>503</v>
      </c>
      <c r="O492" s="63"/>
      <c r="P492" s="196"/>
      <c r="Q492" s="37"/>
      <c r="R492" s="93"/>
      <c r="S492" s="13" t="str">
        <f ca="1">IF(ISBLANK(Table2[[#This Row],[Complete corrective actions (Approved Date)]]), TODAY()-Table2[[#This Row],[CAR initialized date]], "CLOSED")</f>
        <v>CLOSED</v>
      </c>
    </row>
    <row r="493" spans="1:19" ht="36" customHeight="1" x14ac:dyDescent="0.25">
      <c r="A493" s="9" t="s">
        <v>361</v>
      </c>
      <c r="B493" s="13">
        <f>VLOOKUP(Table2[[#This Row],[Location 
(drop-down)]],'List source'!D$2:E$71,2,FALSE)</f>
        <v>116</v>
      </c>
      <c r="C493" s="11" t="s">
        <v>1284</v>
      </c>
      <c r="D493" s="212" t="str">
        <f t="shared" si="7"/>
        <v>C491-116-25</v>
      </c>
      <c r="E493" s="11" t="s">
        <v>472</v>
      </c>
      <c r="F493" s="11"/>
      <c r="G493" s="9" t="s">
        <v>525</v>
      </c>
      <c r="H493" s="10" t="s">
        <v>458</v>
      </c>
      <c r="I493" s="20" t="s">
        <v>48</v>
      </c>
      <c r="J493" s="166">
        <v>46002</v>
      </c>
      <c r="K493" s="166"/>
      <c r="L493" s="166"/>
      <c r="M493" s="63"/>
      <c r="N493" s="166"/>
      <c r="O493" s="63"/>
      <c r="P493" s="196"/>
      <c r="Q493" s="37"/>
      <c r="R493" s="93"/>
      <c r="S493" s="13">
        <f ca="1">IF(ISBLANK(Table2[[#This Row],[Complete corrective actions (Approved Date)]]), TODAY()-Table2[[#This Row],[CAR initialized date]], "CLOSED")</f>
        <v>75</v>
      </c>
    </row>
    <row r="494" spans="1:19" ht="36" customHeight="1" x14ac:dyDescent="0.25">
      <c r="A494" s="9" t="s">
        <v>361</v>
      </c>
      <c r="B494" s="13">
        <f>VLOOKUP(Table2[[#This Row],[Location 
(drop-down)]],'List source'!D$2:E$71,2,FALSE)</f>
        <v>116</v>
      </c>
      <c r="C494" s="11" t="s">
        <v>1285</v>
      </c>
      <c r="D494" s="212" t="str">
        <f t="shared" si="7"/>
        <v>C492-116-25</v>
      </c>
      <c r="E494" s="11" t="s">
        <v>472</v>
      </c>
      <c r="F494" s="11"/>
      <c r="G494" s="9" t="s">
        <v>1286</v>
      </c>
      <c r="H494" s="10" t="s">
        <v>455</v>
      </c>
      <c r="I494" s="20" t="s">
        <v>48</v>
      </c>
      <c r="J494" s="166">
        <v>46002</v>
      </c>
      <c r="K494" s="166"/>
      <c r="L494" s="166"/>
      <c r="M494" s="63"/>
      <c r="N494" s="166"/>
      <c r="O494" s="63"/>
      <c r="P494" s="196"/>
      <c r="Q494" s="37"/>
      <c r="R494" s="93"/>
      <c r="S494" s="13">
        <f ca="1">IF(ISBLANK(Table2[[#This Row],[Complete corrective actions (Approved Date)]]), TODAY()-Table2[[#This Row],[CAR initialized date]], "CLOSED")</f>
        <v>75</v>
      </c>
    </row>
    <row r="495" spans="1:19" ht="36" customHeight="1" x14ac:dyDescent="0.25">
      <c r="A495" s="9" t="s">
        <v>361</v>
      </c>
      <c r="B495" s="13">
        <f>VLOOKUP(Table2[[#This Row],[Location 
(drop-down)]],'List source'!D$2:E$71,2,FALSE)</f>
        <v>116</v>
      </c>
      <c r="C495" s="11" t="s">
        <v>1287</v>
      </c>
      <c r="D495" s="212" t="str">
        <f t="shared" si="7"/>
        <v>C493-116-25</v>
      </c>
      <c r="E495" s="11" t="s">
        <v>472</v>
      </c>
      <c r="F495" s="11"/>
      <c r="G495" s="9" t="s">
        <v>1288</v>
      </c>
      <c r="H495" s="10" t="s">
        <v>455</v>
      </c>
      <c r="I495" s="20" t="s">
        <v>48</v>
      </c>
      <c r="J495" s="166">
        <v>46002</v>
      </c>
      <c r="K495" s="166" t="s">
        <v>503</v>
      </c>
      <c r="L495" s="166"/>
      <c r="M495" s="63">
        <v>46062</v>
      </c>
      <c r="N495" s="166" t="s">
        <v>503</v>
      </c>
      <c r="O495" s="63"/>
      <c r="P495" s="196"/>
      <c r="Q495" s="37"/>
      <c r="R495" s="93"/>
      <c r="S495" s="13" t="str">
        <f ca="1">IF(ISBLANK(Table2[[#This Row],[Complete corrective actions (Approved Date)]]), TODAY()-Table2[[#This Row],[CAR initialized date]], "CLOSED")</f>
        <v>CLOSED</v>
      </c>
    </row>
    <row r="496" spans="1:19" ht="36" customHeight="1" x14ac:dyDescent="0.25">
      <c r="A496" s="9" t="s">
        <v>389</v>
      </c>
      <c r="B496" s="13">
        <f>VLOOKUP(Table2[[#This Row],[Location 
(drop-down)]],'List source'!D$2:E$71,2,FALSE)</f>
        <v>161</v>
      </c>
      <c r="C496" s="11" t="s">
        <v>1289</v>
      </c>
      <c r="D496" s="212" t="str">
        <f t="shared" si="7"/>
        <v>C494-161-25</v>
      </c>
      <c r="E496" s="11" t="s">
        <v>472</v>
      </c>
      <c r="F496" s="11"/>
      <c r="G496" s="176" t="s">
        <v>1290</v>
      </c>
      <c r="H496" s="10" t="s">
        <v>458</v>
      </c>
      <c r="I496" s="20" t="s">
        <v>18</v>
      </c>
      <c r="J496" s="166">
        <v>46002</v>
      </c>
      <c r="K496" s="166"/>
      <c r="L496" s="166"/>
      <c r="M496" s="63"/>
      <c r="N496" s="166"/>
      <c r="O496" s="63"/>
      <c r="P496" s="196"/>
      <c r="Q496" s="37"/>
      <c r="R496" s="93"/>
      <c r="S496" s="13">
        <f ca="1">IF(ISBLANK(Table2[[#This Row],[Complete corrective actions (Approved Date)]]), TODAY()-Table2[[#This Row],[CAR initialized date]], "CLOSED")</f>
        <v>75</v>
      </c>
    </row>
    <row r="497" spans="1:19" ht="36" customHeight="1" x14ac:dyDescent="0.25">
      <c r="A497" s="9" t="s">
        <v>389</v>
      </c>
      <c r="B497" s="13">
        <f>VLOOKUP(Table2[[#This Row],[Location 
(drop-down)]],'List source'!D$2:E$71,2,FALSE)</f>
        <v>161</v>
      </c>
      <c r="C497" s="11" t="s">
        <v>1291</v>
      </c>
      <c r="D497" s="212" t="str">
        <f t="shared" si="7"/>
        <v>C495-161-25</v>
      </c>
      <c r="E497" s="11" t="s">
        <v>472</v>
      </c>
      <c r="F497" s="11"/>
      <c r="G497" s="176" t="s">
        <v>1292</v>
      </c>
      <c r="H497" s="10" t="s">
        <v>458</v>
      </c>
      <c r="I497" s="20" t="s">
        <v>18</v>
      </c>
      <c r="J497" s="166">
        <v>46002</v>
      </c>
      <c r="K497" s="166"/>
      <c r="L497" s="166"/>
      <c r="M497" s="63"/>
      <c r="N497" s="166"/>
      <c r="O497" s="63"/>
      <c r="P497" s="196"/>
      <c r="Q497" s="37"/>
      <c r="R497" s="93"/>
      <c r="S497" s="13">
        <f ca="1">IF(ISBLANK(Table2[[#This Row],[Complete corrective actions (Approved Date)]]), TODAY()-Table2[[#This Row],[CAR initialized date]], "CLOSED")</f>
        <v>75</v>
      </c>
    </row>
    <row r="498" spans="1:19" ht="36" customHeight="1" x14ac:dyDescent="0.25">
      <c r="A498" s="9" t="s">
        <v>389</v>
      </c>
      <c r="B498" s="13">
        <f>VLOOKUP(Table2[[#This Row],[Location 
(drop-down)]],'List source'!D$2:E$71,2,FALSE)</f>
        <v>161</v>
      </c>
      <c r="C498" s="11" t="s">
        <v>1293</v>
      </c>
      <c r="D498" s="212" t="str">
        <f t="shared" si="7"/>
        <v>C496-161-25</v>
      </c>
      <c r="E498" s="11" t="s">
        <v>472</v>
      </c>
      <c r="F498" s="11"/>
      <c r="G498" s="176" t="s">
        <v>1294</v>
      </c>
      <c r="H498" s="10" t="s">
        <v>458</v>
      </c>
      <c r="I498" s="20" t="s">
        <v>18</v>
      </c>
      <c r="J498" s="166">
        <v>46002</v>
      </c>
      <c r="K498" s="166"/>
      <c r="L498" s="166"/>
      <c r="M498" s="63"/>
      <c r="N498" s="166"/>
      <c r="O498" s="63"/>
      <c r="P498" s="196"/>
      <c r="Q498" s="37"/>
      <c r="R498" s="93"/>
      <c r="S498" s="13">
        <f ca="1">IF(ISBLANK(Table2[[#This Row],[Complete corrective actions (Approved Date)]]), TODAY()-Table2[[#This Row],[CAR initialized date]], "CLOSED")</f>
        <v>75</v>
      </c>
    </row>
    <row r="499" spans="1:19" ht="36" customHeight="1" x14ac:dyDescent="0.25">
      <c r="A499" s="9" t="s">
        <v>156</v>
      </c>
      <c r="B499" s="13">
        <f>VLOOKUP(Table2[[#This Row],[Location 
(drop-down)]],'List source'!D$2:E$71,2,FALSE)</f>
        <v>130</v>
      </c>
      <c r="C499" s="11" t="s">
        <v>1295</v>
      </c>
      <c r="D499" s="212" t="str">
        <f t="shared" si="7"/>
        <v>C497-130-25</v>
      </c>
      <c r="E499" s="11" t="s">
        <v>452</v>
      </c>
      <c r="F499" s="11"/>
      <c r="G499" s="176" t="s">
        <v>1296</v>
      </c>
      <c r="H499" s="10" t="s">
        <v>455</v>
      </c>
      <c r="I499" s="20" t="s">
        <v>167</v>
      </c>
      <c r="J499" s="166">
        <v>45995</v>
      </c>
      <c r="K499" s="166"/>
      <c r="L499" s="166"/>
      <c r="M499" s="63">
        <v>46056</v>
      </c>
      <c r="N499" s="166"/>
      <c r="O499" s="63"/>
      <c r="P499" s="196"/>
      <c r="Q499" s="37"/>
      <c r="R499" s="93"/>
      <c r="S499" s="13" t="str">
        <f ca="1">IF(ISBLANK(Table2[[#This Row],[Complete corrective actions (Approved Date)]]), TODAY()-Table2[[#This Row],[CAR initialized date]], "CLOSED")</f>
        <v>CLOSED</v>
      </c>
    </row>
    <row r="500" spans="1:19" ht="36" customHeight="1" x14ac:dyDescent="0.25">
      <c r="A500" s="9" t="s">
        <v>156</v>
      </c>
      <c r="B500" s="13">
        <f>VLOOKUP(Table2[[#This Row],[Location 
(drop-down)]],'List source'!D$2:E$71,2,FALSE)</f>
        <v>130</v>
      </c>
      <c r="C500" s="11" t="s">
        <v>1297</v>
      </c>
      <c r="D500" s="212" t="str">
        <f t="shared" si="7"/>
        <v>C498-130-25</v>
      </c>
      <c r="E500" s="11" t="s">
        <v>460</v>
      </c>
      <c r="F500" s="11"/>
      <c r="G500" s="9" t="s">
        <v>1298</v>
      </c>
      <c r="H500" s="10" t="s">
        <v>455</v>
      </c>
      <c r="I500" s="20" t="s">
        <v>167</v>
      </c>
      <c r="J500" s="166">
        <v>46003</v>
      </c>
      <c r="K500" s="166"/>
      <c r="L500" s="166"/>
      <c r="M500" s="63"/>
      <c r="N500" s="166"/>
      <c r="O500" s="63"/>
      <c r="P500" s="196"/>
      <c r="Q500" s="37"/>
      <c r="R500" s="93"/>
      <c r="S500" s="13">
        <f ca="1">IF(ISBLANK(Table2[[#This Row],[Complete corrective actions (Approved Date)]]), TODAY()-Table2[[#This Row],[CAR initialized date]], "CLOSED")</f>
        <v>74</v>
      </c>
    </row>
    <row r="501" spans="1:19" ht="36" customHeight="1" x14ac:dyDescent="0.25">
      <c r="A501" s="9" t="s">
        <v>14</v>
      </c>
      <c r="B501" s="13">
        <f>VLOOKUP(Table2[[#This Row],[Location 
(drop-down)]],'List source'!D$2:E$71,2,FALSE)</f>
        <v>131</v>
      </c>
      <c r="C501" s="11" t="s">
        <v>1299</v>
      </c>
      <c r="D501" s="212" t="str">
        <f t="shared" si="7"/>
        <v>C499-131-25</v>
      </c>
      <c r="E501" s="11" t="s">
        <v>452</v>
      </c>
      <c r="F501" s="11"/>
      <c r="G501" s="9" t="s">
        <v>1300</v>
      </c>
      <c r="H501" s="10" t="s">
        <v>494</v>
      </c>
      <c r="I501" s="20" t="s">
        <v>167</v>
      </c>
      <c r="J501" s="166">
        <v>46001</v>
      </c>
      <c r="K501" s="166" t="s">
        <v>503</v>
      </c>
      <c r="L501" s="166"/>
      <c r="M501" s="63">
        <v>46052</v>
      </c>
      <c r="N501" s="166"/>
      <c r="O501" s="63"/>
      <c r="P501" s="196"/>
      <c r="Q501" s="37"/>
      <c r="R501" s="93"/>
      <c r="S501" s="13" t="str">
        <f ca="1">IF(ISBLANK(Table2[[#This Row],[Complete corrective actions (Approved Date)]]), TODAY()-Table2[[#This Row],[CAR initialized date]], "CLOSED")</f>
        <v>CLOSED</v>
      </c>
    </row>
    <row r="502" spans="1:19" ht="36" customHeight="1" x14ac:dyDescent="0.25">
      <c r="A502" s="9" t="s">
        <v>105</v>
      </c>
      <c r="B502" s="13">
        <f>VLOOKUP(Table2[[#This Row],[Location 
(drop-down)]],'List source'!D$2:E$71,2,FALSE)</f>
        <v>215</v>
      </c>
      <c r="C502" s="11" t="s">
        <v>1301</v>
      </c>
      <c r="D502" s="212" t="str">
        <f t="shared" si="7"/>
        <v>C500-215-25</v>
      </c>
      <c r="E502" s="11" t="s">
        <v>472</v>
      </c>
      <c r="F502" s="11"/>
      <c r="G502" s="9" t="s">
        <v>1302</v>
      </c>
      <c r="H502" s="10" t="s">
        <v>494</v>
      </c>
      <c r="I502" s="20" t="s">
        <v>18</v>
      </c>
      <c r="J502" s="166">
        <v>46009</v>
      </c>
      <c r="K502" s="166"/>
      <c r="L502" s="166"/>
      <c r="M502" s="63"/>
      <c r="N502" s="166"/>
      <c r="O502" s="63"/>
      <c r="P502" s="196"/>
      <c r="Q502" s="37"/>
      <c r="R502" s="93"/>
      <c r="S502" s="13">
        <f ca="1">IF(ISBLANK(Table2[[#This Row],[Complete corrective actions (Approved Date)]]), TODAY()-Table2[[#This Row],[CAR initialized date]], "CLOSED")</f>
        <v>68</v>
      </c>
    </row>
    <row r="503" spans="1:19" ht="36" customHeight="1" x14ac:dyDescent="0.25">
      <c r="A503" s="9" t="s">
        <v>105</v>
      </c>
      <c r="B503" s="13">
        <f>VLOOKUP(Table2[[#This Row],[Location 
(drop-down)]],'List source'!D$2:E$71,2,FALSE)</f>
        <v>215</v>
      </c>
      <c r="C503" s="11" t="s">
        <v>1303</v>
      </c>
      <c r="D503" s="212" t="str">
        <f t="shared" si="7"/>
        <v>C501-215-25</v>
      </c>
      <c r="E503" s="11" t="s">
        <v>472</v>
      </c>
      <c r="F503" s="11"/>
      <c r="G503" s="9" t="s">
        <v>1304</v>
      </c>
      <c r="H503" s="10" t="s">
        <v>458</v>
      </c>
      <c r="I503" s="20" t="s">
        <v>18</v>
      </c>
      <c r="J503" s="166">
        <v>46009</v>
      </c>
      <c r="K503" s="166"/>
      <c r="L503" s="166"/>
      <c r="M503" s="63"/>
      <c r="N503" s="166"/>
      <c r="O503" s="63"/>
      <c r="P503" s="196"/>
      <c r="Q503" s="37"/>
      <c r="R503" s="93"/>
      <c r="S503" s="13">
        <f ca="1">IF(ISBLANK(Table2[[#This Row],[Complete corrective actions (Approved Date)]]), TODAY()-Table2[[#This Row],[CAR initialized date]], "CLOSED")</f>
        <v>68</v>
      </c>
    </row>
    <row r="504" spans="1:19" ht="36" customHeight="1" x14ac:dyDescent="0.25">
      <c r="A504" s="9" t="s">
        <v>105</v>
      </c>
      <c r="B504" s="13">
        <f>VLOOKUP(Table2[[#This Row],[Location 
(drop-down)]],'List source'!D$2:E$71,2,FALSE)</f>
        <v>215</v>
      </c>
      <c r="C504" s="11" t="s">
        <v>1305</v>
      </c>
      <c r="D504" s="212" t="str">
        <f t="shared" si="7"/>
        <v>C502-215-25</v>
      </c>
      <c r="E504" s="11" t="s">
        <v>472</v>
      </c>
      <c r="F504" s="11"/>
      <c r="G504" s="9" t="s">
        <v>1306</v>
      </c>
      <c r="H504" s="10" t="s">
        <v>455</v>
      </c>
      <c r="I504" s="20" t="s">
        <v>18</v>
      </c>
      <c r="J504" s="166">
        <v>46009</v>
      </c>
      <c r="K504" s="166"/>
      <c r="L504" s="166"/>
      <c r="M504" s="63"/>
      <c r="N504" s="166"/>
      <c r="O504" s="63"/>
      <c r="P504" s="196"/>
      <c r="Q504" s="37"/>
      <c r="R504" s="93"/>
      <c r="S504" s="13">
        <f ca="1">IF(ISBLANK(Table2[[#This Row],[Complete corrective actions (Approved Date)]]), TODAY()-Table2[[#This Row],[CAR initialized date]], "CLOSED")</f>
        <v>68</v>
      </c>
    </row>
    <row r="505" spans="1:19" ht="36" customHeight="1" x14ac:dyDescent="0.25">
      <c r="A505" s="9" t="s">
        <v>105</v>
      </c>
      <c r="B505" s="13">
        <f>VLOOKUP(Table2[[#This Row],[Location 
(drop-down)]],'List source'!D$2:E$71,2,FALSE)</f>
        <v>215</v>
      </c>
      <c r="C505" s="11" t="s">
        <v>1307</v>
      </c>
      <c r="D505" s="212" t="str">
        <f t="shared" si="7"/>
        <v>C503-215-25</v>
      </c>
      <c r="E505" s="11" t="s">
        <v>472</v>
      </c>
      <c r="F505" s="220"/>
      <c r="G505" s="9" t="s">
        <v>1308</v>
      </c>
      <c r="H505" s="10" t="s">
        <v>455</v>
      </c>
      <c r="I505" s="20" t="s">
        <v>18</v>
      </c>
      <c r="J505" s="166">
        <v>46009</v>
      </c>
      <c r="K505" s="166"/>
      <c r="L505" s="166"/>
      <c r="M505" s="63"/>
      <c r="N505" s="166"/>
      <c r="O505" s="63"/>
      <c r="P505" s="196"/>
      <c r="Q505" s="37"/>
      <c r="R505" s="93"/>
      <c r="S505" s="13">
        <f ca="1">IF(ISBLANK(Table2[[#This Row],[Complete corrective actions (Approved Date)]]), TODAY()-Table2[[#This Row],[CAR initialized date]], "CLOSED")</f>
        <v>68</v>
      </c>
    </row>
    <row r="506" spans="1:19" ht="36" customHeight="1" x14ac:dyDescent="0.25">
      <c r="A506" s="9" t="s">
        <v>105</v>
      </c>
      <c r="B506" s="13">
        <f>VLOOKUP(Table2[[#This Row],[Location 
(drop-down)]],'List source'!D$2:E$71,2,FALSE)</f>
        <v>215</v>
      </c>
      <c r="C506" s="11" t="s">
        <v>1309</v>
      </c>
      <c r="D506" s="212" t="str">
        <f t="shared" si="7"/>
        <v>C504-215-25</v>
      </c>
      <c r="E506" s="11" t="s">
        <v>472</v>
      </c>
      <c r="F506" s="220"/>
      <c r="G506" s="9" t="s">
        <v>1310</v>
      </c>
      <c r="H506" s="10" t="s">
        <v>455</v>
      </c>
      <c r="I506" s="20" t="s">
        <v>18</v>
      </c>
      <c r="J506" s="166">
        <v>46009</v>
      </c>
      <c r="K506" s="166"/>
      <c r="L506" s="166"/>
      <c r="M506" s="63"/>
      <c r="N506" s="166"/>
      <c r="O506" s="63"/>
      <c r="P506" s="196"/>
      <c r="Q506" s="37"/>
      <c r="R506" s="93"/>
      <c r="S506" s="13">
        <f ca="1">IF(ISBLANK(Table2[[#This Row],[Complete corrective actions (Approved Date)]]), TODAY()-Table2[[#This Row],[CAR initialized date]], "CLOSED")</f>
        <v>68</v>
      </c>
    </row>
    <row r="507" spans="1:19" ht="36" customHeight="1" x14ac:dyDescent="0.25">
      <c r="A507" s="9" t="s">
        <v>105</v>
      </c>
      <c r="B507" s="13">
        <f>VLOOKUP(Table2[[#This Row],[Location 
(drop-down)]],'List source'!D$2:E$71,2,FALSE)</f>
        <v>215</v>
      </c>
      <c r="C507" s="11" t="s">
        <v>1311</v>
      </c>
      <c r="D507" s="212" t="str">
        <f t="shared" si="7"/>
        <v>C505-215-25</v>
      </c>
      <c r="E507" s="11" t="s">
        <v>472</v>
      </c>
      <c r="F507" s="220"/>
      <c r="G507" s="9" t="s">
        <v>1312</v>
      </c>
      <c r="H507" s="10" t="s">
        <v>455</v>
      </c>
      <c r="I507" s="20" t="s">
        <v>18</v>
      </c>
      <c r="J507" s="166">
        <v>46009</v>
      </c>
      <c r="K507" s="166" t="s">
        <v>503</v>
      </c>
      <c r="L507" s="166" t="s">
        <v>503</v>
      </c>
      <c r="M507" s="63">
        <v>46051</v>
      </c>
      <c r="N507" s="166" t="s">
        <v>503</v>
      </c>
      <c r="O507" s="63"/>
      <c r="P507" s="196"/>
      <c r="Q507" s="37"/>
      <c r="R507" s="93"/>
      <c r="S507" s="13" t="str">
        <f ca="1">IF(ISBLANK(Table2[[#This Row],[Complete corrective actions (Approved Date)]]), TODAY()-Table2[[#This Row],[CAR initialized date]], "CLOSED")</f>
        <v>CLOSED</v>
      </c>
    </row>
    <row r="508" spans="1:19" ht="36" customHeight="1" x14ac:dyDescent="0.25">
      <c r="A508" s="9" t="s">
        <v>105</v>
      </c>
      <c r="B508" s="13">
        <f>VLOOKUP(Table2[[#This Row],[Location 
(drop-down)]],'List source'!D$2:E$71,2,FALSE)</f>
        <v>215</v>
      </c>
      <c r="C508" s="11" t="s">
        <v>1313</v>
      </c>
      <c r="D508" s="212" t="str">
        <f t="shared" si="7"/>
        <v>C506-215-25</v>
      </c>
      <c r="E508" s="11" t="s">
        <v>472</v>
      </c>
      <c r="F508" s="220"/>
      <c r="G508" s="9" t="s">
        <v>1314</v>
      </c>
      <c r="H508" s="10" t="s">
        <v>458</v>
      </c>
      <c r="I508" s="20" t="s">
        <v>18</v>
      </c>
      <c r="J508" s="166">
        <v>46009</v>
      </c>
      <c r="K508" s="166"/>
      <c r="L508" s="166"/>
      <c r="M508" s="63"/>
      <c r="N508" s="166"/>
      <c r="O508" s="63"/>
      <c r="P508" s="196"/>
      <c r="Q508" s="37"/>
      <c r="R508" s="93"/>
      <c r="S508" s="13">
        <f ca="1">IF(ISBLANK(Table2[[#This Row],[Complete corrective actions (Approved Date)]]), TODAY()-Table2[[#This Row],[CAR initialized date]], "CLOSED")</f>
        <v>68</v>
      </c>
    </row>
    <row r="509" spans="1:19" ht="36" customHeight="1" x14ac:dyDescent="0.25">
      <c r="A509" s="9" t="s">
        <v>105</v>
      </c>
      <c r="B509" s="13">
        <f>VLOOKUP(Table2[[#This Row],[Location 
(drop-down)]],'List source'!D$2:E$71,2,FALSE)</f>
        <v>215</v>
      </c>
      <c r="C509" s="11" t="s">
        <v>1315</v>
      </c>
      <c r="D509" s="212" t="str">
        <f t="shared" si="7"/>
        <v>C507-215-25</v>
      </c>
      <c r="E509" s="11" t="s">
        <v>472</v>
      </c>
      <c r="F509" s="220"/>
      <c r="G509" s="9" t="s">
        <v>1316</v>
      </c>
      <c r="H509" s="10" t="s">
        <v>455</v>
      </c>
      <c r="I509" s="20" t="s">
        <v>18</v>
      </c>
      <c r="J509" s="166">
        <v>46009</v>
      </c>
      <c r="K509" s="166"/>
      <c r="L509" s="166"/>
      <c r="M509" s="63"/>
      <c r="N509" s="166"/>
      <c r="O509" s="63"/>
      <c r="P509" s="196"/>
      <c r="Q509" s="37"/>
      <c r="R509" s="93"/>
      <c r="S509" s="13">
        <f ca="1">IF(ISBLANK(Table2[[#This Row],[Complete corrective actions (Approved Date)]]), TODAY()-Table2[[#This Row],[CAR initialized date]], "CLOSED")</f>
        <v>68</v>
      </c>
    </row>
    <row r="510" spans="1:19" ht="36" customHeight="1" x14ac:dyDescent="0.25">
      <c r="A510" s="9" t="s">
        <v>105</v>
      </c>
      <c r="B510" s="13">
        <f>VLOOKUP(Table2[[#This Row],[Location 
(drop-down)]],'List source'!D$2:E$71,2,FALSE)</f>
        <v>215</v>
      </c>
      <c r="C510" s="11" t="s">
        <v>1317</v>
      </c>
      <c r="D510" s="212" t="str">
        <f t="shared" si="7"/>
        <v>C508-215-25</v>
      </c>
      <c r="E510" s="11" t="s">
        <v>472</v>
      </c>
      <c r="F510" s="220"/>
      <c r="G510" s="9" t="s">
        <v>1318</v>
      </c>
      <c r="H510" s="10" t="s">
        <v>455</v>
      </c>
      <c r="I510" s="20" t="s">
        <v>18</v>
      </c>
      <c r="J510" s="166">
        <v>46009</v>
      </c>
      <c r="K510" s="166"/>
      <c r="L510" s="166"/>
      <c r="M510" s="63"/>
      <c r="N510" s="166"/>
      <c r="O510" s="63"/>
      <c r="P510" s="196"/>
      <c r="Q510" s="37"/>
      <c r="R510" s="93"/>
      <c r="S510" s="13">
        <f ca="1">IF(ISBLANK(Table2[[#This Row],[Complete corrective actions (Approved Date)]]), TODAY()-Table2[[#This Row],[CAR initialized date]], "CLOSED")</f>
        <v>68</v>
      </c>
    </row>
    <row r="511" spans="1:19" ht="36" customHeight="1" x14ac:dyDescent="0.25">
      <c r="A511" s="9" t="s">
        <v>105</v>
      </c>
      <c r="B511" s="13">
        <f>VLOOKUP(Table2[[#This Row],[Location 
(drop-down)]],'List source'!D$2:E$71,2,FALSE)</f>
        <v>215</v>
      </c>
      <c r="C511" s="11" t="s">
        <v>1319</v>
      </c>
      <c r="D511" s="212" t="str">
        <f t="shared" si="7"/>
        <v>C509-215-25</v>
      </c>
      <c r="E511" s="11" t="s">
        <v>472</v>
      </c>
      <c r="F511" s="220"/>
      <c r="G511" s="9" t="s">
        <v>1320</v>
      </c>
      <c r="H511" s="10" t="s">
        <v>455</v>
      </c>
      <c r="I511" s="20" t="s">
        <v>18</v>
      </c>
      <c r="J511" s="166">
        <v>46009</v>
      </c>
      <c r="K511" s="166"/>
      <c r="L511" s="166"/>
      <c r="M511" s="63"/>
      <c r="N511" s="166"/>
      <c r="O511" s="63"/>
      <c r="P511" s="196"/>
      <c r="Q511" s="37"/>
      <c r="R511" s="93"/>
      <c r="S511" s="13">
        <f ca="1">IF(ISBLANK(Table2[[#This Row],[Complete corrective actions (Approved Date)]]), TODAY()-Table2[[#This Row],[CAR initialized date]], "CLOSED")</f>
        <v>68</v>
      </c>
    </row>
    <row r="512" spans="1:19" ht="36" customHeight="1" x14ac:dyDescent="0.25">
      <c r="A512" s="9" t="s">
        <v>381</v>
      </c>
      <c r="B512" s="13">
        <f>VLOOKUP(Table2[[#This Row],[Location 
(drop-down)]],'List source'!D$2:E$71,2,FALSE)</f>
        <v>179</v>
      </c>
      <c r="C512" s="11" t="s">
        <v>1321</v>
      </c>
      <c r="D512" s="212" t="str">
        <f t="shared" ref="D512:D576" si="9">"C" &amp; C512 &amp;"-" &amp; B512 &amp; "-" &amp; "25"</f>
        <v>C510-179-25</v>
      </c>
      <c r="E512" s="11" t="s">
        <v>472</v>
      </c>
      <c r="F512" s="220"/>
      <c r="G512" s="9" t="s">
        <v>1322</v>
      </c>
      <c r="H512" s="10" t="s">
        <v>455</v>
      </c>
      <c r="I512" s="20" t="s">
        <v>27</v>
      </c>
      <c r="J512" s="166">
        <v>46037</v>
      </c>
      <c r="K512" s="166"/>
      <c r="L512" s="166"/>
      <c r="M512" s="63"/>
      <c r="N512" s="166"/>
      <c r="O512" s="63"/>
      <c r="P512" s="196"/>
      <c r="Q512" s="37"/>
      <c r="R512" s="93"/>
      <c r="S512" s="13">
        <f ca="1">IF(ISBLANK(Table2[[#This Row],[Complete corrective actions (Approved Date)]]), TODAY()-Table2[[#This Row],[CAR initialized date]], "CLOSED")</f>
        <v>40</v>
      </c>
    </row>
    <row r="513" spans="1:19" ht="36" customHeight="1" x14ac:dyDescent="0.25">
      <c r="A513" s="9" t="s">
        <v>381</v>
      </c>
      <c r="B513" s="13">
        <f>VLOOKUP(Table2[[#This Row],[Location 
(drop-down)]],'List source'!D$2:E$71,2,FALSE)</f>
        <v>179</v>
      </c>
      <c r="C513" s="11" t="s">
        <v>1323</v>
      </c>
      <c r="D513" s="212" t="str">
        <f t="shared" si="9"/>
        <v>C511-179-25</v>
      </c>
      <c r="E513" s="11" t="s">
        <v>472</v>
      </c>
      <c r="F513" s="220"/>
      <c r="G513" s="9" t="s">
        <v>1324</v>
      </c>
      <c r="H513" s="10" t="s">
        <v>494</v>
      </c>
      <c r="I513" s="20" t="s">
        <v>27</v>
      </c>
      <c r="J513" s="166">
        <v>46037</v>
      </c>
      <c r="K513" s="166"/>
      <c r="L513" s="166"/>
      <c r="M513" s="63"/>
      <c r="N513" s="166"/>
      <c r="O513" s="63"/>
      <c r="P513" s="196"/>
      <c r="Q513" s="37"/>
      <c r="R513" s="93"/>
      <c r="S513" s="13">
        <f ca="1">IF(ISBLANK(Table2[[#This Row],[Complete corrective actions (Approved Date)]]), TODAY()-Table2[[#This Row],[CAR initialized date]], "CLOSED")</f>
        <v>40</v>
      </c>
    </row>
    <row r="514" spans="1:19" ht="36" customHeight="1" x14ac:dyDescent="0.25">
      <c r="A514" s="9" t="s">
        <v>62</v>
      </c>
      <c r="B514" s="13">
        <f>VLOOKUP(Table2[[#This Row],[Location 
(drop-down)]],'List source'!D$2:E$71,2,FALSE)</f>
        <v>178</v>
      </c>
      <c r="C514" s="11" t="s">
        <v>1325</v>
      </c>
      <c r="D514" s="212" t="str">
        <f t="shared" si="9"/>
        <v>C512-178-25</v>
      </c>
      <c r="E514" s="220" t="s">
        <v>465</v>
      </c>
      <c r="F514" s="220" t="s">
        <v>400</v>
      </c>
      <c r="G514" s="9" t="s">
        <v>1326</v>
      </c>
      <c r="H514" s="10"/>
      <c r="I514" s="20"/>
      <c r="J514" s="166"/>
      <c r="K514" s="166"/>
      <c r="L514" s="166"/>
      <c r="M514" s="63"/>
      <c r="N514" s="166"/>
      <c r="O514" s="63"/>
      <c r="P514" s="196"/>
      <c r="Q514" s="37"/>
      <c r="R514" s="93"/>
      <c r="S514" s="13">
        <f ca="1">IF(ISBLANK(Table2[[#This Row],[Complete corrective actions (Approved Date)]]), TODAY()-Table2[[#This Row],[CAR initialized date]], "CLOSED")</f>
        <v>46077</v>
      </c>
    </row>
    <row r="515" spans="1:19" ht="36" customHeight="1" x14ac:dyDescent="0.25">
      <c r="A515" s="9" t="s">
        <v>62</v>
      </c>
      <c r="B515" s="13">
        <f>VLOOKUP(Table2[[#This Row],[Location 
(drop-down)]],'List source'!D$2:E$71,2,FALSE)</f>
        <v>178</v>
      </c>
      <c r="C515" s="11" t="s">
        <v>1327</v>
      </c>
      <c r="D515" s="212" t="str">
        <f t="shared" si="9"/>
        <v>C513-178-25</v>
      </c>
      <c r="E515" s="220" t="s">
        <v>465</v>
      </c>
      <c r="F515" s="220" t="s">
        <v>400</v>
      </c>
      <c r="G515" s="9" t="s">
        <v>1328</v>
      </c>
      <c r="H515" s="10"/>
      <c r="I515" s="20"/>
      <c r="J515" s="166"/>
      <c r="K515" s="166"/>
      <c r="L515" s="166"/>
      <c r="M515" s="63"/>
      <c r="N515" s="166"/>
      <c r="O515" s="63"/>
      <c r="P515" s="196"/>
      <c r="Q515" s="37"/>
      <c r="R515" s="93"/>
      <c r="S515" s="13">
        <f ca="1">IF(ISBLANK(Table2[[#This Row],[Complete corrective actions (Approved Date)]]), TODAY()-Table2[[#This Row],[CAR initialized date]], "CLOSED")</f>
        <v>46077</v>
      </c>
    </row>
    <row r="516" spans="1:19" ht="36" customHeight="1" x14ac:dyDescent="0.25">
      <c r="A516" s="9" t="s">
        <v>62</v>
      </c>
      <c r="B516" s="13">
        <f>VLOOKUP(Table2[[#This Row],[Location 
(drop-down)]],'List source'!D$2:E$71,2,FALSE)</f>
        <v>178</v>
      </c>
      <c r="C516" s="11" t="s">
        <v>1329</v>
      </c>
      <c r="D516" s="212" t="str">
        <f t="shared" si="9"/>
        <v>C514-178-25</v>
      </c>
      <c r="E516" s="220" t="s">
        <v>465</v>
      </c>
      <c r="F516" s="220" t="s">
        <v>400</v>
      </c>
      <c r="G516" s="9" t="s">
        <v>1330</v>
      </c>
      <c r="H516" s="10"/>
      <c r="I516" s="20"/>
      <c r="J516" s="166"/>
      <c r="K516" s="166"/>
      <c r="L516" s="166"/>
      <c r="M516" s="63"/>
      <c r="N516" s="166"/>
      <c r="O516" s="63"/>
      <c r="P516" s="196"/>
      <c r="Q516" s="37"/>
      <c r="R516" s="93"/>
      <c r="S516" s="13">
        <f ca="1">IF(ISBLANK(Table2[[#This Row],[Complete corrective actions (Approved Date)]]), TODAY()-Table2[[#This Row],[CAR initialized date]], "CLOSED")</f>
        <v>46077</v>
      </c>
    </row>
    <row r="517" spans="1:19" ht="36" customHeight="1" x14ac:dyDescent="0.25">
      <c r="A517" s="9" t="s">
        <v>62</v>
      </c>
      <c r="B517" s="13">
        <f>VLOOKUP(Table2[[#This Row],[Location 
(drop-down)]],'List source'!D$2:E$71,2,FALSE)</f>
        <v>178</v>
      </c>
      <c r="C517" s="11" t="s">
        <v>1331</v>
      </c>
      <c r="D517" s="212" t="str">
        <f t="shared" si="9"/>
        <v>C515-178-25</v>
      </c>
      <c r="E517" s="220" t="s">
        <v>465</v>
      </c>
      <c r="F517" s="220" t="s">
        <v>400</v>
      </c>
      <c r="G517" s="9" t="s">
        <v>1332</v>
      </c>
      <c r="H517" s="10"/>
      <c r="I517" s="20"/>
      <c r="J517" s="166"/>
      <c r="K517" s="166"/>
      <c r="L517" s="166"/>
      <c r="M517" s="63"/>
      <c r="N517" s="166"/>
      <c r="O517" s="63"/>
      <c r="P517" s="196"/>
      <c r="Q517" s="37"/>
      <c r="R517" s="93"/>
      <c r="S517" s="13">
        <f ca="1">IF(ISBLANK(Table2[[#This Row],[Complete corrective actions (Approved Date)]]), TODAY()-Table2[[#This Row],[CAR initialized date]], "CLOSED")</f>
        <v>46077</v>
      </c>
    </row>
    <row r="518" spans="1:19" ht="36" customHeight="1" x14ac:dyDescent="0.25">
      <c r="A518" s="9" t="s">
        <v>381</v>
      </c>
      <c r="B518" s="13">
        <f>VLOOKUP(Table2[[#This Row],[Location 
(drop-down)]],'List source'!D$2:E$71,2,FALSE)</f>
        <v>179</v>
      </c>
      <c r="C518" s="11" t="s">
        <v>1333</v>
      </c>
      <c r="D518" s="212" t="str">
        <f t="shared" si="9"/>
        <v>C516-179-25</v>
      </c>
      <c r="E518" s="220" t="s">
        <v>472</v>
      </c>
      <c r="F518" s="220"/>
      <c r="G518" s="9" t="s">
        <v>1334</v>
      </c>
      <c r="H518" s="10" t="s">
        <v>455</v>
      </c>
      <c r="I518" s="20" t="s">
        <v>27</v>
      </c>
      <c r="J518" s="166">
        <v>46037</v>
      </c>
      <c r="K518" s="166"/>
      <c r="L518" s="166"/>
      <c r="M518" s="63"/>
      <c r="N518" s="166"/>
      <c r="O518" s="63"/>
      <c r="P518" s="196"/>
      <c r="Q518" s="37"/>
      <c r="R518" s="93"/>
      <c r="S518" s="13">
        <f ca="1">IF(ISBLANK(Table2[[#This Row],[Complete corrective actions (Approved Date)]]), TODAY()-Table2[[#This Row],[CAR initialized date]], "CLOSED")</f>
        <v>40</v>
      </c>
    </row>
    <row r="519" spans="1:19" ht="36" customHeight="1" x14ac:dyDescent="0.25">
      <c r="A519" s="9" t="s">
        <v>186</v>
      </c>
      <c r="B519" s="13">
        <f>VLOOKUP(Table2[[#This Row],[Location 
(drop-down)]],'List source'!D$2:E$71,2,FALSE)</f>
        <v>136</v>
      </c>
      <c r="C519" s="11" t="s">
        <v>1335</v>
      </c>
      <c r="D519" s="212" t="str">
        <f t="shared" si="9"/>
        <v>C517-136-25</v>
      </c>
      <c r="E519" s="220" t="s">
        <v>472</v>
      </c>
      <c r="F519" s="220"/>
      <c r="G519" s="9" t="s">
        <v>1336</v>
      </c>
      <c r="H519" s="10" t="s">
        <v>455</v>
      </c>
      <c r="I519" s="20" t="s">
        <v>27</v>
      </c>
      <c r="J519" s="166">
        <v>46038</v>
      </c>
      <c r="K519" s="166"/>
      <c r="L519" s="166"/>
      <c r="M519" s="63"/>
      <c r="N519" s="166"/>
      <c r="O519" s="63"/>
      <c r="P519" s="196"/>
      <c r="Q519" s="37"/>
      <c r="R519" s="93"/>
      <c r="S519" s="13">
        <f ca="1">IF(ISBLANK(Table2[[#This Row],[Complete corrective actions (Approved Date)]]), TODAY()-Table2[[#This Row],[CAR initialized date]], "CLOSED")</f>
        <v>39</v>
      </c>
    </row>
    <row r="520" spans="1:19" ht="36" customHeight="1" x14ac:dyDescent="0.25">
      <c r="A520" s="9" t="s">
        <v>186</v>
      </c>
      <c r="B520" s="13">
        <f>VLOOKUP(Table2[[#This Row],[Location 
(drop-down)]],'List source'!D$2:E$71,2,FALSE)</f>
        <v>136</v>
      </c>
      <c r="C520" s="11" t="s">
        <v>1337</v>
      </c>
      <c r="D520" s="212" t="str">
        <f t="shared" si="9"/>
        <v>C518-136-25</v>
      </c>
      <c r="E520" s="220" t="s">
        <v>472</v>
      </c>
      <c r="F520" s="220"/>
      <c r="G520" s="9" t="s">
        <v>1338</v>
      </c>
      <c r="H520" s="10" t="s">
        <v>455</v>
      </c>
      <c r="I520" s="20" t="s">
        <v>27</v>
      </c>
      <c r="J520" s="166">
        <v>46038</v>
      </c>
      <c r="K520" s="166"/>
      <c r="L520" s="166"/>
      <c r="M520" s="63"/>
      <c r="N520" s="166"/>
      <c r="O520" s="63"/>
      <c r="P520" s="196"/>
      <c r="Q520" s="37"/>
      <c r="R520" s="93"/>
      <c r="S520" s="13">
        <f ca="1">IF(ISBLANK(Table2[[#This Row],[Complete corrective actions (Approved Date)]]), TODAY()-Table2[[#This Row],[CAR initialized date]], "CLOSED")</f>
        <v>39</v>
      </c>
    </row>
    <row r="521" spans="1:19" ht="36" customHeight="1" x14ac:dyDescent="0.25">
      <c r="A521" s="9" t="s">
        <v>186</v>
      </c>
      <c r="B521" s="13">
        <f>VLOOKUP(Table2[[#This Row],[Location 
(drop-down)]],'List source'!D$2:E$71,2,FALSE)</f>
        <v>136</v>
      </c>
      <c r="C521" s="11" t="s">
        <v>1339</v>
      </c>
      <c r="D521" s="212" t="str">
        <f t="shared" si="9"/>
        <v>C519-136-25</v>
      </c>
      <c r="E521" s="220" t="s">
        <v>472</v>
      </c>
      <c r="F521" s="220"/>
      <c r="G521" s="9" t="s">
        <v>1340</v>
      </c>
      <c r="H521" s="10" t="s">
        <v>458</v>
      </c>
      <c r="I521" s="20" t="s">
        <v>27</v>
      </c>
      <c r="J521" s="166">
        <v>46038</v>
      </c>
      <c r="K521" s="166"/>
      <c r="L521" s="166"/>
      <c r="M521" s="63"/>
      <c r="N521" s="166"/>
      <c r="O521" s="63"/>
      <c r="P521" s="196"/>
      <c r="Q521" s="37"/>
      <c r="R521" s="93"/>
      <c r="S521" s="13">
        <f ca="1">IF(ISBLANK(Table2[[#This Row],[Complete corrective actions (Approved Date)]]), TODAY()-Table2[[#This Row],[CAR initialized date]], "CLOSED")</f>
        <v>39</v>
      </c>
    </row>
    <row r="522" spans="1:19" ht="36" customHeight="1" x14ac:dyDescent="0.25">
      <c r="A522" s="9" t="s">
        <v>186</v>
      </c>
      <c r="B522" s="13">
        <f>VLOOKUP(Table2[[#This Row],[Location 
(drop-down)]],'List source'!D$2:E$71,2,FALSE)</f>
        <v>136</v>
      </c>
      <c r="C522" s="11" t="s">
        <v>1341</v>
      </c>
      <c r="D522" s="212" t="str">
        <f t="shared" si="9"/>
        <v>C520-136-25</v>
      </c>
      <c r="E522" s="220" t="s">
        <v>472</v>
      </c>
      <c r="F522" s="220"/>
      <c r="G522" s="9" t="s">
        <v>1342</v>
      </c>
      <c r="H522" s="10" t="s">
        <v>458</v>
      </c>
      <c r="I522" s="20" t="s">
        <v>27</v>
      </c>
      <c r="J522" s="166">
        <v>46038</v>
      </c>
      <c r="K522" s="166"/>
      <c r="L522" s="166"/>
      <c r="M522" s="63"/>
      <c r="N522" s="166"/>
      <c r="O522" s="63"/>
      <c r="P522" s="196"/>
      <c r="Q522" s="37"/>
      <c r="R522" s="93"/>
      <c r="S522" s="13">
        <f ca="1">IF(ISBLANK(Table2[[#This Row],[Complete corrective actions (Approved Date)]]), TODAY()-Table2[[#This Row],[CAR initialized date]], "CLOSED")</f>
        <v>39</v>
      </c>
    </row>
    <row r="523" spans="1:19" ht="36" customHeight="1" x14ac:dyDescent="0.25">
      <c r="A523" s="9" t="s">
        <v>186</v>
      </c>
      <c r="B523" s="13">
        <f>VLOOKUP(Table2[[#This Row],[Location 
(drop-down)]],'List source'!D$2:E$71,2,FALSE)</f>
        <v>136</v>
      </c>
      <c r="C523" s="11" t="s">
        <v>1343</v>
      </c>
      <c r="D523" s="212" t="str">
        <f t="shared" si="9"/>
        <v>C521-136-25</v>
      </c>
      <c r="E523" s="220" t="s">
        <v>472</v>
      </c>
      <c r="F523" s="220"/>
      <c r="G523" s="9" t="s">
        <v>1344</v>
      </c>
      <c r="H523" s="10" t="s">
        <v>458</v>
      </c>
      <c r="I523" s="20" t="s">
        <v>27</v>
      </c>
      <c r="J523" s="166">
        <v>46038</v>
      </c>
      <c r="K523" s="166"/>
      <c r="L523" s="166"/>
      <c r="M523" s="63"/>
      <c r="N523" s="166"/>
      <c r="O523" s="63"/>
      <c r="P523" s="196"/>
      <c r="Q523" s="37"/>
      <c r="R523" s="93"/>
      <c r="S523" s="13">
        <f ca="1">IF(ISBLANK(Table2[[#This Row],[Complete corrective actions (Approved Date)]]), TODAY()-Table2[[#This Row],[CAR initialized date]], "CLOSED")</f>
        <v>39</v>
      </c>
    </row>
    <row r="524" spans="1:19" ht="36" customHeight="1" x14ac:dyDescent="0.25">
      <c r="A524" s="9" t="s">
        <v>186</v>
      </c>
      <c r="B524" s="13">
        <f>VLOOKUP(Table2[[#This Row],[Location 
(drop-down)]],'List source'!D$2:E$71,2,FALSE)</f>
        <v>136</v>
      </c>
      <c r="C524" s="11" t="s">
        <v>1345</v>
      </c>
      <c r="D524" s="212" t="str">
        <f t="shared" si="9"/>
        <v>C522-136-25</v>
      </c>
      <c r="E524" s="220" t="s">
        <v>472</v>
      </c>
      <c r="F524" s="220"/>
      <c r="G524" s="9" t="s">
        <v>1346</v>
      </c>
      <c r="H524" s="10" t="s">
        <v>455</v>
      </c>
      <c r="I524" s="20" t="s">
        <v>27</v>
      </c>
      <c r="J524" s="166">
        <v>46038</v>
      </c>
      <c r="K524" s="166"/>
      <c r="L524" s="166"/>
      <c r="M524" s="63"/>
      <c r="N524" s="166"/>
      <c r="O524" s="63"/>
      <c r="P524" s="196"/>
      <c r="Q524" s="37"/>
      <c r="R524" s="93"/>
      <c r="S524" s="13">
        <f ca="1">IF(ISBLANK(Table2[[#This Row],[Complete corrective actions (Approved Date)]]), TODAY()-Table2[[#This Row],[CAR initialized date]], "CLOSED")</f>
        <v>39</v>
      </c>
    </row>
    <row r="525" spans="1:19" ht="36" customHeight="1" x14ac:dyDescent="0.25">
      <c r="A525" s="9" t="s">
        <v>186</v>
      </c>
      <c r="B525" s="13">
        <f>VLOOKUP(Table2[[#This Row],[Location 
(drop-down)]],'List source'!D$2:E$71,2,FALSE)</f>
        <v>136</v>
      </c>
      <c r="C525" s="11" t="s">
        <v>1347</v>
      </c>
      <c r="D525" s="212" t="str">
        <f t="shared" si="9"/>
        <v>C523-136-25</v>
      </c>
      <c r="E525" s="220" t="s">
        <v>472</v>
      </c>
      <c r="F525" s="220"/>
      <c r="G525" s="9" t="s">
        <v>1348</v>
      </c>
      <c r="H525" s="10" t="s">
        <v>455</v>
      </c>
      <c r="I525" s="20" t="s">
        <v>27</v>
      </c>
      <c r="J525" s="166">
        <v>46038</v>
      </c>
      <c r="K525" s="166"/>
      <c r="L525" s="166"/>
      <c r="M525" s="63"/>
      <c r="N525" s="166"/>
      <c r="O525" s="63"/>
      <c r="P525" s="196"/>
      <c r="Q525" s="37"/>
      <c r="R525" s="93"/>
      <c r="S525" s="13">
        <f ca="1">IF(ISBLANK(Table2[[#This Row],[Complete corrective actions (Approved Date)]]), TODAY()-Table2[[#This Row],[CAR initialized date]], "CLOSED")</f>
        <v>39</v>
      </c>
    </row>
    <row r="526" spans="1:19" ht="36" customHeight="1" x14ac:dyDescent="0.25">
      <c r="A526" s="9" t="s">
        <v>186</v>
      </c>
      <c r="B526" s="13">
        <f>VLOOKUP(Table2[[#This Row],[Location 
(drop-down)]],'List source'!D$2:E$71,2,FALSE)</f>
        <v>136</v>
      </c>
      <c r="C526" s="11" t="s">
        <v>1349</v>
      </c>
      <c r="D526" s="212" t="str">
        <f t="shared" si="9"/>
        <v>C524-136-25</v>
      </c>
      <c r="E526" s="220" t="s">
        <v>472</v>
      </c>
      <c r="F526" s="220"/>
      <c r="G526" s="9" t="s">
        <v>1324</v>
      </c>
      <c r="H526" s="10" t="s">
        <v>494</v>
      </c>
      <c r="I526" s="20" t="s">
        <v>27</v>
      </c>
      <c r="J526" s="166">
        <v>46038</v>
      </c>
      <c r="K526" s="166"/>
      <c r="L526" s="166"/>
      <c r="M526" s="63"/>
      <c r="N526" s="166"/>
      <c r="O526" s="63"/>
      <c r="P526" s="196"/>
      <c r="Q526" s="37"/>
      <c r="R526" s="93"/>
      <c r="S526" s="13">
        <f ca="1">IF(ISBLANK(Table2[[#This Row],[Complete corrective actions (Approved Date)]]), TODAY()-Table2[[#This Row],[CAR initialized date]], "CLOSED")</f>
        <v>39</v>
      </c>
    </row>
    <row r="527" spans="1:19" ht="36" customHeight="1" x14ac:dyDescent="0.25">
      <c r="A527" s="9" t="s">
        <v>99</v>
      </c>
      <c r="B527" s="13">
        <f>VLOOKUP(Table2[[#This Row],[Location 
(drop-down)]],'List source'!D$2:E$71,2,FALSE)</f>
        <v>198</v>
      </c>
      <c r="C527" s="11" t="s">
        <v>1350</v>
      </c>
      <c r="D527" s="212" t="str">
        <f t="shared" si="9"/>
        <v>C525-198-25</v>
      </c>
      <c r="E527" s="220" t="s">
        <v>472</v>
      </c>
      <c r="F527" s="220"/>
      <c r="G527" s="9" t="s">
        <v>1351</v>
      </c>
      <c r="H527" s="10" t="s">
        <v>455</v>
      </c>
      <c r="I527" s="20" t="s">
        <v>48</v>
      </c>
      <c r="J527" s="166">
        <v>46043</v>
      </c>
      <c r="K527" s="166"/>
      <c r="L527" s="166"/>
      <c r="M527" s="63"/>
      <c r="N527" s="166"/>
      <c r="O527" s="63"/>
      <c r="P527" s="196"/>
      <c r="Q527" s="37"/>
      <c r="R527" s="93"/>
      <c r="S527" s="13">
        <f ca="1">IF(ISBLANK(Table2[[#This Row],[Complete corrective actions (Approved Date)]]), TODAY()-Table2[[#This Row],[CAR initialized date]], "CLOSED")</f>
        <v>34</v>
      </c>
    </row>
    <row r="528" spans="1:19" ht="36" customHeight="1" x14ac:dyDescent="0.25">
      <c r="A528" s="9" t="s">
        <v>99</v>
      </c>
      <c r="B528" s="13">
        <f>VLOOKUP(Table2[[#This Row],[Location 
(drop-down)]],'List source'!D$2:E$71,2,FALSE)</f>
        <v>198</v>
      </c>
      <c r="C528" s="11" t="s">
        <v>1352</v>
      </c>
      <c r="D528" s="212" t="str">
        <f t="shared" si="9"/>
        <v>C526-198-25</v>
      </c>
      <c r="E528" s="220" t="s">
        <v>472</v>
      </c>
      <c r="F528" s="220"/>
      <c r="G528" s="9" t="s">
        <v>1353</v>
      </c>
      <c r="H528" s="10" t="s">
        <v>455</v>
      </c>
      <c r="I528" s="20" t="s">
        <v>48</v>
      </c>
      <c r="J528" s="166">
        <v>46043</v>
      </c>
      <c r="K528" s="166"/>
      <c r="L528" s="166"/>
      <c r="M528" s="63"/>
      <c r="N528" s="166"/>
      <c r="O528" s="63"/>
      <c r="P528" s="196"/>
      <c r="Q528" s="37"/>
      <c r="R528" s="93"/>
      <c r="S528" s="13">
        <f ca="1">IF(ISBLANK(Table2[[#This Row],[Complete corrective actions (Approved Date)]]), TODAY()-Table2[[#This Row],[CAR initialized date]], "CLOSED")</f>
        <v>34</v>
      </c>
    </row>
    <row r="529" spans="1:19" ht="36" customHeight="1" x14ac:dyDescent="0.25">
      <c r="A529" s="9" t="s">
        <v>99</v>
      </c>
      <c r="B529" s="13">
        <f>VLOOKUP(Table2[[#This Row],[Location 
(drop-down)]],'List source'!D$2:E$71,2,FALSE)</f>
        <v>198</v>
      </c>
      <c r="C529" s="11" t="s">
        <v>1354</v>
      </c>
      <c r="D529" s="212" t="str">
        <f t="shared" si="9"/>
        <v>C527-198-25</v>
      </c>
      <c r="E529" s="220" t="s">
        <v>472</v>
      </c>
      <c r="F529" s="220"/>
      <c r="G529" s="9" t="s">
        <v>1355</v>
      </c>
      <c r="H529" s="10" t="s">
        <v>455</v>
      </c>
      <c r="I529" s="20" t="s">
        <v>48</v>
      </c>
      <c r="J529" s="166">
        <v>46043</v>
      </c>
      <c r="K529" s="166"/>
      <c r="L529" s="166"/>
      <c r="M529" s="63"/>
      <c r="N529" s="166"/>
      <c r="O529" s="63"/>
      <c r="P529" s="196"/>
      <c r="Q529" s="37"/>
      <c r="R529" s="93"/>
      <c r="S529" s="13">
        <f ca="1">IF(ISBLANK(Table2[[#This Row],[Complete corrective actions (Approved Date)]]), TODAY()-Table2[[#This Row],[CAR initialized date]], "CLOSED")</f>
        <v>34</v>
      </c>
    </row>
    <row r="530" spans="1:19" ht="36" customHeight="1" x14ac:dyDescent="0.25">
      <c r="A530" s="9"/>
      <c r="B530" s="13" t="e">
        <f>VLOOKUP(Table2[[#This Row],[Location 
(drop-down)]],'List source'!D$2:E$71,2,FALSE)</f>
        <v>#N/A</v>
      </c>
      <c r="C530" s="11" t="s">
        <v>1356</v>
      </c>
      <c r="D530" s="212" t="e">
        <f t="shared" si="9"/>
        <v>#N/A</v>
      </c>
      <c r="E530" s="220"/>
      <c r="F530" s="220"/>
      <c r="G530" s="9"/>
      <c r="H530" s="10"/>
      <c r="I530" s="20"/>
      <c r="J530" s="166"/>
      <c r="K530" s="166"/>
      <c r="L530" s="166"/>
      <c r="M530" s="63"/>
      <c r="N530" s="166"/>
      <c r="O530" s="63"/>
      <c r="P530" s="196"/>
      <c r="Q530" s="37"/>
      <c r="R530" s="93"/>
      <c r="S530" s="13">
        <f ca="1">IF(ISBLANK(Table2[[#This Row],[Complete corrective actions (Approved Date)]]), TODAY()-Table2[[#This Row],[CAR initialized date]], "CLOSED")</f>
        <v>46077</v>
      </c>
    </row>
    <row r="531" spans="1:19" ht="36" customHeight="1" x14ac:dyDescent="0.25">
      <c r="A531" s="9"/>
      <c r="B531" s="13" t="e">
        <f>VLOOKUP(Table2[[#This Row],[Location 
(drop-down)]],'List source'!D$2:E$71,2,FALSE)</f>
        <v>#N/A</v>
      </c>
      <c r="C531" s="11" t="s">
        <v>1357</v>
      </c>
      <c r="D531" s="212" t="e">
        <f t="shared" si="9"/>
        <v>#N/A</v>
      </c>
      <c r="E531" s="220"/>
      <c r="F531" s="220"/>
      <c r="G531" s="9"/>
      <c r="H531" s="10"/>
      <c r="I531" s="20"/>
      <c r="J531" s="166"/>
      <c r="K531" s="166"/>
      <c r="L531" s="166"/>
      <c r="M531" s="63"/>
      <c r="N531" s="166"/>
      <c r="O531" s="63"/>
      <c r="P531" s="196"/>
      <c r="Q531" s="37"/>
      <c r="R531" s="93"/>
      <c r="S531" s="13">
        <f ca="1">IF(ISBLANK(Table2[[#This Row],[Complete corrective actions (Approved Date)]]), TODAY()-Table2[[#This Row],[CAR initialized date]], "CLOSED")</f>
        <v>46077</v>
      </c>
    </row>
    <row r="532" spans="1:19" ht="36" customHeight="1" x14ac:dyDescent="0.25">
      <c r="A532" s="9"/>
      <c r="B532" s="13" t="e">
        <f>VLOOKUP(Table2[[#This Row],[Location 
(drop-down)]],'List source'!D$2:E$71,2,FALSE)</f>
        <v>#N/A</v>
      </c>
      <c r="C532" s="11" t="s">
        <v>1358</v>
      </c>
      <c r="D532" s="212" t="e">
        <f t="shared" si="9"/>
        <v>#N/A</v>
      </c>
      <c r="E532" s="220"/>
      <c r="F532" s="220"/>
      <c r="G532" s="9"/>
      <c r="H532" s="10"/>
      <c r="I532" s="20"/>
      <c r="J532" s="166"/>
      <c r="K532" s="166"/>
      <c r="L532" s="166"/>
      <c r="M532" s="63"/>
      <c r="N532" s="166"/>
      <c r="O532" s="63"/>
      <c r="P532" s="196"/>
      <c r="Q532" s="37"/>
      <c r="R532" s="93"/>
      <c r="S532" s="13">
        <f ca="1">IF(ISBLANK(Table2[[#This Row],[Complete corrective actions (Approved Date)]]), TODAY()-Table2[[#This Row],[CAR initialized date]], "CLOSED")</f>
        <v>46077</v>
      </c>
    </row>
    <row r="533" spans="1:19" ht="36" customHeight="1" x14ac:dyDescent="0.25">
      <c r="A533" s="9"/>
      <c r="B533" s="13" t="e">
        <f>VLOOKUP(Table2[[#This Row],[Location 
(drop-down)]],'List source'!D$2:E$71,2,FALSE)</f>
        <v>#N/A</v>
      </c>
      <c r="C533" s="11" t="s">
        <v>1359</v>
      </c>
      <c r="D533" s="212" t="e">
        <f t="shared" si="9"/>
        <v>#N/A</v>
      </c>
      <c r="E533" s="220"/>
      <c r="F533" s="220"/>
      <c r="G533" s="76"/>
      <c r="H533" s="10"/>
      <c r="I533" s="20"/>
      <c r="J533" s="166"/>
      <c r="K533" s="166"/>
      <c r="L533" s="166"/>
      <c r="M533" s="63"/>
      <c r="N533" s="166"/>
      <c r="O533" s="63"/>
      <c r="P533" s="196"/>
      <c r="Q533" s="37"/>
      <c r="R533" s="93"/>
      <c r="S533" s="13">
        <f ca="1">IF(ISBLANK(Table2[[#This Row],[Complete corrective actions (Approved Date)]]), TODAY()-Table2[[#This Row],[CAR initialized date]], "CLOSED")</f>
        <v>46077</v>
      </c>
    </row>
    <row r="534" spans="1:19" ht="36" customHeight="1" x14ac:dyDescent="0.25">
      <c r="A534" s="9"/>
      <c r="B534" s="13" t="e">
        <f>VLOOKUP(Table2[[#This Row],[Location 
(drop-down)]],'List source'!D$2:E$71,2,FALSE)</f>
        <v>#N/A</v>
      </c>
      <c r="C534" s="11" t="s">
        <v>1360</v>
      </c>
      <c r="D534" s="212" t="e">
        <f t="shared" si="9"/>
        <v>#N/A</v>
      </c>
      <c r="E534" s="220"/>
      <c r="F534" s="220"/>
      <c r="G534" s="9"/>
      <c r="H534" s="10"/>
      <c r="I534" s="20"/>
      <c r="J534" s="166"/>
      <c r="K534" s="166"/>
      <c r="L534" s="166"/>
      <c r="M534" s="63"/>
      <c r="N534" s="166"/>
      <c r="O534" s="63"/>
      <c r="P534" s="196"/>
      <c r="Q534" s="37"/>
      <c r="R534" s="93"/>
      <c r="S534" s="13">
        <f ca="1">IF(ISBLANK(Table2[[#This Row],[Complete corrective actions (Approved Date)]]), TODAY()-Table2[[#This Row],[CAR initialized date]], "CLOSED")</f>
        <v>46077</v>
      </c>
    </row>
    <row r="535" spans="1:19" ht="36" customHeight="1" x14ac:dyDescent="0.25">
      <c r="A535" s="9"/>
      <c r="B535" s="13" t="e">
        <f>VLOOKUP(Table2[[#This Row],[Location 
(drop-down)]],'List source'!D$2:E$71,2,FALSE)</f>
        <v>#N/A</v>
      </c>
      <c r="C535" s="11" t="s">
        <v>1361</v>
      </c>
      <c r="D535" s="212" t="e">
        <f t="shared" si="9"/>
        <v>#N/A</v>
      </c>
      <c r="E535" s="220"/>
      <c r="F535" s="220"/>
      <c r="G535" s="9"/>
      <c r="H535" s="10"/>
      <c r="I535" s="20"/>
      <c r="J535" s="166"/>
      <c r="K535" s="166"/>
      <c r="L535" s="166"/>
      <c r="M535" s="63"/>
      <c r="N535" s="166"/>
      <c r="O535" s="63"/>
      <c r="P535" s="196"/>
      <c r="Q535" s="37"/>
      <c r="R535" s="93"/>
      <c r="S535" s="13">
        <f ca="1">IF(ISBLANK(Table2[[#This Row],[Complete corrective actions (Approved Date)]]), TODAY()-Table2[[#This Row],[CAR initialized date]], "CLOSED")</f>
        <v>46077</v>
      </c>
    </row>
    <row r="536" spans="1:19" ht="36" customHeight="1" x14ac:dyDescent="0.25">
      <c r="A536" s="9"/>
      <c r="B536" s="13" t="e">
        <f>VLOOKUP(Table2[[#This Row],[Location 
(drop-down)]],'List source'!D$2:E$71,2,FALSE)</f>
        <v>#N/A</v>
      </c>
      <c r="C536" s="11" t="s">
        <v>1362</v>
      </c>
      <c r="D536" s="212" t="e">
        <f t="shared" si="9"/>
        <v>#N/A</v>
      </c>
      <c r="E536" s="220"/>
      <c r="F536" s="220"/>
      <c r="G536" s="9"/>
      <c r="H536" s="10"/>
      <c r="I536" s="20"/>
      <c r="J536" s="166"/>
      <c r="K536" s="166"/>
      <c r="L536" s="166"/>
      <c r="M536" s="63"/>
      <c r="N536" s="166"/>
      <c r="O536" s="63"/>
      <c r="P536" s="196"/>
      <c r="Q536" s="37"/>
      <c r="R536" s="93"/>
      <c r="S536" s="13">
        <f ca="1">IF(ISBLANK(Table2[[#This Row],[Complete corrective actions (Approved Date)]]), TODAY()-Table2[[#This Row],[CAR initialized date]], "CLOSED")</f>
        <v>46077</v>
      </c>
    </row>
    <row r="537" spans="1:19" ht="36" customHeight="1" x14ac:dyDescent="0.25">
      <c r="A537" s="9"/>
      <c r="B537" s="13" t="e">
        <f>VLOOKUP(Table2[[#This Row],[Location 
(drop-down)]],'List source'!D$2:E$71,2,FALSE)</f>
        <v>#N/A</v>
      </c>
      <c r="C537" s="11" t="s">
        <v>1363</v>
      </c>
      <c r="D537" s="212" t="e">
        <f t="shared" si="9"/>
        <v>#N/A</v>
      </c>
      <c r="E537" s="220"/>
      <c r="F537" s="220"/>
      <c r="G537" s="9"/>
      <c r="H537" s="10"/>
      <c r="I537" s="20"/>
      <c r="J537" s="166"/>
      <c r="K537" s="166"/>
      <c r="L537" s="166"/>
      <c r="M537" s="63"/>
      <c r="N537" s="166"/>
      <c r="O537" s="63"/>
      <c r="P537" s="196"/>
      <c r="Q537" s="37"/>
      <c r="R537" s="93"/>
      <c r="S537" s="13">
        <f ca="1">IF(ISBLANK(Table2[[#This Row],[Complete corrective actions (Approved Date)]]), TODAY()-Table2[[#This Row],[CAR initialized date]], "CLOSED")</f>
        <v>46077</v>
      </c>
    </row>
    <row r="538" spans="1:19" ht="36" customHeight="1" x14ac:dyDescent="0.25">
      <c r="A538" s="9"/>
      <c r="B538" s="13" t="e">
        <f>VLOOKUP(Table2[[#This Row],[Location 
(drop-down)]],'List source'!D$2:E$71,2,FALSE)</f>
        <v>#N/A</v>
      </c>
      <c r="C538" s="11" t="s">
        <v>1364</v>
      </c>
      <c r="D538" s="212" t="e">
        <f t="shared" si="9"/>
        <v>#N/A</v>
      </c>
      <c r="E538" s="220"/>
      <c r="F538" s="220"/>
      <c r="G538" s="9"/>
      <c r="H538" s="10"/>
      <c r="I538" s="20"/>
      <c r="J538" s="166"/>
      <c r="K538" s="166"/>
      <c r="L538" s="166"/>
      <c r="M538" s="63"/>
      <c r="N538" s="166"/>
      <c r="O538" s="63"/>
      <c r="P538" s="196"/>
      <c r="Q538" s="37"/>
      <c r="R538" s="93"/>
      <c r="S538" s="13">
        <f ca="1">IF(ISBLANK(Table2[[#This Row],[Complete corrective actions (Approved Date)]]), TODAY()-Table2[[#This Row],[CAR initialized date]], "CLOSED")</f>
        <v>46077</v>
      </c>
    </row>
    <row r="539" spans="1:19" ht="36" customHeight="1" x14ac:dyDescent="0.25">
      <c r="A539" s="9"/>
      <c r="B539" s="13" t="e">
        <f>VLOOKUP(Table2[[#This Row],[Location 
(drop-down)]],'List source'!D$2:E$71,2,FALSE)</f>
        <v>#N/A</v>
      </c>
      <c r="C539" s="11" t="s">
        <v>1365</v>
      </c>
      <c r="D539" s="212" t="e">
        <f t="shared" si="9"/>
        <v>#N/A</v>
      </c>
      <c r="E539" s="220"/>
      <c r="F539" s="220"/>
      <c r="G539" s="9"/>
      <c r="H539" s="10"/>
      <c r="I539" s="20"/>
      <c r="J539" s="166"/>
      <c r="K539" s="166"/>
      <c r="L539" s="166"/>
      <c r="M539" s="63"/>
      <c r="N539" s="166"/>
      <c r="O539" s="63"/>
      <c r="P539" s="196"/>
      <c r="Q539" s="37"/>
      <c r="R539" s="93"/>
      <c r="S539" s="13">
        <f ca="1">IF(ISBLANK(Table2[[#This Row],[Complete corrective actions (Approved Date)]]), TODAY()-Table2[[#This Row],[CAR initialized date]], "CLOSED")</f>
        <v>46077</v>
      </c>
    </row>
    <row r="540" spans="1:19" ht="36" customHeight="1" x14ac:dyDescent="0.25">
      <c r="A540" s="9"/>
      <c r="B540" s="13" t="e">
        <f>VLOOKUP(Table2[[#This Row],[Location 
(drop-down)]],'List source'!D$2:E$71,2,FALSE)</f>
        <v>#N/A</v>
      </c>
      <c r="C540" s="11" t="s">
        <v>1366</v>
      </c>
      <c r="D540" s="212" t="e">
        <f t="shared" si="9"/>
        <v>#N/A</v>
      </c>
      <c r="E540" s="220"/>
      <c r="F540" s="220"/>
      <c r="G540" s="9"/>
      <c r="H540" s="10"/>
      <c r="I540" s="20"/>
      <c r="J540" s="166"/>
      <c r="K540" s="166"/>
      <c r="L540" s="166"/>
      <c r="M540" s="63"/>
      <c r="N540" s="166"/>
      <c r="O540" s="63"/>
      <c r="P540" s="196"/>
      <c r="Q540" s="37"/>
      <c r="R540" s="93"/>
      <c r="S540" s="13">
        <f ca="1">IF(ISBLANK(Table2[[#This Row],[Complete corrective actions (Approved Date)]]), TODAY()-Table2[[#This Row],[CAR initialized date]], "CLOSED")</f>
        <v>46077</v>
      </c>
    </row>
    <row r="541" spans="1:19" ht="36" customHeight="1" x14ac:dyDescent="0.25">
      <c r="A541" s="9"/>
      <c r="B541" s="13" t="e">
        <f>VLOOKUP(Table2[[#This Row],[Location 
(drop-down)]],'List source'!D$2:E$71,2,FALSE)</f>
        <v>#N/A</v>
      </c>
      <c r="C541" s="11" t="s">
        <v>1367</v>
      </c>
      <c r="D541" s="212" t="e">
        <f t="shared" si="9"/>
        <v>#N/A</v>
      </c>
      <c r="E541" s="221"/>
      <c r="F541" s="220"/>
      <c r="G541" s="15"/>
      <c r="H541" s="175"/>
      <c r="I541" s="20"/>
      <c r="J541" s="203"/>
      <c r="K541" s="203"/>
      <c r="L541" s="203"/>
      <c r="M541" s="63"/>
      <c r="N541" s="203"/>
      <c r="O541" s="177"/>
      <c r="P541" s="262"/>
      <c r="Q541" s="255"/>
      <c r="R541" s="93"/>
      <c r="S541" s="13">
        <f ca="1">IF(ISBLANK(Table2[[#This Row],[Complete corrective actions (Approved Date)]]), TODAY()-Table2[[#This Row],[CAR initialized date]], "CLOSED")</f>
        <v>46077</v>
      </c>
    </row>
    <row r="542" spans="1:19" ht="36" customHeight="1" x14ac:dyDescent="0.25">
      <c r="A542" s="9"/>
      <c r="B542" s="13" t="e">
        <f>VLOOKUP(Table2[[#This Row],[Location 
(drop-down)]],'List source'!D$2:E$71,2,FALSE)</f>
        <v>#N/A</v>
      </c>
      <c r="C542" s="11" t="s">
        <v>1368</v>
      </c>
      <c r="D542" s="212" t="e">
        <f t="shared" si="9"/>
        <v>#N/A</v>
      </c>
      <c r="E542" s="220"/>
      <c r="F542" s="220"/>
      <c r="G542" s="9"/>
      <c r="H542" s="10"/>
      <c r="I542" s="20"/>
      <c r="J542" s="166"/>
      <c r="K542" s="166"/>
      <c r="L542" s="166"/>
      <c r="M542" s="63"/>
      <c r="N542" s="166"/>
      <c r="O542" s="63"/>
      <c r="P542" s="196"/>
      <c r="Q542" s="37"/>
      <c r="R542" s="93"/>
      <c r="S542" s="13">
        <f ca="1">IF(ISBLANK(Table2[[#This Row],[Complete corrective actions (Approved Date)]]), TODAY()-Table2[[#This Row],[CAR initialized date]], "CLOSED")</f>
        <v>46077</v>
      </c>
    </row>
    <row r="543" spans="1:19" ht="36" customHeight="1" x14ac:dyDescent="0.25">
      <c r="A543" s="9"/>
      <c r="B543" s="13" t="e">
        <f>VLOOKUP(Table2[[#This Row],[Location 
(drop-down)]],'List source'!D$2:E$71,2,FALSE)</f>
        <v>#N/A</v>
      </c>
      <c r="C543" s="11" t="s">
        <v>1369</v>
      </c>
      <c r="D543" s="212" t="e">
        <f t="shared" si="9"/>
        <v>#N/A</v>
      </c>
      <c r="E543" s="220"/>
      <c r="F543" s="220"/>
      <c r="G543" s="9"/>
      <c r="H543" s="10"/>
      <c r="I543" s="20"/>
      <c r="J543" s="166"/>
      <c r="K543" s="166"/>
      <c r="L543" s="166"/>
      <c r="M543" s="63"/>
      <c r="N543" s="166"/>
      <c r="O543" s="63"/>
      <c r="P543" s="196"/>
      <c r="Q543" s="37"/>
      <c r="R543" s="93"/>
      <c r="S543" s="13">
        <f ca="1">IF(ISBLANK(Table2[[#This Row],[Complete corrective actions (Approved Date)]]), TODAY()-Table2[[#This Row],[CAR initialized date]], "CLOSED")</f>
        <v>46077</v>
      </c>
    </row>
    <row r="544" spans="1:19" ht="36" customHeight="1" x14ac:dyDescent="0.25">
      <c r="A544" s="9"/>
      <c r="B544" s="13" t="e">
        <f>VLOOKUP(Table2[[#This Row],[Location 
(drop-down)]],'List source'!D$2:E$71,2,FALSE)</f>
        <v>#N/A</v>
      </c>
      <c r="C544" s="11" t="s">
        <v>1370</v>
      </c>
      <c r="D544" s="212" t="e">
        <f t="shared" si="9"/>
        <v>#N/A</v>
      </c>
      <c r="E544" s="220"/>
      <c r="F544" s="220"/>
      <c r="G544" s="9"/>
      <c r="H544" s="10"/>
      <c r="I544" s="20"/>
      <c r="J544" s="166"/>
      <c r="K544" s="166"/>
      <c r="L544" s="166"/>
      <c r="M544" s="63"/>
      <c r="N544" s="166"/>
      <c r="O544" s="63"/>
      <c r="P544" s="196"/>
      <c r="Q544" s="37"/>
      <c r="R544" s="93"/>
      <c r="S544" s="13">
        <f ca="1">IF(ISBLANK(Table2[[#This Row],[Complete corrective actions (Approved Date)]]), TODAY()-Table2[[#This Row],[CAR initialized date]], "CLOSED")</f>
        <v>46077</v>
      </c>
    </row>
    <row r="545" spans="1:19" ht="36" customHeight="1" x14ac:dyDescent="0.25">
      <c r="A545" s="9"/>
      <c r="B545" s="13" t="e">
        <f>VLOOKUP(Table2[[#This Row],[Location 
(drop-down)]],'List source'!D$2:E$71,2,FALSE)</f>
        <v>#N/A</v>
      </c>
      <c r="C545" s="11" t="s">
        <v>1371</v>
      </c>
      <c r="D545" s="212" t="e">
        <f t="shared" si="9"/>
        <v>#N/A</v>
      </c>
      <c r="E545" s="220"/>
      <c r="F545" s="220"/>
      <c r="G545" s="9"/>
      <c r="H545" s="10"/>
      <c r="I545" s="20"/>
      <c r="J545" s="166"/>
      <c r="K545" s="166"/>
      <c r="L545" s="166"/>
      <c r="M545" s="63"/>
      <c r="N545" s="166"/>
      <c r="O545" s="63"/>
      <c r="P545" s="196"/>
      <c r="Q545" s="37"/>
      <c r="R545" s="93"/>
      <c r="S545" s="13">
        <f ca="1">IF(ISBLANK(Table2[[#This Row],[Complete corrective actions (Approved Date)]]), TODAY()-Table2[[#This Row],[CAR initialized date]], "CLOSED")</f>
        <v>46077</v>
      </c>
    </row>
    <row r="546" spans="1:19" ht="36" customHeight="1" x14ac:dyDescent="0.25">
      <c r="A546" s="9"/>
      <c r="B546" s="13" t="e">
        <f>VLOOKUP(Table2[[#This Row],[Location 
(drop-down)]],'List source'!D$2:E$71,2,FALSE)</f>
        <v>#N/A</v>
      </c>
      <c r="C546" s="11" t="s">
        <v>1372</v>
      </c>
      <c r="D546" s="212" t="e">
        <f t="shared" si="9"/>
        <v>#N/A</v>
      </c>
      <c r="E546" s="220"/>
      <c r="F546" s="220"/>
      <c r="G546" s="222"/>
      <c r="H546" s="10"/>
      <c r="I546" s="20"/>
      <c r="J546" s="166"/>
      <c r="K546" s="166"/>
      <c r="L546" s="166"/>
      <c r="M546" s="63"/>
      <c r="N546" s="166"/>
      <c r="O546" s="63"/>
      <c r="P546" s="196"/>
      <c r="Q546" s="37"/>
      <c r="R546" s="93"/>
      <c r="S546" s="13">
        <f ca="1">IF(ISBLANK(Table2[[#This Row],[Complete corrective actions (Approved Date)]]), TODAY()-Table2[[#This Row],[CAR initialized date]], "CLOSED")</f>
        <v>46077</v>
      </c>
    </row>
    <row r="547" spans="1:19" ht="36" customHeight="1" x14ac:dyDescent="0.25">
      <c r="A547" s="9"/>
      <c r="B547" s="13" t="e">
        <f>VLOOKUP(Table2[[#This Row],[Location 
(drop-down)]],'List source'!D$2:E$71,2,FALSE)</f>
        <v>#N/A</v>
      </c>
      <c r="C547" s="11" t="s">
        <v>1373</v>
      </c>
      <c r="D547" s="212" t="e">
        <f t="shared" si="9"/>
        <v>#N/A</v>
      </c>
      <c r="E547" s="220"/>
      <c r="F547" s="223"/>
      <c r="H547" s="10"/>
      <c r="I547" s="20"/>
      <c r="J547" s="166"/>
      <c r="K547" s="166"/>
      <c r="L547" s="166"/>
      <c r="M547" s="63"/>
      <c r="N547" s="166"/>
      <c r="O547" s="63"/>
      <c r="P547" s="196"/>
      <c r="Q547" s="37"/>
      <c r="R547" s="93"/>
      <c r="S547" s="13">
        <f ca="1">IF(ISBLANK(Table2[[#This Row],[Complete corrective actions (Approved Date)]]), TODAY()-Table2[[#This Row],[CAR initialized date]], "CLOSED")</f>
        <v>46077</v>
      </c>
    </row>
    <row r="548" spans="1:19" ht="36" customHeight="1" x14ac:dyDescent="0.25">
      <c r="A548" s="9"/>
      <c r="B548" s="13" t="e">
        <f>VLOOKUP(Table2[[#This Row],[Location 
(drop-down)]],'List source'!D$2:E$71,2,FALSE)</f>
        <v>#N/A</v>
      </c>
      <c r="C548" s="11" t="s">
        <v>1374</v>
      </c>
      <c r="D548" s="212" t="e">
        <f t="shared" si="9"/>
        <v>#N/A</v>
      </c>
      <c r="E548" s="220"/>
      <c r="F548" s="220"/>
      <c r="G548" s="9"/>
      <c r="H548" s="10"/>
      <c r="I548" s="20"/>
      <c r="J548" s="166"/>
      <c r="K548" s="166"/>
      <c r="L548" s="166"/>
      <c r="M548" s="63"/>
      <c r="N548" s="166"/>
      <c r="O548" s="63"/>
      <c r="P548" s="196"/>
      <c r="Q548" s="37"/>
      <c r="R548" s="93"/>
      <c r="S548" s="13">
        <f ca="1">IF(ISBLANK(Table2[[#This Row],[Complete corrective actions (Approved Date)]]), TODAY()-Table2[[#This Row],[CAR initialized date]], "CLOSED")</f>
        <v>46077</v>
      </c>
    </row>
    <row r="549" spans="1:19" ht="36" customHeight="1" x14ac:dyDescent="0.25">
      <c r="A549" s="9"/>
      <c r="B549" s="13" t="e">
        <f>VLOOKUP(Table2[[#This Row],[Location 
(drop-down)]],'List source'!D$2:E$71,2,FALSE)</f>
        <v>#N/A</v>
      </c>
      <c r="C549" s="11" t="s">
        <v>1375</v>
      </c>
      <c r="D549" s="212" t="e">
        <f t="shared" si="9"/>
        <v>#N/A</v>
      </c>
      <c r="E549" s="220"/>
      <c r="F549" s="220"/>
      <c r="G549" s="78"/>
      <c r="H549" s="10"/>
      <c r="I549" s="20"/>
      <c r="J549" s="166"/>
      <c r="K549" s="166"/>
      <c r="L549" s="166"/>
      <c r="M549" s="63"/>
      <c r="N549" s="166"/>
      <c r="O549" s="63"/>
      <c r="P549" s="196"/>
      <c r="Q549" s="37"/>
      <c r="R549" s="93"/>
      <c r="S549" s="13">
        <f ca="1">IF(ISBLANK(Table2[[#This Row],[Complete corrective actions (Approved Date)]]), TODAY()-Table2[[#This Row],[CAR initialized date]], "CLOSED")</f>
        <v>46077</v>
      </c>
    </row>
    <row r="550" spans="1:19" ht="36" customHeight="1" x14ac:dyDescent="0.25">
      <c r="A550" s="9"/>
      <c r="B550" s="13" t="e">
        <f>VLOOKUP(Table2[[#This Row],[Location 
(drop-down)]],'List source'!D$2:E$71,2,FALSE)</f>
        <v>#N/A</v>
      </c>
      <c r="C550" s="11" t="s">
        <v>1376</v>
      </c>
      <c r="D550" s="212" t="e">
        <f t="shared" si="9"/>
        <v>#N/A</v>
      </c>
      <c r="E550" s="220"/>
      <c r="F550" s="223"/>
      <c r="H550" s="10"/>
      <c r="I550" s="20"/>
      <c r="J550" s="166"/>
      <c r="K550" s="166"/>
      <c r="L550" s="166"/>
      <c r="M550" s="63"/>
      <c r="N550" s="166"/>
      <c r="O550" s="63"/>
      <c r="P550" s="196"/>
      <c r="Q550" s="37"/>
      <c r="R550" s="93"/>
      <c r="S550" s="13">
        <f ca="1">IF(ISBLANK(Table2[[#This Row],[Complete corrective actions (Approved Date)]]), TODAY()-Table2[[#This Row],[CAR initialized date]], "CLOSED")</f>
        <v>46077</v>
      </c>
    </row>
    <row r="551" spans="1:19" ht="36" customHeight="1" x14ac:dyDescent="0.25">
      <c r="A551" s="9"/>
      <c r="B551" s="13" t="e">
        <f>VLOOKUP(Table2[[#This Row],[Location 
(drop-down)]],'List source'!D$2:E$71,2,FALSE)</f>
        <v>#N/A</v>
      </c>
      <c r="C551" s="11" t="s">
        <v>1377</v>
      </c>
      <c r="D551" s="212" t="e">
        <f t="shared" si="9"/>
        <v>#N/A</v>
      </c>
      <c r="E551" s="220"/>
      <c r="F551" s="220"/>
      <c r="G551" s="9"/>
      <c r="H551" s="10"/>
      <c r="I551" s="20"/>
      <c r="J551" s="166"/>
      <c r="K551" s="166"/>
      <c r="L551" s="166"/>
      <c r="M551" s="63"/>
      <c r="N551" s="166"/>
      <c r="O551" s="63"/>
      <c r="P551" s="196"/>
      <c r="Q551" s="37"/>
      <c r="R551" s="93"/>
      <c r="S551" s="13">
        <f ca="1">IF(ISBLANK(Table2[[#This Row],[Complete corrective actions (Approved Date)]]), TODAY()-Table2[[#This Row],[CAR initialized date]], "CLOSED")</f>
        <v>46077</v>
      </c>
    </row>
    <row r="552" spans="1:19" ht="36" customHeight="1" x14ac:dyDescent="0.25">
      <c r="A552" s="9"/>
      <c r="B552" s="13" t="e">
        <f>VLOOKUP(Table2[[#This Row],[Location 
(drop-down)]],'List source'!D$2:E$71,2,FALSE)</f>
        <v>#N/A</v>
      </c>
      <c r="C552" s="11" t="s">
        <v>1378</v>
      </c>
      <c r="D552" s="212" t="e">
        <f t="shared" si="9"/>
        <v>#N/A</v>
      </c>
      <c r="E552" s="220"/>
      <c r="F552" s="220"/>
      <c r="G552" s="9"/>
      <c r="H552" s="10"/>
      <c r="I552" s="20"/>
      <c r="J552" s="166"/>
      <c r="K552" s="166"/>
      <c r="L552" s="166"/>
      <c r="M552" s="63"/>
      <c r="N552" s="166"/>
      <c r="O552" s="63"/>
      <c r="P552" s="196"/>
      <c r="Q552" s="37"/>
      <c r="R552" s="93"/>
      <c r="S552" s="13">
        <f ca="1">IF(ISBLANK(Table2[[#This Row],[Complete corrective actions (Approved Date)]]), TODAY()-Table2[[#This Row],[CAR initialized date]], "CLOSED")</f>
        <v>46077</v>
      </c>
    </row>
    <row r="553" spans="1:19" ht="36" customHeight="1" x14ac:dyDescent="0.25">
      <c r="A553" s="9"/>
      <c r="B553" s="13" t="e">
        <f>VLOOKUP(Table2[[#This Row],[Location 
(drop-down)]],'List source'!D$2:E$71,2,FALSE)</f>
        <v>#N/A</v>
      </c>
      <c r="C553" s="11" t="s">
        <v>1379</v>
      </c>
      <c r="D553" s="212" t="e">
        <f t="shared" si="9"/>
        <v>#N/A</v>
      </c>
      <c r="E553" s="220"/>
      <c r="F553" s="220"/>
      <c r="G553" s="9"/>
      <c r="H553" s="10"/>
      <c r="I553" s="20"/>
      <c r="J553" s="166"/>
      <c r="K553" s="166"/>
      <c r="L553" s="166"/>
      <c r="M553" s="63"/>
      <c r="N553" s="166"/>
      <c r="O553" s="63"/>
      <c r="P553" s="196"/>
      <c r="Q553" s="37"/>
      <c r="R553" s="93"/>
      <c r="S553" s="13">
        <f ca="1">IF(ISBLANK(Table2[[#This Row],[Complete corrective actions (Approved Date)]]), TODAY()-Table2[[#This Row],[CAR initialized date]], "CLOSED")</f>
        <v>46077</v>
      </c>
    </row>
    <row r="554" spans="1:19" ht="36" customHeight="1" x14ac:dyDescent="0.25">
      <c r="A554" s="9"/>
      <c r="B554" s="13" t="e">
        <f>VLOOKUP(Table2[[#This Row],[Location 
(drop-down)]],'List source'!D$2:E$71,2,FALSE)</f>
        <v>#N/A</v>
      </c>
      <c r="C554" s="11" t="s">
        <v>1380</v>
      </c>
      <c r="D554" s="212" t="e">
        <f t="shared" si="9"/>
        <v>#N/A</v>
      </c>
      <c r="E554" s="220"/>
      <c r="F554" s="220"/>
      <c r="G554" s="9"/>
      <c r="H554" s="10"/>
      <c r="I554" s="20"/>
      <c r="J554" s="166"/>
      <c r="K554" s="166"/>
      <c r="L554" s="166"/>
      <c r="M554" s="63"/>
      <c r="N554" s="166"/>
      <c r="O554" s="63"/>
      <c r="P554" s="196"/>
      <c r="Q554" s="37"/>
      <c r="R554" s="93"/>
      <c r="S554" s="13">
        <f ca="1">IF(ISBLANK(Table2[[#This Row],[Complete corrective actions (Approved Date)]]), TODAY()-Table2[[#This Row],[CAR initialized date]], "CLOSED")</f>
        <v>46077</v>
      </c>
    </row>
    <row r="555" spans="1:19" ht="36" customHeight="1" x14ac:dyDescent="0.25">
      <c r="A555" s="9"/>
      <c r="B555" s="13" t="e">
        <f>VLOOKUP(Table2[[#This Row],[Location 
(drop-down)]],'List source'!D$2:E$71,2,FALSE)</f>
        <v>#N/A</v>
      </c>
      <c r="C555" s="11" t="s">
        <v>1381</v>
      </c>
      <c r="D555" s="212" t="e">
        <f t="shared" si="9"/>
        <v>#N/A</v>
      </c>
      <c r="E555" s="220"/>
      <c r="F555" s="220"/>
      <c r="G555" s="9"/>
      <c r="H555" s="10"/>
      <c r="I555" s="20"/>
      <c r="J555" s="166"/>
      <c r="K555" s="166"/>
      <c r="L555" s="166"/>
      <c r="M555" s="63"/>
      <c r="N555" s="166"/>
      <c r="O555" s="63"/>
      <c r="P555" s="196"/>
      <c r="Q555" s="37"/>
      <c r="R555" s="93"/>
      <c r="S555" s="13">
        <f ca="1">IF(ISBLANK(Table2[[#This Row],[Complete corrective actions (Approved Date)]]), TODAY()-Table2[[#This Row],[CAR initialized date]], "CLOSED")</f>
        <v>46077</v>
      </c>
    </row>
    <row r="556" spans="1:19" ht="36" customHeight="1" x14ac:dyDescent="0.25">
      <c r="A556" s="9"/>
      <c r="B556" s="13" t="e">
        <f>VLOOKUP(Table2[[#This Row],[Location 
(drop-down)]],'List source'!D$2:E$71,2,FALSE)</f>
        <v>#N/A</v>
      </c>
      <c r="C556" s="11" t="s">
        <v>1382</v>
      </c>
      <c r="D556" s="212" t="e">
        <f t="shared" si="9"/>
        <v>#N/A</v>
      </c>
      <c r="E556" s="220"/>
      <c r="F556" s="220"/>
      <c r="G556" s="9"/>
      <c r="H556" s="10"/>
      <c r="I556" s="20"/>
      <c r="J556" s="166"/>
      <c r="K556" s="166"/>
      <c r="L556" s="166"/>
      <c r="M556" s="63"/>
      <c r="N556" s="166"/>
      <c r="O556" s="63"/>
      <c r="P556" s="196"/>
      <c r="Q556" s="37"/>
      <c r="R556" s="93"/>
      <c r="S556" s="13">
        <f ca="1">IF(ISBLANK(Table2[[#This Row],[Complete corrective actions (Approved Date)]]), TODAY()-Table2[[#This Row],[CAR initialized date]], "CLOSED")</f>
        <v>46077</v>
      </c>
    </row>
    <row r="557" spans="1:19" ht="36" customHeight="1" x14ac:dyDescent="0.25">
      <c r="A557" s="9"/>
      <c r="B557" s="13" t="e">
        <f>VLOOKUP(Table2[[#This Row],[Location 
(drop-down)]],'List source'!D$2:E$71,2,FALSE)</f>
        <v>#N/A</v>
      </c>
      <c r="C557" s="11" t="s">
        <v>1383</v>
      </c>
      <c r="D557" s="212" t="e">
        <f t="shared" si="9"/>
        <v>#N/A</v>
      </c>
      <c r="E557" s="220"/>
      <c r="F557" s="220"/>
      <c r="G557" s="9"/>
      <c r="H557" s="10"/>
      <c r="I557" s="20"/>
      <c r="J557" s="166"/>
      <c r="K557" s="166"/>
      <c r="L557" s="166"/>
      <c r="M557" s="63"/>
      <c r="N557" s="166"/>
      <c r="O557" s="63"/>
      <c r="P557" s="196"/>
      <c r="Q557" s="37"/>
      <c r="R557" s="93"/>
      <c r="S557" s="13">
        <f ca="1">IF(ISBLANK(Table2[[#This Row],[Complete corrective actions (Approved Date)]]), TODAY()-Table2[[#This Row],[CAR initialized date]], "CLOSED")</f>
        <v>46077</v>
      </c>
    </row>
    <row r="558" spans="1:19" ht="36" customHeight="1" x14ac:dyDescent="0.25">
      <c r="A558" s="9"/>
      <c r="B558" s="13" t="e">
        <f>VLOOKUP(Table2[[#This Row],[Location 
(drop-down)]],'List source'!D$2:E$71,2,FALSE)</f>
        <v>#N/A</v>
      </c>
      <c r="C558" s="11" t="s">
        <v>1384</v>
      </c>
      <c r="D558" s="212" t="e">
        <f t="shared" si="9"/>
        <v>#N/A</v>
      </c>
      <c r="E558" s="220"/>
      <c r="F558" s="220"/>
      <c r="G558" s="9"/>
      <c r="H558" s="10"/>
      <c r="I558" s="20"/>
      <c r="J558" s="166"/>
      <c r="K558" s="166"/>
      <c r="L558" s="166"/>
      <c r="M558" s="63"/>
      <c r="N558" s="166"/>
      <c r="O558" s="63"/>
      <c r="P558" s="196"/>
      <c r="Q558" s="37"/>
      <c r="R558" s="93"/>
      <c r="S558" s="13">
        <f ca="1">IF(ISBLANK(Table2[[#This Row],[Complete corrective actions (Approved Date)]]), TODAY()-Table2[[#This Row],[CAR initialized date]], "CLOSED")</f>
        <v>46077</v>
      </c>
    </row>
    <row r="559" spans="1:19" ht="36" customHeight="1" x14ac:dyDescent="0.25">
      <c r="A559" s="9"/>
      <c r="B559" s="13" t="e">
        <f>VLOOKUP(Table2[[#This Row],[Location 
(drop-down)]],'List source'!D$2:E$71,2,FALSE)</f>
        <v>#N/A</v>
      </c>
      <c r="C559" s="11" t="s">
        <v>1385</v>
      </c>
      <c r="D559" s="212" t="e">
        <f t="shared" si="9"/>
        <v>#N/A</v>
      </c>
      <c r="E559" s="220"/>
      <c r="F559" s="220"/>
      <c r="G559" s="9"/>
      <c r="H559" s="10"/>
      <c r="I559" s="20"/>
      <c r="J559" s="166"/>
      <c r="K559" s="166"/>
      <c r="L559" s="166"/>
      <c r="M559" s="63"/>
      <c r="N559" s="166"/>
      <c r="O559" s="63"/>
      <c r="P559" s="196"/>
      <c r="Q559" s="37"/>
      <c r="R559" s="93"/>
      <c r="S559" s="13">
        <f ca="1">IF(ISBLANK(Table2[[#This Row],[Complete corrective actions (Approved Date)]]), TODAY()-Table2[[#This Row],[CAR initialized date]], "CLOSED")</f>
        <v>46077</v>
      </c>
    </row>
    <row r="560" spans="1:19" ht="36" customHeight="1" x14ac:dyDescent="0.25">
      <c r="A560" s="9"/>
      <c r="B560" s="13" t="e">
        <f>VLOOKUP(Table2[[#This Row],[Location 
(drop-down)]],'List source'!D$2:E$71,2,FALSE)</f>
        <v>#N/A</v>
      </c>
      <c r="C560" s="11" t="s">
        <v>1386</v>
      </c>
      <c r="D560" s="212" t="e">
        <f t="shared" si="9"/>
        <v>#N/A</v>
      </c>
      <c r="E560" s="220"/>
      <c r="F560" s="220"/>
      <c r="G560" s="9"/>
      <c r="H560" s="10"/>
      <c r="I560" s="20"/>
      <c r="J560" s="166"/>
      <c r="K560" s="166"/>
      <c r="L560" s="166"/>
      <c r="M560" s="63"/>
      <c r="N560" s="166"/>
      <c r="O560" s="63"/>
      <c r="P560" s="196"/>
      <c r="Q560" s="37"/>
      <c r="R560" s="93"/>
      <c r="S560" s="13">
        <f ca="1">IF(ISBLANK(Table2[[#This Row],[Complete corrective actions (Approved Date)]]), TODAY()-Table2[[#This Row],[CAR initialized date]], "CLOSED")</f>
        <v>46077</v>
      </c>
    </row>
    <row r="561" spans="1:19" ht="36" customHeight="1" x14ac:dyDescent="0.25">
      <c r="A561" s="9"/>
      <c r="B561" s="13" t="e">
        <f>VLOOKUP(Table2[[#This Row],[Location 
(drop-down)]],'List source'!D$2:E$71,2,FALSE)</f>
        <v>#N/A</v>
      </c>
      <c r="C561" s="11" t="s">
        <v>1387</v>
      </c>
      <c r="D561" s="212" t="e">
        <f t="shared" si="9"/>
        <v>#N/A</v>
      </c>
      <c r="E561" s="220"/>
      <c r="F561" s="220"/>
      <c r="G561" s="9"/>
      <c r="H561" s="10"/>
      <c r="I561" s="20"/>
      <c r="J561" s="166"/>
      <c r="K561" s="166"/>
      <c r="L561" s="166"/>
      <c r="M561" s="63"/>
      <c r="N561" s="166"/>
      <c r="O561" s="63"/>
      <c r="P561" s="196"/>
      <c r="Q561" s="37"/>
      <c r="R561" s="93"/>
      <c r="S561" s="13">
        <f ca="1">IF(ISBLANK(Table2[[#This Row],[Complete corrective actions (Approved Date)]]), TODAY()-Table2[[#This Row],[CAR initialized date]], "CLOSED")</f>
        <v>46077</v>
      </c>
    </row>
    <row r="562" spans="1:19" ht="36" customHeight="1" x14ac:dyDescent="0.25">
      <c r="A562" s="9"/>
      <c r="B562" s="13" t="e">
        <f>VLOOKUP(Table2[[#This Row],[Location 
(drop-down)]],'List source'!D$2:E$71,2,FALSE)</f>
        <v>#N/A</v>
      </c>
      <c r="C562" s="11" t="s">
        <v>1388</v>
      </c>
      <c r="D562" s="212" t="e">
        <f t="shared" si="9"/>
        <v>#N/A</v>
      </c>
      <c r="E562" s="220"/>
      <c r="F562" s="220"/>
      <c r="G562" s="9"/>
      <c r="H562" s="10"/>
      <c r="I562" s="20"/>
      <c r="J562" s="166"/>
      <c r="K562" s="166"/>
      <c r="L562" s="166"/>
      <c r="M562" s="63"/>
      <c r="N562" s="166"/>
      <c r="O562" s="63"/>
      <c r="P562" s="196"/>
      <c r="Q562" s="37"/>
      <c r="R562" s="93"/>
      <c r="S562" s="13">
        <f ca="1">IF(ISBLANK(Table2[[#This Row],[Complete corrective actions (Approved Date)]]), TODAY()-Table2[[#This Row],[CAR initialized date]], "CLOSED")</f>
        <v>46077</v>
      </c>
    </row>
    <row r="563" spans="1:19" ht="36" customHeight="1" x14ac:dyDescent="0.25">
      <c r="A563" s="9"/>
      <c r="B563" s="13" t="e">
        <f>VLOOKUP(Table2[[#This Row],[Location 
(drop-down)]],'List source'!D$2:E$71,2,FALSE)</f>
        <v>#N/A</v>
      </c>
      <c r="C563" s="11" t="s">
        <v>1389</v>
      </c>
      <c r="D563" s="212" t="e">
        <f t="shared" si="9"/>
        <v>#N/A</v>
      </c>
      <c r="E563" s="220"/>
      <c r="F563" s="220"/>
      <c r="G563" s="9"/>
      <c r="H563" s="10"/>
      <c r="I563" s="20"/>
      <c r="J563" s="166"/>
      <c r="K563" s="166"/>
      <c r="L563" s="166"/>
      <c r="M563" s="63"/>
      <c r="N563" s="166"/>
      <c r="O563" s="63"/>
      <c r="P563" s="196"/>
      <c r="Q563" s="37"/>
      <c r="R563" s="93"/>
      <c r="S563" s="13">
        <f ca="1">IF(ISBLANK(Table2[[#This Row],[Complete corrective actions (Approved Date)]]), TODAY()-Table2[[#This Row],[CAR initialized date]], "CLOSED")</f>
        <v>46077</v>
      </c>
    </row>
    <row r="564" spans="1:19" ht="36" customHeight="1" x14ac:dyDescent="0.25">
      <c r="A564" s="9"/>
      <c r="B564" s="13" t="e">
        <f>VLOOKUP(Table2[[#This Row],[Location 
(drop-down)]],'List source'!D$2:E$71,2,FALSE)</f>
        <v>#N/A</v>
      </c>
      <c r="C564" s="11" t="s">
        <v>1390</v>
      </c>
      <c r="D564" s="212" t="e">
        <f t="shared" si="9"/>
        <v>#N/A</v>
      </c>
      <c r="E564" s="220"/>
      <c r="F564" s="220"/>
      <c r="G564" s="9"/>
      <c r="H564" s="10"/>
      <c r="I564" s="20"/>
      <c r="J564" s="166"/>
      <c r="K564" s="166"/>
      <c r="L564" s="166"/>
      <c r="M564" s="63"/>
      <c r="N564" s="166"/>
      <c r="O564" s="63"/>
      <c r="P564" s="196"/>
      <c r="Q564" s="37"/>
      <c r="R564" s="93"/>
      <c r="S564" s="13">
        <f ca="1">IF(ISBLANK(Table2[[#This Row],[Complete corrective actions (Approved Date)]]), TODAY()-Table2[[#This Row],[CAR initialized date]], "CLOSED")</f>
        <v>46077</v>
      </c>
    </row>
    <row r="565" spans="1:19" ht="36" customHeight="1" x14ac:dyDescent="0.25">
      <c r="A565" s="9"/>
      <c r="B565" s="13" t="e">
        <f>VLOOKUP(Table2[[#This Row],[Location 
(drop-down)]],'List source'!D$2:E$71,2,FALSE)</f>
        <v>#N/A</v>
      </c>
      <c r="C565" s="11" t="s">
        <v>1391</v>
      </c>
      <c r="D565" s="212" t="e">
        <f t="shared" si="9"/>
        <v>#N/A</v>
      </c>
      <c r="E565" s="220"/>
      <c r="F565" s="220"/>
      <c r="G565" s="162"/>
      <c r="H565" s="10"/>
      <c r="I565" s="20"/>
      <c r="J565" s="166"/>
      <c r="K565" s="166"/>
      <c r="L565" s="166"/>
      <c r="M565" s="63"/>
      <c r="N565" s="166"/>
      <c r="O565" s="63"/>
      <c r="P565" s="196"/>
      <c r="Q565" s="37"/>
      <c r="R565" s="93"/>
      <c r="S565" s="13">
        <f ca="1">IF(ISBLANK(Table2[[#This Row],[Complete corrective actions (Approved Date)]]), TODAY()-Table2[[#This Row],[CAR initialized date]], "CLOSED")</f>
        <v>46077</v>
      </c>
    </row>
    <row r="566" spans="1:19" ht="36" customHeight="1" x14ac:dyDescent="0.25">
      <c r="A566" s="9"/>
      <c r="B566" s="13" t="e">
        <f>VLOOKUP(Table2[[#This Row],[Location 
(drop-down)]],'List source'!D$2:E$71,2,FALSE)</f>
        <v>#N/A</v>
      </c>
      <c r="C566" s="11" t="s">
        <v>1392</v>
      </c>
      <c r="D566" s="212" t="e">
        <f t="shared" si="9"/>
        <v>#N/A</v>
      </c>
      <c r="E566" s="220"/>
      <c r="F566" s="220"/>
      <c r="G566" s="9"/>
      <c r="H566" s="10"/>
      <c r="I566" s="20"/>
      <c r="J566" s="166"/>
      <c r="K566" s="166"/>
      <c r="L566" s="166"/>
      <c r="M566" s="63"/>
      <c r="N566" s="166"/>
      <c r="O566" s="63"/>
      <c r="P566" s="196"/>
      <c r="Q566" s="37"/>
      <c r="R566" s="93"/>
      <c r="S566" s="13">
        <f ca="1">IF(ISBLANK(Table2[[#This Row],[Complete corrective actions (Approved Date)]]), TODAY()-Table2[[#This Row],[CAR initialized date]], "CLOSED")</f>
        <v>46077</v>
      </c>
    </row>
    <row r="567" spans="1:19" ht="36" customHeight="1" x14ac:dyDescent="0.25">
      <c r="A567" s="9"/>
      <c r="B567" s="13" t="e">
        <f>VLOOKUP(Table2[[#This Row],[Location 
(drop-down)]],'List source'!D$2:E$71,2,FALSE)</f>
        <v>#N/A</v>
      </c>
      <c r="C567" s="11" t="s">
        <v>1393</v>
      </c>
      <c r="D567" s="212" t="e">
        <f t="shared" si="9"/>
        <v>#N/A</v>
      </c>
      <c r="E567" s="220"/>
      <c r="F567" s="220"/>
      <c r="G567" s="9"/>
      <c r="H567" s="10"/>
      <c r="I567" s="20"/>
      <c r="J567" s="166"/>
      <c r="K567" s="166"/>
      <c r="L567" s="166"/>
      <c r="M567" s="63"/>
      <c r="N567" s="166"/>
      <c r="O567" s="63"/>
      <c r="P567" s="196"/>
      <c r="Q567" s="37"/>
      <c r="R567" s="93"/>
      <c r="S567" s="13">
        <f ca="1">IF(ISBLANK(Table2[[#This Row],[Complete corrective actions (Approved Date)]]), TODAY()-Table2[[#This Row],[CAR initialized date]], "CLOSED")</f>
        <v>46077</v>
      </c>
    </row>
    <row r="568" spans="1:19" ht="36" customHeight="1" x14ac:dyDescent="0.25">
      <c r="A568" s="9"/>
      <c r="B568" s="13" t="e">
        <f>VLOOKUP(Table2[[#This Row],[Location 
(drop-down)]],'List source'!D$2:E$71,2,FALSE)</f>
        <v>#N/A</v>
      </c>
      <c r="C568" s="11" t="s">
        <v>1394</v>
      </c>
      <c r="D568" s="212" t="e">
        <f t="shared" si="9"/>
        <v>#N/A</v>
      </c>
      <c r="E568" s="220"/>
      <c r="F568" s="220"/>
      <c r="G568" s="9"/>
      <c r="H568" s="10"/>
      <c r="I568" s="20"/>
      <c r="J568" s="166"/>
      <c r="K568" s="166"/>
      <c r="L568" s="166"/>
      <c r="M568" s="63"/>
      <c r="N568" s="166"/>
      <c r="O568" s="63"/>
      <c r="P568" s="196"/>
      <c r="Q568" s="37"/>
      <c r="R568" s="93"/>
      <c r="S568" s="13">
        <f ca="1">IF(ISBLANK(Table2[[#This Row],[Complete corrective actions (Approved Date)]]), TODAY()-Table2[[#This Row],[CAR initialized date]], "CLOSED")</f>
        <v>46077</v>
      </c>
    </row>
    <row r="569" spans="1:19" ht="36" customHeight="1" x14ac:dyDescent="0.25">
      <c r="A569" s="9"/>
      <c r="B569" s="13" t="e">
        <f>VLOOKUP(Table2[[#This Row],[Location 
(drop-down)]],'List source'!D$2:E$71,2,FALSE)</f>
        <v>#N/A</v>
      </c>
      <c r="C569" s="11" t="s">
        <v>1395</v>
      </c>
      <c r="D569" s="212" t="e">
        <f t="shared" si="9"/>
        <v>#N/A</v>
      </c>
      <c r="E569" s="220"/>
      <c r="F569" s="220"/>
      <c r="G569" s="9"/>
      <c r="H569" s="10"/>
      <c r="I569" s="20"/>
      <c r="J569" s="166"/>
      <c r="K569" s="166"/>
      <c r="L569" s="166"/>
      <c r="M569" s="63"/>
      <c r="N569" s="166"/>
      <c r="O569" s="63"/>
      <c r="P569" s="196"/>
      <c r="Q569" s="37"/>
      <c r="R569" s="93"/>
      <c r="S569" s="13">
        <f ca="1">IF(ISBLANK(Table2[[#This Row],[Complete corrective actions (Approved Date)]]), TODAY()-Table2[[#This Row],[CAR initialized date]], "CLOSED")</f>
        <v>46077</v>
      </c>
    </row>
    <row r="570" spans="1:19" ht="36" customHeight="1" x14ac:dyDescent="0.25">
      <c r="A570" s="9"/>
      <c r="B570" s="13" t="e">
        <f>VLOOKUP(Table2[[#This Row],[Location 
(drop-down)]],'List source'!D$2:E$71,2,FALSE)</f>
        <v>#N/A</v>
      </c>
      <c r="C570" s="11" t="s">
        <v>1396</v>
      </c>
      <c r="D570" s="212" t="e">
        <f t="shared" si="9"/>
        <v>#N/A</v>
      </c>
      <c r="E570" s="220"/>
      <c r="F570" s="220"/>
      <c r="G570" s="9"/>
      <c r="H570" s="10"/>
      <c r="I570" s="20"/>
      <c r="J570" s="166"/>
      <c r="K570" s="166"/>
      <c r="L570" s="166"/>
      <c r="M570" s="63"/>
      <c r="N570" s="166"/>
      <c r="O570" s="63"/>
      <c r="P570" s="196"/>
      <c r="Q570" s="37"/>
      <c r="R570" s="93"/>
      <c r="S570" s="13">
        <f ca="1">IF(ISBLANK(Table2[[#This Row],[Complete corrective actions (Approved Date)]]), TODAY()-Table2[[#This Row],[CAR initialized date]], "CLOSED")</f>
        <v>46077</v>
      </c>
    </row>
    <row r="571" spans="1:19" ht="36" customHeight="1" x14ac:dyDescent="0.25">
      <c r="A571" s="9"/>
      <c r="B571" s="13" t="e">
        <f>VLOOKUP(Table2[[#This Row],[Location 
(drop-down)]],'List source'!D$2:E$71,2,FALSE)</f>
        <v>#N/A</v>
      </c>
      <c r="C571" s="11" t="s">
        <v>1397</v>
      </c>
      <c r="D571" s="212" t="e">
        <f t="shared" si="9"/>
        <v>#N/A</v>
      </c>
      <c r="E571" s="220"/>
      <c r="F571" s="220"/>
      <c r="G571" s="9"/>
      <c r="H571" s="10"/>
      <c r="I571" s="20"/>
      <c r="J571" s="166"/>
      <c r="K571" s="166"/>
      <c r="L571" s="166"/>
      <c r="M571" s="63"/>
      <c r="N571" s="166"/>
      <c r="O571" s="63"/>
      <c r="P571" s="196"/>
      <c r="Q571" s="37"/>
      <c r="R571" s="93"/>
      <c r="S571" s="13">
        <f ca="1">IF(ISBLANK(Table2[[#This Row],[Complete corrective actions (Approved Date)]]), TODAY()-Table2[[#This Row],[CAR initialized date]], "CLOSED")</f>
        <v>46077</v>
      </c>
    </row>
    <row r="572" spans="1:19" ht="36" customHeight="1" x14ac:dyDescent="0.25">
      <c r="A572" s="9"/>
      <c r="B572" s="13" t="e">
        <f>VLOOKUP(Table2[[#This Row],[Location 
(drop-down)]],'List source'!D$2:E$71,2,FALSE)</f>
        <v>#N/A</v>
      </c>
      <c r="C572" s="11" t="s">
        <v>1398</v>
      </c>
      <c r="D572" s="212" t="e">
        <f t="shared" si="9"/>
        <v>#N/A</v>
      </c>
      <c r="E572" s="220"/>
      <c r="F572" s="220"/>
      <c r="G572" s="9"/>
      <c r="H572" s="10"/>
      <c r="I572" s="20"/>
      <c r="J572" s="166"/>
      <c r="K572" s="166"/>
      <c r="L572" s="166"/>
      <c r="M572" s="63"/>
      <c r="N572" s="166"/>
      <c r="O572" s="63"/>
      <c r="P572" s="196"/>
      <c r="Q572" s="37"/>
      <c r="R572" s="93"/>
      <c r="S572" s="13">
        <f ca="1">IF(ISBLANK(Table2[[#This Row],[Complete corrective actions (Approved Date)]]), TODAY()-Table2[[#This Row],[CAR initialized date]], "CLOSED")</f>
        <v>46077</v>
      </c>
    </row>
    <row r="573" spans="1:19" ht="36" customHeight="1" x14ac:dyDescent="0.25">
      <c r="A573" s="9"/>
      <c r="B573" s="13" t="e">
        <f>VLOOKUP(Table2[[#This Row],[Location 
(drop-down)]],'List source'!D$2:E$71,2,FALSE)</f>
        <v>#N/A</v>
      </c>
      <c r="C573" s="11" t="s">
        <v>1399</v>
      </c>
      <c r="D573" s="212" t="e">
        <f t="shared" si="9"/>
        <v>#N/A</v>
      </c>
      <c r="E573" s="220"/>
      <c r="F573" s="220"/>
      <c r="G573" s="9"/>
      <c r="H573" s="10"/>
      <c r="I573" s="20"/>
      <c r="J573" s="166"/>
      <c r="K573" s="166"/>
      <c r="L573" s="166"/>
      <c r="M573" s="63"/>
      <c r="N573" s="166"/>
      <c r="O573" s="63"/>
      <c r="P573" s="196"/>
      <c r="Q573" s="37"/>
      <c r="R573" s="93"/>
      <c r="S573" s="13">
        <f ca="1">IF(ISBLANK(Table2[[#This Row],[Complete corrective actions (Approved Date)]]), TODAY()-Table2[[#This Row],[CAR initialized date]], "CLOSED")</f>
        <v>46077</v>
      </c>
    </row>
    <row r="574" spans="1:19" ht="36" customHeight="1" x14ac:dyDescent="0.25">
      <c r="A574" s="9"/>
      <c r="B574" s="13" t="e">
        <f>VLOOKUP(Table2[[#This Row],[Location 
(drop-down)]],'List source'!D$2:E$71,2,FALSE)</f>
        <v>#N/A</v>
      </c>
      <c r="C574" s="11" t="s">
        <v>1400</v>
      </c>
      <c r="D574" s="212" t="e">
        <f t="shared" si="9"/>
        <v>#N/A</v>
      </c>
      <c r="E574" s="220"/>
      <c r="F574" s="220"/>
      <c r="G574" s="9"/>
      <c r="H574" s="10"/>
      <c r="I574" s="20"/>
      <c r="J574" s="166"/>
      <c r="K574" s="166"/>
      <c r="L574" s="166"/>
      <c r="M574" s="63"/>
      <c r="N574" s="166"/>
      <c r="O574" s="63"/>
      <c r="P574" s="196"/>
      <c r="Q574" s="37"/>
      <c r="R574" s="93"/>
      <c r="S574" s="13">
        <f ca="1">IF(ISBLANK(Table2[[#This Row],[Complete corrective actions (Approved Date)]]), TODAY()-Table2[[#This Row],[CAR initialized date]], "CLOSED")</f>
        <v>46077</v>
      </c>
    </row>
    <row r="575" spans="1:19" ht="36" customHeight="1" x14ac:dyDescent="0.25">
      <c r="A575" s="9"/>
      <c r="B575" s="13" t="e">
        <f>VLOOKUP(Table2[[#This Row],[Location 
(drop-down)]],'List source'!D$2:E$71,2,FALSE)</f>
        <v>#N/A</v>
      </c>
      <c r="C575" s="11" t="s">
        <v>1401</v>
      </c>
      <c r="D575" s="212" t="e">
        <f t="shared" si="9"/>
        <v>#N/A</v>
      </c>
      <c r="E575" s="220"/>
      <c r="F575" s="220"/>
      <c r="G575" s="9"/>
      <c r="H575" s="10"/>
      <c r="I575" s="20"/>
      <c r="J575" s="166"/>
      <c r="K575" s="166"/>
      <c r="L575" s="166"/>
      <c r="M575" s="63"/>
      <c r="N575" s="166"/>
      <c r="O575" s="63"/>
      <c r="P575" s="196"/>
      <c r="Q575" s="37"/>
      <c r="R575" s="93"/>
      <c r="S575" s="13">
        <f ca="1">IF(ISBLANK(Table2[[#This Row],[Complete corrective actions (Approved Date)]]), TODAY()-Table2[[#This Row],[CAR initialized date]], "CLOSED")</f>
        <v>46077</v>
      </c>
    </row>
    <row r="576" spans="1:19" ht="36" customHeight="1" x14ac:dyDescent="0.25">
      <c r="A576" s="9"/>
      <c r="B576" s="13" t="e">
        <f>VLOOKUP(Table2[[#This Row],[Location 
(drop-down)]],'List source'!D$2:E$71,2,FALSE)</f>
        <v>#N/A</v>
      </c>
      <c r="C576" s="11" t="s">
        <v>1402</v>
      </c>
      <c r="D576" s="212" t="e">
        <f t="shared" si="9"/>
        <v>#N/A</v>
      </c>
      <c r="E576" s="220"/>
      <c r="F576" s="220"/>
      <c r="G576" s="9"/>
      <c r="H576" s="10"/>
      <c r="I576" s="20"/>
      <c r="J576" s="166"/>
      <c r="K576" s="166"/>
      <c r="L576" s="166"/>
      <c r="M576" s="63"/>
      <c r="N576" s="166"/>
      <c r="O576" s="63"/>
      <c r="P576" s="196"/>
      <c r="Q576" s="37"/>
      <c r="R576" s="93"/>
      <c r="S576" s="13">
        <f ca="1">IF(ISBLANK(Table2[[#This Row],[Complete corrective actions (Approved Date)]]), TODAY()-Table2[[#This Row],[CAR initialized date]], "CLOSED")</f>
        <v>46077</v>
      </c>
    </row>
    <row r="577" spans="1:19" ht="36" customHeight="1" x14ac:dyDescent="0.25">
      <c r="A577" s="9"/>
      <c r="B577" s="13" t="e">
        <f>VLOOKUP(Table2[[#This Row],[Location 
(drop-down)]],'List source'!D$2:E$71,2,FALSE)</f>
        <v>#N/A</v>
      </c>
      <c r="C577" s="11" t="s">
        <v>1403</v>
      </c>
      <c r="D577" s="212" t="e">
        <f t="shared" ref="D577:D640" si="10">"C" &amp; C577 &amp;"-" &amp; B577 &amp; "-" &amp; "25"</f>
        <v>#N/A</v>
      </c>
      <c r="E577" s="220"/>
      <c r="F577" s="220"/>
      <c r="G577" s="9"/>
      <c r="H577" s="10"/>
      <c r="I577" s="20"/>
      <c r="J577" s="166"/>
      <c r="K577" s="166"/>
      <c r="L577" s="166"/>
      <c r="M577" s="63"/>
      <c r="N577" s="166"/>
      <c r="O577" s="63"/>
      <c r="P577" s="196"/>
      <c r="Q577" s="37"/>
      <c r="R577" s="93"/>
      <c r="S577" s="13">
        <f ca="1">IF(ISBLANK(Table2[[#This Row],[Complete corrective actions (Approved Date)]]), TODAY()-Table2[[#This Row],[CAR initialized date]], "CLOSED")</f>
        <v>46077</v>
      </c>
    </row>
    <row r="578" spans="1:19" ht="36" customHeight="1" x14ac:dyDescent="0.25">
      <c r="A578" s="9"/>
      <c r="B578" s="13" t="e">
        <f>VLOOKUP(Table2[[#This Row],[Location 
(drop-down)]],'List source'!D$2:E$71,2,FALSE)</f>
        <v>#N/A</v>
      </c>
      <c r="C578" s="11" t="s">
        <v>1404</v>
      </c>
      <c r="D578" s="212" t="e">
        <f t="shared" si="10"/>
        <v>#N/A</v>
      </c>
      <c r="E578" s="220"/>
      <c r="F578" s="220"/>
      <c r="G578" s="9"/>
      <c r="H578" s="10"/>
      <c r="I578" s="20"/>
      <c r="J578" s="166"/>
      <c r="K578" s="166"/>
      <c r="L578" s="166"/>
      <c r="M578" s="63"/>
      <c r="N578" s="166"/>
      <c r="O578" s="63"/>
      <c r="P578" s="196"/>
      <c r="Q578" s="37"/>
      <c r="R578" s="93"/>
      <c r="S578" s="13">
        <f ca="1">IF(ISBLANK(Table2[[#This Row],[Complete corrective actions (Approved Date)]]), TODAY()-Table2[[#This Row],[CAR initialized date]], "CLOSED")</f>
        <v>46077</v>
      </c>
    </row>
    <row r="579" spans="1:19" ht="36" customHeight="1" x14ac:dyDescent="0.25">
      <c r="A579" s="9"/>
      <c r="B579" s="13" t="e">
        <f>VLOOKUP(Table2[[#This Row],[Location 
(drop-down)]],'List source'!D$2:E$71,2,FALSE)</f>
        <v>#N/A</v>
      </c>
      <c r="C579" s="11" t="s">
        <v>1405</v>
      </c>
      <c r="D579" s="212" t="e">
        <f t="shared" si="10"/>
        <v>#N/A</v>
      </c>
      <c r="E579" s="220"/>
      <c r="F579" s="220"/>
      <c r="G579" s="9"/>
      <c r="H579" s="10"/>
      <c r="I579" s="20"/>
      <c r="J579" s="166"/>
      <c r="K579" s="166"/>
      <c r="L579" s="166"/>
      <c r="M579" s="63"/>
      <c r="N579" s="166"/>
      <c r="O579" s="63"/>
      <c r="P579" s="196"/>
      <c r="Q579" s="37"/>
      <c r="R579" s="93"/>
      <c r="S579" s="13">
        <f ca="1">IF(ISBLANK(Table2[[#This Row],[Complete corrective actions (Approved Date)]]), TODAY()-Table2[[#This Row],[CAR initialized date]], "CLOSED")</f>
        <v>46077</v>
      </c>
    </row>
    <row r="580" spans="1:19" ht="36" customHeight="1" x14ac:dyDescent="0.25">
      <c r="A580" s="9"/>
      <c r="B580" s="13" t="e">
        <f>VLOOKUP(Table2[[#This Row],[Location 
(drop-down)]],'List source'!D$2:E$71,2,FALSE)</f>
        <v>#N/A</v>
      </c>
      <c r="C580" s="11" t="s">
        <v>1406</v>
      </c>
      <c r="D580" s="212" t="e">
        <f t="shared" si="10"/>
        <v>#N/A</v>
      </c>
      <c r="E580" s="220"/>
      <c r="F580" s="220"/>
      <c r="G580" s="9"/>
      <c r="H580" s="10"/>
      <c r="I580" s="20"/>
      <c r="J580" s="166"/>
      <c r="K580" s="166"/>
      <c r="L580" s="166"/>
      <c r="M580" s="63"/>
      <c r="N580" s="166"/>
      <c r="O580" s="63"/>
      <c r="P580" s="196"/>
      <c r="Q580" s="37"/>
      <c r="R580" s="93"/>
      <c r="S580" s="13">
        <f ca="1">IF(ISBLANK(Table2[[#This Row],[Complete corrective actions (Approved Date)]]), TODAY()-Table2[[#This Row],[CAR initialized date]], "CLOSED")</f>
        <v>46077</v>
      </c>
    </row>
    <row r="581" spans="1:19" ht="36" customHeight="1" x14ac:dyDescent="0.25">
      <c r="A581" s="9"/>
      <c r="B581" s="13" t="e">
        <f>VLOOKUP(Table2[[#This Row],[Location 
(drop-down)]],'List source'!D$2:E$71,2,FALSE)</f>
        <v>#N/A</v>
      </c>
      <c r="C581" s="11" t="s">
        <v>1407</v>
      </c>
      <c r="D581" s="212" t="e">
        <f t="shared" si="10"/>
        <v>#N/A</v>
      </c>
      <c r="E581" s="220"/>
      <c r="F581" s="220"/>
      <c r="G581" s="9"/>
      <c r="H581" s="10"/>
      <c r="I581" s="20"/>
      <c r="J581" s="166"/>
      <c r="K581" s="166"/>
      <c r="L581" s="166"/>
      <c r="M581" s="63"/>
      <c r="N581" s="166"/>
      <c r="O581" s="63"/>
      <c r="P581" s="196"/>
      <c r="Q581" s="37"/>
      <c r="R581" s="93"/>
      <c r="S581" s="13">
        <f ca="1">IF(ISBLANK(Table2[[#This Row],[Complete corrective actions (Approved Date)]]), TODAY()-Table2[[#This Row],[CAR initialized date]], "CLOSED")</f>
        <v>46077</v>
      </c>
    </row>
    <row r="582" spans="1:19" ht="36" customHeight="1" x14ac:dyDescent="0.25">
      <c r="A582" s="9"/>
      <c r="B582" s="13" t="e">
        <f>VLOOKUP(Table2[[#This Row],[Location 
(drop-down)]],'List source'!D$2:E$71,2,FALSE)</f>
        <v>#N/A</v>
      </c>
      <c r="C582" s="11" t="s">
        <v>1408</v>
      </c>
      <c r="D582" s="212" t="e">
        <f t="shared" si="10"/>
        <v>#N/A</v>
      </c>
      <c r="E582" s="220"/>
      <c r="F582" s="220"/>
      <c r="G582" s="9"/>
      <c r="H582" s="10"/>
      <c r="I582" s="20"/>
      <c r="J582" s="166"/>
      <c r="K582" s="166"/>
      <c r="L582" s="166"/>
      <c r="M582" s="63"/>
      <c r="N582" s="166"/>
      <c r="O582" s="63"/>
      <c r="P582" s="196"/>
      <c r="Q582" s="37"/>
      <c r="R582" s="93"/>
      <c r="S582" s="13">
        <f ca="1">IF(ISBLANK(Table2[[#This Row],[Complete corrective actions (Approved Date)]]), TODAY()-Table2[[#This Row],[CAR initialized date]], "CLOSED")</f>
        <v>46077</v>
      </c>
    </row>
    <row r="583" spans="1:19" ht="36" customHeight="1" x14ac:dyDescent="0.25">
      <c r="A583" s="9"/>
      <c r="B583" s="13" t="e">
        <f>VLOOKUP(Table2[[#This Row],[Location 
(drop-down)]],'List source'!D$2:E$71,2,FALSE)</f>
        <v>#N/A</v>
      </c>
      <c r="C583" s="11" t="s">
        <v>1409</v>
      </c>
      <c r="D583" s="212" t="e">
        <f t="shared" si="10"/>
        <v>#N/A</v>
      </c>
      <c r="E583" s="220"/>
      <c r="F583" s="220"/>
      <c r="G583" s="9"/>
      <c r="H583" s="10"/>
      <c r="I583" s="20"/>
      <c r="J583" s="166"/>
      <c r="K583" s="166"/>
      <c r="L583" s="166"/>
      <c r="M583" s="63"/>
      <c r="N583" s="166"/>
      <c r="O583" s="63"/>
      <c r="P583" s="196"/>
      <c r="Q583" s="37"/>
      <c r="R583" s="93"/>
      <c r="S583" s="13">
        <f ca="1">IF(ISBLANK(Table2[[#This Row],[Complete corrective actions (Approved Date)]]), TODAY()-Table2[[#This Row],[CAR initialized date]], "CLOSED")</f>
        <v>46077</v>
      </c>
    </row>
    <row r="584" spans="1:19" ht="36" customHeight="1" x14ac:dyDescent="0.25">
      <c r="A584" s="9"/>
      <c r="B584" s="13" t="e">
        <f>VLOOKUP(Table2[[#This Row],[Location 
(drop-down)]],'List source'!D$2:E$71,2,FALSE)</f>
        <v>#N/A</v>
      </c>
      <c r="C584" s="11" t="s">
        <v>1410</v>
      </c>
      <c r="D584" s="212" t="e">
        <f t="shared" si="10"/>
        <v>#N/A</v>
      </c>
      <c r="E584" s="220"/>
      <c r="F584" s="220"/>
      <c r="G584" s="9"/>
      <c r="H584" s="10"/>
      <c r="I584" s="20"/>
      <c r="J584" s="166"/>
      <c r="K584" s="166"/>
      <c r="L584" s="166"/>
      <c r="M584" s="63"/>
      <c r="N584" s="166"/>
      <c r="O584" s="63"/>
      <c r="P584" s="196"/>
      <c r="Q584" s="37"/>
      <c r="R584" s="93"/>
      <c r="S584" s="13">
        <f ca="1">IF(ISBLANK(Table2[[#This Row],[Complete corrective actions (Approved Date)]]), TODAY()-Table2[[#This Row],[CAR initialized date]], "CLOSED")</f>
        <v>46077</v>
      </c>
    </row>
    <row r="585" spans="1:19" ht="36" customHeight="1" x14ac:dyDescent="0.25">
      <c r="A585" s="9"/>
      <c r="B585" s="13" t="e">
        <f>VLOOKUP(Table2[[#This Row],[Location 
(drop-down)]],'List source'!D$2:E$71,2,FALSE)</f>
        <v>#N/A</v>
      </c>
      <c r="C585" s="11" t="s">
        <v>1411</v>
      </c>
      <c r="D585" s="212" t="e">
        <f t="shared" si="10"/>
        <v>#N/A</v>
      </c>
      <c r="E585" s="13"/>
      <c r="F585" s="13"/>
      <c r="G585" s="9"/>
      <c r="H585" s="10"/>
      <c r="I585" s="20"/>
      <c r="J585" s="166"/>
      <c r="K585" s="166"/>
      <c r="L585" s="166"/>
      <c r="M585" s="63"/>
      <c r="N585" s="166"/>
      <c r="O585" s="63"/>
      <c r="P585" s="196"/>
      <c r="Q585" s="37"/>
      <c r="R585" s="93"/>
      <c r="S585" s="13">
        <f ca="1">IF(ISBLANK(Table2[[#This Row],[Complete corrective actions (Approved Date)]]), TODAY()-Table2[[#This Row],[CAR initialized date]], "CLOSED")</f>
        <v>46077</v>
      </c>
    </row>
    <row r="586" spans="1:19" ht="36" customHeight="1" x14ac:dyDescent="0.25">
      <c r="A586" s="9"/>
      <c r="B586" s="13" t="e">
        <f>VLOOKUP(Table2[[#This Row],[Location 
(drop-down)]],'List source'!D$2:E$71,2,FALSE)</f>
        <v>#N/A</v>
      </c>
      <c r="C586" s="11" t="s">
        <v>1412</v>
      </c>
      <c r="D586" s="212" t="e">
        <f t="shared" si="10"/>
        <v>#N/A</v>
      </c>
      <c r="E586" s="13"/>
      <c r="F586" s="13"/>
      <c r="G586" s="9"/>
      <c r="H586" s="10"/>
      <c r="I586" s="20"/>
      <c r="J586" s="166"/>
      <c r="K586" s="166"/>
      <c r="L586" s="166"/>
      <c r="M586" s="63"/>
      <c r="N586" s="166"/>
      <c r="O586" s="63"/>
      <c r="P586" s="196"/>
      <c r="Q586" s="37"/>
      <c r="R586" s="93"/>
      <c r="S586" s="13">
        <f ca="1">IF(ISBLANK(Table2[[#This Row],[Complete corrective actions (Approved Date)]]), TODAY()-Table2[[#This Row],[CAR initialized date]], "CLOSED")</f>
        <v>46077</v>
      </c>
    </row>
    <row r="587" spans="1:19" ht="36" customHeight="1" x14ac:dyDescent="0.25">
      <c r="A587" s="9"/>
      <c r="B587" s="13" t="e">
        <f>VLOOKUP(Table2[[#This Row],[Location 
(drop-down)]],'List source'!D$2:E$71,2,FALSE)</f>
        <v>#N/A</v>
      </c>
      <c r="C587" s="11" t="s">
        <v>1413</v>
      </c>
      <c r="D587" s="212" t="e">
        <f t="shared" si="10"/>
        <v>#N/A</v>
      </c>
      <c r="E587" s="13"/>
      <c r="F587" s="13"/>
      <c r="G587" s="9"/>
      <c r="H587" s="10"/>
      <c r="I587" s="20"/>
      <c r="J587" s="166"/>
      <c r="K587" s="166"/>
      <c r="L587" s="166"/>
      <c r="M587" s="63"/>
      <c r="N587" s="166"/>
      <c r="O587" s="63"/>
      <c r="P587" s="196"/>
      <c r="Q587" s="37"/>
      <c r="R587" s="93"/>
      <c r="S587" s="13">
        <f ca="1">IF(ISBLANK(Table2[[#This Row],[Complete corrective actions (Approved Date)]]), TODAY()-Table2[[#This Row],[CAR initialized date]], "CLOSED")</f>
        <v>46077</v>
      </c>
    </row>
    <row r="588" spans="1:19" ht="36" customHeight="1" x14ac:dyDescent="0.25">
      <c r="A588" s="9"/>
      <c r="B588" s="13" t="e">
        <f>VLOOKUP(Table2[[#This Row],[Location 
(drop-down)]],'List source'!D$2:E$71,2,FALSE)</f>
        <v>#N/A</v>
      </c>
      <c r="C588" s="11" t="s">
        <v>1414</v>
      </c>
      <c r="D588" s="212" t="e">
        <f t="shared" si="10"/>
        <v>#N/A</v>
      </c>
      <c r="E588" s="13"/>
      <c r="F588" s="13"/>
      <c r="G588" s="9"/>
      <c r="H588" s="10"/>
      <c r="I588" s="20"/>
      <c r="J588" s="166"/>
      <c r="K588" s="166"/>
      <c r="L588" s="166"/>
      <c r="M588" s="63"/>
      <c r="N588" s="166"/>
      <c r="O588" s="63"/>
      <c r="P588" s="196"/>
      <c r="Q588" s="37"/>
      <c r="R588" s="93"/>
      <c r="S588" s="13">
        <f ca="1">IF(ISBLANK(Table2[[#This Row],[Complete corrective actions (Approved Date)]]), TODAY()-Table2[[#This Row],[CAR initialized date]], "CLOSED")</f>
        <v>46077</v>
      </c>
    </row>
    <row r="589" spans="1:19" ht="36" customHeight="1" x14ac:dyDescent="0.25">
      <c r="A589" s="9"/>
      <c r="B589" s="13" t="e">
        <f>VLOOKUP(Table2[[#This Row],[Location 
(drop-down)]],'List source'!D$2:E$71,2,FALSE)</f>
        <v>#N/A</v>
      </c>
      <c r="C589" s="11" t="s">
        <v>1415</v>
      </c>
      <c r="D589" s="212" t="e">
        <f t="shared" si="10"/>
        <v>#N/A</v>
      </c>
      <c r="E589" s="13"/>
      <c r="F589" s="13"/>
      <c r="G589" s="9"/>
      <c r="H589" s="10"/>
      <c r="I589" s="20"/>
      <c r="J589" s="166"/>
      <c r="K589" s="166"/>
      <c r="L589" s="166"/>
      <c r="M589" s="63"/>
      <c r="N589" s="166"/>
      <c r="O589" s="63"/>
      <c r="P589" s="196"/>
      <c r="Q589" s="37"/>
      <c r="R589" s="93"/>
      <c r="S589" s="13">
        <f ca="1">IF(ISBLANK(Table2[[#This Row],[Complete corrective actions (Approved Date)]]), TODAY()-Table2[[#This Row],[CAR initialized date]], "CLOSED")</f>
        <v>46077</v>
      </c>
    </row>
    <row r="590" spans="1:19" ht="36" customHeight="1" x14ac:dyDescent="0.25">
      <c r="A590" s="9"/>
      <c r="B590" s="13" t="e">
        <f>VLOOKUP(Table2[[#This Row],[Location 
(drop-down)]],'List source'!D$2:E$71,2,FALSE)</f>
        <v>#N/A</v>
      </c>
      <c r="C590" s="11" t="s">
        <v>1416</v>
      </c>
      <c r="D590" s="212" t="e">
        <f t="shared" si="10"/>
        <v>#N/A</v>
      </c>
      <c r="E590" s="13"/>
      <c r="F590" s="13"/>
      <c r="G590" s="9"/>
      <c r="H590" s="10"/>
      <c r="I590" s="20"/>
      <c r="J590" s="166"/>
      <c r="K590" s="166"/>
      <c r="L590" s="166"/>
      <c r="M590" s="63"/>
      <c r="N590" s="166"/>
      <c r="O590" s="63"/>
      <c r="P590" s="196"/>
      <c r="Q590" s="37"/>
      <c r="R590" s="93"/>
      <c r="S590" s="13">
        <f ca="1">IF(ISBLANK(Table2[[#This Row],[Complete corrective actions (Approved Date)]]), TODAY()-Table2[[#This Row],[CAR initialized date]], "CLOSED")</f>
        <v>46077</v>
      </c>
    </row>
    <row r="591" spans="1:19" ht="36" customHeight="1" x14ac:dyDescent="0.25">
      <c r="A591" s="9"/>
      <c r="B591" s="13" t="e">
        <f>VLOOKUP(Table2[[#This Row],[Location 
(drop-down)]],'List source'!D$2:E$71,2,FALSE)</f>
        <v>#N/A</v>
      </c>
      <c r="C591" s="11" t="s">
        <v>1417</v>
      </c>
      <c r="D591" s="212" t="e">
        <f t="shared" si="10"/>
        <v>#N/A</v>
      </c>
      <c r="E591" s="13"/>
      <c r="F591" s="13"/>
      <c r="G591" s="9"/>
      <c r="H591" s="10"/>
      <c r="I591" s="20"/>
      <c r="J591" s="166"/>
      <c r="K591" s="166"/>
      <c r="L591" s="166"/>
      <c r="M591" s="63"/>
      <c r="N591" s="166"/>
      <c r="O591" s="63"/>
      <c r="P591" s="196"/>
      <c r="Q591" s="37"/>
      <c r="R591" s="93"/>
      <c r="S591" s="13">
        <f ca="1">IF(ISBLANK(Table2[[#This Row],[Complete corrective actions (Approved Date)]]), TODAY()-Table2[[#This Row],[CAR initialized date]], "CLOSED")</f>
        <v>46077</v>
      </c>
    </row>
    <row r="592" spans="1:19" ht="36" customHeight="1" x14ac:dyDescent="0.25">
      <c r="A592" s="9"/>
      <c r="B592" s="13" t="e">
        <f>VLOOKUP(Table2[[#This Row],[Location 
(drop-down)]],'List source'!D$2:E$71,2,FALSE)</f>
        <v>#N/A</v>
      </c>
      <c r="C592" s="11" t="s">
        <v>1418</v>
      </c>
      <c r="D592" s="212" t="e">
        <f t="shared" si="10"/>
        <v>#N/A</v>
      </c>
      <c r="E592" s="13"/>
      <c r="F592" s="13"/>
      <c r="G592" s="9"/>
      <c r="H592" s="10"/>
      <c r="I592" s="20"/>
      <c r="J592" s="166"/>
      <c r="K592" s="166"/>
      <c r="L592" s="166"/>
      <c r="M592" s="63"/>
      <c r="N592" s="166"/>
      <c r="O592" s="63"/>
      <c r="P592" s="196"/>
      <c r="Q592" s="37"/>
      <c r="R592" s="93"/>
      <c r="S592" s="13">
        <f ca="1">IF(ISBLANK(Table2[[#This Row],[Complete corrective actions (Approved Date)]]), TODAY()-Table2[[#This Row],[CAR initialized date]], "CLOSED")</f>
        <v>46077</v>
      </c>
    </row>
    <row r="593" spans="1:19" ht="36" customHeight="1" x14ac:dyDescent="0.25">
      <c r="A593" s="9"/>
      <c r="B593" s="13" t="e">
        <f>VLOOKUP(Table2[[#This Row],[Location 
(drop-down)]],'List source'!D$2:E$71,2,FALSE)</f>
        <v>#N/A</v>
      </c>
      <c r="C593" s="11" t="s">
        <v>1419</v>
      </c>
      <c r="D593" s="212" t="e">
        <f t="shared" si="10"/>
        <v>#N/A</v>
      </c>
      <c r="E593" s="13"/>
      <c r="F593" s="13"/>
      <c r="G593" s="104"/>
      <c r="H593" s="10"/>
      <c r="I593" s="20"/>
      <c r="J593" s="166"/>
      <c r="K593" s="166"/>
      <c r="L593" s="166"/>
      <c r="M593" s="63"/>
      <c r="N593" s="166"/>
      <c r="O593" s="63"/>
      <c r="P593" s="196"/>
      <c r="Q593" s="37"/>
      <c r="R593" s="93"/>
      <c r="S593" s="13">
        <f ca="1">IF(ISBLANK(Table2[[#This Row],[Complete corrective actions (Approved Date)]]), TODAY()-Table2[[#This Row],[CAR initialized date]], "CLOSED")</f>
        <v>46077</v>
      </c>
    </row>
    <row r="594" spans="1:19" ht="36" customHeight="1" x14ac:dyDescent="0.25">
      <c r="A594" s="9"/>
      <c r="B594" s="13" t="e">
        <f>VLOOKUP(Table2[[#This Row],[Location 
(drop-down)]],'List source'!D$2:E$71,2,FALSE)</f>
        <v>#N/A</v>
      </c>
      <c r="C594" s="11" t="s">
        <v>1420</v>
      </c>
      <c r="D594" s="212" t="e">
        <f t="shared" si="10"/>
        <v>#N/A</v>
      </c>
      <c r="E594" s="13"/>
      <c r="F594" s="13"/>
      <c r="G594" s="9"/>
      <c r="H594" s="10"/>
      <c r="I594" s="20"/>
      <c r="J594" s="166"/>
      <c r="K594" s="166"/>
      <c r="L594" s="166"/>
      <c r="M594" s="63"/>
      <c r="N594" s="166"/>
      <c r="O594" s="63"/>
      <c r="P594" s="196"/>
      <c r="Q594" s="37"/>
      <c r="R594" s="93"/>
      <c r="S594" s="13">
        <f ca="1">IF(ISBLANK(Table2[[#This Row],[Complete corrective actions (Approved Date)]]), TODAY()-Table2[[#This Row],[CAR initialized date]], "CLOSED")</f>
        <v>46077</v>
      </c>
    </row>
    <row r="595" spans="1:19" ht="36" customHeight="1" x14ac:dyDescent="0.25">
      <c r="A595" s="9"/>
      <c r="B595" s="13" t="e">
        <f>VLOOKUP(Table2[[#This Row],[Location 
(drop-down)]],'List source'!D$2:E$71,2,FALSE)</f>
        <v>#N/A</v>
      </c>
      <c r="C595" s="11" t="s">
        <v>1421</v>
      </c>
      <c r="D595" s="212" t="e">
        <f t="shared" si="10"/>
        <v>#N/A</v>
      </c>
      <c r="E595" s="13"/>
      <c r="F595" s="13"/>
      <c r="G595" s="9"/>
      <c r="H595" s="10"/>
      <c r="I595" s="20"/>
      <c r="J595" s="166"/>
      <c r="K595" s="166"/>
      <c r="L595" s="166"/>
      <c r="M595" s="63"/>
      <c r="N595" s="166"/>
      <c r="O595" s="63"/>
      <c r="P595" s="196"/>
      <c r="Q595" s="37"/>
      <c r="R595" s="93"/>
      <c r="S595" s="13">
        <f ca="1">IF(ISBLANK(Table2[[#This Row],[Complete corrective actions (Approved Date)]]), TODAY()-Table2[[#This Row],[CAR initialized date]], "CLOSED")</f>
        <v>46077</v>
      </c>
    </row>
    <row r="596" spans="1:19" ht="36" customHeight="1" x14ac:dyDescent="0.25">
      <c r="A596" s="9"/>
      <c r="B596" s="13" t="e">
        <f>VLOOKUP(Table2[[#This Row],[Location 
(drop-down)]],'List source'!D$2:E$71,2,FALSE)</f>
        <v>#N/A</v>
      </c>
      <c r="C596" s="11" t="s">
        <v>1422</v>
      </c>
      <c r="D596" s="212" t="e">
        <f t="shared" si="10"/>
        <v>#N/A</v>
      </c>
      <c r="E596" s="13"/>
      <c r="F596" s="13"/>
      <c r="G596" s="9"/>
      <c r="H596" s="10"/>
      <c r="I596" s="20"/>
      <c r="J596" s="166"/>
      <c r="K596" s="166"/>
      <c r="L596" s="166"/>
      <c r="M596" s="63"/>
      <c r="N596" s="166"/>
      <c r="O596" s="63"/>
      <c r="P596" s="196"/>
      <c r="Q596" s="37"/>
      <c r="R596" s="93"/>
      <c r="S596" s="13">
        <f ca="1">IF(ISBLANK(Table2[[#This Row],[Complete corrective actions (Approved Date)]]), TODAY()-Table2[[#This Row],[CAR initialized date]], "CLOSED")</f>
        <v>46077</v>
      </c>
    </row>
    <row r="597" spans="1:19" ht="36" customHeight="1" x14ac:dyDescent="0.25">
      <c r="A597" s="9"/>
      <c r="B597" s="13" t="e">
        <f>VLOOKUP(Table2[[#This Row],[Location 
(drop-down)]],'List source'!D$2:E$71,2,FALSE)</f>
        <v>#N/A</v>
      </c>
      <c r="C597" s="11" t="s">
        <v>1423</v>
      </c>
      <c r="D597" s="212" t="e">
        <f t="shared" si="10"/>
        <v>#N/A</v>
      </c>
      <c r="E597" s="13"/>
      <c r="F597" s="13"/>
      <c r="G597" s="9"/>
      <c r="H597" s="10"/>
      <c r="I597" s="20"/>
      <c r="J597" s="166"/>
      <c r="K597" s="166"/>
      <c r="L597" s="166"/>
      <c r="M597" s="63"/>
      <c r="N597" s="166"/>
      <c r="O597" s="63"/>
      <c r="P597" s="196"/>
      <c r="Q597" s="37"/>
      <c r="R597" s="93"/>
      <c r="S597" s="13">
        <f ca="1">IF(ISBLANK(Table2[[#This Row],[Complete corrective actions (Approved Date)]]), TODAY()-Table2[[#This Row],[CAR initialized date]], "CLOSED")</f>
        <v>46077</v>
      </c>
    </row>
    <row r="598" spans="1:19" ht="36" customHeight="1" x14ac:dyDescent="0.25">
      <c r="A598" s="9"/>
      <c r="B598" s="13" t="e">
        <f>VLOOKUP(Table2[[#This Row],[Location 
(drop-down)]],'List source'!D$2:E$71,2,FALSE)</f>
        <v>#N/A</v>
      </c>
      <c r="C598" s="11" t="s">
        <v>1424</v>
      </c>
      <c r="D598" s="212" t="e">
        <f t="shared" si="10"/>
        <v>#N/A</v>
      </c>
      <c r="E598" s="13"/>
      <c r="F598" s="13"/>
      <c r="G598" s="9"/>
      <c r="H598" s="10"/>
      <c r="I598" s="20"/>
      <c r="J598" s="166"/>
      <c r="K598" s="166"/>
      <c r="L598" s="166"/>
      <c r="M598" s="63"/>
      <c r="N598" s="166"/>
      <c r="O598" s="63"/>
      <c r="P598" s="196"/>
      <c r="Q598" s="37"/>
      <c r="R598" s="93"/>
      <c r="S598" s="13">
        <f ca="1">IF(ISBLANK(Table2[[#This Row],[Complete corrective actions (Approved Date)]]), TODAY()-Table2[[#This Row],[CAR initialized date]], "CLOSED")</f>
        <v>46077</v>
      </c>
    </row>
    <row r="599" spans="1:19" ht="36" customHeight="1" x14ac:dyDescent="0.25">
      <c r="A599" s="9"/>
      <c r="B599" s="13" t="e">
        <f>VLOOKUP(Table2[[#This Row],[Location 
(drop-down)]],'List source'!D$2:E$71,2,FALSE)</f>
        <v>#N/A</v>
      </c>
      <c r="C599" s="11" t="s">
        <v>1425</v>
      </c>
      <c r="D599" s="212" t="e">
        <f t="shared" si="10"/>
        <v>#N/A</v>
      </c>
      <c r="E599" s="13"/>
      <c r="F599" s="13"/>
      <c r="G599" s="9"/>
      <c r="H599" s="10"/>
      <c r="I599" s="20"/>
      <c r="J599" s="166"/>
      <c r="K599" s="166"/>
      <c r="L599" s="166"/>
      <c r="M599" s="63"/>
      <c r="N599" s="166"/>
      <c r="O599" s="63"/>
      <c r="P599" s="196"/>
      <c r="Q599" s="37"/>
      <c r="R599" s="93"/>
      <c r="S599" s="13">
        <f ca="1">IF(ISBLANK(Table2[[#This Row],[Complete corrective actions (Approved Date)]]), TODAY()-Table2[[#This Row],[CAR initialized date]], "CLOSED")</f>
        <v>46077</v>
      </c>
    </row>
    <row r="600" spans="1:19" ht="36" customHeight="1" x14ac:dyDescent="0.25">
      <c r="A600" s="9"/>
      <c r="B600" s="13" t="e">
        <f>VLOOKUP(Table2[[#This Row],[Location 
(drop-down)]],'List source'!D$2:E$71,2,FALSE)</f>
        <v>#N/A</v>
      </c>
      <c r="C600" s="11" t="s">
        <v>1426</v>
      </c>
      <c r="D600" s="212" t="e">
        <f t="shared" si="10"/>
        <v>#N/A</v>
      </c>
      <c r="E600" s="13"/>
      <c r="F600" s="13"/>
      <c r="G600" s="9"/>
      <c r="H600" s="10"/>
      <c r="I600" s="20"/>
      <c r="J600" s="166"/>
      <c r="K600" s="166"/>
      <c r="L600" s="166"/>
      <c r="M600" s="63"/>
      <c r="N600" s="166"/>
      <c r="O600" s="63"/>
      <c r="P600" s="196"/>
      <c r="Q600" s="37"/>
      <c r="R600" s="93"/>
      <c r="S600" s="13">
        <f ca="1">IF(ISBLANK(Table2[[#This Row],[Complete corrective actions (Approved Date)]]), TODAY()-Table2[[#This Row],[CAR initialized date]], "CLOSED")</f>
        <v>46077</v>
      </c>
    </row>
    <row r="601" spans="1:19" ht="36" customHeight="1" x14ac:dyDescent="0.25">
      <c r="A601" s="9"/>
      <c r="B601" s="13" t="e">
        <f>VLOOKUP(Table2[[#This Row],[Location 
(drop-down)]],'List source'!D$2:E$71,2,FALSE)</f>
        <v>#N/A</v>
      </c>
      <c r="C601" s="11" t="s">
        <v>1427</v>
      </c>
      <c r="D601" s="212" t="e">
        <f t="shared" si="10"/>
        <v>#N/A</v>
      </c>
      <c r="E601" s="13"/>
      <c r="F601" s="13"/>
      <c r="G601" s="9"/>
      <c r="H601" s="10"/>
      <c r="I601" s="20"/>
      <c r="J601" s="166"/>
      <c r="K601" s="166"/>
      <c r="L601" s="166"/>
      <c r="M601" s="63"/>
      <c r="N601" s="166"/>
      <c r="O601" s="63"/>
      <c r="P601" s="196"/>
      <c r="Q601" s="37"/>
      <c r="R601" s="93"/>
      <c r="S601" s="13">
        <f ca="1">IF(ISBLANK(Table2[[#This Row],[Complete corrective actions (Approved Date)]]), TODAY()-Table2[[#This Row],[CAR initialized date]], "CLOSED")</f>
        <v>46077</v>
      </c>
    </row>
    <row r="602" spans="1:19" ht="36" customHeight="1" x14ac:dyDescent="0.25">
      <c r="A602" s="9"/>
      <c r="B602" s="13" t="e">
        <f>VLOOKUP(Table2[[#This Row],[Location 
(drop-down)]],'List source'!D$2:E$71,2,FALSE)</f>
        <v>#N/A</v>
      </c>
      <c r="C602" s="11" t="s">
        <v>1428</v>
      </c>
      <c r="D602" s="212" t="e">
        <f t="shared" si="10"/>
        <v>#N/A</v>
      </c>
      <c r="E602" s="13"/>
      <c r="F602" s="13"/>
      <c r="G602" s="9"/>
      <c r="H602" s="10"/>
      <c r="I602" s="20"/>
      <c r="J602" s="166"/>
      <c r="K602" s="166"/>
      <c r="L602" s="166"/>
      <c r="M602" s="63"/>
      <c r="N602" s="166"/>
      <c r="O602" s="63"/>
      <c r="P602" s="196"/>
      <c r="Q602" s="37"/>
      <c r="R602" s="93"/>
      <c r="S602" s="13">
        <f ca="1">IF(ISBLANK(Table2[[#This Row],[Complete corrective actions (Approved Date)]]), TODAY()-Table2[[#This Row],[CAR initialized date]], "CLOSED")</f>
        <v>46077</v>
      </c>
    </row>
    <row r="603" spans="1:19" ht="36" customHeight="1" x14ac:dyDescent="0.25">
      <c r="A603" s="9"/>
      <c r="B603" s="13" t="e">
        <f>VLOOKUP(Table2[[#This Row],[Location 
(drop-down)]],'List source'!D$2:E$71,2,FALSE)</f>
        <v>#N/A</v>
      </c>
      <c r="C603" s="11" t="s">
        <v>1429</v>
      </c>
      <c r="D603" s="212" t="e">
        <f t="shared" si="10"/>
        <v>#N/A</v>
      </c>
      <c r="E603" s="13"/>
      <c r="F603" s="13"/>
      <c r="G603" s="9"/>
      <c r="H603" s="10"/>
      <c r="I603" s="20"/>
      <c r="J603" s="166"/>
      <c r="K603" s="166"/>
      <c r="L603" s="166"/>
      <c r="M603" s="63"/>
      <c r="N603" s="166"/>
      <c r="O603" s="63"/>
      <c r="P603" s="196"/>
      <c r="Q603" s="37"/>
      <c r="R603" s="93"/>
      <c r="S603" s="13">
        <f ca="1">IF(ISBLANK(Table2[[#This Row],[Complete corrective actions (Approved Date)]]), TODAY()-Table2[[#This Row],[CAR initialized date]], "CLOSED")</f>
        <v>46077</v>
      </c>
    </row>
    <row r="604" spans="1:19" ht="36" customHeight="1" x14ac:dyDescent="0.25">
      <c r="A604" s="9"/>
      <c r="B604" s="13" t="e">
        <f>VLOOKUP(Table2[[#This Row],[Location 
(drop-down)]],'List source'!D$2:E$71,2,FALSE)</f>
        <v>#N/A</v>
      </c>
      <c r="C604" s="11" t="s">
        <v>1430</v>
      </c>
      <c r="D604" s="212" t="e">
        <f t="shared" si="10"/>
        <v>#N/A</v>
      </c>
      <c r="E604" s="13"/>
      <c r="F604" s="13"/>
      <c r="G604" s="9"/>
      <c r="H604" s="10"/>
      <c r="I604" s="20"/>
      <c r="J604" s="166"/>
      <c r="K604" s="166"/>
      <c r="L604" s="166"/>
      <c r="M604" s="63"/>
      <c r="N604" s="166"/>
      <c r="O604" s="63"/>
      <c r="P604" s="196"/>
      <c r="Q604" s="37"/>
      <c r="R604" s="93"/>
      <c r="S604" s="13">
        <f ca="1">IF(ISBLANK(Table2[[#This Row],[Complete corrective actions (Approved Date)]]), TODAY()-Table2[[#This Row],[CAR initialized date]], "CLOSED")</f>
        <v>46077</v>
      </c>
    </row>
    <row r="605" spans="1:19" ht="36" customHeight="1" x14ac:dyDescent="0.25">
      <c r="A605" s="9"/>
      <c r="B605" s="13" t="e">
        <f>VLOOKUP(Table2[[#This Row],[Location 
(drop-down)]],'List source'!D$2:E$71,2,FALSE)</f>
        <v>#N/A</v>
      </c>
      <c r="C605" s="11" t="s">
        <v>1431</v>
      </c>
      <c r="D605" s="212" t="e">
        <f t="shared" si="10"/>
        <v>#N/A</v>
      </c>
      <c r="E605" s="13"/>
      <c r="F605" s="13"/>
      <c r="G605" s="9"/>
      <c r="H605" s="10"/>
      <c r="I605" s="20"/>
      <c r="J605" s="166"/>
      <c r="K605" s="166"/>
      <c r="L605" s="166"/>
      <c r="M605" s="63"/>
      <c r="N605" s="166"/>
      <c r="O605" s="63"/>
      <c r="P605" s="196"/>
      <c r="Q605" s="37"/>
      <c r="R605" s="93"/>
      <c r="S605" s="13">
        <f ca="1">IF(ISBLANK(Table2[[#This Row],[Complete corrective actions (Approved Date)]]), TODAY()-Table2[[#This Row],[CAR initialized date]], "CLOSED")</f>
        <v>46077</v>
      </c>
    </row>
    <row r="606" spans="1:19" ht="36" customHeight="1" x14ac:dyDescent="0.25">
      <c r="A606" s="9"/>
      <c r="B606" s="13" t="e">
        <f>VLOOKUP(Table2[[#This Row],[Location 
(drop-down)]],'List source'!D$2:E$71,2,FALSE)</f>
        <v>#N/A</v>
      </c>
      <c r="C606" s="11" t="s">
        <v>1432</v>
      </c>
      <c r="D606" s="212" t="e">
        <f t="shared" si="10"/>
        <v>#N/A</v>
      </c>
      <c r="E606" s="13"/>
      <c r="F606" s="13"/>
      <c r="G606" s="9"/>
      <c r="H606" s="10"/>
      <c r="I606" s="20"/>
      <c r="J606" s="166"/>
      <c r="K606" s="166"/>
      <c r="L606" s="166"/>
      <c r="M606" s="63"/>
      <c r="N606" s="166"/>
      <c r="O606" s="63"/>
      <c r="P606" s="196"/>
      <c r="Q606" s="37"/>
      <c r="R606" s="93"/>
      <c r="S606" s="13">
        <f ca="1">IF(ISBLANK(Table2[[#This Row],[Complete corrective actions (Approved Date)]]), TODAY()-Table2[[#This Row],[CAR initialized date]], "CLOSED")</f>
        <v>46077</v>
      </c>
    </row>
    <row r="607" spans="1:19" ht="36" customHeight="1" x14ac:dyDescent="0.25">
      <c r="A607" s="9"/>
      <c r="B607" s="13" t="e">
        <f>VLOOKUP(Table2[[#This Row],[Location 
(drop-down)]],'List source'!D$2:E$71,2,FALSE)</f>
        <v>#N/A</v>
      </c>
      <c r="C607" s="11" t="s">
        <v>1433</v>
      </c>
      <c r="D607" s="212" t="e">
        <f t="shared" si="10"/>
        <v>#N/A</v>
      </c>
      <c r="E607" s="13"/>
      <c r="F607" s="13"/>
      <c r="G607" s="9"/>
      <c r="H607" s="10"/>
      <c r="I607" s="20"/>
      <c r="J607" s="166"/>
      <c r="K607" s="166"/>
      <c r="L607" s="166"/>
      <c r="M607" s="63"/>
      <c r="N607" s="166"/>
      <c r="O607" s="63"/>
      <c r="P607" s="196"/>
      <c r="Q607" s="37"/>
      <c r="R607" s="93"/>
      <c r="S607" s="13">
        <f ca="1">IF(ISBLANK(Table2[[#This Row],[Complete corrective actions (Approved Date)]]), TODAY()-Table2[[#This Row],[CAR initialized date]], "CLOSED")</f>
        <v>46077</v>
      </c>
    </row>
    <row r="608" spans="1:19" ht="36" customHeight="1" x14ac:dyDescent="0.25">
      <c r="A608" s="9"/>
      <c r="B608" s="13" t="e">
        <f>VLOOKUP(Table2[[#This Row],[Location 
(drop-down)]],'List source'!D$2:E$71,2,FALSE)</f>
        <v>#N/A</v>
      </c>
      <c r="C608" s="11" t="s">
        <v>1434</v>
      </c>
      <c r="D608" s="212" t="e">
        <f t="shared" si="10"/>
        <v>#N/A</v>
      </c>
      <c r="E608" s="13"/>
      <c r="F608" s="13"/>
      <c r="G608" s="9"/>
      <c r="H608" s="10"/>
      <c r="I608" s="20"/>
      <c r="J608" s="166"/>
      <c r="K608" s="166"/>
      <c r="L608" s="166"/>
      <c r="M608" s="63"/>
      <c r="N608" s="166"/>
      <c r="O608" s="63"/>
      <c r="P608" s="196"/>
      <c r="Q608" s="37"/>
      <c r="R608" s="93"/>
      <c r="S608" s="13">
        <f ca="1">IF(ISBLANK(Table2[[#This Row],[Complete corrective actions (Approved Date)]]), TODAY()-Table2[[#This Row],[CAR initialized date]], "CLOSED")</f>
        <v>46077</v>
      </c>
    </row>
    <row r="609" spans="1:19" ht="36" customHeight="1" x14ac:dyDescent="0.25">
      <c r="A609" s="9"/>
      <c r="B609" s="13" t="e">
        <f>VLOOKUP(Table2[[#This Row],[Location 
(drop-down)]],'List source'!D$2:E$71,2,FALSE)</f>
        <v>#N/A</v>
      </c>
      <c r="C609" s="11" t="s">
        <v>1435</v>
      </c>
      <c r="D609" s="212" t="e">
        <f t="shared" si="10"/>
        <v>#N/A</v>
      </c>
      <c r="E609" s="13"/>
      <c r="F609" s="13"/>
      <c r="G609" s="9"/>
      <c r="H609" s="10"/>
      <c r="I609" s="20"/>
      <c r="J609" s="166"/>
      <c r="K609" s="166"/>
      <c r="L609" s="166"/>
      <c r="M609" s="63"/>
      <c r="N609" s="166"/>
      <c r="O609" s="63"/>
      <c r="P609" s="196"/>
      <c r="Q609" s="37"/>
      <c r="R609" s="93"/>
      <c r="S609" s="13">
        <f ca="1">IF(ISBLANK(Table2[[#This Row],[Complete corrective actions (Approved Date)]]), TODAY()-Table2[[#This Row],[CAR initialized date]], "CLOSED")</f>
        <v>46077</v>
      </c>
    </row>
    <row r="610" spans="1:19" ht="36" customHeight="1" x14ac:dyDescent="0.25">
      <c r="A610" s="9"/>
      <c r="B610" s="13" t="e">
        <f>VLOOKUP(Table2[[#This Row],[Location 
(drop-down)]],'List source'!D$2:E$71,2,FALSE)</f>
        <v>#N/A</v>
      </c>
      <c r="C610" s="11" t="s">
        <v>1436</v>
      </c>
      <c r="D610" s="212" t="e">
        <f t="shared" si="10"/>
        <v>#N/A</v>
      </c>
      <c r="E610" s="13"/>
      <c r="F610" s="13"/>
      <c r="G610" s="9"/>
      <c r="H610" s="10"/>
      <c r="I610" s="20"/>
      <c r="J610" s="166"/>
      <c r="K610" s="166"/>
      <c r="L610" s="166"/>
      <c r="M610" s="63"/>
      <c r="N610" s="166"/>
      <c r="O610" s="63"/>
      <c r="P610" s="196"/>
      <c r="Q610" s="37"/>
      <c r="R610" s="93"/>
      <c r="S610" s="13">
        <f ca="1">IF(ISBLANK(Table2[[#This Row],[Complete corrective actions (Approved Date)]]), TODAY()-Table2[[#This Row],[CAR initialized date]], "CLOSED")</f>
        <v>46077</v>
      </c>
    </row>
    <row r="611" spans="1:19" ht="36" customHeight="1" x14ac:dyDescent="0.25">
      <c r="A611" s="9"/>
      <c r="B611" s="13" t="e">
        <f>VLOOKUP(Table2[[#This Row],[Location 
(drop-down)]],'List source'!D$2:E$71,2,FALSE)</f>
        <v>#N/A</v>
      </c>
      <c r="C611" s="11" t="s">
        <v>1437</v>
      </c>
      <c r="D611" s="212" t="e">
        <f t="shared" si="10"/>
        <v>#N/A</v>
      </c>
      <c r="E611" s="13"/>
      <c r="F611" s="13"/>
      <c r="G611" s="9"/>
      <c r="H611" s="10"/>
      <c r="I611" s="20"/>
      <c r="J611" s="166"/>
      <c r="K611" s="166"/>
      <c r="L611" s="166"/>
      <c r="M611" s="63"/>
      <c r="N611" s="166"/>
      <c r="O611" s="63"/>
      <c r="P611" s="196"/>
      <c r="Q611" s="37"/>
      <c r="R611" s="93"/>
      <c r="S611" s="13">
        <f ca="1">IF(ISBLANK(Table2[[#This Row],[Complete corrective actions (Approved Date)]]), TODAY()-Table2[[#This Row],[CAR initialized date]], "CLOSED")</f>
        <v>46077</v>
      </c>
    </row>
    <row r="612" spans="1:19" ht="36" customHeight="1" x14ac:dyDescent="0.25">
      <c r="A612" s="9"/>
      <c r="B612" s="13" t="e">
        <f>VLOOKUP(Table2[[#This Row],[Location 
(drop-down)]],'List source'!D$2:E$71,2,FALSE)</f>
        <v>#N/A</v>
      </c>
      <c r="C612" s="11" t="s">
        <v>1438</v>
      </c>
      <c r="D612" s="212" t="e">
        <f t="shared" si="10"/>
        <v>#N/A</v>
      </c>
      <c r="E612" s="13"/>
      <c r="F612" s="13"/>
      <c r="G612" s="9"/>
      <c r="H612" s="10"/>
      <c r="I612" s="20"/>
      <c r="J612" s="166"/>
      <c r="K612" s="166"/>
      <c r="L612" s="166"/>
      <c r="M612" s="63"/>
      <c r="N612" s="166"/>
      <c r="O612" s="63"/>
      <c r="P612" s="196"/>
      <c r="Q612" s="37"/>
      <c r="R612" s="93"/>
      <c r="S612" s="13">
        <f ca="1">IF(ISBLANK(Table2[[#This Row],[Complete corrective actions (Approved Date)]]), TODAY()-Table2[[#This Row],[CAR initialized date]], "CLOSED")</f>
        <v>46077</v>
      </c>
    </row>
    <row r="613" spans="1:19" ht="36" customHeight="1" x14ac:dyDescent="0.25">
      <c r="A613" s="9"/>
      <c r="B613" s="13" t="e">
        <f>VLOOKUP(Table2[[#This Row],[Location 
(drop-down)]],'List source'!D$2:E$71,2,FALSE)</f>
        <v>#N/A</v>
      </c>
      <c r="C613" s="11" t="s">
        <v>1439</v>
      </c>
      <c r="D613" s="212" t="e">
        <f t="shared" si="10"/>
        <v>#N/A</v>
      </c>
      <c r="E613" s="13"/>
      <c r="F613" s="13"/>
      <c r="G613" s="9"/>
      <c r="H613" s="10"/>
      <c r="I613" s="20"/>
      <c r="J613" s="166"/>
      <c r="K613" s="166"/>
      <c r="L613" s="166"/>
      <c r="M613" s="63"/>
      <c r="N613" s="166"/>
      <c r="O613" s="63"/>
      <c r="P613" s="196"/>
      <c r="Q613" s="37"/>
      <c r="R613" s="93"/>
      <c r="S613" s="13">
        <f ca="1">IF(ISBLANK(Table2[[#This Row],[Complete corrective actions (Approved Date)]]), TODAY()-Table2[[#This Row],[CAR initialized date]], "CLOSED")</f>
        <v>46077</v>
      </c>
    </row>
    <row r="614" spans="1:19" ht="36" customHeight="1" x14ac:dyDescent="0.25">
      <c r="A614" s="9"/>
      <c r="B614" s="13" t="e">
        <f>VLOOKUP(Table2[[#This Row],[Location 
(drop-down)]],'List source'!D$2:E$71,2,FALSE)</f>
        <v>#N/A</v>
      </c>
      <c r="C614" s="11" t="s">
        <v>1440</v>
      </c>
      <c r="D614" s="212" t="e">
        <f t="shared" si="10"/>
        <v>#N/A</v>
      </c>
      <c r="E614" s="13"/>
      <c r="F614" s="13"/>
      <c r="G614" s="9"/>
      <c r="H614" s="10"/>
      <c r="I614" s="20"/>
      <c r="J614" s="166"/>
      <c r="K614" s="166"/>
      <c r="L614" s="166"/>
      <c r="M614" s="63"/>
      <c r="N614" s="166"/>
      <c r="O614" s="63"/>
      <c r="P614" s="196"/>
      <c r="Q614" s="37"/>
      <c r="R614" s="93"/>
      <c r="S614" s="13">
        <f ca="1">IF(ISBLANK(Table2[[#This Row],[Complete corrective actions (Approved Date)]]), TODAY()-Table2[[#This Row],[CAR initialized date]], "CLOSED")</f>
        <v>46077</v>
      </c>
    </row>
    <row r="615" spans="1:19" ht="36" customHeight="1" x14ac:dyDescent="0.25">
      <c r="A615" s="9"/>
      <c r="B615" s="13" t="e">
        <f>VLOOKUP(Table2[[#This Row],[Location 
(drop-down)]],'List source'!D$2:E$71,2,FALSE)</f>
        <v>#N/A</v>
      </c>
      <c r="C615" s="11" t="s">
        <v>1441</v>
      </c>
      <c r="D615" s="212" t="e">
        <f t="shared" si="10"/>
        <v>#N/A</v>
      </c>
      <c r="E615" s="13"/>
      <c r="F615" s="13"/>
      <c r="G615" s="9"/>
      <c r="H615" s="10"/>
      <c r="I615" s="20"/>
      <c r="J615" s="166"/>
      <c r="K615" s="166"/>
      <c r="L615" s="166"/>
      <c r="M615" s="63"/>
      <c r="N615" s="166"/>
      <c r="O615" s="63"/>
      <c r="P615" s="196"/>
      <c r="Q615" s="37"/>
      <c r="R615" s="93"/>
      <c r="S615" s="13">
        <f ca="1">IF(ISBLANK(Table2[[#This Row],[Complete corrective actions (Approved Date)]]), TODAY()-Table2[[#This Row],[CAR initialized date]], "CLOSED")</f>
        <v>46077</v>
      </c>
    </row>
    <row r="616" spans="1:19" ht="36" customHeight="1" x14ac:dyDescent="0.25">
      <c r="A616" s="9"/>
      <c r="B616" s="13" t="e">
        <f>VLOOKUP(Table2[[#This Row],[Location 
(drop-down)]],'List source'!D$2:E$71,2,FALSE)</f>
        <v>#N/A</v>
      </c>
      <c r="C616" s="11" t="s">
        <v>1442</v>
      </c>
      <c r="D616" s="212" t="e">
        <f t="shared" si="10"/>
        <v>#N/A</v>
      </c>
      <c r="E616" s="13"/>
      <c r="F616" s="13"/>
      <c r="G616" s="9"/>
      <c r="H616" s="10"/>
      <c r="I616" s="20"/>
      <c r="J616" s="166"/>
      <c r="K616" s="166"/>
      <c r="L616" s="166"/>
      <c r="M616" s="63"/>
      <c r="N616" s="166"/>
      <c r="O616" s="63"/>
      <c r="P616" s="196"/>
      <c r="Q616" s="37"/>
      <c r="R616" s="93"/>
      <c r="S616" s="13">
        <f ca="1">IF(ISBLANK(Table2[[#This Row],[Complete corrective actions (Approved Date)]]), TODAY()-Table2[[#This Row],[CAR initialized date]], "CLOSED")</f>
        <v>46077</v>
      </c>
    </row>
    <row r="617" spans="1:19" ht="36" customHeight="1" x14ac:dyDescent="0.25">
      <c r="A617" s="9"/>
      <c r="B617" s="13" t="e">
        <f>VLOOKUP(Table2[[#This Row],[Location 
(drop-down)]],'List source'!D$2:E$71,2,FALSE)</f>
        <v>#N/A</v>
      </c>
      <c r="C617" s="11" t="s">
        <v>1443</v>
      </c>
      <c r="D617" s="212" t="e">
        <f t="shared" si="10"/>
        <v>#N/A</v>
      </c>
      <c r="E617" s="13"/>
      <c r="F617" s="13"/>
      <c r="G617" s="9"/>
      <c r="H617" s="10"/>
      <c r="I617" s="20"/>
      <c r="J617" s="166"/>
      <c r="K617" s="166"/>
      <c r="L617" s="166"/>
      <c r="M617" s="63"/>
      <c r="N617" s="166"/>
      <c r="O617" s="63"/>
      <c r="P617" s="196"/>
      <c r="Q617" s="37"/>
      <c r="R617" s="93"/>
      <c r="S617" s="13">
        <f ca="1">IF(ISBLANK(Table2[[#This Row],[Complete corrective actions (Approved Date)]]), TODAY()-Table2[[#This Row],[CAR initialized date]], "CLOSED")</f>
        <v>46077</v>
      </c>
    </row>
    <row r="618" spans="1:19" ht="36" customHeight="1" x14ac:dyDescent="0.25">
      <c r="A618" s="9"/>
      <c r="B618" s="13" t="e">
        <f>VLOOKUP(Table2[[#This Row],[Location 
(drop-down)]],'List source'!D$2:E$71,2,FALSE)</f>
        <v>#N/A</v>
      </c>
      <c r="C618" s="11" t="s">
        <v>1444</v>
      </c>
      <c r="D618" s="212" t="e">
        <f t="shared" si="10"/>
        <v>#N/A</v>
      </c>
      <c r="E618" s="13"/>
      <c r="F618" s="13"/>
      <c r="G618" s="9"/>
      <c r="H618" s="10"/>
      <c r="I618" s="20"/>
      <c r="J618" s="166"/>
      <c r="K618" s="166"/>
      <c r="L618" s="166"/>
      <c r="M618" s="63"/>
      <c r="N618" s="166"/>
      <c r="O618" s="63"/>
      <c r="P618" s="196"/>
      <c r="Q618" s="37"/>
      <c r="R618" s="93"/>
      <c r="S618" s="13">
        <f ca="1">IF(ISBLANK(Table2[[#This Row],[Complete corrective actions (Approved Date)]]), TODAY()-Table2[[#This Row],[CAR initialized date]], "CLOSED")</f>
        <v>46077</v>
      </c>
    </row>
    <row r="619" spans="1:19" ht="36" customHeight="1" x14ac:dyDescent="0.25">
      <c r="A619" s="9"/>
      <c r="B619" s="13" t="e">
        <f>VLOOKUP(Table2[[#This Row],[Location 
(drop-down)]],'List source'!D$2:E$71,2,FALSE)</f>
        <v>#N/A</v>
      </c>
      <c r="C619" s="11" t="s">
        <v>1445</v>
      </c>
      <c r="D619" s="212" t="e">
        <f t="shared" si="10"/>
        <v>#N/A</v>
      </c>
      <c r="E619" s="13"/>
      <c r="F619" s="13"/>
      <c r="G619" s="9"/>
      <c r="H619" s="10"/>
      <c r="I619" s="20"/>
      <c r="J619" s="166"/>
      <c r="K619" s="166"/>
      <c r="L619" s="166"/>
      <c r="M619" s="63"/>
      <c r="N619" s="166"/>
      <c r="O619" s="63"/>
      <c r="P619" s="196"/>
      <c r="Q619" s="37"/>
      <c r="R619" s="93"/>
      <c r="S619" s="13">
        <f ca="1">IF(ISBLANK(Table2[[#This Row],[Complete corrective actions (Approved Date)]]), TODAY()-Table2[[#This Row],[CAR initialized date]], "CLOSED")</f>
        <v>46077</v>
      </c>
    </row>
    <row r="620" spans="1:19" ht="36" customHeight="1" x14ac:dyDescent="0.25">
      <c r="A620" s="9"/>
      <c r="B620" s="13" t="e">
        <f>VLOOKUP(Table2[[#This Row],[Location 
(drop-down)]],'List source'!D$2:E$71,2,FALSE)</f>
        <v>#N/A</v>
      </c>
      <c r="C620" s="11" t="s">
        <v>1446</v>
      </c>
      <c r="D620" s="212" t="e">
        <f t="shared" si="10"/>
        <v>#N/A</v>
      </c>
      <c r="E620" s="13"/>
      <c r="F620" s="13"/>
      <c r="G620" s="9"/>
      <c r="H620" s="10"/>
      <c r="I620" s="20"/>
      <c r="J620" s="166"/>
      <c r="K620" s="166"/>
      <c r="L620" s="166"/>
      <c r="M620" s="63"/>
      <c r="N620" s="166"/>
      <c r="O620" s="63"/>
      <c r="P620" s="196"/>
      <c r="Q620" s="37"/>
      <c r="R620" s="93"/>
      <c r="S620" s="13">
        <f ca="1">IF(ISBLANK(Table2[[#This Row],[Complete corrective actions (Approved Date)]]), TODAY()-Table2[[#This Row],[CAR initialized date]], "CLOSED")</f>
        <v>46077</v>
      </c>
    </row>
    <row r="621" spans="1:19" ht="36" customHeight="1" x14ac:dyDescent="0.25">
      <c r="A621" s="9"/>
      <c r="B621" s="13" t="e">
        <f>VLOOKUP(Table2[[#This Row],[Location 
(drop-down)]],'List source'!D$2:E$71,2,FALSE)</f>
        <v>#N/A</v>
      </c>
      <c r="C621" s="11" t="s">
        <v>1447</v>
      </c>
      <c r="D621" s="212" t="e">
        <f t="shared" si="10"/>
        <v>#N/A</v>
      </c>
      <c r="E621" s="13"/>
      <c r="F621" s="13"/>
      <c r="G621" s="9"/>
      <c r="H621" s="10"/>
      <c r="I621" s="20"/>
      <c r="J621" s="166"/>
      <c r="K621" s="166"/>
      <c r="L621" s="166"/>
      <c r="M621" s="63"/>
      <c r="N621" s="166"/>
      <c r="O621" s="63"/>
      <c r="P621" s="196"/>
      <c r="Q621" s="37"/>
      <c r="R621" s="93"/>
      <c r="S621" s="13">
        <f ca="1">IF(ISBLANK(Table2[[#This Row],[Complete corrective actions (Approved Date)]]), TODAY()-Table2[[#This Row],[CAR initialized date]], "CLOSED")</f>
        <v>46077</v>
      </c>
    </row>
    <row r="622" spans="1:19" ht="36" customHeight="1" x14ac:dyDescent="0.25">
      <c r="A622" s="9"/>
      <c r="B622" s="13" t="e">
        <f>VLOOKUP(Table2[[#This Row],[Location 
(drop-down)]],'List source'!D$2:E$71,2,FALSE)</f>
        <v>#N/A</v>
      </c>
      <c r="C622" s="11" t="s">
        <v>1448</v>
      </c>
      <c r="D622" s="212" t="e">
        <f t="shared" si="10"/>
        <v>#N/A</v>
      </c>
      <c r="E622" s="13"/>
      <c r="F622" s="13"/>
      <c r="G622" s="9"/>
      <c r="H622" s="10"/>
      <c r="I622" s="20"/>
      <c r="J622" s="166"/>
      <c r="K622" s="166"/>
      <c r="L622" s="166"/>
      <c r="M622" s="63"/>
      <c r="N622" s="166"/>
      <c r="O622" s="63"/>
      <c r="P622" s="196"/>
      <c r="Q622" s="37"/>
      <c r="R622" s="93"/>
      <c r="S622" s="13">
        <f ca="1">IF(ISBLANK(Table2[[#This Row],[Complete corrective actions (Approved Date)]]), TODAY()-Table2[[#This Row],[CAR initialized date]], "CLOSED")</f>
        <v>46077</v>
      </c>
    </row>
    <row r="623" spans="1:19" ht="36" customHeight="1" x14ac:dyDescent="0.25">
      <c r="A623" s="9"/>
      <c r="B623" s="13" t="e">
        <f>VLOOKUP(Table2[[#This Row],[Location 
(drop-down)]],'List source'!D$2:E$71,2,FALSE)</f>
        <v>#N/A</v>
      </c>
      <c r="C623" s="11" t="s">
        <v>1449</v>
      </c>
      <c r="D623" s="212" t="e">
        <f t="shared" si="10"/>
        <v>#N/A</v>
      </c>
      <c r="E623" s="13"/>
      <c r="F623" s="13"/>
      <c r="G623" s="9"/>
      <c r="H623" s="10"/>
      <c r="I623" s="20"/>
      <c r="J623" s="166"/>
      <c r="K623" s="166"/>
      <c r="L623" s="166"/>
      <c r="M623" s="63"/>
      <c r="N623" s="166"/>
      <c r="O623" s="63"/>
      <c r="P623" s="196"/>
      <c r="Q623" s="37"/>
      <c r="R623" s="93"/>
      <c r="S623" s="13">
        <f ca="1">IF(ISBLANK(Table2[[#This Row],[Complete corrective actions (Approved Date)]]), TODAY()-Table2[[#This Row],[CAR initialized date]], "CLOSED")</f>
        <v>46077</v>
      </c>
    </row>
    <row r="624" spans="1:19" ht="36" customHeight="1" x14ac:dyDescent="0.25">
      <c r="A624" s="9"/>
      <c r="B624" s="13" t="e">
        <f>VLOOKUP(Table2[[#This Row],[Location 
(drop-down)]],'List source'!D$2:E$71,2,FALSE)</f>
        <v>#N/A</v>
      </c>
      <c r="C624" s="11" t="s">
        <v>1450</v>
      </c>
      <c r="D624" s="212" t="e">
        <f t="shared" si="10"/>
        <v>#N/A</v>
      </c>
      <c r="E624" s="13"/>
      <c r="F624" s="13"/>
      <c r="G624" s="9"/>
      <c r="H624" s="10"/>
      <c r="I624" s="20"/>
      <c r="J624" s="166"/>
      <c r="K624" s="166"/>
      <c r="L624" s="166"/>
      <c r="M624" s="166"/>
      <c r="N624" s="166"/>
      <c r="O624" s="63"/>
      <c r="P624" s="196"/>
      <c r="Q624" s="37"/>
      <c r="R624" s="93"/>
      <c r="S624" s="13">
        <f ca="1">IF(ISBLANK(Table2[[#This Row],[Complete corrective actions (Approved Date)]]), TODAY()-Table2[[#This Row],[CAR initialized date]], "CLOSED")</f>
        <v>46077</v>
      </c>
    </row>
    <row r="625" spans="1:19" ht="36" customHeight="1" x14ac:dyDescent="0.25">
      <c r="A625" s="9"/>
      <c r="B625" s="13" t="e">
        <f>VLOOKUP(Table2[[#This Row],[Location 
(drop-down)]],'List source'!D$2:E$71,2,FALSE)</f>
        <v>#N/A</v>
      </c>
      <c r="C625" s="11" t="s">
        <v>1451</v>
      </c>
      <c r="D625" s="212" t="e">
        <f t="shared" si="10"/>
        <v>#N/A</v>
      </c>
      <c r="E625" s="13"/>
      <c r="F625" s="13"/>
      <c r="G625" s="9"/>
      <c r="H625" s="10"/>
      <c r="I625" s="20"/>
      <c r="J625" s="166"/>
      <c r="K625" s="166"/>
      <c r="L625" s="166"/>
      <c r="M625" s="166"/>
      <c r="N625" s="166"/>
      <c r="O625" s="63"/>
      <c r="P625" s="196"/>
      <c r="Q625" s="37"/>
      <c r="R625" s="93"/>
      <c r="S625" s="13">
        <f ca="1">IF(ISBLANK(Table2[[#This Row],[Complete corrective actions (Approved Date)]]), TODAY()-Table2[[#This Row],[CAR initialized date]], "CLOSED")</f>
        <v>46077</v>
      </c>
    </row>
    <row r="626" spans="1:19" ht="36" customHeight="1" x14ac:dyDescent="0.25">
      <c r="A626" s="9"/>
      <c r="B626" s="13" t="e">
        <f>VLOOKUP(Table2[[#This Row],[Location 
(drop-down)]],'List source'!D$2:E$71,2,FALSE)</f>
        <v>#N/A</v>
      </c>
      <c r="C626" s="11" t="s">
        <v>1452</v>
      </c>
      <c r="D626" s="212" t="e">
        <f t="shared" si="10"/>
        <v>#N/A</v>
      </c>
      <c r="E626" s="13"/>
      <c r="F626" s="13"/>
      <c r="G626" s="9"/>
      <c r="H626" s="10"/>
      <c r="I626" s="20"/>
      <c r="J626" s="166"/>
      <c r="K626" s="166"/>
      <c r="L626" s="166"/>
      <c r="M626" s="166"/>
      <c r="N626" s="166"/>
      <c r="O626" s="63"/>
      <c r="P626" s="196"/>
      <c r="Q626" s="37"/>
      <c r="R626" s="93"/>
      <c r="S626" s="13">
        <f ca="1">IF(ISBLANK(Table2[[#This Row],[Complete corrective actions (Approved Date)]]), TODAY()-Table2[[#This Row],[CAR initialized date]], "CLOSED")</f>
        <v>46077</v>
      </c>
    </row>
    <row r="627" spans="1:19" ht="36" customHeight="1" x14ac:dyDescent="0.25">
      <c r="A627" s="9"/>
      <c r="B627" s="13" t="e">
        <f>VLOOKUP(Table2[[#This Row],[Location 
(drop-down)]],'List source'!D$2:E$71,2,FALSE)</f>
        <v>#N/A</v>
      </c>
      <c r="C627" s="11" t="s">
        <v>1453</v>
      </c>
      <c r="D627" s="212" t="e">
        <f t="shared" si="10"/>
        <v>#N/A</v>
      </c>
      <c r="E627" s="13"/>
      <c r="F627" s="13"/>
      <c r="G627" s="9"/>
      <c r="H627" s="10"/>
      <c r="I627" s="20"/>
      <c r="J627" s="166"/>
      <c r="K627" s="166"/>
      <c r="L627" s="166"/>
      <c r="M627" s="166"/>
      <c r="N627" s="166"/>
      <c r="O627" s="63"/>
      <c r="P627" s="196"/>
      <c r="Q627" s="37"/>
      <c r="R627" s="93"/>
      <c r="S627" s="13">
        <f ca="1">IF(ISBLANK(Table2[[#This Row],[Complete corrective actions (Approved Date)]]), TODAY()-Table2[[#This Row],[CAR initialized date]], "CLOSED")</f>
        <v>46077</v>
      </c>
    </row>
    <row r="628" spans="1:19" ht="36" customHeight="1" x14ac:dyDescent="0.25">
      <c r="A628" s="9"/>
      <c r="B628" s="13" t="e">
        <f>VLOOKUP(Table2[[#This Row],[Location 
(drop-down)]],'List source'!D$2:E$71,2,FALSE)</f>
        <v>#N/A</v>
      </c>
      <c r="C628" s="11" t="s">
        <v>1454</v>
      </c>
      <c r="D628" s="212" t="e">
        <f t="shared" si="10"/>
        <v>#N/A</v>
      </c>
      <c r="E628" s="13"/>
      <c r="F628" s="13"/>
      <c r="G628" s="9"/>
      <c r="H628" s="10"/>
      <c r="I628" s="20"/>
      <c r="J628" s="166"/>
      <c r="K628" s="166"/>
      <c r="L628" s="166"/>
      <c r="M628" s="166"/>
      <c r="N628" s="166"/>
      <c r="O628" s="63"/>
      <c r="P628" s="196"/>
      <c r="Q628" s="37"/>
      <c r="R628" s="93"/>
      <c r="S628" s="13">
        <f ca="1">IF(ISBLANK(Table2[[#This Row],[Complete corrective actions (Approved Date)]]), TODAY()-Table2[[#This Row],[CAR initialized date]], "CLOSED")</f>
        <v>46077</v>
      </c>
    </row>
    <row r="629" spans="1:19" ht="36" customHeight="1" x14ac:dyDescent="0.25">
      <c r="A629" s="9"/>
      <c r="B629" s="13" t="e">
        <f>VLOOKUP(Table2[[#This Row],[Location 
(drop-down)]],'List source'!D$2:E$71,2,FALSE)</f>
        <v>#N/A</v>
      </c>
      <c r="C629" s="11" t="s">
        <v>1455</v>
      </c>
      <c r="D629" s="212" t="e">
        <f t="shared" si="10"/>
        <v>#N/A</v>
      </c>
      <c r="E629" s="13"/>
      <c r="F629" s="13"/>
      <c r="G629" s="9"/>
      <c r="H629" s="10"/>
      <c r="I629" s="20"/>
      <c r="J629" s="166"/>
      <c r="K629" s="166"/>
      <c r="L629" s="166"/>
      <c r="M629" s="166"/>
      <c r="N629" s="166"/>
      <c r="O629" s="63"/>
      <c r="P629" s="196"/>
      <c r="Q629" s="37"/>
      <c r="R629" s="93"/>
      <c r="S629" s="13">
        <f ca="1">IF(ISBLANK(Table2[[#This Row],[Complete corrective actions (Approved Date)]]), TODAY()-Table2[[#This Row],[CAR initialized date]], "CLOSED")</f>
        <v>46077</v>
      </c>
    </row>
    <row r="630" spans="1:19" ht="36" customHeight="1" x14ac:dyDescent="0.25">
      <c r="A630" s="9"/>
      <c r="B630" s="13" t="e">
        <f>VLOOKUP(Table2[[#This Row],[Location 
(drop-down)]],'List source'!D$2:E$71,2,FALSE)</f>
        <v>#N/A</v>
      </c>
      <c r="C630" s="11" t="s">
        <v>1456</v>
      </c>
      <c r="D630" s="212" t="e">
        <f t="shared" si="10"/>
        <v>#N/A</v>
      </c>
      <c r="E630" s="13"/>
      <c r="F630" s="13"/>
      <c r="G630" s="9"/>
      <c r="H630" s="10"/>
      <c r="I630" s="20"/>
      <c r="J630" s="166"/>
      <c r="K630" s="166"/>
      <c r="L630" s="166"/>
      <c r="M630" s="166"/>
      <c r="N630" s="166"/>
      <c r="O630" s="63"/>
      <c r="P630" s="196"/>
      <c r="Q630" s="37"/>
      <c r="R630" s="93"/>
      <c r="S630" s="13">
        <f ca="1">IF(ISBLANK(Table2[[#This Row],[Complete corrective actions (Approved Date)]]), TODAY()-Table2[[#This Row],[CAR initialized date]], "CLOSED")</f>
        <v>46077</v>
      </c>
    </row>
    <row r="631" spans="1:19" ht="36" customHeight="1" x14ac:dyDescent="0.25">
      <c r="A631" s="9"/>
      <c r="B631" s="13" t="e">
        <f>VLOOKUP(Table2[[#This Row],[Location 
(drop-down)]],'List source'!D$2:E$71,2,FALSE)</f>
        <v>#N/A</v>
      </c>
      <c r="C631" s="11" t="s">
        <v>1457</v>
      </c>
      <c r="D631" s="212" t="e">
        <f t="shared" si="10"/>
        <v>#N/A</v>
      </c>
      <c r="E631" s="13"/>
      <c r="F631" s="13"/>
      <c r="G631" s="9"/>
      <c r="H631" s="10"/>
      <c r="I631" s="20"/>
      <c r="J631" s="166"/>
      <c r="K631" s="166"/>
      <c r="L631" s="166"/>
      <c r="M631" s="166"/>
      <c r="N631" s="166"/>
      <c r="O631" s="63"/>
      <c r="P631" s="196"/>
      <c r="Q631" s="37"/>
      <c r="R631" s="93"/>
      <c r="S631" s="13">
        <f ca="1">IF(ISBLANK(Table2[[#This Row],[Complete corrective actions (Approved Date)]]), TODAY()-Table2[[#This Row],[CAR initialized date]], "CLOSED")</f>
        <v>46077</v>
      </c>
    </row>
    <row r="632" spans="1:19" ht="36" customHeight="1" x14ac:dyDescent="0.25">
      <c r="A632" s="9"/>
      <c r="B632" s="13" t="e">
        <f>VLOOKUP(Table2[[#This Row],[Location 
(drop-down)]],'List source'!D$2:E$71,2,FALSE)</f>
        <v>#N/A</v>
      </c>
      <c r="C632" s="11" t="s">
        <v>1458</v>
      </c>
      <c r="D632" s="212" t="e">
        <f t="shared" si="10"/>
        <v>#N/A</v>
      </c>
      <c r="E632" s="13"/>
      <c r="F632" s="13"/>
      <c r="G632" s="9"/>
      <c r="H632" s="10"/>
      <c r="I632" s="20"/>
      <c r="J632" s="166"/>
      <c r="K632" s="166"/>
      <c r="L632" s="166"/>
      <c r="M632" s="166"/>
      <c r="N632" s="166"/>
      <c r="O632" s="63"/>
      <c r="P632" s="196"/>
      <c r="Q632" s="37"/>
      <c r="R632" s="93"/>
      <c r="S632" s="13">
        <f ca="1">IF(ISBLANK(Table2[[#This Row],[Complete corrective actions (Approved Date)]]), TODAY()-Table2[[#This Row],[CAR initialized date]], "CLOSED")</f>
        <v>46077</v>
      </c>
    </row>
    <row r="633" spans="1:19" ht="36" customHeight="1" x14ac:dyDescent="0.25">
      <c r="A633" s="9"/>
      <c r="B633" s="13" t="e">
        <f>VLOOKUP(Table2[[#This Row],[Location 
(drop-down)]],'List source'!D$2:E$71,2,FALSE)</f>
        <v>#N/A</v>
      </c>
      <c r="C633" s="11" t="s">
        <v>1459</v>
      </c>
      <c r="D633" s="212" t="e">
        <f t="shared" si="10"/>
        <v>#N/A</v>
      </c>
      <c r="E633" s="13"/>
      <c r="F633" s="13"/>
      <c r="G633" s="9"/>
      <c r="H633" s="10"/>
      <c r="I633" s="20"/>
      <c r="J633" s="166"/>
      <c r="K633" s="166"/>
      <c r="L633" s="166"/>
      <c r="M633" s="166"/>
      <c r="N633" s="166"/>
      <c r="O633" s="63"/>
      <c r="P633" s="196"/>
      <c r="Q633" s="37"/>
      <c r="R633" s="93"/>
      <c r="S633" s="13">
        <f ca="1">IF(ISBLANK(Table2[[#This Row],[Complete corrective actions (Approved Date)]]), TODAY()-Table2[[#This Row],[CAR initialized date]], "CLOSED")</f>
        <v>46077</v>
      </c>
    </row>
    <row r="634" spans="1:19" ht="36" customHeight="1" x14ac:dyDescent="0.25">
      <c r="A634" s="9"/>
      <c r="B634" s="13" t="e">
        <f>VLOOKUP(Table2[[#This Row],[Location 
(drop-down)]],'List source'!D$2:E$71,2,FALSE)</f>
        <v>#N/A</v>
      </c>
      <c r="C634" s="11" t="s">
        <v>1460</v>
      </c>
      <c r="D634" s="212" t="e">
        <f t="shared" si="10"/>
        <v>#N/A</v>
      </c>
      <c r="E634" s="13"/>
      <c r="F634" s="13"/>
      <c r="G634" s="9"/>
      <c r="H634" s="10"/>
      <c r="I634" s="20"/>
      <c r="J634" s="166"/>
      <c r="K634" s="166"/>
      <c r="L634" s="166"/>
      <c r="M634" s="166"/>
      <c r="N634" s="166"/>
      <c r="O634" s="63"/>
      <c r="P634" s="196"/>
      <c r="Q634" s="37"/>
      <c r="R634" s="93"/>
      <c r="S634" s="13">
        <f ca="1">IF(ISBLANK(Table2[[#This Row],[Complete corrective actions (Approved Date)]]), TODAY()-Table2[[#This Row],[CAR initialized date]], "CLOSED")</f>
        <v>46077</v>
      </c>
    </row>
    <row r="635" spans="1:19" ht="36" customHeight="1" x14ac:dyDescent="0.25">
      <c r="A635" s="9"/>
      <c r="B635" s="13" t="e">
        <f>VLOOKUP(Table2[[#This Row],[Location 
(drop-down)]],'List source'!D$2:E$71,2,FALSE)</f>
        <v>#N/A</v>
      </c>
      <c r="C635" s="11" t="s">
        <v>1461</v>
      </c>
      <c r="D635" s="212" t="e">
        <f t="shared" si="10"/>
        <v>#N/A</v>
      </c>
      <c r="E635" s="13"/>
      <c r="F635" s="13"/>
      <c r="G635" s="9"/>
      <c r="H635" s="10"/>
      <c r="I635" s="20"/>
      <c r="J635" s="166"/>
      <c r="K635" s="166"/>
      <c r="L635" s="166"/>
      <c r="M635" s="166"/>
      <c r="N635" s="166"/>
      <c r="O635" s="63"/>
      <c r="P635" s="196"/>
      <c r="Q635" s="37"/>
      <c r="R635" s="93"/>
      <c r="S635" s="13">
        <f ca="1">IF(ISBLANK(Table2[[#This Row],[Complete corrective actions (Approved Date)]]), TODAY()-Table2[[#This Row],[CAR initialized date]], "CLOSED")</f>
        <v>46077</v>
      </c>
    </row>
    <row r="636" spans="1:19" ht="36" customHeight="1" x14ac:dyDescent="0.25">
      <c r="A636" s="9"/>
      <c r="B636" s="13" t="e">
        <f>VLOOKUP(Table2[[#This Row],[Location 
(drop-down)]],'List source'!D$2:E$71,2,FALSE)</f>
        <v>#N/A</v>
      </c>
      <c r="C636" s="11" t="s">
        <v>1462</v>
      </c>
      <c r="D636" s="212" t="e">
        <f t="shared" si="10"/>
        <v>#N/A</v>
      </c>
      <c r="E636" s="13"/>
      <c r="F636" s="13"/>
      <c r="G636" s="9"/>
      <c r="H636" s="10"/>
      <c r="I636" s="20"/>
      <c r="J636" s="166"/>
      <c r="K636" s="166"/>
      <c r="L636" s="166"/>
      <c r="M636" s="166"/>
      <c r="N636" s="166"/>
      <c r="O636" s="63"/>
      <c r="P636" s="196"/>
      <c r="Q636" s="37"/>
      <c r="R636" s="93"/>
      <c r="S636" s="13">
        <f ca="1">IF(ISBLANK(Table2[[#This Row],[Complete corrective actions (Approved Date)]]), TODAY()-Table2[[#This Row],[CAR initialized date]], "CLOSED")</f>
        <v>46077</v>
      </c>
    </row>
    <row r="637" spans="1:19" ht="36" customHeight="1" x14ac:dyDescent="0.25">
      <c r="A637" s="9"/>
      <c r="B637" s="13" t="e">
        <f>VLOOKUP(Table2[[#This Row],[Location 
(drop-down)]],'List source'!D$2:E$71,2,FALSE)</f>
        <v>#N/A</v>
      </c>
      <c r="C637" s="11" t="s">
        <v>1463</v>
      </c>
      <c r="D637" s="212" t="e">
        <f t="shared" si="10"/>
        <v>#N/A</v>
      </c>
      <c r="E637" s="13"/>
      <c r="F637" s="13"/>
      <c r="G637" s="9"/>
      <c r="H637" s="10"/>
      <c r="I637" s="20"/>
      <c r="J637" s="166"/>
      <c r="K637" s="166"/>
      <c r="L637" s="166"/>
      <c r="M637" s="166"/>
      <c r="N637" s="166"/>
      <c r="O637" s="63"/>
      <c r="P637" s="196"/>
      <c r="Q637" s="37"/>
      <c r="R637" s="93"/>
      <c r="S637" s="13">
        <f ca="1">IF(ISBLANK(Table2[[#This Row],[Complete corrective actions (Approved Date)]]), TODAY()-Table2[[#This Row],[CAR initialized date]], "CLOSED")</f>
        <v>46077</v>
      </c>
    </row>
    <row r="638" spans="1:19" ht="36" customHeight="1" x14ac:dyDescent="0.25">
      <c r="A638" s="9"/>
      <c r="B638" s="13" t="e">
        <f>VLOOKUP(Table2[[#This Row],[Location 
(drop-down)]],'List source'!D$2:E$71,2,FALSE)</f>
        <v>#N/A</v>
      </c>
      <c r="C638" s="11" t="s">
        <v>1464</v>
      </c>
      <c r="D638" s="212" t="e">
        <f t="shared" si="10"/>
        <v>#N/A</v>
      </c>
      <c r="E638" s="13"/>
      <c r="F638" s="13"/>
      <c r="G638" s="9"/>
      <c r="H638" s="10"/>
      <c r="I638" s="20"/>
      <c r="J638" s="166"/>
      <c r="K638" s="166"/>
      <c r="L638" s="166"/>
      <c r="M638" s="166"/>
      <c r="N638" s="166"/>
      <c r="O638" s="63"/>
      <c r="P638" s="196"/>
      <c r="Q638" s="37"/>
      <c r="R638" s="93"/>
      <c r="S638" s="13">
        <f ca="1">IF(ISBLANK(Table2[[#This Row],[Complete corrective actions (Approved Date)]]), TODAY()-Table2[[#This Row],[CAR initialized date]], "CLOSED")</f>
        <v>46077</v>
      </c>
    </row>
    <row r="639" spans="1:19" ht="36" customHeight="1" x14ac:dyDescent="0.25">
      <c r="A639" s="9"/>
      <c r="B639" s="13" t="e">
        <f>VLOOKUP(Table2[[#This Row],[Location 
(drop-down)]],'List source'!D$2:E$71,2,FALSE)</f>
        <v>#N/A</v>
      </c>
      <c r="C639" s="11" t="s">
        <v>1465</v>
      </c>
      <c r="D639" s="212" t="e">
        <f t="shared" si="10"/>
        <v>#N/A</v>
      </c>
      <c r="E639" s="13"/>
      <c r="F639" s="13"/>
      <c r="G639" s="9"/>
      <c r="H639" s="10"/>
      <c r="I639" s="20"/>
      <c r="J639" s="166"/>
      <c r="K639" s="166"/>
      <c r="L639" s="166"/>
      <c r="M639" s="166"/>
      <c r="N639" s="166"/>
      <c r="O639" s="63"/>
      <c r="P639" s="196"/>
      <c r="Q639" s="37"/>
      <c r="R639" s="93"/>
      <c r="S639" s="13">
        <f ca="1">IF(ISBLANK(Table2[[#This Row],[Complete corrective actions (Approved Date)]]), TODAY()-Table2[[#This Row],[CAR initialized date]], "CLOSED")</f>
        <v>46077</v>
      </c>
    </row>
    <row r="640" spans="1:19" ht="36" customHeight="1" x14ac:dyDescent="0.25">
      <c r="A640" s="9"/>
      <c r="B640" s="13" t="e">
        <f>VLOOKUP(Table2[[#This Row],[Location 
(drop-down)]],'List source'!D$2:E$71,2,FALSE)</f>
        <v>#N/A</v>
      </c>
      <c r="C640" s="11" t="s">
        <v>1466</v>
      </c>
      <c r="D640" s="212" t="e">
        <f t="shared" si="10"/>
        <v>#N/A</v>
      </c>
      <c r="E640" s="13"/>
      <c r="F640" s="13"/>
      <c r="G640" s="9"/>
      <c r="H640" s="10"/>
      <c r="I640" s="20"/>
      <c r="J640" s="166"/>
      <c r="K640" s="166"/>
      <c r="L640" s="166"/>
      <c r="M640" s="166"/>
      <c r="N640" s="166"/>
      <c r="O640" s="63"/>
      <c r="P640" s="196"/>
      <c r="Q640" s="37"/>
      <c r="R640" s="93"/>
      <c r="S640" s="13">
        <f ca="1">IF(ISBLANK(Table2[[#This Row],[Complete corrective actions (Approved Date)]]), TODAY()-Table2[[#This Row],[CAR initialized date]], "CLOSED")</f>
        <v>46077</v>
      </c>
    </row>
    <row r="641" spans="1:19" ht="36" customHeight="1" x14ac:dyDescent="0.25">
      <c r="A641" s="9"/>
      <c r="B641" s="13" t="e">
        <f>VLOOKUP(Table2[[#This Row],[Location 
(drop-down)]],'List source'!D$2:E$71,2,FALSE)</f>
        <v>#N/A</v>
      </c>
      <c r="C641" s="11" t="s">
        <v>1467</v>
      </c>
      <c r="D641" s="212" t="e">
        <f t="shared" ref="D641:D704" si="11">"C" &amp; C641 &amp;"-" &amp; B641 &amp; "-" &amp; "25"</f>
        <v>#N/A</v>
      </c>
      <c r="E641" s="13"/>
      <c r="F641" s="13"/>
      <c r="G641" s="9"/>
      <c r="H641" s="10"/>
      <c r="I641" s="20"/>
      <c r="J641" s="166"/>
      <c r="K641" s="166"/>
      <c r="L641" s="166"/>
      <c r="M641" s="166"/>
      <c r="N641" s="166"/>
      <c r="O641" s="63"/>
      <c r="P641" s="196"/>
      <c r="Q641" s="37"/>
      <c r="R641" s="93"/>
      <c r="S641" s="13">
        <f ca="1">IF(ISBLANK(Table2[[#This Row],[Complete corrective actions (Approved Date)]]), TODAY()-Table2[[#This Row],[CAR initialized date]], "CLOSED")</f>
        <v>46077</v>
      </c>
    </row>
    <row r="642" spans="1:19" ht="36" customHeight="1" x14ac:dyDescent="0.25">
      <c r="A642" s="9"/>
      <c r="B642" s="13" t="e">
        <f>VLOOKUP(Table2[[#This Row],[Location 
(drop-down)]],'List source'!D$2:E$71,2,FALSE)</f>
        <v>#N/A</v>
      </c>
      <c r="C642" s="11" t="s">
        <v>1468</v>
      </c>
      <c r="D642" s="212" t="e">
        <f t="shared" si="11"/>
        <v>#N/A</v>
      </c>
      <c r="E642" s="13"/>
      <c r="F642" s="13"/>
      <c r="G642" s="9"/>
      <c r="H642" s="10"/>
      <c r="I642" s="20"/>
      <c r="J642" s="166"/>
      <c r="K642" s="166"/>
      <c r="L642" s="166"/>
      <c r="M642" s="166"/>
      <c r="N642" s="166"/>
      <c r="O642" s="63"/>
      <c r="P642" s="196"/>
      <c r="Q642" s="37"/>
      <c r="R642" s="93"/>
      <c r="S642" s="13">
        <f ca="1">IF(ISBLANK(Table2[[#This Row],[Complete corrective actions (Approved Date)]]), TODAY()-Table2[[#This Row],[CAR initialized date]], "CLOSED")</f>
        <v>46077</v>
      </c>
    </row>
    <row r="643" spans="1:19" ht="36" customHeight="1" x14ac:dyDescent="0.25">
      <c r="A643" s="9"/>
      <c r="B643" s="13" t="e">
        <f>VLOOKUP(Table2[[#This Row],[Location 
(drop-down)]],'List source'!D$2:E$71,2,FALSE)</f>
        <v>#N/A</v>
      </c>
      <c r="C643" s="11" t="s">
        <v>1469</v>
      </c>
      <c r="D643" s="212" t="e">
        <f t="shared" si="11"/>
        <v>#N/A</v>
      </c>
      <c r="E643" s="13"/>
      <c r="F643" s="13"/>
      <c r="G643" s="9"/>
      <c r="H643" s="10"/>
      <c r="I643" s="20"/>
      <c r="J643" s="166"/>
      <c r="K643" s="166"/>
      <c r="L643" s="166"/>
      <c r="M643" s="166"/>
      <c r="N643" s="166"/>
      <c r="O643" s="63"/>
      <c r="P643" s="196"/>
      <c r="Q643" s="37"/>
      <c r="R643" s="93"/>
      <c r="S643" s="13">
        <f ca="1">IF(ISBLANK(Table2[[#This Row],[Complete corrective actions (Approved Date)]]), TODAY()-Table2[[#This Row],[CAR initialized date]], "CLOSED")</f>
        <v>46077</v>
      </c>
    </row>
    <row r="644" spans="1:19" ht="36" customHeight="1" x14ac:dyDescent="0.25">
      <c r="A644" s="9"/>
      <c r="B644" s="13" t="e">
        <f>VLOOKUP(Table2[[#This Row],[Location 
(drop-down)]],'List source'!D$2:E$71,2,FALSE)</f>
        <v>#N/A</v>
      </c>
      <c r="C644" s="11" t="s">
        <v>1470</v>
      </c>
      <c r="D644" s="212" t="e">
        <f t="shared" si="11"/>
        <v>#N/A</v>
      </c>
      <c r="E644" s="13"/>
      <c r="F644" s="13"/>
      <c r="G644" s="9"/>
      <c r="H644" s="10"/>
      <c r="I644" s="20"/>
      <c r="J644" s="166"/>
      <c r="K644" s="166"/>
      <c r="L644" s="166"/>
      <c r="M644" s="166"/>
      <c r="N644" s="166"/>
      <c r="O644" s="63"/>
      <c r="P644" s="196"/>
      <c r="Q644" s="37"/>
      <c r="R644" s="93"/>
      <c r="S644" s="13">
        <f ca="1">IF(ISBLANK(Table2[[#This Row],[Complete corrective actions (Approved Date)]]), TODAY()-Table2[[#This Row],[CAR initialized date]], "CLOSED")</f>
        <v>46077</v>
      </c>
    </row>
    <row r="645" spans="1:19" ht="36" customHeight="1" x14ac:dyDescent="0.25">
      <c r="A645" s="9"/>
      <c r="B645" s="13" t="e">
        <f>VLOOKUP(Table2[[#This Row],[Location 
(drop-down)]],'List source'!D$2:E$71,2,FALSE)</f>
        <v>#N/A</v>
      </c>
      <c r="C645" s="11" t="s">
        <v>1471</v>
      </c>
      <c r="D645" s="212" t="e">
        <f t="shared" si="11"/>
        <v>#N/A</v>
      </c>
      <c r="E645" s="13"/>
      <c r="F645" s="13"/>
      <c r="G645" s="9"/>
      <c r="H645" s="10"/>
      <c r="I645" s="20"/>
      <c r="J645" s="166"/>
      <c r="K645" s="166"/>
      <c r="L645" s="166"/>
      <c r="M645" s="166"/>
      <c r="N645" s="166"/>
      <c r="O645" s="63"/>
      <c r="P645" s="196"/>
      <c r="Q645" s="37"/>
      <c r="R645" s="93"/>
      <c r="S645" s="13">
        <f ca="1">IF(ISBLANK(Table2[[#This Row],[Complete corrective actions (Approved Date)]]), TODAY()-Table2[[#This Row],[CAR initialized date]], "CLOSED")</f>
        <v>46077</v>
      </c>
    </row>
    <row r="646" spans="1:19" ht="36" customHeight="1" x14ac:dyDescent="0.25">
      <c r="A646" s="9"/>
      <c r="B646" s="13" t="e">
        <f>VLOOKUP(Table2[[#This Row],[Location 
(drop-down)]],'List source'!D$2:E$71,2,FALSE)</f>
        <v>#N/A</v>
      </c>
      <c r="C646" s="11" t="s">
        <v>1472</v>
      </c>
      <c r="D646" s="212" t="e">
        <f t="shared" si="11"/>
        <v>#N/A</v>
      </c>
      <c r="E646" s="13"/>
      <c r="F646" s="13"/>
      <c r="G646" s="9"/>
      <c r="H646" s="10"/>
      <c r="I646" s="20"/>
      <c r="J646" s="166"/>
      <c r="K646" s="166"/>
      <c r="L646" s="166"/>
      <c r="M646" s="166"/>
      <c r="N646" s="166"/>
      <c r="O646" s="63"/>
      <c r="P646" s="196"/>
      <c r="Q646" s="37"/>
      <c r="R646" s="93"/>
      <c r="S646" s="13">
        <f ca="1">IF(ISBLANK(Table2[[#This Row],[Complete corrective actions (Approved Date)]]), TODAY()-Table2[[#This Row],[CAR initialized date]], "CLOSED")</f>
        <v>46077</v>
      </c>
    </row>
    <row r="647" spans="1:19" ht="36" customHeight="1" x14ac:dyDescent="0.25">
      <c r="A647" s="9"/>
      <c r="B647" s="13" t="e">
        <f>VLOOKUP(Table2[[#This Row],[Location 
(drop-down)]],'List source'!D$2:E$71,2,FALSE)</f>
        <v>#N/A</v>
      </c>
      <c r="C647" s="11" t="s">
        <v>1473</v>
      </c>
      <c r="D647" s="212" t="e">
        <f t="shared" si="11"/>
        <v>#N/A</v>
      </c>
      <c r="E647" s="13"/>
      <c r="F647" s="13"/>
      <c r="G647" s="9"/>
      <c r="H647" s="10"/>
      <c r="I647" s="20"/>
      <c r="J647" s="166"/>
      <c r="K647" s="166"/>
      <c r="L647" s="166"/>
      <c r="M647" s="166"/>
      <c r="N647" s="166"/>
      <c r="O647" s="63"/>
      <c r="P647" s="196"/>
      <c r="Q647" s="37"/>
      <c r="R647" s="93"/>
      <c r="S647" s="13">
        <f ca="1">IF(ISBLANK(Table2[[#This Row],[Complete corrective actions (Approved Date)]]), TODAY()-Table2[[#This Row],[CAR initialized date]], "CLOSED")</f>
        <v>46077</v>
      </c>
    </row>
    <row r="648" spans="1:19" ht="36" customHeight="1" x14ac:dyDescent="0.25">
      <c r="A648" s="9"/>
      <c r="B648" s="13" t="e">
        <f>VLOOKUP(Table2[[#This Row],[Location 
(drop-down)]],'List source'!D$2:E$71,2,FALSE)</f>
        <v>#N/A</v>
      </c>
      <c r="C648" s="11" t="s">
        <v>1474</v>
      </c>
      <c r="D648" s="212" t="e">
        <f t="shared" si="11"/>
        <v>#N/A</v>
      </c>
      <c r="E648" s="13"/>
      <c r="F648" s="13"/>
      <c r="G648" s="9"/>
      <c r="H648" s="10"/>
      <c r="I648" s="20"/>
      <c r="J648" s="166"/>
      <c r="K648" s="166"/>
      <c r="L648" s="166"/>
      <c r="M648" s="166"/>
      <c r="N648" s="166"/>
      <c r="O648" s="63"/>
      <c r="P648" s="196"/>
      <c r="Q648" s="37"/>
      <c r="R648" s="93"/>
      <c r="S648" s="13">
        <f ca="1">IF(ISBLANK(Table2[[#This Row],[Complete corrective actions (Approved Date)]]), TODAY()-Table2[[#This Row],[CAR initialized date]], "CLOSED")</f>
        <v>46077</v>
      </c>
    </row>
    <row r="649" spans="1:19" ht="36" customHeight="1" x14ac:dyDescent="0.25">
      <c r="A649" s="9"/>
      <c r="B649" s="13" t="e">
        <f>VLOOKUP(Table2[[#This Row],[Location 
(drop-down)]],'List source'!D$2:E$71,2,FALSE)</f>
        <v>#N/A</v>
      </c>
      <c r="C649" s="11" t="s">
        <v>1475</v>
      </c>
      <c r="D649" s="212" t="e">
        <f t="shared" si="11"/>
        <v>#N/A</v>
      </c>
      <c r="E649" s="13"/>
      <c r="F649" s="13"/>
      <c r="G649" s="9"/>
      <c r="H649" s="10"/>
      <c r="I649" s="20"/>
      <c r="J649" s="166"/>
      <c r="K649" s="166"/>
      <c r="L649" s="166"/>
      <c r="M649" s="166"/>
      <c r="N649" s="166"/>
      <c r="O649" s="63"/>
      <c r="P649" s="196"/>
      <c r="Q649" s="37"/>
      <c r="R649" s="93"/>
      <c r="S649" s="13">
        <f ca="1">IF(ISBLANK(Table2[[#This Row],[Complete corrective actions (Approved Date)]]), TODAY()-Table2[[#This Row],[CAR initialized date]], "CLOSED")</f>
        <v>46077</v>
      </c>
    </row>
    <row r="650" spans="1:19" ht="36" customHeight="1" x14ac:dyDescent="0.25">
      <c r="A650" s="9"/>
      <c r="B650" s="13" t="e">
        <f>VLOOKUP(Table2[[#This Row],[Location 
(drop-down)]],'List source'!D$2:E$71,2,FALSE)</f>
        <v>#N/A</v>
      </c>
      <c r="C650" s="11" t="s">
        <v>1476</v>
      </c>
      <c r="D650" s="212" t="e">
        <f t="shared" si="11"/>
        <v>#N/A</v>
      </c>
      <c r="E650" s="19"/>
      <c r="F650" s="19"/>
      <c r="G650" s="9"/>
      <c r="H650" s="10"/>
      <c r="I650" s="20"/>
      <c r="J650" s="166"/>
      <c r="K650" s="166"/>
      <c r="L650" s="166"/>
      <c r="M650" s="166"/>
      <c r="N650" s="166"/>
      <c r="O650" s="63"/>
      <c r="P650" s="196"/>
      <c r="Q650" s="37"/>
      <c r="R650" s="93"/>
      <c r="S650" s="13">
        <f ca="1">IF(ISBLANK(Table2[[#This Row],[Complete corrective actions (Approved Date)]]), TODAY()-Table2[[#This Row],[CAR initialized date]], "CLOSED")</f>
        <v>46077</v>
      </c>
    </row>
    <row r="651" spans="1:19" ht="36" customHeight="1" x14ac:dyDescent="0.25">
      <c r="A651" s="9"/>
      <c r="B651" s="13" t="e">
        <f>VLOOKUP(Table2[[#This Row],[Location 
(drop-down)]],'List source'!D$2:E$71,2,FALSE)</f>
        <v>#N/A</v>
      </c>
      <c r="C651" s="11" t="s">
        <v>1477</v>
      </c>
      <c r="D651" s="212" t="e">
        <f t="shared" si="11"/>
        <v>#N/A</v>
      </c>
      <c r="E651" s="19"/>
      <c r="F651" s="19"/>
      <c r="G651" s="9"/>
      <c r="H651" s="10"/>
      <c r="I651" s="20"/>
      <c r="J651" s="166"/>
      <c r="K651" s="166"/>
      <c r="L651" s="166"/>
      <c r="M651" s="166"/>
      <c r="N651" s="166"/>
      <c r="O651" s="63"/>
      <c r="P651" s="196"/>
      <c r="Q651" s="37"/>
      <c r="R651" s="93"/>
      <c r="S651" s="13">
        <f ca="1">IF(ISBLANK(Table2[[#This Row],[Complete corrective actions (Approved Date)]]), TODAY()-Table2[[#This Row],[CAR initialized date]], "CLOSED")</f>
        <v>46077</v>
      </c>
    </row>
    <row r="652" spans="1:19" ht="36" customHeight="1" x14ac:dyDescent="0.25">
      <c r="A652" s="9"/>
      <c r="B652" s="13" t="e">
        <f>VLOOKUP(Table2[[#This Row],[Location 
(drop-down)]],'List source'!D$2:E$71,2,FALSE)</f>
        <v>#N/A</v>
      </c>
      <c r="C652" s="11" t="s">
        <v>1478</v>
      </c>
      <c r="D652" s="212" t="e">
        <f t="shared" si="11"/>
        <v>#N/A</v>
      </c>
      <c r="E652" s="19"/>
      <c r="F652" s="19"/>
      <c r="G652" s="9"/>
      <c r="H652" s="10"/>
      <c r="I652" s="20"/>
      <c r="J652" s="166"/>
      <c r="K652" s="166"/>
      <c r="L652" s="166"/>
      <c r="M652" s="166"/>
      <c r="N652" s="166"/>
      <c r="O652" s="63"/>
      <c r="P652" s="196"/>
      <c r="Q652" s="37"/>
      <c r="R652" s="93"/>
      <c r="S652" s="13">
        <f ca="1">IF(ISBLANK(Table2[[#This Row],[Complete corrective actions (Approved Date)]]), TODAY()-Table2[[#This Row],[CAR initialized date]], "CLOSED")</f>
        <v>46077</v>
      </c>
    </row>
    <row r="653" spans="1:19" ht="36" customHeight="1" x14ac:dyDescent="0.25">
      <c r="A653" s="9"/>
      <c r="B653" s="13" t="e">
        <f>VLOOKUP(Table2[[#This Row],[Location 
(drop-down)]],'List source'!D$2:E$71,2,FALSE)</f>
        <v>#N/A</v>
      </c>
      <c r="C653" s="11" t="s">
        <v>1479</v>
      </c>
      <c r="D653" s="212" t="e">
        <f t="shared" si="11"/>
        <v>#N/A</v>
      </c>
      <c r="E653" s="19"/>
      <c r="F653" s="19"/>
      <c r="G653" s="9"/>
      <c r="H653" s="10"/>
      <c r="I653" s="20"/>
      <c r="J653" s="166"/>
      <c r="K653" s="166"/>
      <c r="L653" s="166"/>
      <c r="M653" s="166"/>
      <c r="N653" s="166"/>
      <c r="O653" s="63"/>
      <c r="P653" s="196"/>
      <c r="Q653" s="37"/>
      <c r="R653" s="93"/>
      <c r="S653" s="13">
        <f ca="1">IF(ISBLANK(Table2[[#This Row],[Complete corrective actions (Approved Date)]]), TODAY()-Table2[[#This Row],[CAR initialized date]], "CLOSED")</f>
        <v>46077</v>
      </c>
    </row>
    <row r="654" spans="1:19" ht="36" customHeight="1" x14ac:dyDescent="0.25">
      <c r="A654" s="9"/>
      <c r="B654" s="13" t="e">
        <f>VLOOKUP(Table2[[#This Row],[Location 
(drop-down)]],'List source'!D$2:E$71,2,FALSE)</f>
        <v>#N/A</v>
      </c>
      <c r="C654" s="11" t="s">
        <v>1480</v>
      </c>
      <c r="D654" s="212" t="e">
        <f t="shared" si="11"/>
        <v>#N/A</v>
      </c>
      <c r="E654" s="19"/>
      <c r="F654" s="19"/>
      <c r="G654" s="9"/>
      <c r="H654" s="10"/>
      <c r="I654" s="20"/>
      <c r="J654" s="166"/>
      <c r="K654" s="166"/>
      <c r="L654" s="166"/>
      <c r="M654" s="166"/>
      <c r="N654" s="166"/>
      <c r="O654" s="63"/>
      <c r="P654" s="196"/>
      <c r="Q654" s="37"/>
      <c r="R654" s="93"/>
      <c r="S654" s="13">
        <f ca="1">IF(ISBLANK(Table2[[#This Row],[Complete corrective actions (Approved Date)]]), TODAY()-Table2[[#This Row],[CAR initialized date]], "CLOSED")</f>
        <v>46077</v>
      </c>
    </row>
    <row r="655" spans="1:19" ht="36" customHeight="1" x14ac:dyDescent="0.25">
      <c r="A655" s="9"/>
      <c r="B655" s="13" t="e">
        <f>VLOOKUP(Table2[[#This Row],[Location 
(drop-down)]],'List source'!D$2:E$71,2,FALSE)</f>
        <v>#N/A</v>
      </c>
      <c r="C655" s="11" t="s">
        <v>1481</v>
      </c>
      <c r="D655" s="212" t="e">
        <f t="shared" si="11"/>
        <v>#N/A</v>
      </c>
      <c r="E655" s="19"/>
      <c r="F655" s="19"/>
      <c r="G655" s="9"/>
      <c r="H655" s="10"/>
      <c r="I655" s="20"/>
      <c r="J655" s="166"/>
      <c r="K655" s="166"/>
      <c r="L655" s="166"/>
      <c r="M655" s="166"/>
      <c r="N655" s="166"/>
      <c r="O655" s="63"/>
      <c r="P655" s="196"/>
      <c r="Q655" s="37"/>
      <c r="R655" s="93"/>
      <c r="S655" s="13">
        <f ca="1">IF(ISBLANK(Table2[[#This Row],[Complete corrective actions (Approved Date)]]), TODAY()-Table2[[#This Row],[CAR initialized date]], "CLOSED")</f>
        <v>46077</v>
      </c>
    </row>
    <row r="656" spans="1:19" ht="36" customHeight="1" x14ac:dyDescent="0.25">
      <c r="A656" s="9"/>
      <c r="B656" s="13" t="e">
        <f>VLOOKUP(Table2[[#This Row],[Location 
(drop-down)]],'List source'!D$2:E$71,2,FALSE)</f>
        <v>#N/A</v>
      </c>
      <c r="C656" s="11" t="s">
        <v>1482</v>
      </c>
      <c r="D656" s="212" t="e">
        <f t="shared" si="11"/>
        <v>#N/A</v>
      </c>
      <c r="E656" s="19"/>
      <c r="F656" s="19"/>
      <c r="G656" s="9"/>
      <c r="H656" s="10"/>
      <c r="I656" s="20"/>
      <c r="J656" s="166"/>
      <c r="K656" s="166"/>
      <c r="L656" s="166"/>
      <c r="M656" s="166"/>
      <c r="N656" s="166"/>
      <c r="O656" s="63"/>
      <c r="P656" s="196"/>
      <c r="Q656" s="37"/>
      <c r="R656" s="93"/>
      <c r="S656" s="13">
        <f ca="1">IF(ISBLANK(Table2[[#This Row],[Complete corrective actions (Approved Date)]]), TODAY()-Table2[[#This Row],[CAR initialized date]], "CLOSED")</f>
        <v>46077</v>
      </c>
    </row>
    <row r="657" spans="1:19" ht="36" customHeight="1" x14ac:dyDescent="0.25">
      <c r="A657" s="9"/>
      <c r="B657" s="13" t="e">
        <f>VLOOKUP(Table2[[#This Row],[Location 
(drop-down)]],'List source'!D$2:E$71,2,FALSE)</f>
        <v>#N/A</v>
      </c>
      <c r="C657" s="11" t="s">
        <v>1483</v>
      </c>
      <c r="D657" s="212" t="e">
        <f t="shared" si="11"/>
        <v>#N/A</v>
      </c>
      <c r="E657" s="19"/>
      <c r="F657" s="19"/>
      <c r="G657" s="9"/>
      <c r="H657" s="10"/>
      <c r="I657" s="20"/>
      <c r="J657" s="166"/>
      <c r="K657" s="166"/>
      <c r="L657" s="166"/>
      <c r="M657" s="166"/>
      <c r="N657" s="166"/>
      <c r="O657" s="63"/>
      <c r="P657" s="196"/>
      <c r="Q657" s="37"/>
      <c r="R657" s="93"/>
      <c r="S657" s="13">
        <f ca="1">IF(ISBLANK(Table2[[#This Row],[Complete corrective actions (Approved Date)]]), TODAY()-Table2[[#This Row],[CAR initialized date]], "CLOSED")</f>
        <v>46077</v>
      </c>
    </row>
    <row r="658" spans="1:19" ht="36" customHeight="1" x14ac:dyDescent="0.25">
      <c r="A658" s="9"/>
      <c r="B658" s="13" t="e">
        <f>VLOOKUP(Table2[[#This Row],[Location 
(drop-down)]],'List source'!D$2:E$71,2,FALSE)</f>
        <v>#N/A</v>
      </c>
      <c r="C658" s="11" t="s">
        <v>1484</v>
      </c>
      <c r="D658" s="212" t="e">
        <f t="shared" si="11"/>
        <v>#N/A</v>
      </c>
      <c r="E658" s="19"/>
      <c r="F658" s="19"/>
      <c r="G658" s="9"/>
      <c r="H658" s="10"/>
      <c r="I658" s="20"/>
      <c r="J658" s="166"/>
      <c r="K658" s="166"/>
      <c r="L658" s="166"/>
      <c r="M658" s="166"/>
      <c r="N658" s="166"/>
      <c r="O658" s="63"/>
      <c r="P658" s="196"/>
      <c r="Q658" s="37"/>
      <c r="R658" s="93"/>
      <c r="S658" s="13">
        <f ca="1">IF(ISBLANK(Table2[[#This Row],[Complete corrective actions (Approved Date)]]), TODAY()-Table2[[#This Row],[CAR initialized date]], "CLOSED")</f>
        <v>46077</v>
      </c>
    </row>
    <row r="659" spans="1:19" ht="36" customHeight="1" x14ac:dyDescent="0.25">
      <c r="A659" s="9"/>
      <c r="B659" s="13" t="e">
        <f>VLOOKUP(Table2[[#This Row],[Location 
(drop-down)]],'List source'!D$2:E$71,2,FALSE)</f>
        <v>#N/A</v>
      </c>
      <c r="C659" s="11" t="s">
        <v>1485</v>
      </c>
      <c r="D659" s="212" t="e">
        <f t="shared" si="11"/>
        <v>#N/A</v>
      </c>
      <c r="E659" s="19"/>
      <c r="F659" s="19"/>
      <c r="G659" s="9"/>
      <c r="H659" s="10"/>
      <c r="I659" s="20"/>
      <c r="J659" s="166"/>
      <c r="K659" s="166"/>
      <c r="L659" s="166"/>
      <c r="M659" s="166"/>
      <c r="N659" s="166"/>
      <c r="O659" s="63"/>
      <c r="P659" s="196"/>
      <c r="Q659" s="37"/>
      <c r="R659" s="93"/>
      <c r="S659" s="13">
        <f ca="1">IF(ISBLANK(Table2[[#This Row],[Complete corrective actions (Approved Date)]]), TODAY()-Table2[[#This Row],[CAR initialized date]], "CLOSED")</f>
        <v>46077</v>
      </c>
    </row>
    <row r="660" spans="1:19" ht="36" customHeight="1" x14ac:dyDescent="0.25">
      <c r="A660" s="9"/>
      <c r="B660" s="13" t="e">
        <f>VLOOKUP(Table2[[#This Row],[Location 
(drop-down)]],'List source'!D$2:E$71,2,FALSE)</f>
        <v>#N/A</v>
      </c>
      <c r="C660" s="11" t="s">
        <v>1486</v>
      </c>
      <c r="D660" s="212" t="e">
        <f t="shared" si="11"/>
        <v>#N/A</v>
      </c>
      <c r="E660" s="19"/>
      <c r="F660" s="19"/>
      <c r="G660" s="9"/>
      <c r="H660" s="10"/>
      <c r="I660" s="20"/>
      <c r="J660" s="166"/>
      <c r="K660" s="166"/>
      <c r="L660" s="166"/>
      <c r="M660" s="166"/>
      <c r="N660" s="166"/>
      <c r="O660" s="63"/>
      <c r="P660" s="196"/>
      <c r="Q660" s="37"/>
      <c r="R660" s="93"/>
      <c r="S660" s="13">
        <f ca="1">IF(ISBLANK(Table2[[#This Row],[Complete corrective actions (Approved Date)]]), TODAY()-Table2[[#This Row],[CAR initialized date]], "CLOSED")</f>
        <v>46077</v>
      </c>
    </row>
    <row r="661" spans="1:19" ht="36" customHeight="1" x14ac:dyDescent="0.25">
      <c r="A661" s="9"/>
      <c r="B661" s="13" t="e">
        <f>VLOOKUP(Table2[[#This Row],[Location 
(drop-down)]],'List source'!D$2:E$71,2,FALSE)</f>
        <v>#N/A</v>
      </c>
      <c r="C661" s="11" t="s">
        <v>1487</v>
      </c>
      <c r="D661" s="212" t="e">
        <f t="shared" si="11"/>
        <v>#N/A</v>
      </c>
      <c r="E661" s="19"/>
      <c r="F661" s="19"/>
      <c r="G661" s="9"/>
      <c r="H661" s="10"/>
      <c r="I661" s="20"/>
      <c r="J661" s="166"/>
      <c r="K661" s="166"/>
      <c r="L661" s="166"/>
      <c r="M661" s="166"/>
      <c r="N661" s="166"/>
      <c r="O661" s="63"/>
      <c r="P661" s="196"/>
      <c r="Q661" s="37"/>
      <c r="R661" s="93"/>
      <c r="S661" s="13">
        <f ca="1">IF(ISBLANK(Table2[[#This Row],[Complete corrective actions (Approved Date)]]), TODAY()-Table2[[#This Row],[CAR initialized date]], "CLOSED")</f>
        <v>46077</v>
      </c>
    </row>
    <row r="662" spans="1:19" ht="36" customHeight="1" x14ac:dyDescent="0.25">
      <c r="A662" s="9"/>
      <c r="B662" s="13" t="e">
        <f>VLOOKUP(Table2[[#This Row],[Location 
(drop-down)]],'List source'!D$2:E$71,2,FALSE)</f>
        <v>#N/A</v>
      </c>
      <c r="C662" s="11" t="s">
        <v>1488</v>
      </c>
      <c r="D662" s="212" t="e">
        <f t="shared" si="11"/>
        <v>#N/A</v>
      </c>
      <c r="E662" s="19"/>
      <c r="F662" s="19"/>
      <c r="G662" s="9"/>
      <c r="H662" s="10"/>
      <c r="I662" s="20"/>
      <c r="J662" s="166"/>
      <c r="K662" s="166"/>
      <c r="L662" s="166"/>
      <c r="M662" s="166"/>
      <c r="N662" s="166"/>
      <c r="O662" s="63"/>
      <c r="P662" s="196"/>
      <c r="Q662" s="37"/>
      <c r="R662" s="93"/>
      <c r="S662" s="13">
        <f ca="1">IF(ISBLANK(Table2[[#This Row],[Complete corrective actions (Approved Date)]]), TODAY()-Table2[[#This Row],[CAR initialized date]], "CLOSED")</f>
        <v>46077</v>
      </c>
    </row>
    <row r="663" spans="1:19" ht="36" customHeight="1" x14ac:dyDescent="0.25">
      <c r="A663" s="9"/>
      <c r="B663" s="13" t="e">
        <f>VLOOKUP(Table2[[#This Row],[Location 
(drop-down)]],'List source'!D$2:E$71,2,FALSE)</f>
        <v>#N/A</v>
      </c>
      <c r="C663" s="11" t="s">
        <v>1489</v>
      </c>
      <c r="D663" s="212" t="e">
        <f t="shared" si="11"/>
        <v>#N/A</v>
      </c>
      <c r="E663" s="19"/>
      <c r="F663" s="19"/>
      <c r="G663" s="9"/>
      <c r="H663" s="10"/>
      <c r="I663" s="20"/>
      <c r="J663" s="166"/>
      <c r="K663" s="166"/>
      <c r="L663" s="166"/>
      <c r="M663" s="166"/>
      <c r="N663" s="166"/>
      <c r="O663" s="63"/>
      <c r="P663" s="196"/>
      <c r="Q663" s="37"/>
      <c r="R663" s="93"/>
      <c r="S663" s="13">
        <f ca="1">IF(ISBLANK(Table2[[#This Row],[Complete corrective actions (Approved Date)]]), TODAY()-Table2[[#This Row],[CAR initialized date]], "CLOSED")</f>
        <v>46077</v>
      </c>
    </row>
    <row r="664" spans="1:19" ht="36" customHeight="1" x14ac:dyDescent="0.25">
      <c r="A664" s="9"/>
      <c r="B664" s="13" t="e">
        <f>VLOOKUP(Table2[[#This Row],[Location 
(drop-down)]],'List source'!D$2:E$71,2,FALSE)</f>
        <v>#N/A</v>
      </c>
      <c r="C664" s="11" t="s">
        <v>1490</v>
      </c>
      <c r="D664" s="212" t="e">
        <f t="shared" si="11"/>
        <v>#N/A</v>
      </c>
      <c r="E664" s="19"/>
      <c r="F664" s="19"/>
      <c r="G664" s="9"/>
      <c r="H664" s="10"/>
      <c r="I664" s="20"/>
      <c r="J664" s="166"/>
      <c r="K664" s="166"/>
      <c r="L664" s="166"/>
      <c r="M664" s="166"/>
      <c r="N664" s="166"/>
      <c r="O664" s="63"/>
      <c r="P664" s="196"/>
      <c r="Q664" s="37"/>
      <c r="R664" s="93"/>
      <c r="S664" s="13">
        <f ca="1">IF(ISBLANK(Table2[[#This Row],[Complete corrective actions (Approved Date)]]), TODAY()-Table2[[#This Row],[CAR initialized date]], "CLOSED")</f>
        <v>46077</v>
      </c>
    </row>
    <row r="665" spans="1:19" ht="36" customHeight="1" x14ac:dyDescent="0.25">
      <c r="A665" s="9"/>
      <c r="B665" s="13" t="e">
        <f>VLOOKUP(Table2[[#This Row],[Location 
(drop-down)]],'List source'!D$2:E$71,2,FALSE)</f>
        <v>#N/A</v>
      </c>
      <c r="C665" s="11" t="s">
        <v>1491</v>
      </c>
      <c r="D665" s="212" t="e">
        <f t="shared" si="11"/>
        <v>#N/A</v>
      </c>
      <c r="E665" s="19"/>
      <c r="F665" s="19"/>
      <c r="G665" s="9"/>
      <c r="H665" s="10"/>
      <c r="I665" s="20"/>
      <c r="J665" s="166"/>
      <c r="K665" s="166"/>
      <c r="L665" s="166"/>
      <c r="M665" s="166"/>
      <c r="N665" s="166"/>
      <c r="O665" s="63"/>
      <c r="P665" s="196"/>
      <c r="Q665" s="37"/>
      <c r="R665" s="93"/>
      <c r="S665" s="13">
        <f ca="1">IF(ISBLANK(Table2[[#This Row],[Complete corrective actions (Approved Date)]]), TODAY()-Table2[[#This Row],[CAR initialized date]], "CLOSED")</f>
        <v>46077</v>
      </c>
    </row>
    <row r="666" spans="1:19" ht="36" customHeight="1" x14ac:dyDescent="0.25">
      <c r="A666" s="9"/>
      <c r="B666" s="13" t="e">
        <f>VLOOKUP(Table2[[#This Row],[Location 
(drop-down)]],'List source'!D$2:E$71,2,FALSE)</f>
        <v>#N/A</v>
      </c>
      <c r="C666" s="11" t="s">
        <v>1492</v>
      </c>
      <c r="D666" s="212" t="e">
        <f t="shared" si="11"/>
        <v>#N/A</v>
      </c>
      <c r="E666" s="19"/>
      <c r="F666" s="19"/>
      <c r="G666" s="9"/>
      <c r="H666" s="10"/>
      <c r="I666" s="20"/>
      <c r="J666" s="166"/>
      <c r="K666" s="166"/>
      <c r="L666" s="166"/>
      <c r="M666" s="166"/>
      <c r="N666" s="166"/>
      <c r="O666" s="63"/>
      <c r="P666" s="196"/>
      <c r="Q666" s="37"/>
      <c r="R666" s="93"/>
      <c r="S666" s="13">
        <f ca="1">IF(ISBLANK(Table2[[#This Row],[Complete corrective actions (Approved Date)]]), TODAY()-Table2[[#This Row],[CAR initialized date]], "CLOSED")</f>
        <v>46077</v>
      </c>
    </row>
    <row r="667" spans="1:19" ht="36" customHeight="1" x14ac:dyDescent="0.25">
      <c r="A667" s="9"/>
      <c r="B667" s="13" t="e">
        <f>VLOOKUP(Table2[[#This Row],[Location 
(drop-down)]],'List source'!D$2:E$71,2,FALSE)</f>
        <v>#N/A</v>
      </c>
      <c r="C667" s="11" t="s">
        <v>1493</v>
      </c>
      <c r="D667" s="212" t="e">
        <f t="shared" si="11"/>
        <v>#N/A</v>
      </c>
      <c r="E667" s="19"/>
      <c r="F667" s="19"/>
      <c r="G667" s="9"/>
      <c r="H667" s="10"/>
      <c r="I667" s="20"/>
      <c r="J667" s="166"/>
      <c r="K667" s="166"/>
      <c r="L667" s="166"/>
      <c r="M667" s="166"/>
      <c r="N667" s="166"/>
      <c r="O667" s="63"/>
      <c r="P667" s="196"/>
      <c r="Q667" s="37"/>
      <c r="R667" s="93"/>
      <c r="S667" s="13">
        <f ca="1">IF(ISBLANK(Table2[[#This Row],[Complete corrective actions (Approved Date)]]), TODAY()-Table2[[#This Row],[CAR initialized date]], "CLOSED")</f>
        <v>46077</v>
      </c>
    </row>
    <row r="668" spans="1:19" ht="36" customHeight="1" x14ac:dyDescent="0.25">
      <c r="A668" s="9"/>
      <c r="B668" s="13" t="e">
        <f>VLOOKUP(Table2[[#This Row],[Location 
(drop-down)]],'List source'!D$2:E$71,2,FALSE)</f>
        <v>#N/A</v>
      </c>
      <c r="C668" s="11" t="s">
        <v>1494</v>
      </c>
      <c r="D668" s="212" t="e">
        <f t="shared" si="11"/>
        <v>#N/A</v>
      </c>
      <c r="E668" s="19"/>
      <c r="F668" s="19"/>
      <c r="G668" s="9"/>
      <c r="H668" s="10"/>
      <c r="I668" s="20"/>
      <c r="J668" s="166"/>
      <c r="K668" s="166"/>
      <c r="L668" s="166"/>
      <c r="M668" s="166"/>
      <c r="N668" s="166"/>
      <c r="O668" s="63"/>
      <c r="P668" s="196"/>
      <c r="Q668" s="37"/>
      <c r="R668" s="93"/>
      <c r="S668" s="13">
        <f ca="1">IF(ISBLANK(Table2[[#This Row],[Complete corrective actions (Approved Date)]]), TODAY()-Table2[[#This Row],[CAR initialized date]], "CLOSED")</f>
        <v>46077</v>
      </c>
    </row>
    <row r="669" spans="1:19" ht="36" customHeight="1" x14ac:dyDescent="0.25">
      <c r="A669" s="9"/>
      <c r="B669" s="13" t="e">
        <f>VLOOKUP(Table2[[#This Row],[Location 
(drop-down)]],'List source'!D$2:E$71,2,FALSE)</f>
        <v>#N/A</v>
      </c>
      <c r="C669" s="11" t="s">
        <v>1495</v>
      </c>
      <c r="D669" s="212" t="e">
        <f t="shared" si="11"/>
        <v>#N/A</v>
      </c>
      <c r="E669" s="19"/>
      <c r="F669" s="19"/>
      <c r="G669" s="9"/>
      <c r="H669" s="10"/>
      <c r="I669" s="20"/>
      <c r="J669" s="166"/>
      <c r="K669" s="166"/>
      <c r="L669" s="166"/>
      <c r="M669" s="166"/>
      <c r="N669" s="166"/>
      <c r="O669" s="63"/>
      <c r="P669" s="196"/>
      <c r="Q669" s="37"/>
      <c r="R669" s="93"/>
      <c r="S669" s="13">
        <f ca="1">IF(ISBLANK(Table2[[#This Row],[Complete corrective actions (Approved Date)]]), TODAY()-Table2[[#This Row],[CAR initialized date]], "CLOSED")</f>
        <v>46077</v>
      </c>
    </row>
    <row r="670" spans="1:19" ht="36" customHeight="1" x14ac:dyDescent="0.25">
      <c r="A670" s="9"/>
      <c r="B670" s="13" t="e">
        <f>VLOOKUP(Table2[[#This Row],[Location 
(drop-down)]],'List source'!D$2:E$71,2,FALSE)</f>
        <v>#N/A</v>
      </c>
      <c r="C670" s="11" t="s">
        <v>1496</v>
      </c>
      <c r="D670" s="212" t="e">
        <f t="shared" si="11"/>
        <v>#N/A</v>
      </c>
      <c r="E670" s="19"/>
      <c r="F670" s="19"/>
      <c r="G670" s="9"/>
      <c r="H670" s="10"/>
      <c r="I670" s="20"/>
      <c r="J670" s="166"/>
      <c r="K670" s="166"/>
      <c r="L670" s="166"/>
      <c r="M670" s="166"/>
      <c r="N670" s="166"/>
      <c r="O670" s="63"/>
      <c r="P670" s="196"/>
      <c r="Q670" s="37"/>
      <c r="R670" s="93"/>
      <c r="S670" s="13">
        <f ca="1">IF(ISBLANK(Table2[[#This Row],[Complete corrective actions (Approved Date)]]), TODAY()-Table2[[#This Row],[CAR initialized date]], "CLOSED")</f>
        <v>46077</v>
      </c>
    </row>
    <row r="671" spans="1:19" ht="36" customHeight="1" x14ac:dyDescent="0.25">
      <c r="A671" s="9"/>
      <c r="B671" s="13" t="e">
        <f>VLOOKUP(Table2[[#This Row],[Location 
(drop-down)]],'List source'!D$2:E$71,2,FALSE)</f>
        <v>#N/A</v>
      </c>
      <c r="C671" s="11" t="s">
        <v>1497</v>
      </c>
      <c r="D671" s="212" t="e">
        <f t="shared" si="11"/>
        <v>#N/A</v>
      </c>
      <c r="E671" s="19"/>
      <c r="F671" s="19"/>
      <c r="G671" s="9"/>
      <c r="H671" s="10"/>
      <c r="I671" s="20"/>
      <c r="J671" s="166"/>
      <c r="K671" s="166"/>
      <c r="L671" s="166"/>
      <c r="M671" s="166"/>
      <c r="N671" s="166"/>
      <c r="O671" s="63"/>
      <c r="P671" s="196"/>
      <c r="Q671" s="37"/>
      <c r="R671" s="93"/>
      <c r="S671" s="13">
        <f ca="1">IF(ISBLANK(Table2[[#This Row],[Complete corrective actions (Approved Date)]]), TODAY()-Table2[[#This Row],[CAR initialized date]], "CLOSED")</f>
        <v>46077</v>
      </c>
    </row>
    <row r="672" spans="1:19" ht="36" customHeight="1" x14ac:dyDescent="0.25">
      <c r="A672" s="9"/>
      <c r="B672" s="13" t="e">
        <f>VLOOKUP(Table2[[#This Row],[Location 
(drop-down)]],'List source'!D$2:E$71,2,FALSE)</f>
        <v>#N/A</v>
      </c>
      <c r="C672" s="11" t="s">
        <v>1498</v>
      </c>
      <c r="D672" s="212" t="e">
        <f t="shared" si="11"/>
        <v>#N/A</v>
      </c>
      <c r="E672" s="19"/>
      <c r="F672" s="19"/>
      <c r="G672" s="9"/>
      <c r="H672" s="10"/>
      <c r="I672" s="20"/>
      <c r="J672" s="166"/>
      <c r="K672" s="166"/>
      <c r="L672" s="166"/>
      <c r="M672" s="166"/>
      <c r="N672" s="166"/>
      <c r="O672" s="63"/>
      <c r="P672" s="196"/>
      <c r="Q672" s="37"/>
      <c r="R672" s="93"/>
      <c r="S672" s="13">
        <f ca="1">IF(ISBLANK(Table2[[#This Row],[Complete corrective actions (Approved Date)]]), TODAY()-Table2[[#This Row],[CAR initialized date]], "CLOSED")</f>
        <v>46077</v>
      </c>
    </row>
    <row r="673" spans="1:19" ht="36" customHeight="1" x14ac:dyDescent="0.25">
      <c r="A673" s="9"/>
      <c r="B673" s="13" t="e">
        <f>VLOOKUP(Table2[[#This Row],[Location 
(drop-down)]],'List source'!D$2:E$71,2,FALSE)</f>
        <v>#N/A</v>
      </c>
      <c r="C673" s="11" t="s">
        <v>1499</v>
      </c>
      <c r="D673" s="212" t="e">
        <f t="shared" si="11"/>
        <v>#N/A</v>
      </c>
      <c r="E673" s="19"/>
      <c r="F673" s="19"/>
      <c r="G673" s="9"/>
      <c r="H673" s="10"/>
      <c r="I673" s="20"/>
      <c r="J673" s="166"/>
      <c r="K673" s="166"/>
      <c r="L673" s="166"/>
      <c r="M673" s="166"/>
      <c r="N673" s="166"/>
      <c r="O673" s="63"/>
      <c r="P673" s="196"/>
      <c r="Q673" s="37"/>
      <c r="R673" s="93"/>
      <c r="S673" s="13">
        <f ca="1">IF(ISBLANK(Table2[[#This Row],[Complete corrective actions (Approved Date)]]), TODAY()-Table2[[#This Row],[CAR initialized date]], "CLOSED")</f>
        <v>46077</v>
      </c>
    </row>
    <row r="674" spans="1:19" ht="36" customHeight="1" x14ac:dyDescent="0.25">
      <c r="A674" s="9"/>
      <c r="B674" s="13" t="e">
        <f>VLOOKUP(Table2[[#This Row],[Location 
(drop-down)]],'List source'!D$2:E$71,2,FALSE)</f>
        <v>#N/A</v>
      </c>
      <c r="C674" s="11" t="s">
        <v>1500</v>
      </c>
      <c r="D674" s="212" t="e">
        <f t="shared" si="11"/>
        <v>#N/A</v>
      </c>
      <c r="E674" s="19"/>
      <c r="F674" s="19"/>
      <c r="G674" s="9"/>
      <c r="H674" s="10"/>
      <c r="I674" s="20"/>
      <c r="J674" s="166"/>
      <c r="K674" s="166"/>
      <c r="L674" s="166"/>
      <c r="M674" s="166"/>
      <c r="N674" s="166"/>
      <c r="O674" s="63"/>
      <c r="P674" s="196"/>
      <c r="Q674" s="37"/>
      <c r="R674" s="93"/>
      <c r="S674" s="13">
        <f ca="1">IF(ISBLANK(Table2[[#This Row],[Complete corrective actions (Approved Date)]]), TODAY()-Table2[[#This Row],[CAR initialized date]], "CLOSED")</f>
        <v>46077</v>
      </c>
    </row>
    <row r="675" spans="1:19" ht="36" customHeight="1" x14ac:dyDescent="0.25">
      <c r="A675" s="9"/>
      <c r="B675" s="13" t="e">
        <f>VLOOKUP(Table2[[#This Row],[Location 
(drop-down)]],'List source'!D$2:E$71,2,FALSE)</f>
        <v>#N/A</v>
      </c>
      <c r="C675" s="11" t="s">
        <v>1501</v>
      </c>
      <c r="D675" s="212" t="e">
        <f t="shared" si="11"/>
        <v>#N/A</v>
      </c>
      <c r="E675" s="19"/>
      <c r="F675" s="19"/>
      <c r="G675" s="9"/>
      <c r="H675" s="10"/>
      <c r="I675" s="20"/>
      <c r="J675" s="166"/>
      <c r="K675" s="166"/>
      <c r="L675" s="166"/>
      <c r="M675" s="166"/>
      <c r="N675" s="166"/>
      <c r="O675" s="63"/>
      <c r="P675" s="196"/>
      <c r="Q675" s="37"/>
      <c r="R675" s="93"/>
      <c r="S675" s="13">
        <f ca="1">IF(ISBLANK(Table2[[#This Row],[Complete corrective actions (Approved Date)]]), TODAY()-Table2[[#This Row],[CAR initialized date]], "CLOSED")</f>
        <v>46077</v>
      </c>
    </row>
    <row r="676" spans="1:19" ht="36" customHeight="1" x14ac:dyDescent="0.25">
      <c r="A676" s="9"/>
      <c r="B676" s="13" t="e">
        <f>VLOOKUP(Table2[[#This Row],[Location 
(drop-down)]],'List source'!D$2:E$71,2,FALSE)</f>
        <v>#N/A</v>
      </c>
      <c r="C676" s="11" t="s">
        <v>1502</v>
      </c>
      <c r="D676" s="212" t="e">
        <f t="shared" si="11"/>
        <v>#N/A</v>
      </c>
      <c r="E676" s="19"/>
      <c r="F676" s="19"/>
      <c r="G676" s="9"/>
      <c r="H676" s="10"/>
      <c r="I676" s="20"/>
      <c r="J676" s="166"/>
      <c r="K676" s="166"/>
      <c r="L676" s="166"/>
      <c r="M676" s="166"/>
      <c r="N676" s="166"/>
      <c r="O676" s="63"/>
      <c r="P676" s="196"/>
      <c r="Q676" s="37"/>
      <c r="R676" s="93"/>
      <c r="S676" s="13">
        <f ca="1">IF(ISBLANK(Table2[[#This Row],[Complete corrective actions (Approved Date)]]), TODAY()-Table2[[#This Row],[CAR initialized date]], "CLOSED")</f>
        <v>46077</v>
      </c>
    </row>
    <row r="677" spans="1:19" ht="36" customHeight="1" x14ac:dyDescent="0.25">
      <c r="A677" s="9"/>
      <c r="B677" s="13" t="e">
        <f>VLOOKUP(Table2[[#This Row],[Location 
(drop-down)]],'List source'!D$2:E$71,2,FALSE)</f>
        <v>#N/A</v>
      </c>
      <c r="C677" s="11" t="s">
        <v>1503</v>
      </c>
      <c r="D677" s="212" t="e">
        <f t="shared" si="11"/>
        <v>#N/A</v>
      </c>
      <c r="E677" s="19"/>
      <c r="F677" s="19"/>
      <c r="G677" s="9"/>
      <c r="H677" s="10"/>
      <c r="I677" s="20"/>
      <c r="J677" s="166"/>
      <c r="K677" s="166"/>
      <c r="L677" s="166"/>
      <c r="M677" s="166"/>
      <c r="N677" s="166"/>
      <c r="O677" s="63"/>
      <c r="P677" s="196"/>
      <c r="Q677" s="37"/>
      <c r="R677" s="93"/>
      <c r="S677" s="13">
        <f ca="1">IF(ISBLANK(Table2[[#This Row],[Complete corrective actions (Approved Date)]]), TODAY()-Table2[[#This Row],[CAR initialized date]], "CLOSED")</f>
        <v>46077</v>
      </c>
    </row>
    <row r="678" spans="1:19" ht="36" customHeight="1" x14ac:dyDescent="0.25">
      <c r="A678" s="9"/>
      <c r="B678" s="13" t="e">
        <f>VLOOKUP(Table2[[#This Row],[Location 
(drop-down)]],'List source'!D$2:E$71,2,FALSE)</f>
        <v>#N/A</v>
      </c>
      <c r="C678" s="11" t="s">
        <v>1504</v>
      </c>
      <c r="D678" s="212" t="e">
        <f t="shared" si="11"/>
        <v>#N/A</v>
      </c>
      <c r="E678" s="19"/>
      <c r="F678" s="19"/>
      <c r="G678" s="15"/>
      <c r="H678" s="10"/>
      <c r="I678" s="20"/>
      <c r="J678" s="166"/>
      <c r="K678" s="166"/>
      <c r="L678" s="166"/>
      <c r="M678" s="166"/>
      <c r="N678" s="166"/>
      <c r="O678" s="63"/>
      <c r="P678" s="196"/>
      <c r="Q678" s="250"/>
      <c r="R678" s="93"/>
      <c r="S678" s="13">
        <f ca="1">IF(ISBLANK(Table2[[#This Row],[Complete corrective actions (Approved Date)]]), TODAY()-Table2[[#This Row],[CAR initialized date]], "CLOSED")</f>
        <v>46077</v>
      </c>
    </row>
    <row r="679" spans="1:19" ht="36" customHeight="1" x14ac:dyDescent="0.25">
      <c r="A679" s="9"/>
      <c r="B679" s="13" t="e">
        <f>VLOOKUP(Table2[[#This Row],[Location 
(drop-down)]],'List source'!D$2:E$71,2,FALSE)</f>
        <v>#N/A</v>
      </c>
      <c r="C679" s="11" t="s">
        <v>1505</v>
      </c>
      <c r="D679" s="212" t="e">
        <f t="shared" si="11"/>
        <v>#N/A</v>
      </c>
      <c r="E679" s="19"/>
      <c r="F679" s="19"/>
      <c r="G679" s="9"/>
      <c r="H679" s="10"/>
      <c r="I679" s="20"/>
      <c r="J679" s="166"/>
      <c r="K679" s="166"/>
      <c r="L679" s="166"/>
      <c r="M679" s="166"/>
      <c r="N679" s="166"/>
      <c r="O679" s="63"/>
      <c r="P679" s="196"/>
      <c r="Q679" s="37"/>
      <c r="R679" s="93"/>
      <c r="S679" s="13">
        <f ca="1">IF(ISBLANK(Table2[[#This Row],[Complete corrective actions (Approved Date)]]), TODAY()-Table2[[#This Row],[CAR initialized date]], "CLOSED")</f>
        <v>46077</v>
      </c>
    </row>
    <row r="680" spans="1:19" ht="36" customHeight="1" x14ac:dyDescent="0.25">
      <c r="A680" s="9"/>
      <c r="B680" s="13" t="e">
        <f>VLOOKUP(Table2[[#This Row],[Location 
(drop-down)]],'List source'!D$2:E$71,2,FALSE)</f>
        <v>#N/A</v>
      </c>
      <c r="C680" s="11" t="s">
        <v>1506</v>
      </c>
      <c r="D680" s="212" t="e">
        <f t="shared" si="11"/>
        <v>#N/A</v>
      </c>
      <c r="E680" s="19"/>
      <c r="F680" s="19"/>
      <c r="G680" s="9"/>
      <c r="H680" s="10"/>
      <c r="I680" s="20"/>
      <c r="J680" s="166"/>
      <c r="K680" s="166"/>
      <c r="L680" s="166"/>
      <c r="M680" s="166"/>
      <c r="N680" s="166"/>
      <c r="O680" s="63"/>
      <c r="P680" s="196"/>
      <c r="Q680" s="37"/>
      <c r="R680" s="93"/>
      <c r="S680" s="13">
        <f ca="1">IF(ISBLANK(Table2[[#This Row],[Complete corrective actions (Approved Date)]]), TODAY()-Table2[[#This Row],[CAR initialized date]], "CLOSED")</f>
        <v>46077</v>
      </c>
    </row>
    <row r="681" spans="1:19" ht="36" customHeight="1" x14ac:dyDescent="0.25">
      <c r="A681" s="9"/>
      <c r="B681" s="13" t="e">
        <f>VLOOKUP(Table2[[#This Row],[Location 
(drop-down)]],'List source'!D$2:E$71,2,FALSE)</f>
        <v>#N/A</v>
      </c>
      <c r="C681" s="11" t="s">
        <v>1507</v>
      </c>
      <c r="D681" s="212" t="e">
        <f t="shared" si="11"/>
        <v>#N/A</v>
      </c>
      <c r="E681" s="19"/>
      <c r="F681" s="19"/>
      <c r="G681" s="9"/>
      <c r="H681" s="10"/>
      <c r="I681" s="20"/>
      <c r="J681" s="166"/>
      <c r="K681" s="166"/>
      <c r="L681" s="166"/>
      <c r="M681" s="166"/>
      <c r="N681" s="166"/>
      <c r="O681" s="63"/>
      <c r="P681" s="196"/>
      <c r="Q681" s="37"/>
      <c r="R681" s="93"/>
      <c r="S681" s="13">
        <f ca="1">IF(ISBLANK(Table2[[#This Row],[Complete corrective actions (Approved Date)]]), TODAY()-Table2[[#This Row],[CAR initialized date]], "CLOSED")</f>
        <v>46077</v>
      </c>
    </row>
    <row r="682" spans="1:19" ht="36" customHeight="1" x14ac:dyDescent="0.25">
      <c r="A682" s="9"/>
      <c r="B682" s="13" t="e">
        <f>VLOOKUP(Table2[[#This Row],[Location 
(drop-down)]],'List source'!D$2:E$71,2,FALSE)</f>
        <v>#N/A</v>
      </c>
      <c r="C682" s="11" t="s">
        <v>1508</v>
      </c>
      <c r="D682" s="212" t="e">
        <f t="shared" si="11"/>
        <v>#N/A</v>
      </c>
      <c r="E682" s="19"/>
      <c r="F682" s="19"/>
      <c r="G682" s="9"/>
      <c r="H682" s="10"/>
      <c r="I682" s="20"/>
      <c r="J682" s="166"/>
      <c r="K682" s="166"/>
      <c r="L682" s="166"/>
      <c r="M682" s="166"/>
      <c r="N682" s="166"/>
      <c r="O682" s="63"/>
      <c r="P682" s="196"/>
      <c r="Q682" s="37"/>
      <c r="R682" s="93"/>
      <c r="S682" s="13">
        <f ca="1">IF(ISBLANK(Table2[[#This Row],[Complete corrective actions (Approved Date)]]), TODAY()-Table2[[#This Row],[CAR initialized date]], "CLOSED")</f>
        <v>46077</v>
      </c>
    </row>
    <row r="683" spans="1:19" ht="36" customHeight="1" x14ac:dyDescent="0.25">
      <c r="A683" s="9"/>
      <c r="B683" s="13" t="e">
        <f>VLOOKUP(Table2[[#This Row],[Location 
(drop-down)]],'List source'!D$2:E$71,2,FALSE)</f>
        <v>#N/A</v>
      </c>
      <c r="C683" s="11" t="s">
        <v>1509</v>
      </c>
      <c r="D683" s="212" t="e">
        <f t="shared" si="11"/>
        <v>#N/A</v>
      </c>
      <c r="E683" s="19"/>
      <c r="F683" s="19"/>
      <c r="G683" s="9"/>
      <c r="H683" s="10"/>
      <c r="I683" s="20"/>
      <c r="J683" s="166"/>
      <c r="K683" s="166"/>
      <c r="L683" s="166"/>
      <c r="M683" s="166"/>
      <c r="N683" s="166"/>
      <c r="O683" s="63"/>
      <c r="P683" s="196"/>
      <c r="Q683" s="37"/>
      <c r="R683" s="93"/>
      <c r="S683" s="13">
        <f ca="1">IF(ISBLANK(Table2[[#This Row],[Complete corrective actions (Approved Date)]]), TODAY()-Table2[[#This Row],[CAR initialized date]], "CLOSED")</f>
        <v>46077</v>
      </c>
    </row>
    <row r="684" spans="1:19" ht="36" customHeight="1" x14ac:dyDescent="0.25">
      <c r="A684" s="9"/>
      <c r="B684" s="13" t="e">
        <f>VLOOKUP(Table2[[#This Row],[Location 
(drop-down)]],'List source'!D$2:E$71,2,FALSE)</f>
        <v>#N/A</v>
      </c>
      <c r="C684" s="11" t="s">
        <v>1510</v>
      </c>
      <c r="D684" s="212" t="e">
        <f t="shared" si="11"/>
        <v>#N/A</v>
      </c>
      <c r="E684" s="19"/>
      <c r="F684" s="19"/>
      <c r="G684" s="9"/>
      <c r="H684" s="10"/>
      <c r="I684" s="20"/>
      <c r="J684" s="166"/>
      <c r="K684" s="166"/>
      <c r="L684" s="166"/>
      <c r="M684" s="166"/>
      <c r="N684" s="166"/>
      <c r="O684" s="63"/>
      <c r="P684" s="196"/>
      <c r="Q684" s="37"/>
      <c r="R684" s="93"/>
      <c r="S684" s="13">
        <f ca="1">IF(ISBLANK(Table2[[#This Row],[Complete corrective actions (Approved Date)]]), TODAY()-Table2[[#This Row],[CAR initialized date]], "CLOSED")</f>
        <v>46077</v>
      </c>
    </row>
    <row r="685" spans="1:19" ht="36" customHeight="1" x14ac:dyDescent="0.25">
      <c r="A685" s="9"/>
      <c r="B685" s="13" t="e">
        <f>VLOOKUP(Table2[[#This Row],[Location 
(drop-down)]],'List source'!D$2:E$71,2,FALSE)</f>
        <v>#N/A</v>
      </c>
      <c r="C685" s="11" t="s">
        <v>1511</v>
      </c>
      <c r="D685" s="212" t="e">
        <f t="shared" si="11"/>
        <v>#N/A</v>
      </c>
      <c r="E685" s="19"/>
      <c r="F685" s="19"/>
      <c r="G685" s="9"/>
      <c r="H685" s="10"/>
      <c r="I685" s="20"/>
      <c r="J685" s="166"/>
      <c r="K685" s="166"/>
      <c r="L685" s="166"/>
      <c r="M685" s="166"/>
      <c r="N685" s="166"/>
      <c r="O685" s="63"/>
      <c r="P685" s="196"/>
      <c r="Q685" s="37"/>
      <c r="R685" s="93"/>
      <c r="S685" s="13">
        <f ca="1">IF(ISBLANK(Table2[[#This Row],[Complete corrective actions (Approved Date)]]), TODAY()-Table2[[#This Row],[CAR initialized date]], "CLOSED")</f>
        <v>46077</v>
      </c>
    </row>
    <row r="686" spans="1:19" ht="36" customHeight="1" x14ac:dyDescent="0.25">
      <c r="A686" s="9"/>
      <c r="B686" s="13" t="e">
        <f>VLOOKUP(Table2[[#This Row],[Location 
(drop-down)]],'List source'!D$2:E$71,2,FALSE)</f>
        <v>#N/A</v>
      </c>
      <c r="C686" s="11" t="s">
        <v>1512</v>
      </c>
      <c r="D686" s="212" t="e">
        <f t="shared" si="11"/>
        <v>#N/A</v>
      </c>
      <c r="E686" s="19"/>
      <c r="F686" s="19"/>
      <c r="G686" s="9"/>
      <c r="H686" s="10"/>
      <c r="I686" s="20"/>
      <c r="J686" s="166"/>
      <c r="K686" s="166"/>
      <c r="L686" s="166"/>
      <c r="M686" s="166"/>
      <c r="N686" s="166"/>
      <c r="O686" s="63"/>
      <c r="P686" s="196"/>
      <c r="Q686" s="37"/>
      <c r="R686" s="93"/>
      <c r="S686" s="13">
        <f ca="1">IF(ISBLANK(Table2[[#This Row],[Complete corrective actions (Approved Date)]]), TODAY()-Table2[[#This Row],[CAR initialized date]], "CLOSED")</f>
        <v>46077</v>
      </c>
    </row>
    <row r="687" spans="1:19" ht="36" customHeight="1" x14ac:dyDescent="0.25">
      <c r="A687" s="9"/>
      <c r="B687" s="13" t="e">
        <f>VLOOKUP(Table2[[#This Row],[Location 
(drop-down)]],'List source'!D$2:E$71,2,FALSE)</f>
        <v>#N/A</v>
      </c>
      <c r="C687" s="11" t="s">
        <v>1513</v>
      </c>
      <c r="D687" s="212" t="e">
        <f t="shared" si="11"/>
        <v>#N/A</v>
      </c>
      <c r="E687" s="19"/>
      <c r="F687" s="19"/>
      <c r="G687" s="9"/>
      <c r="H687" s="10"/>
      <c r="I687" s="20"/>
      <c r="J687" s="166"/>
      <c r="K687" s="166"/>
      <c r="L687" s="166"/>
      <c r="M687" s="166"/>
      <c r="N687" s="166"/>
      <c r="O687" s="63"/>
      <c r="P687" s="196"/>
      <c r="Q687" s="37"/>
      <c r="R687" s="93"/>
      <c r="S687" s="13">
        <f ca="1">IF(ISBLANK(Table2[[#This Row],[Complete corrective actions (Approved Date)]]), TODAY()-Table2[[#This Row],[CAR initialized date]], "CLOSED")</f>
        <v>46077</v>
      </c>
    </row>
    <row r="688" spans="1:19" ht="36" customHeight="1" x14ac:dyDescent="0.25">
      <c r="A688" s="9"/>
      <c r="B688" s="13" t="e">
        <f>VLOOKUP(Table2[[#This Row],[Location 
(drop-down)]],'List source'!D$2:E$71,2,FALSE)</f>
        <v>#N/A</v>
      </c>
      <c r="C688" s="11" t="s">
        <v>1514</v>
      </c>
      <c r="D688" s="212" t="e">
        <f t="shared" si="11"/>
        <v>#N/A</v>
      </c>
      <c r="E688" s="19"/>
      <c r="F688" s="19"/>
      <c r="G688" s="9"/>
      <c r="H688" s="10"/>
      <c r="I688" s="20"/>
      <c r="J688" s="166"/>
      <c r="K688" s="166"/>
      <c r="L688" s="166"/>
      <c r="M688" s="166"/>
      <c r="N688" s="166"/>
      <c r="O688" s="63"/>
      <c r="P688" s="196"/>
      <c r="Q688" s="37"/>
      <c r="R688" s="93"/>
      <c r="S688" s="13">
        <f ca="1">IF(ISBLANK(Table2[[#This Row],[Complete corrective actions (Approved Date)]]), TODAY()-Table2[[#This Row],[CAR initialized date]], "CLOSED")</f>
        <v>46077</v>
      </c>
    </row>
    <row r="689" spans="1:19" ht="36" customHeight="1" x14ac:dyDescent="0.25">
      <c r="A689" s="9"/>
      <c r="B689" s="13" t="e">
        <f>VLOOKUP(Table2[[#This Row],[Location 
(drop-down)]],'List source'!D$2:E$71,2,FALSE)</f>
        <v>#N/A</v>
      </c>
      <c r="C689" s="11" t="s">
        <v>1515</v>
      </c>
      <c r="D689" s="212" t="e">
        <f t="shared" si="11"/>
        <v>#N/A</v>
      </c>
      <c r="E689" s="19"/>
      <c r="F689" s="19"/>
      <c r="G689" s="9"/>
      <c r="H689" s="10"/>
      <c r="I689" s="20"/>
      <c r="J689" s="166"/>
      <c r="K689" s="166"/>
      <c r="L689" s="166"/>
      <c r="M689" s="166"/>
      <c r="N689" s="166"/>
      <c r="O689" s="63"/>
      <c r="P689" s="196"/>
      <c r="Q689" s="37"/>
      <c r="R689" s="93"/>
      <c r="S689" s="13">
        <f ca="1">IF(ISBLANK(Table2[[#This Row],[Complete corrective actions (Approved Date)]]), TODAY()-Table2[[#This Row],[CAR initialized date]], "CLOSED")</f>
        <v>46077</v>
      </c>
    </row>
    <row r="690" spans="1:19" ht="36" customHeight="1" x14ac:dyDescent="0.25">
      <c r="A690" s="9"/>
      <c r="B690" s="13" t="e">
        <f>VLOOKUP(Table2[[#This Row],[Location 
(drop-down)]],'List source'!D$2:E$71,2,FALSE)</f>
        <v>#N/A</v>
      </c>
      <c r="C690" s="11" t="s">
        <v>1516</v>
      </c>
      <c r="D690" s="212" t="e">
        <f t="shared" si="11"/>
        <v>#N/A</v>
      </c>
      <c r="E690" s="19"/>
      <c r="F690" s="19"/>
      <c r="G690" s="9"/>
      <c r="H690" s="10"/>
      <c r="I690" s="20"/>
      <c r="J690" s="166"/>
      <c r="K690" s="166"/>
      <c r="L690" s="166"/>
      <c r="M690" s="166"/>
      <c r="N690" s="166"/>
      <c r="O690" s="63"/>
      <c r="P690" s="196"/>
      <c r="Q690" s="37"/>
      <c r="R690" s="93"/>
      <c r="S690" s="13">
        <f ca="1">IF(ISBLANK(Table2[[#This Row],[Complete corrective actions (Approved Date)]]), TODAY()-Table2[[#This Row],[CAR initialized date]], "CLOSED")</f>
        <v>46077</v>
      </c>
    </row>
    <row r="691" spans="1:19" ht="36" customHeight="1" x14ac:dyDescent="0.25">
      <c r="A691" s="9"/>
      <c r="B691" s="13" t="e">
        <f>VLOOKUP(Table2[[#This Row],[Location 
(drop-down)]],'List source'!D$2:E$71,2,FALSE)</f>
        <v>#N/A</v>
      </c>
      <c r="C691" s="11" t="s">
        <v>1517</v>
      </c>
      <c r="D691" s="212" t="e">
        <f t="shared" si="11"/>
        <v>#N/A</v>
      </c>
      <c r="E691" s="19"/>
      <c r="F691" s="19"/>
      <c r="G691" s="9"/>
      <c r="H691" s="10"/>
      <c r="I691" s="20"/>
      <c r="J691" s="166"/>
      <c r="K691" s="166"/>
      <c r="L691" s="166"/>
      <c r="M691" s="166"/>
      <c r="N691" s="166"/>
      <c r="O691" s="63"/>
      <c r="P691" s="196"/>
      <c r="Q691" s="37"/>
      <c r="R691" s="93"/>
      <c r="S691" s="13">
        <f ca="1">IF(ISBLANK(Table2[[#This Row],[Complete corrective actions (Approved Date)]]), TODAY()-Table2[[#This Row],[CAR initialized date]], "CLOSED")</f>
        <v>46077</v>
      </c>
    </row>
    <row r="692" spans="1:19" ht="36" customHeight="1" x14ac:dyDescent="0.25">
      <c r="A692" s="9"/>
      <c r="B692" s="13" t="e">
        <f>VLOOKUP(Table2[[#This Row],[Location 
(drop-down)]],'List source'!D$2:E$71,2,FALSE)</f>
        <v>#N/A</v>
      </c>
      <c r="C692" s="11" t="s">
        <v>1518</v>
      </c>
      <c r="D692" s="212" t="e">
        <f t="shared" si="11"/>
        <v>#N/A</v>
      </c>
      <c r="E692" s="19"/>
      <c r="F692" s="19"/>
      <c r="G692" s="9"/>
      <c r="H692" s="10"/>
      <c r="I692" s="20"/>
      <c r="J692" s="166"/>
      <c r="K692" s="166"/>
      <c r="L692" s="166"/>
      <c r="M692" s="166"/>
      <c r="N692" s="166"/>
      <c r="O692" s="63"/>
      <c r="P692" s="196"/>
      <c r="Q692" s="37"/>
      <c r="R692" s="93"/>
      <c r="S692" s="13">
        <f ca="1">IF(ISBLANK(Table2[[#This Row],[Complete corrective actions (Approved Date)]]), TODAY()-Table2[[#This Row],[CAR initialized date]], "CLOSED")</f>
        <v>46077</v>
      </c>
    </row>
    <row r="693" spans="1:19" ht="36" customHeight="1" x14ac:dyDescent="0.25">
      <c r="A693" s="9"/>
      <c r="B693" s="13" t="e">
        <f>VLOOKUP(Table2[[#This Row],[Location 
(drop-down)]],'List source'!D$2:E$71,2,FALSE)</f>
        <v>#N/A</v>
      </c>
      <c r="C693" s="11" t="s">
        <v>1519</v>
      </c>
      <c r="D693" s="212" t="e">
        <f t="shared" si="11"/>
        <v>#N/A</v>
      </c>
      <c r="E693" s="19"/>
      <c r="F693" s="19"/>
      <c r="G693" s="9"/>
      <c r="H693" s="10"/>
      <c r="I693" s="20"/>
      <c r="J693" s="166"/>
      <c r="K693" s="166"/>
      <c r="L693" s="166"/>
      <c r="M693" s="166"/>
      <c r="N693" s="166"/>
      <c r="O693" s="63"/>
      <c r="P693" s="196"/>
      <c r="Q693" s="37"/>
      <c r="R693" s="93"/>
      <c r="S693" s="13">
        <f ca="1">IF(ISBLANK(Table2[[#This Row],[Complete corrective actions (Approved Date)]]), TODAY()-Table2[[#This Row],[CAR initialized date]], "CLOSED")</f>
        <v>46077</v>
      </c>
    </row>
    <row r="694" spans="1:19" ht="36" customHeight="1" x14ac:dyDescent="0.25">
      <c r="A694" s="9"/>
      <c r="B694" s="13" t="e">
        <f>VLOOKUP(Table2[[#This Row],[Location 
(drop-down)]],'List source'!D$2:E$71,2,FALSE)</f>
        <v>#N/A</v>
      </c>
      <c r="C694" s="11" t="s">
        <v>1520</v>
      </c>
      <c r="D694" s="212" t="e">
        <f t="shared" si="11"/>
        <v>#N/A</v>
      </c>
      <c r="E694" s="19"/>
      <c r="F694" s="19"/>
      <c r="G694" s="9"/>
      <c r="H694" s="10"/>
      <c r="I694" s="20"/>
      <c r="J694" s="166"/>
      <c r="K694" s="166"/>
      <c r="L694" s="166"/>
      <c r="M694" s="166"/>
      <c r="N694" s="166"/>
      <c r="O694" s="63"/>
      <c r="P694" s="196"/>
      <c r="Q694" s="37"/>
      <c r="R694" s="93"/>
      <c r="S694" s="13">
        <f ca="1">IF(ISBLANK(Table2[[#This Row],[Complete corrective actions (Approved Date)]]), TODAY()-Table2[[#This Row],[CAR initialized date]], "CLOSED")</f>
        <v>46077</v>
      </c>
    </row>
    <row r="695" spans="1:19" ht="36" customHeight="1" x14ac:dyDescent="0.25">
      <c r="A695" s="9"/>
      <c r="B695" s="13" t="e">
        <f>VLOOKUP(Table2[[#This Row],[Location 
(drop-down)]],'List source'!D$2:E$71,2,FALSE)</f>
        <v>#N/A</v>
      </c>
      <c r="C695" s="11" t="s">
        <v>1521</v>
      </c>
      <c r="D695" s="212" t="e">
        <f t="shared" si="11"/>
        <v>#N/A</v>
      </c>
      <c r="E695" s="19"/>
      <c r="F695" s="19"/>
      <c r="G695" s="9"/>
      <c r="H695" s="10"/>
      <c r="I695" s="20"/>
      <c r="J695" s="166"/>
      <c r="K695" s="166"/>
      <c r="L695" s="166"/>
      <c r="M695" s="166"/>
      <c r="N695" s="166"/>
      <c r="O695" s="63"/>
      <c r="P695" s="196"/>
      <c r="Q695" s="37"/>
      <c r="R695" s="93"/>
      <c r="S695" s="13">
        <f ca="1">IF(ISBLANK(Table2[[#This Row],[Complete corrective actions (Approved Date)]]), TODAY()-Table2[[#This Row],[CAR initialized date]], "CLOSED")</f>
        <v>46077</v>
      </c>
    </row>
    <row r="696" spans="1:19" ht="36" customHeight="1" x14ac:dyDescent="0.25">
      <c r="A696" s="9"/>
      <c r="B696" s="13" t="e">
        <f>VLOOKUP(Table2[[#This Row],[Location 
(drop-down)]],'List source'!D$2:E$71,2,FALSE)</f>
        <v>#N/A</v>
      </c>
      <c r="C696" s="11" t="s">
        <v>1522</v>
      </c>
      <c r="D696" s="212" t="e">
        <f t="shared" si="11"/>
        <v>#N/A</v>
      </c>
      <c r="E696" s="19"/>
      <c r="F696" s="19"/>
      <c r="G696" s="9"/>
      <c r="H696" s="10"/>
      <c r="I696" s="20"/>
      <c r="J696" s="166"/>
      <c r="K696" s="166"/>
      <c r="L696" s="166"/>
      <c r="M696" s="166"/>
      <c r="N696" s="166"/>
      <c r="O696" s="63"/>
      <c r="P696" s="196"/>
      <c r="Q696" s="37"/>
      <c r="R696" s="93"/>
      <c r="S696" s="13">
        <f ca="1">IF(ISBLANK(Table2[[#This Row],[Complete corrective actions (Approved Date)]]), TODAY()-Table2[[#This Row],[CAR initialized date]], "CLOSED")</f>
        <v>46077</v>
      </c>
    </row>
    <row r="697" spans="1:19" ht="36" customHeight="1" x14ac:dyDescent="0.25">
      <c r="A697" s="9"/>
      <c r="B697" s="13" t="e">
        <f>VLOOKUP(Table2[[#This Row],[Location 
(drop-down)]],'List source'!D$2:E$71,2,FALSE)</f>
        <v>#N/A</v>
      </c>
      <c r="C697" s="11" t="s">
        <v>1523</v>
      </c>
      <c r="D697" s="212" t="e">
        <f t="shared" si="11"/>
        <v>#N/A</v>
      </c>
      <c r="E697" s="19"/>
      <c r="F697" s="19"/>
      <c r="G697" s="9"/>
      <c r="H697" s="10"/>
      <c r="I697" s="20"/>
      <c r="J697" s="166"/>
      <c r="K697" s="166"/>
      <c r="L697" s="166"/>
      <c r="M697" s="166"/>
      <c r="N697" s="166"/>
      <c r="O697" s="63"/>
      <c r="P697" s="196"/>
      <c r="Q697" s="37"/>
      <c r="R697" s="93"/>
      <c r="S697" s="13">
        <f ca="1">IF(ISBLANK(Table2[[#This Row],[Complete corrective actions (Approved Date)]]), TODAY()-Table2[[#This Row],[CAR initialized date]], "CLOSED")</f>
        <v>46077</v>
      </c>
    </row>
    <row r="698" spans="1:19" ht="36" customHeight="1" x14ac:dyDescent="0.25">
      <c r="A698" s="9"/>
      <c r="B698" s="13" t="e">
        <f>VLOOKUP(Table2[[#This Row],[Location 
(drop-down)]],'List source'!D$2:E$71,2,FALSE)</f>
        <v>#N/A</v>
      </c>
      <c r="C698" s="11" t="s">
        <v>1524</v>
      </c>
      <c r="D698" s="212" t="e">
        <f t="shared" si="11"/>
        <v>#N/A</v>
      </c>
      <c r="E698" s="19"/>
      <c r="F698" s="19"/>
      <c r="G698" s="9"/>
      <c r="H698" s="10"/>
      <c r="I698" s="20"/>
      <c r="J698" s="166"/>
      <c r="K698" s="166"/>
      <c r="L698" s="166"/>
      <c r="M698" s="166"/>
      <c r="N698" s="166"/>
      <c r="O698" s="63"/>
      <c r="P698" s="196"/>
      <c r="Q698" s="37"/>
      <c r="R698" s="93"/>
      <c r="S698" s="13">
        <f ca="1">IF(ISBLANK(Table2[[#This Row],[Complete corrective actions (Approved Date)]]), TODAY()-Table2[[#This Row],[CAR initialized date]], "CLOSED")</f>
        <v>46077</v>
      </c>
    </row>
    <row r="699" spans="1:19" ht="36" customHeight="1" x14ac:dyDescent="0.25">
      <c r="A699" s="9"/>
      <c r="B699" s="13" t="e">
        <f>VLOOKUP(Table2[[#This Row],[Location 
(drop-down)]],'List source'!D$2:E$71,2,FALSE)</f>
        <v>#N/A</v>
      </c>
      <c r="C699" s="11" t="s">
        <v>1525</v>
      </c>
      <c r="D699" s="212" t="e">
        <f t="shared" si="11"/>
        <v>#N/A</v>
      </c>
      <c r="E699" s="19"/>
      <c r="F699" s="19"/>
      <c r="G699" s="9"/>
      <c r="H699" s="10"/>
      <c r="I699" s="20"/>
      <c r="J699" s="166"/>
      <c r="K699" s="166"/>
      <c r="L699" s="166"/>
      <c r="M699" s="166"/>
      <c r="N699" s="166"/>
      <c r="O699" s="63"/>
      <c r="P699" s="196"/>
      <c r="Q699" s="37"/>
      <c r="R699" s="93"/>
      <c r="S699" s="13">
        <f ca="1">IF(ISBLANK(Table2[[#This Row],[Complete corrective actions (Approved Date)]]), TODAY()-Table2[[#This Row],[CAR initialized date]], "CLOSED")</f>
        <v>46077</v>
      </c>
    </row>
    <row r="700" spans="1:19" ht="36" customHeight="1" x14ac:dyDescent="0.25">
      <c r="A700" s="9"/>
      <c r="B700" s="13" t="e">
        <f>VLOOKUP(Table2[[#This Row],[Location 
(drop-down)]],'List source'!D$2:E$71,2,FALSE)</f>
        <v>#N/A</v>
      </c>
      <c r="C700" s="11" t="s">
        <v>1526</v>
      </c>
      <c r="D700" s="212" t="e">
        <f t="shared" si="11"/>
        <v>#N/A</v>
      </c>
      <c r="E700" s="19"/>
      <c r="F700" s="19"/>
      <c r="G700" s="9"/>
      <c r="H700" s="10"/>
      <c r="I700" s="20"/>
      <c r="J700" s="166"/>
      <c r="K700" s="166"/>
      <c r="L700" s="166"/>
      <c r="M700" s="166"/>
      <c r="N700" s="166"/>
      <c r="O700" s="63"/>
      <c r="P700" s="196"/>
      <c r="Q700" s="37"/>
      <c r="R700" s="93"/>
      <c r="S700" s="13">
        <f ca="1">IF(ISBLANK(Table2[[#This Row],[Complete corrective actions (Approved Date)]]), TODAY()-Table2[[#This Row],[CAR initialized date]], "CLOSED")</f>
        <v>46077</v>
      </c>
    </row>
    <row r="701" spans="1:19" ht="36" customHeight="1" x14ac:dyDescent="0.25">
      <c r="A701" s="9"/>
      <c r="B701" s="13" t="e">
        <f>VLOOKUP(Table2[[#This Row],[Location 
(drop-down)]],'List source'!D$2:E$71,2,FALSE)</f>
        <v>#N/A</v>
      </c>
      <c r="C701" s="11" t="s">
        <v>1527</v>
      </c>
      <c r="D701" s="212" t="e">
        <f t="shared" si="11"/>
        <v>#N/A</v>
      </c>
      <c r="E701" s="19"/>
      <c r="F701" s="19"/>
      <c r="G701" s="9"/>
      <c r="H701" s="10"/>
      <c r="I701" s="20"/>
      <c r="J701" s="166"/>
      <c r="K701" s="166"/>
      <c r="L701" s="166"/>
      <c r="M701" s="166"/>
      <c r="N701" s="166"/>
      <c r="O701" s="63"/>
      <c r="P701" s="196"/>
      <c r="Q701" s="37"/>
      <c r="R701" s="93"/>
      <c r="S701" s="13">
        <f ca="1">IF(ISBLANK(Table2[[#This Row],[Complete corrective actions (Approved Date)]]), TODAY()-Table2[[#This Row],[CAR initialized date]], "CLOSED")</f>
        <v>46077</v>
      </c>
    </row>
    <row r="702" spans="1:19" ht="36" customHeight="1" x14ac:dyDescent="0.25">
      <c r="A702" s="9"/>
      <c r="B702" s="13" t="e">
        <f>VLOOKUP(Table2[[#This Row],[Location 
(drop-down)]],'List source'!D$2:E$71,2,FALSE)</f>
        <v>#N/A</v>
      </c>
      <c r="C702" s="11" t="s">
        <v>1528</v>
      </c>
      <c r="D702" s="212" t="e">
        <f t="shared" si="11"/>
        <v>#N/A</v>
      </c>
      <c r="E702" s="19"/>
      <c r="F702" s="19"/>
      <c r="G702" s="9"/>
      <c r="H702" s="10"/>
      <c r="I702" s="20"/>
      <c r="J702" s="166"/>
      <c r="K702" s="166"/>
      <c r="L702" s="166"/>
      <c r="M702" s="166"/>
      <c r="N702" s="166"/>
      <c r="O702" s="63"/>
      <c r="P702" s="196"/>
      <c r="Q702" s="37"/>
      <c r="R702" s="93"/>
      <c r="S702" s="13">
        <f ca="1">IF(ISBLANK(Table2[[#This Row],[Complete corrective actions (Approved Date)]]), TODAY()-Table2[[#This Row],[CAR initialized date]], "CLOSED")</f>
        <v>46077</v>
      </c>
    </row>
    <row r="703" spans="1:19" ht="36" customHeight="1" x14ac:dyDescent="0.25">
      <c r="A703" s="9"/>
      <c r="B703" s="13" t="e">
        <f>VLOOKUP(Table2[[#This Row],[Location 
(drop-down)]],'List source'!D$2:E$71,2,FALSE)</f>
        <v>#N/A</v>
      </c>
      <c r="C703" s="11" t="s">
        <v>1529</v>
      </c>
      <c r="D703" s="212" t="e">
        <f t="shared" si="11"/>
        <v>#N/A</v>
      </c>
      <c r="E703" s="77"/>
      <c r="F703" s="77"/>
      <c r="G703" s="89"/>
      <c r="H703" s="10"/>
      <c r="I703" s="20"/>
      <c r="J703" s="166"/>
      <c r="K703" s="166"/>
      <c r="L703" s="166"/>
      <c r="M703" s="166"/>
      <c r="N703" s="166"/>
      <c r="O703" s="63"/>
      <c r="P703" s="196"/>
      <c r="Q703" s="37"/>
      <c r="R703" s="93"/>
      <c r="S703" s="13">
        <f ca="1">IF(ISBLANK(Table2[[#This Row],[Complete corrective actions (Approved Date)]]), TODAY()-Table2[[#This Row],[CAR initialized date]], "CLOSED")</f>
        <v>46077</v>
      </c>
    </row>
    <row r="704" spans="1:19" ht="36" customHeight="1" x14ac:dyDescent="0.25">
      <c r="A704" s="71"/>
      <c r="B704" s="13" t="e">
        <f>VLOOKUP(Table2[[#This Row],[Location 
(drop-down)]],'List source'!D$2:E$71,2,FALSE)</f>
        <v>#N/A</v>
      </c>
      <c r="C704" s="11" t="s">
        <v>1530</v>
      </c>
      <c r="D704" s="212" t="e">
        <f t="shared" si="11"/>
        <v>#N/A</v>
      </c>
      <c r="E704" s="220"/>
      <c r="F704" s="220"/>
      <c r="G704" s="9"/>
      <c r="H704" s="10"/>
      <c r="I704" s="20"/>
      <c r="J704" s="166"/>
      <c r="K704" s="204"/>
      <c r="L704" s="204"/>
      <c r="M704" s="204"/>
      <c r="N704" s="204"/>
      <c r="O704" s="74"/>
      <c r="P704" s="263"/>
      <c r="Q704" s="68"/>
      <c r="R704" s="93"/>
      <c r="S704" s="13">
        <f ca="1">IF(ISBLANK(Table2[[#This Row],[Complete corrective actions (Approved Date)]]), TODAY()-Table2[[#This Row],[CAR initialized date]], "CLOSED")</f>
        <v>46077</v>
      </c>
    </row>
    <row r="705" spans="1:19" ht="36" customHeight="1" x14ac:dyDescent="0.25">
      <c r="A705" s="9"/>
      <c r="B705" s="13" t="e">
        <f>VLOOKUP(Table2[[#This Row],[Location 
(drop-down)]],'List source'!D$2:E$71,2,FALSE)</f>
        <v>#N/A</v>
      </c>
      <c r="C705" s="11" t="s">
        <v>1531</v>
      </c>
      <c r="D705" s="212" t="e">
        <f t="shared" ref="D705:D768" si="12">"C" &amp; C705 &amp;"-" &amp; B705 &amp; "-" &amp; "25"</f>
        <v>#N/A</v>
      </c>
      <c r="E705" s="224"/>
      <c r="F705" s="224"/>
      <c r="G705" s="9"/>
      <c r="H705" s="10"/>
      <c r="I705" s="20"/>
      <c r="J705" s="166"/>
      <c r="K705" s="166"/>
      <c r="L705" s="166"/>
      <c r="M705" s="166"/>
      <c r="N705" s="166"/>
      <c r="O705" s="63"/>
      <c r="P705" s="196"/>
      <c r="Q705" s="37"/>
      <c r="R705" s="93"/>
      <c r="S705" s="13">
        <f ca="1">IF(ISBLANK(Table2[[#This Row],[Complete corrective actions (Approved Date)]]), TODAY()-Table2[[#This Row],[CAR initialized date]], "CLOSED")</f>
        <v>46077</v>
      </c>
    </row>
    <row r="706" spans="1:19" ht="36" customHeight="1" x14ac:dyDescent="0.25">
      <c r="A706" s="9"/>
      <c r="B706" s="13" t="e">
        <f>VLOOKUP(Table2[[#This Row],[Location 
(drop-down)]],'List source'!D$2:E$71,2,FALSE)</f>
        <v>#N/A</v>
      </c>
      <c r="C706" s="11" t="s">
        <v>1532</v>
      </c>
      <c r="D706" s="212" t="e">
        <f t="shared" si="12"/>
        <v>#N/A</v>
      </c>
      <c r="E706" s="224"/>
      <c r="F706" s="224"/>
      <c r="G706" s="78"/>
      <c r="H706" s="10"/>
      <c r="I706" s="20"/>
      <c r="J706" s="166"/>
      <c r="K706" s="166"/>
      <c r="L706" s="166"/>
      <c r="M706" s="166"/>
      <c r="N706" s="166"/>
      <c r="O706" s="63"/>
      <c r="P706" s="196"/>
      <c r="Q706" s="37"/>
      <c r="R706" s="93"/>
      <c r="S706" s="13">
        <f ca="1">IF(ISBLANK(Table2[[#This Row],[Complete corrective actions (Approved Date)]]), TODAY()-Table2[[#This Row],[CAR initialized date]], "CLOSED")</f>
        <v>46077</v>
      </c>
    </row>
    <row r="707" spans="1:19" ht="36" customHeight="1" x14ac:dyDescent="0.25">
      <c r="A707" s="9"/>
      <c r="B707" s="13" t="e">
        <f>VLOOKUP(Table2[[#This Row],[Location 
(drop-down)]],'List source'!D$2:E$71,2,FALSE)</f>
        <v>#N/A</v>
      </c>
      <c r="C707" s="11" t="s">
        <v>1533</v>
      </c>
      <c r="D707" s="212" t="e">
        <f t="shared" si="12"/>
        <v>#N/A</v>
      </c>
      <c r="E707" s="224"/>
      <c r="F707" s="223"/>
      <c r="H707" s="10"/>
      <c r="I707" s="20"/>
      <c r="J707" s="166"/>
      <c r="K707" s="166"/>
      <c r="L707" s="166"/>
      <c r="M707" s="166"/>
      <c r="N707" s="166"/>
      <c r="O707" s="63"/>
      <c r="P707" s="196"/>
      <c r="Q707" s="37"/>
      <c r="R707" s="93"/>
      <c r="S707" s="13">
        <f ca="1">IF(ISBLANK(Table2[[#This Row],[Complete corrective actions (Approved Date)]]), TODAY()-Table2[[#This Row],[CAR initialized date]], "CLOSED")</f>
        <v>46077</v>
      </c>
    </row>
    <row r="708" spans="1:19" ht="36" customHeight="1" x14ac:dyDescent="0.25">
      <c r="A708" s="9"/>
      <c r="B708" s="13" t="e">
        <f>VLOOKUP(Table2[[#This Row],[Location 
(drop-down)]],'List source'!D$2:E$71,2,FALSE)</f>
        <v>#N/A</v>
      </c>
      <c r="C708" s="11" t="s">
        <v>1534</v>
      </c>
      <c r="D708" s="212" t="e">
        <f t="shared" si="12"/>
        <v>#N/A</v>
      </c>
      <c r="E708" s="224"/>
      <c r="F708" s="224"/>
      <c r="G708" s="9"/>
      <c r="H708" s="10"/>
      <c r="I708" s="20"/>
      <c r="J708" s="166"/>
      <c r="K708" s="166"/>
      <c r="L708" s="166"/>
      <c r="M708" s="166"/>
      <c r="N708" s="166"/>
      <c r="O708" s="63"/>
      <c r="P708" s="196"/>
      <c r="Q708" s="37"/>
      <c r="R708" s="93"/>
      <c r="S708" s="13">
        <f ca="1">IF(ISBLANK(Table2[[#This Row],[Complete corrective actions (Approved Date)]]), TODAY()-Table2[[#This Row],[CAR initialized date]], "CLOSED")</f>
        <v>46077</v>
      </c>
    </row>
    <row r="709" spans="1:19" ht="36" customHeight="1" x14ac:dyDescent="0.25">
      <c r="A709" s="9"/>
      <c r="B709" s="13" t="e">
        <f>VLOOKUP(Table2[[#This Row],[Location 
(drop-down)]],'List source'!D$2:E$71,2,FALSE)</f>
        <v>#N/A</v>
      </c>
      <c r="C709" s="11" t="s">
        <v>1535</v>
      </c>
      <c r="D709" s="212" t="e">
        <f t="shared" si="12"/>
        <v>#N/A</v>
      </c>
      <c r="E709" s="224"/>
      <c r="F709" s="224"/>
      <c r="G709" s="9"/>
      <c r="H709" s="10"/>
      <c r="I709" s="20"/>
      <c r="J709" s="166"/>
      <c r="K709" s="166"/>
      <c r="L709" s="166"/>
      <c r="M709" s="166"/>
      <c r="N709" s="166"/>
      <c r="O709" s="63"/>
      <c r="P709" s="196"/>
      <c r="Q709" s="37"/>
      <c r="R709" s="93"/>
      <c r="S709" s="13">
        <f ca="1">IF(ISBLANK(Table2[[#This Row],[Complete corrective actions (Approved Date)]]), TODAY()-Table2[[#This Row],[CAR initialized date]], "CLOSED")</f>
        <v>46077</v>
      </c>
    </row>
    <row r="710" spans="1:19" ht="36" customHeight="1" x14ac:dyDescent="0.25">
      <c r="A710" s="9"/>
      <c r="B710" s="13" t="e">
        <f>VLOOKUP(Table2[[#This Row],[Location 
(drop-down)]],'List source'!D$2:E$71,2,FALSE)</f>
        <v>#N/A</v>
      </c>
      <c r="C710" s="11" t="s">
        <v>1536</v>
      </c>
      <c r="D710" s="212" t="e">
        <f t="shared" si="12"/>
        <v>#N/A</v>
      </c>
      <c r="E710" s="224"/>
      <c r="F710" s="224"/>
      <c r="G710" s="9"/>
      <c r="H710" s="10"/>
      <c r="I710" s="20"/>
      <c r="J710" s="166"/>
      <c r="K710" s="166"/>
      <c r="L710" s="166"/>
      <c r="M710" s="166"/>
      <c r="N710" s="166"/>
      <c r="O710" s="63"/>
      <c r="P710" s="196"/>
      <c r="Q710" s="37"/>
      <c r="R710" s="93"/>
      <c r="S710" s="13">
        <f ca="1">IF(ISBLANK(Table2[[#This Row],[Complete corrective actions (Approved Date)]]), TODAY()-Table2[[#This Row],[CAR initialized date]], "CLOSED")</f>
        <v>46077</v>
      </c>
    </row>
    <row r="711" spans="1:19" ht="36" customHeight="1" x14ac:dyDescent="0.25">
      <c r="A711" s="9"/>
      <c r="B711" s="13" t="e">
        <f>VLOOKUP(Table2[[#This Row],[Location 
(drop-down)]],'List source'!D$2:E$71,2,FALSE)</f>
        <v>#N/A</v>
      </c>
      <c r="C711" s="11" t="s">
        <v>1537</v>
      </c>
      <c r="D711" s="212" t="e">
        <f t="shared" si="12"/>
        <v>#N/A</v>
      </c>
      <c r="E711" s="19"/>
      <c r="F711" s="19"/>
      <c r="G711" s="9"/>
      <c r="H711" s="10"/>
      <c r="I711" s="20"/>
      <c r="J711" s="166"/>
      <c r="K711" s="166"/>
      <c r="L711" s="166"/>
      <c r="M711" s="166"/>
      <c r="N711" s="166"/>
      <c r="O711" s="63"/>
      <c r="P711" s="196"/>
      <c r="Q711" s="37"/>
      <c r="R711" s="93"/>
      <c r="S711" s="13">
        <f ca="1">IF(ISBLANK(Table2[[#This Row],[Complete corrective actions (Approved Date)]]), TODAY()-Table2[[#This Row],[CAR initialized date]], "CLOSED")</f>
        <v>46077</v>
      </c>
    </row>
    <row r="712" spans="1:19" ht="36" customHeight="1" x14ac:dyDescent="0.25">
      <c r="A712" s="9"/>
      <c r="B712" s="13" t="e">
        <f>VLOOKUP(Table2[[#This Row],[Location 
(drop-down)]],'List source'!D$2:E$71,2,FALSE)</f>
        <v>#N/A</v>
      </c>
      <c r="C712" s="11" t="s">
        <v>1538</v>
      </c>
      <c r="D712" s="212" t="e">
        <f t="shared" si="12"/>
        <v>#N/A</v>
      </c>
      <c r="E712" s="19"/>
      <c r="F712" s="19"/>
      <c r="G712" s="9"/>
      <c r="H712" s="10"/>
      <c r="I712" s="20"/>
      <c r="J712" s="166"/>
      <c r="K712" s="166"/>
      <c r="L712" s="166"/>
      <c r="M712" s="166"/>
      <c r="N712" s="166"/>
      <c r="O712" s="63"/>
      <c r="P712" s="196"/>
      <c r="Q712" s="37"/>
      <c r="R712" s="93"/>
      <c r="S712" s="13">
        <f ca="1">IF(ISBLANK(Table2[[#This Row],[Complete corrective actions (Approved Date)]]), TODAY()-Table2[[#This Row],[CAR initialized date]], "CLOSED")</f>
        <v>46077</v>
      </c>
    </row>
    <row r="713" spans="1:19" ht="36" customHeight="1" x14ac:dyDescent="0.25">
      <c r="A713" s="9"/>
      <c r="B713" s="13" t="e">
        <f>VLOOKUP(Table2[[#This Row],[Location 
(drop-down)]],'List source'!D$2:E$71,2,FALSE)</f>
        <v>#N/A</v>
      </c>
      <c r="C713" s="11" t="s">
        <v>1539</v>
      </c>
      <c r="D713" s="212" t="e">
        <f t="shared" si="12"/>
        <v>#N/A</v>
      </c>
      <c r="E713" s="224"/>
      <c r="F713" s="224"/>
      <c r="G713" s="9"/>
      <c r="H713" s="10"/>
      <c r="I713" s="20"/>
      <c r="J713" s="166"/>
      <c r="K713" s="166"/>
      <c r="L713" s="166"/>
      <c r="M713" s="166"/>
      <c r="N713" s="166"/>
      <c r="O713" s="63"/>
      <c r="P713" s="196"/>
      <c r="Q713" s="37"/>
      <c r="R713" s="93"/>
      <c r="S713" s="13">
        <f ca="1">IF(ISBLANK(Table2[[#This Row],[Complete corrective actions (Approved Date)]]), TODAY()-Table2[[#This Row],[CAR initialized date]], "CLOSED")</f>
        <v>46077</v>
      </c>
    </row>
    <row r="714" spans="1:19" ht="36" customHeight="1" x14ac:dyDescent="0.25">
      <c r="A714" s="9"/>
      <c r="B714" s="13" t="e">
        <f>VLOOKUP(Table2[[#This Row],[Location 
(drop-down)]],'List source'!D$2:E$71,2,FALSE)</f>
        <v>#N/A</v>
      </c>
      <c r="C714" s="11" t="s">
        <v>1540</v>
      </c>
      <c r="D714" s="212" t="e">
        <f t="shared" si="12"/>
        <v>#N/A</v>
      </c>
      <c r="E714" s="224"/>
      <c r="F714" s="224"/>
      <c r="G714" s="9"/>
      <c r="H714" s="10"/>
      <c r="I714" s="20"/>
      <c r="J714" s="166"/>
      <c r="K714" s="166"/>
      <c r="L714" s="166"/>
      <c r="M714" s="166"/>
      <c r="N714" s="166"/>
      <c r="O714" s="63"/>
      <c r="P714" s="196"/>
      <c r="Q714" s="37"/>
      <c r="R714" s="93"/>
      <c r="S714" s="13">
        <f ca="1">IF(ISBLANK(Table2[[#This Row],[Complete corrective actions (Approved Date)]]), TODAY()-Table2[[#This Row],[CAR initialized date]], "CLOSED")</f>
        <v>46077</v>
      </c>
    </row>
    <row r="715" spans="1:19" ht="36" customHeight="1" x14ac:dyDescent="0.25">
      <c r="A715" s="9"/>
      <c r="B715" s="13" t="e">
        <f>VLOOKUP(Table2[[#This Row],[Location 
(drop-down)]],'List source'!D$2:E$71,2,FALSE)</f>
        <v>#N/A</v>
      </c>
      <c r="C715" s="11" t="s">
        <v>1541</v>
      </c>
      <c r="D715" s="212" t="e">
        <f t="shared" si="12"/>
        <v>#N/A</v>
      </c>
      <c r="E715" s="224"/>
      <c r="F715" s="224"/>
      <c r="G715" s="9"/>
      <c r="H715" s="10"/>
      <c r="I715" s="20"/>
      <c r="J715" s="166"/>
      <c r="K715" s="166"/>
      <c r="L715" s="166"/>
      <c r="M715" s="166"/>
      <c r="N715" s="166"/>
      <c r="O715" s="63"/>
      <c r="P715" s="196"/>
      <c r="Q715" s="37"/>
      <c r="R715" s="93"/>
      <c r="S715" s="13">
        <f ca="1">IF(ISBLANK(Table2[[#This Row],[Complete corrective actions (Approved Date)]]), TODAY()-Table2[[#This Row],[CAR initialized date]], "CLOSED")</f>
        <v>46077</v>
      </c>
    </row>
    <row r="716" spans="1:19" ht="36" customHeight="1" x14ac:dyDescent="0.25">
      <c r="A716" s="9"/>
      <c r="B716" s="13" t="e">
        <f>VLOOKUP(Table2[[#This Row],[Location 
(drop-down)]],'List source'!D$2:E$71,2,FALSE)</f>
        <v>#N/A</v>
      </c>
      <c r="C716" s="11" t="s">
        <v>1542</v>
      </c>
      <c r="D716" s="212" t="e">
        <f t="shared" si="12"/>
        <v>#N/A</v>
      </c>
      <c r="E716" s="224"/>
      <c r="F716" s="224"/>
      <c r="G716" s="9"/>
      <c r="H716" s="10"/>
      <c r="I716" s="20"/>
      <c r="J716" s="166"/>
      <c r="K716" s="166"/>
      <c r="L716" s="166"/>
      <c r="M716" s="166"/>
      <c r="N716" s="166"/>
      <c r="O716" s="63"/>
      <c r="P716" s="196"/>
      <c r="Q716" s="37"/>
      <c r="R716" s="93"/>
      <c r="S716" s="13">
        <f ca="1">IF(ISBLANK(Table2[[#This Row],[Complete corrective actions (Approved Date)]]), TODAY()-Table2[[#This Row],[CAR initialized date]], "CLOSED")</f>
        <v>46077</v>
      </c>
    </row>
    <row r="717" spans="1:19" ht="36" customHeight="1" x14ac:dyDescent="0.25">
      <c r="A717" s="9"/>
      <c r="B717" s="13" t="e">
        <f>VLOOKUP(Table2[[#This Row],[Location 
(drop-down)]],'List source'!D$2:E$71,2,FALSE)</f>
        <v>#N/A</v>
      </c>
      <c r="C717" s="11" t="s">
        <v>1543</v>
      </c>
      <c r="D717" s="212" t="e">
        <f t="shared" si="12"/>
        <v>#N/A</v>
      </c>
      <c r="E717" s="224"/>
      <c r="F717" s="224"/>
      <c r="G717" s="9"/>
      <c r="H717" s="10"/>
      <c r="I717" s="20"/>
      <c r="J717" s="166"/>
      <c r="K717" s="166"/>
      <c r="L717" s="166"/>
      <c r="M717" s="166"/>
      <c r="N717" s="166"/>
      <c r="O717" s="63"/>
      <c r="P717" s="196"/>
      <c r="Q717" s="37"/>
      <c r="R717" s="93"/>
      <c r="S717" s="13">
        <f ca="1">IF(ISBLANK(Table2[[#This Row],[Complete corrective actions (Approved Date)]]), TODAY()-Table2[[#This Row],[CAR initialized date]], "CLOSED")</f>
        <v>46077</v>
      </c>
    </row>
    <row r="718" spans="1:19" ht="36" customHeight="1" x14ac:dyDescent="0.25">
      <c r="A718" s="9"/>
      <c r="B718" s="13" t="e">
        <f>VLOOKUP(Table2[[#This Row],[Location 
(drop-down)]],'List source'!D$2:E$71,2,FALSE)</f>
        <v>#N/A</v>
      </c>
      <c r="C718" s="11" t="s">
        <v>1544</v>
      </c>
      <c r="D718" s="212" t="e">
        <f t="shared" si="12"/>
        <v>#N/A</v>
      </c>
      <c r="E718" s="224"/>
      <c r="F718" s="224"/>
      <c r="G718" s="9"/>
      <c r="H718" s="10"/>
      <c r="I718" s="20"/>
      <c r="J718" s="166"/>
      <c r="K718" s="166"/>
      <c r="L718" s="166"/>
      <c r="M718" s="166"/>
      <c r="N718" s="166"/>
      <c r="O718" s="63"/>
      <c r="P718" s="196"/>
      <c r="Q718" s="37"/>
      <c r="R718" s="93"/>
      <c r="S718" s="13">
        <f ca="1">IF(ISBLANK(Table2[[#This Row],[Complete corrective actions (Approved Date)]]), TODAY()-Table2[[#This Row],[CAR initialized date]], "CLOSED")</f>
        <v>46077</v>
      </c>
    </row>
    <row r="719" spans="1:19" ht="36" customHeight="1" x14ac:dyDescent="0.25">
      <c r="A719" s="9"/>
      <c r="B719" s="13" t="e">
        <f>VLOOKUP(Table2[[#This Row],[Location 
(drop-down)]],'List source'!D$2:E$71,2,FALSE)</f>
        <v>#N/A</v>
      </c>
      <c r="C719" s="11" t="s">
        <v>1545</v>
      </c>
      <c r="D719" s="212" t="e">
        <f t="shared" si="12"/>
        <v>#N/A</v>
      </c>
      <c r="E719" s="224"/>
      <c r="F719" s="224"/>
      <c r="G719" s="9"/>
      <c r="H719" s="10"/>
      <c r="I719" s="20"/>
      <c r="J719" s="166"/>
      <c r="K719" s="166"/>
      <c r="L719" s="166"/>
      <c r="M719" s="166"/>
      <c r="N719" s="166"/>
      <c r="O719" s="63"/>
      <c r="P719" s="196"/>
      <c r="Q719" s="37"/>
      <c r="R719" s="93"/>
      <c r="S719" s="13">
        <f ca="1">IF(ISBLANK(Table2[[#This Row],[Complete corrective actions (Approved Date)]]), TODAY()-Table2[[#This Row],[CAR initialized date]], "CLOSED")</f>
        <v>46077</v>
      </c>
    </row>
    <row r="720" spans="1:19" ht="36" customHeight="1" x14ac:dyDescent="0.25">
      <c r="A720" s="9"/>
      <c r="B720" s="13" t="e">
        <f>VLOOKUP(Table2[[#This Row],[Location 
(drop-down)]],'List source'!D$2:E$71,2,FALSE)</f>
        <v>#N/A</v>
      </c>
      <c r="C720" s="11" t="s">
        <v>1546</v>
      </c>
      <c r="D720" s="212" t="e">
        <f t="shared" si="12"/>
        <v>#N/A</v>
      </c>
      <c r="E720" s="224"/>
      <c r="F720" s="224"/>
      <c r="G720" s="9"/>
      <c r="H720" s="10"/>
      <c r="I720" s="20"/>
      <c r="J720" s="166"/>
      <c r="K720" s="166"/>
      <c r="L720" s="166"/>
      <c r="M720" s="166"/>
      <c r="N720" s="166"/>
      <c r="O720" s="63"/>
      <c r="P720" s="196"/>
      <c r="Q720" s="37"/>
      <c r="R720" s="93"/>
      <c r="S720" s="13">
        <f ca="1">IF(ISBLANK(Table2[[#This Row],[Complete corrective actions (Approved Date)]]), TODAY()-Table2[[#This Row],[CAR initialized date]], "CLOSED")</f>
        <v>46077</v>
      </c>
    </row>
    <row r="721" spans="1:19" ht="36" customHeight="1" x14ac:dyDescent="0.25">
      <c r="A721" s="9"/>
      <c r="B721" s="13" t="e">
        <f>VLOOKUP(Table2[[#This Row],[Location 
(drop-down)]],'List source'!D$2:E$71,2,FALSE)</f>
        <v>#N/A</v>
      </c>
      <c r="C721" s="11" t="s">
        <v>1547</v>
      </c>
      <c r="D721" s="212" t="e">
        <f t="shared" si="12"/>
        <v>#N/A</v>
      </c>
      <c r="E721" s="224"/>
      <c r="F721" s="224"/>
      <c r="G721" s="9"/>
      <c r="H721" s="10"/>
      <c r="I721" s="20"/>
      <c r="J721" s="166"/>
      <c r="K721" s="166"/>
      <c r="L721" s="166"/>
      <c r="M721" s="166"/>
      <c r="N721" s="166"/>
      <c r="O721" s="63"/>
      <c r="P721" s="196"/>
      <c r="Q721" s="37"/>
      <c r="R721" s="93"/>
      <c r="S721" s="13">
        <f ca="1">IF(ISBLANK(Table2[[#This Row],[Complete corrective actions (Approved Date)]]), TODAY()-Table2[[#This Row],[CAR initialized date]], "CLOSED")</f>
        <v>46077</v>
      </c>
    </row>
    <row r="722" spans="1:19" ht="36" customHeight="1" x14ac:dyDescent="0.25">
      <c r="A722" s="9"/>
      <c r="B722" s="13" t="e">
        <f>VLOOKUP(Table2[[#This Row],[Location 
(drop-down)]],'List source'!D$2:E$71,2,FALSE)</f>
        <v>#N/A</v>
      </c>
      <c r="C722" s="11" t="s">
        <v>1548</v>
      </c>
      <c r="D722" s="212" t="e">
        <f t="shared" si="12"/>
        <v>#N/A</v>
      </c>
      <c r="E722" s="224"/>
      <c r="F722" s="224"/>
      <c r="G722" s="9"/>
      <c r="H722" s="10"/>
      <c r="I722" s="20"/>
      <c r="J722" s="166"/>
      <c r="K722" s="166"/>
      <c r="L722" s="166"/>
      <c r="M722" s="166"/>
      <c r="N722" s="166"/>
      <c r="O722" s="63"/>
      <c r="P722" s="196"/>
      <c r="Q722" s="37"/>
      <c r="R722" s="93"/>
      <c r="S722" s="13">
        <f ca="1">IF(ISBLANK(Table2[[#This Row],[Complete corrective actions (Approved Date)]]), TODAY()-Table2[[#This Row],[CAR initialized date]], "CLOSED")</f>
        <v>46077</v>
      </c>
    </row>
    <row r="723" spans="1:19" ht="36" customHeight="1" x14ac:dyDescent="0.25">
      <c r="A723" s="9"/>
      <c r="B723" s="13" t="e">
        <f>VLOOKUP(Table2[[#This Row],[Location 
(drop-down)]],'List source'!D$2:E$71,2,FALSE)</f>
        <v>#N/A</v>
      </c>
      <c r="C723" s="11" t="s">
        <v>1549</v>
      </c>
      <c r="D723" s="212" t="e">
        <f t="shared" si="12"/>
        <v>#N/A</v>
      </c>
      <c r="E723" s="224"/>
      <c r="F723" s="224"/>
      <c r="G723" s="9"/>
      <c r="H723" s="10"/>
      <c r="I723" s="20"/>
      <c r="J723" s="166"/>
      <c r="K723" s="166"/>
      <c r="L723" s="166"/>
      <c r="M723" s="166"/>
      <c r="N723" s="166"/>
      <c r="O723" s="63"/>
      <c r="P723" s="196"/>
      <c r="Q723" s="37"/>
      <c r="R723" s="93"/>
      <c r="S723" s="13">
        <f ca="1">IF(ISBLANK(Table2[[#This Row],[Complete corrective actions (Approved Date)]]), TODAY()-Table2[[#This Row],[CAR initialized date]], "CLOSED")</f>
        <v>46077</v>
      </c>
    </row>
    <row r="724" spans="1:19" ht="36" customHeight="1" x14ac:dyDescent="0.25">
      <c r="A724" s="9"/>
      <c r="B724" s="13" t="e">
        <f>VLOOKUP(Table2[[#This Row],[Location 
(drop-down)]],'List source'!D$2:E$71,2,FALSE)</f>
        <v>#N/A</v>
      </c>
      <c r="C724" s="11" t="s">
        <v>1550</v>
      </c>
      <c r="D724" s="212" t="e">
        <f t="shared" si="12"/>
        <v>#N/A</v>
      </c>
      <c r="E724" s="224"/>
      <c r="F724" s="224"/>
      <c r="G724" s="9"/>
      <c r="H724" s="10"/>
      <c r="I724" s="20"/>
      <c r="J724" s="166"/>
      <c r="K724" s="166"/>
      <c r="L724" s="166"/>
      <c r="M724" s="166"/>
      <c r="N724" s="166"/>
      <c r="O724" s="63"/>
      <c r="P724" s="196"/>
      <c r="Q724" s="37"/>
      <c r="R724" s="93"/>
      <c r="S724" s="13">
        <f ca="1">IF(ISBLANK(Table2[[#This Row],[Complete corrective actions (Approved Date)]]), TODAY()-Table2[[#This Row],[CAR initialized date]], "CLOSED")</f>
        <v>46077</v>
      </c>
    </row>
    <row r="725" spans="1:19" ht="36" customHeight="1" x14ac:dyDescent="0.25">
      <c r="A725" s="9"/>
      <c r="B725" s="13" t="e">
        <f>VLOOKUP(Table2[[#This Row],[Location 
(drop-down)]],'List source'!D$2:E$71,2,FALSE)</f>
        <v>#N/A</v>
      </c>
      <c r="C725" s="11" t="s">
        <v>1551</v>
      </c>
      <c r="D725" s="212" t="e">
        <f t="shared" si="12"/>
        <v>#N/A</v>
      </c>
      <c r="E725" s="224"/>
      <c r="F725" s="224"/>
      <c r="G725" s="9"/>
      <c r="H725" s="10"/>
      <c r="I725" s="20"/>
      <c r="J725" s="166"/>
      <c r="K725" s="166"/>
      <c r="L725" s="166"/>
      <c r="M725" s="166"/>
      <c r="N725" s="166"/>
      <c r="O725" s="63"/>
      <c r="P725" s="196"/>
      <c r="Q725" s="37"/>
      <c r="R725" s="93"/>
      <c r="S725" s="13">
        <f ca="1">IF(ISBLANK(Table2[[#This Row],[Complete corrective actions (Approved Date)]]), TODAY()-Table2[[#This Row],[CAR initialized date]], "CLOSED")</f>
        <v>46077</v>
      </c>
    </row>
    <row r="726" spans="1:19" ht="36" customHeight="1" x14ac:dyDescent="0.25">
      <c r="A726" s="9"/>
      <c r="B726" s="13" t="e">
        <f>VLOOKUP(Table2[[#This Row],[Location 
(drop-down)]],'List source'!D$2:E$71,2,FALSE)</f>
        <v>#N/A</v>
      </c>
      <c r="C726" s="11" t="s">
        <v>1552</v>
      </c>
      <c r="D726" s="212" t="e">
        <f t="shared" si="12"/>
        <v>#N/A</v>
      </c>
      <c r="E726" s="224"/>
      <c r="F726" s="224"/>
      <c r="G726" s="9"/>
      <c r="H726" s="10"/>
      <c r="I726" s="20"/>
      <c r="J726" s="166"/>
      <c r="K726" s="166"/>
      <c r="L726" s="166"/>
      <c r="M726" s="166"/>
      <c r="N726" s="166"/>
      <c r="O726" s="63"/>
      <c r="P726" s="196"/>
      <c r="Q726" s="37"/>
      <c r="R726" s="93"/>
      <c r="S726" s="13">
        <f ca="1">IF(ISBLANK(Table2[[#This Row],[Complete corrective actions (Approved Date)]]), TODAY()-Table2[[#This Row],[CAR initialized date]], "CLOSED")</f>
        <v>46077</v>
      </c>
    </row>
    <row r="727" spans="1:19" ht="36" customHeight="1" x14ac:dyDescent="0.25">
      <c r="A727" s="9"/>
      <c r="B727" s="13" t="e">
        <f>VLOOKUP(Table2[[#This Row],[Location 
(drop-down)]],'List source'!D$2:E$71,2,FALSE)</f>
        <v>#N/A</v>
      </c>
      <c r="C727" s="11" t="s">
        <v>1553</v>
      </c>
      <c r="D727" s="212" t="e">
        <f t="shared" si="12"/>
        <v>#N/A</v>
      </c>
      <c r="E727" s="224"/>
      <c r="F727" s="224"/>
      <c r="G727" s="9"/>
      <c r="H727" s="10"/>
      <c r="I727" s="20"/>
      <c r="J727" s="166"/>
      <c r="K727" s="166"/>
      <c r="L727" s="166"/>
      <c r="M727" s="166"/>
      <c r="N727" s="166"/>
      <c r="O727" s="63"/>
      <c r="P727" s="196"/>
      <c r="Q727" s="37"/>
      <c r="R727" s="93"/>
      <c r="S727" s="13">
        <f ca="1">IF(ISBLANK(Table2[[#This Row],[Complete corrective actions (Approved Date)]]), TODAY()-Table2[[#This Row],[CAR initialized date]], "CLOSED")</f>
        <v>46077</v>
      </c>
    </row>
    <row r="728" spans="1:19" ht="36" customHeight="1" x14ac:dyDescent="0.25">
      <c r="A728" s="9"/>
      <c r="B728" s="13" t="e">
        <f>VLOOKUP(Table2[[#This Row],[Location 
(drop-down)]],'List source'!D$2:E$71,2,FALSE)</f>
        <v>#N/A</v>
      </c>
      <c r="C728" s="11" t="s">
        <v>1554</v>
      </c>
      <c r="D728" s="212" t="e">
        <f t="shared" si="12"/>
        <v>#N/A</v>
      </c>
      <c r="E728" s="224"/>
      <c r="F728" s="224"/>
      <c r="G728" s="9"/>
      <c r="H728" s="10"/>
      <c r="I728" s="20"/>
      <c r="J728" s="166"/>
      <c r="K728" s="166"/>
      <c r="L728" s="166"/>
      <c r="M728" s="166"/>
      <c r="N728" s="166"/>
      <c r="O728" s="63"/>
      <c r="P728" s="196"/>
      <c r="Q728" s="37"/>
      <c r="R728" s="93"/>
      <c r="S728" s="13">
        <f ca="1">IF(ISBLANK(Table2[[#This Row],[Complete corrective actions (Approved Date)]]), TODAY()-Table2[[#This Row],[CAR initialized date]], "CLOSED")</f>
        <v>46077</v>
      </c>
    </row>
    <row r="729" spans="1:19" ht="36" customHeight="1" x14ac:dyDescent="0.25">
      <c r="A729" s="9"/>
      <c r="B729" s="13" t="e">
        <f>VLOOKUP(Table2[[#This Row],[Location 
(drop-down)]],'List source'!D$2:E$71,2,FALSE)</f>
        <v>#N/A</v>
      </c>
      <c r="C729" s="11" t="s">
        <v>1555</v>
      </c>
      <c r="D729" s="212" t="e">
        <f t="shared" si="12"/>
        <v>#N/A</v>
      </c>
      <c r="E729" s="224"/>
      <c r="F729" s="224"/>
      <c r="G729" s="9"/>
      <c r="H729" s="10"/>
      <c r="I729" s="20"/>
      <c r="J729" s="166"/>
      <c r="K729" s="166"/>
      <c r="L729" s="166"/>
      <c r="M729" s="166"/>
      <c r="N729" s="166"/>
      <c r="O729" s="63"/>
      <c r="P729" s="196"/>
      <c r="Q729" s="37"/>
      <c r="R729" s="93"/>
      <c r="S729" s="13">
        <f ca="1">IF(ISBLANK(Table2[[#This Row],[Complete corrective actions (Approved Date)]]), TODAY()-Table2[[#This Row],[CAR initialized date]], "CLOSED")</f>
        <v>46077</v>
      </c>
    </row>
    <row r="730" spans="1:19" ht="36" customHeight="1" x14ac:dyDescent="0.25">
      <c r="A730" s="9"/>
      <c r="B730" s="13" t="e">
        <f>VLOOKUP(Table2[[#This Row],[Location 
(drop-down)]],'List source'!D$2:E$71,2,FALSE)</f>
        <v>#N/A</v>
      </c>
      <c r="C730" s="11" t="s">
        <v>1556</v>
      </c>
      <c r="D730" s="212" t="e">
        <f t="shared" si="12"/>
        <v>#N/A</v>
      </c>
      <c r="E730" s="224"/>
      <c r="F730" s="224"/>
      <c r="G730" s="9"/>
      <c r="H730" s="10"/>
      <c r="I730" s="20"/>
      <c r="J730" s="166"/>
      <c r="K730" s="166"/>
      <c r="L730" s="166"/>
      <c r="M730" s="166"/>
      <c r="N730" s="166"/>
      <c r="O730" s="63"/>
      <c r="P730" s="196"/>
      <c r="Q730" s="37"/>
      <c r="R730" s="93"/>
      <c r="S730" s="13">
        <f ca="1">IF(ISBLANK(Table2[[#This Row],[Complete corrective actions (Approved Date)]]), TODAY()-Table2[[#This Row],[CAR initialized date]], "CLOSED")</f>
        <v>46077</v>
      </c>
    </row>
    <row r="731" spans="1:19" ht="36" customHeight="1" x14ac:dyDescent="0.25">
      <c r="A731" s="9"/>
      <c r="B731" s="13" t="e">
        <f>VLOOKUP(Table2[[#This Row],[Location 
(drop-down)]],'List source'!D$2:E$71,2,FALSE)</f>
        <v>#N/A</v>
      </c>
      <c r="C731" s="11" t="s">
        <v>1557</v>
      </c>
      <c r="D731" s="212" t="e">
        <f t="shared" si="12"/>
        <v>#N/A</v>
      </c>
      <c r="E731" s="224"/>
      <c r="F731" s="224"/>
      <c r="G731" s="9"/>
      <c r="H731" s="10"/>
      <c r="I731" s="20"/>
      <c r="J731" s="166"/>
      <c r="K731" s="166"/>
      <c r="L731" s="166"/>
      <c r="M731" s="166"/>
      <c r="N731" s="166"/>
      <c r="O731" s="63"/>
      <c r="P731" s="196"/>
      <c r="Q731" s="37"/>
      <c r="R731" s="93"/>
      <c r="S731" s="13">
        <f ca="1">IF(ISBLANK(Table2[[#This Row],[Complete corrective actions (Approved Date)]]), TODAY()-Table2[[#This Row],[CAR initialized date]], "CLOSED")</f>
        <v>46077</v>
      </c>
    </row>
    <row r="732" spans="1:19" ht="36" customHeight="1" x14ac:dyDescent="0.25">
      <c r="A732" s="9"/>
      <c r="B732" s="13" t="e">
        <f>VLOOKUP(Table2[[#This Row],[Location 
(drop-down)]],'List source'!D$2:E$71,2,FALSE)</f>
        <v>#N/A</v>
      </c>
      <c r="C732" s="11" t="s">
        <v>1558</v>
      </c>
      <c r="D732" s="212" t="e">
        <f t="shared" si="12"/>
        <v>#N/A</v>
      </c>
      <c r="E732" s="224"/>
      <c r="F732" s="224"/>
      <c r="G732" s="9"/>
      <c r="H732" s="10"/>
      <c r="I732" s="20"/>
      <c r="J732" s="166"/>
      <c r="K732" s="166"/>
      <c r="L732" s="166"/>
      <c r="M732" s="166"/>
      <c r="N732" s="166"/>
      <c r="O732" s="63"/>
      <c r="P732" s="196"/>
      <c r="Q732" s="37"/>
      <c r="R732" s="93"/>
      <c r="S732" s="13">
        <f ca="1">IF(ISBLANK(Table2[[#This Row],[Complete corrective actions (Approved Date)]]), TODAY()-Table2[[#This Row],[CAR initialized date]], "CLOSED")</f>
        <v>46077</v>
      </c>
    </row>
    <row r="733" spans="1:19" ht="36" customHeight="1" x14ac:dyDescent="0.25">
      <c r="A733" s="9"/>
      <c r="B733" s="13" t="e">
        <f>VLOOKUP(Table2[[#This Row],[Location 
(drop-down)]],'List source'!D$2:E$71,2,FALSE)</f>
        <v>#N/A</v>
      </c>
      <c r="C733" s="11" t="s">
        <v>1559</v>
      </c>
      <c r="D733" s="212" t="e">
        <f t="shared" si="12"/>
        <v>#N/A</v>
      </c>
      <c r="E733" s="224"/>
      <c r="F733" s="224"/>
      <c r="G733" s="9"/>
      <c r="H733" s="10"/>
      <c r="I733" s="20"/>
      <c r="J733" s="166"/>
      <c r="K733" s="166"/>
      <c r="L733" s="166"/>
      <c r="M733" s="166"/>
      <c r="N733" s="166"/>
      <c r="O733" s="63"/>
      <c r="P733" s="196"/>
      <c r="Q733" s="37"/>
      <c r="R733" s="93"/>
      <c r="S733" s="13">
        <f ca="1">IF(ISBLANK(Table2[[#This Row],[Complete corrective actions (Approved Date)]]), TODAY()-Table2[[#This Row],[CAR initialized date]], "CLOSED")</f>
        <v>46077</v>
      </c>
    </row>
    <row r="734" spans="1:19" ht="36" customHeight="1" x14ac:dyDescent="0.25">
      <c r="A734" s="9"/>
      <c r="B734" s="13" t="e">
        <f>VLOOKUP(Table2[[#This Row],[Location 
(drop-down)]],'List source'!D$2:E$71,2,FALSE)</f>
        <v>#N/A</v>
      </c>
      <c r="C734" s="11" t="s">
        <v>1560</v>
      </c>
      <c r="D734" s="212" t="e">
        <f t="shared" si="12"/>
        <v>#N/A</v>
      </c>
      <c r="E734" s="224"/>
      <c r="F734" s="224"/>
      <c r="G734" s="9"/>
      <c r="H734" s="10"/>
      <c r="I734" s="20"/>
      <c r="J734" s="166"/>
      <c r="K734" s="166"/>
      <c r="L734" s="166"/>
      <c r="M734" s="166"/>
      <c r="N734" s="166"/>
      <c r="O734" s="63"/>
      <c r="P734" s="196"/>
      <c r="Q734" s="37"/>
      <c r="R734" s="93"/>
      <c r="S734" s="13">
        <f ca="1">IF(ISBLANK(Table2[[#This Row],[Complete corrective actions (Approved Date)]]), TODAY()-Table2[[#This Row],[CAR initialized date]], "CLOSED")</f>
        <v>46077</v>
      </c>
    </row>
    <row r="735" spans="1:19" ht="36" customHeight="1" x14ac:dyDescent="0.25">
      <c r="A735" s="9"/>
      <c r="B735" s="13" t="e">
        <f>VLOOKUP(Table2[[#This Row],[Location 
(drop-down)]],'List source'!D$2:E$71,2,FALSE)</f>
        <v>#N/A</v>
      </c>
      <c r="C735" s="11" t="s">
        <v>1561</v>
      </c>
      <c r="D735" s="212" t="e">
        <f t="shared" si="12"/>
        <v>#N/A</v>
      </c>
      <c r="E735" s="224"/>
      <c r="F735" s="224"/>
      <c r="G735" s="9"/>
      <c r="H735" s="10"/>
      <c r="I735" s="20"/>
      <c r="J735" s="166"/>
      <c r="K735" s="166"/>
      <c r="L735" s="166"/>
      <c r="M735" s="166"/>
      <c r="N735" s="166"/>
      <c r="O735" s="63"/>
      <c r="P735" s="196"/>
      <c r="Q735" s="37"/>
      <c r="R735" s="93"/>
      <c r="S735" s="13">
        <f ca="1">IF(ISBLANK(Table2[[#This Row],[Complete corrective actions (Approved Date)]]), TODAY()-Table2[[#This Row],[CAR initialized date]], "CLOSED")</f>
        <v>46077</v>
      </c>
    </row>
    <row r="736" spans="1:19" ht="36" customHeight="1" x14ac:dyDescent="0.25">
      <c r="A736" s="9"/>
      <c r="B736" s="13" t="e">
        <f>VLOOKUP(Table2[[#This Row],[Location 
(drop-down)]],'List source'!D$2:E$71,2,FALSE)</f>
        <v>#N/A</v>
      </c>
      <c r="C736" s="11" t="s">
        <v>1562</v>
      </c>
      <c r="D736" s="212" t="e">
        <f t="shared" si="12"/>
        <v>#N/A</v>
      </c>
      <c r="E736" s="224"/>
      <c r="F736" s="224"/>
      <c r="G736" s="9"/>
      <c r="H736" s="10"/>
      <c r="I736" s="20"/>
      <c r="J736" s="166"/>
      <c r="K736" s="166"/>
      <c r="L736" s="166"/>
      <c r="M736" s="166"/>
      <c r="N736" s="166"/>
      <c r="O736" s="63"/>
      <c r="P736" s="196"/>
      <c r="Q736" s="37"/>
      <c r="R736" s="93"/>
      <c r="S736" s="13">
        <f ca="1">IF(ISBLANK(Table2[[#This Row],[Complete corrective actions (Approved Date)]]), TODAY()-Table2[[#This Row],[CAR initialized date]], "CLOSED")</f>
        <v>46077</v>
      </c>
    </row>
    <row r="737" spans="1:19" ht="36" customHeight="1" x14ac:dyDescent="0.25">
      <c r="A737" s="9"/>
      <c r="B737" s="13" t="e">
        <f>VLOOKUP(Table2[[#This Row],[Location 
(drop-down)]],'List source'!D$2:E$71,2,FALSE)</f>
        <v>#N/A</v>
      </c>
      <c r="C737" s="11" t="s">
        <v>1563</v>
      </c>
      <c r="D737" s="212" t="e">
        <f t="shared" si="12"/>
        <v>#N/A</v>
      </c>
      <c r="E737" s="224"/>
      <c r="F737" s="224"/>
      <c r="G737" s="9"/>
      <c r="H737" s="10"/>
      <c r="I737" s="20"/>
      <c r="J737" s="166"/>
      <c r="K737" s="166"/>
      <c r="L737" s="166"/>
      <c r="M737" s="166"/>
      <c r="N737" s="166"/>
      <c r="O737" s="63"/>
      <c r="P737" s="196"/>
      <c r="Q737" s="37"/>
      <c r="R737" s="93"/>
      <c r="S737" s="13">
        <f ca="1">IF(ISBLANK(Table2[[#This Row],[Complete corrective actions (Approved Date)]]), TODAY()-Table2[[#This Row],[CAR initialized date]], "CLOSED")</f>
        <v>46077</v>
      </c>
    </row>
    <row r="738" spans="1:19" ht="36" customHeight="1" x14ac:dyDescent="0.25">
      <c r="A738" s="9"/>
      <c r="B738" s="13" t="e">
        <f>VLOOKUP(Table2[[#This Row],[Location 
(drop-down)]],'List source'!D$2:E$71,2,FALSE)</f>
        <v>#N/A</v>
      </c>
      <c r="C738" s="11" t="s">
        <v>1564</v>
      </c>
      <c r="D738" s="212" t="e">
        <f t="shared" si="12"/>
        <v>#N/A</v>
      </c>
      <c r="E738" s="224"/>
      <c r="F738" s="224"/>
      <c r="G738" s="9"/>
      <c r="H738" s="10"/>
      <c r="I738" s="20"/>
      <c r="J738" s="166"/>
      <c r="K738" s="166"/>
      <c r="L738" s="166"/>
      <c r="M738" s="166"/>
      <c r="N738" s="166"/>
      <c r="O738" s="63"/>
      <c r="P738" s="196"/>
      <c r="Q738" s="37"/>
      <c r="R738" s="93"/>
      <c r="S738" s="13">
        <f ca="1">IF(ISBLANK(Table2[[#This Row],[Complete corrective actions (Approved Date)]]), TODAY()-Table2[[#This Row],[CAR initialized date]], "CLOSED")</f>
        <v>46077</v>
      </c>
    </row>
    <row r="739" spans="1:19" ht="36" customHeight="1" x14ac:dyDescent="0.25">
      <c r="A739" s="9"/>
      <c r="B739" s="13" t="e">
        <f>VLOOKUP(Table2[[#This Row],[Location 
(drop-down)]],'List source'!D$2:E$71,2,FALSE)</f>
        <v>#N/A</v>
      </c>
      <c r="C739" s="11" t="s">
        <v>1565</v>
      </c>
      <c r="D739" s="212" t="e">
        <f t="shared" si="12"/>
        <v>#N/A</v>
      </c>
      <c r="E739" s="224"/>
      <c r="F739" s="224"/>
      <c r="G739" s="9"/>
      <c r="H739" s="10"/>
      <c r="I739" s="20"/>
      <c r="J739" s="166"/>
      <c r="K739" s="166"/>
      <c r="L739" s="166"/>
      <c r="M739" s="166"/>
      <c r="N739" s="166"/>
      <c r="O739" s="63"/>
      <c r="P739" s="196"/>
      <c r="Q739" s="37"/>
      <c r="R739" s="93"/>
      <c r="S739" s="13">
        <f ca="1">IF(ISBLANK(Table2[[#This Row],[Complete corrective actions (Approved Date)]]), TODAY()-Table2[[#This Row],[CAR initialized date]], "CLOSED")</f>
        <v>46077</v>
      </c>
    </row>
    <row r="740" spans="1:19" ht="36" customHeight="1" x14ac:dyDescent="0.25">
      <c r="A740" s="9"/>
      <c r="B740" s="13" t="e">
        <f>VLOOKUP(Table2[[#This Row],[Location 
(drop-down)]],'List source'!D$2:E$71,2,FALSE)</f>
        <v>#N/A</v>
      </c>
      <c r="C740" s="11" t="s">
        <v>1566</v>
      </c>
      <c r="D740" s="212" t="e">
        <f t="shared" si="12"/>
        <v>#N/A</v>
      </c>
      <c r="E740" s="224"/>
      <c r="F740" s="224"/>
      <c r="G740" s="9"/>
      <c r="H740" s="10"/>
      <c r="I740" s="20"/>
      <c r="J740" s="166"/>
      <c r="K740" s="166"/>
      <c r="L740" s="166"/>
      <c r="M740" s="166"/>
      <c r="N740" s="166"/>
      <c r="O740" s="63"/>
      <c r="P740" s="196"/>
      <c r="Q740" s="37"/>
      <c r="R740" s="93"/>
      <c r="S740" s="13">
        <f ca="1">IF(ISBLANK(Table2[[#This Row],[Complete corrective actions (Approved Date)]]), TODAY()-Table2[[#This Row],[CAR initialized date]], "CLOSED")</f>
        <v>46077</v>
      </c>
    </row>
    <row r="741" spans="1:19" ht="36" customHeight="1" x14ac:dyDescent="0.25">
      <c r="A741" s="9"/>
      <c r="B741" s="13" t="e">
        <f>VLOOKUP(Table2[[#This Row],[Location 
(drop-down)]],'List source'!D$2:E$71,2,FALSE)</f>
        <v>#N/A</v>
      </c>
      <c r="C741" s="11" t="s">
        <v>1567</v>
      </c>
      <c r="D741" s="212" t="e">
        <f t="shared" si="12"/>
        <v>#N/A</v>
      </c>
      <c r="E741" s="224"/>
      <c r="F741" s="224"/>
      <c r="G741" s="9"/>
      <c r="H741" s="10"/>
      <c r="I741" s="20"/>
      <c r="J741" s="166"/>
      <c r="K741" s="166"/>
      <c r="L741" s="166"/>
      <c r="M741" s="166"/>
      <c r="N741" s="166"/>
      <c r="O741" s="63"/>
      <c r="P741" s="196"/>
      <c r="Q741" s="37"/>
      <c r="R741" s="93"/>
      <c r="S741" s="13">
        <f ca="1">IF(ISBLANK(Table2[[#This Row],[Complete corrective actions (Approved Date)]]), TODAY()-Table2[[#This Row],[CAR initialized date]], "CLOSED")</f>
        <v>46077</v>
      </c>
    </row>
    <row r="742" spans="1:19" ht="36" customHeight="1" x14ac:dyDescent="0.25">
      <c r="A742" s="9"/>
      <c r="B742" s="13" t="e">
        <f>VLOOKUP(Table2[[#This Row],[Location 
(drop-down)]],'List source'!D$2:E$71,2,FALSE)</f>
        <v>#N/A</v>
      </c>
      <c r="C742" s="11" t="s">
        <v>1568</v>
      </c>
      <c r="D742" s="212" t="e">
        <f t="shared" si="12"/>
        <v>#N/A</v>
      </c>
      <c r="E742" s="224"/>
      <c r="F742" s="224"/>
      <c r="G742" s="9"/>
      <c r="H742" s="10"/>
      <c r="I742" s="20"/>
      <c r="J742" s="166"/>
      <c r="K742" s="166"/>
      <c r="L742" s="166"/>
      <c r="M742" s="166"/>
      <c r="N742" s="166"/>
      <c r="O742" s="63"/>
      <c r="P742" s="196"/>
      <c r="Q742" s="37"/>
      <c r="R742" s="93"/>
      <c r="S742" s="13">
        <f ca="1">IF(ISBLANK(Table2[[#This Row],[Complete corrective actions (Approved Date)]]), TODAY()-Table2[[#This Row],[CAR initialized date]], "CLOSED")</f>
        <v>46077</v>
      </c>
    </row>
    <row r="743" spans="1:19" ht="36" customHeight="1" x14ac:dyDescent="0.25">
      <c r="A743" s="9"/>
      <c r="B743" s="13" t="e">
        <f>VLOOKUP(Table2[[#This Row],[Location 
(drop-down)]],'List source'!D$2:E$71,2,FALSE)</f>
        <v>#N/A</v>
      </c>
      <c r="C743" s="11" t="s">
        <v>1569</v>
      </c>
      <c r="D743" s="212" t="e">
        <f t="shared" si="12"/>
        <v>#N/A</v>
      </c>
      <c r="E743" s="224"/>
      <c r="F743" s="224"/>
      <c r="G743" s="9"/>
      <c r="H743" s="10"/>
      <c r="I743" s="20"/>
      <c r="J743" s="166"/>
      <c r="K743" s="166"/>
      <c r="L743" s="166"/>
      <c r="M743" s="166"/>
      <c r="N743" s="166"/>
      <c r="O743" s="63"/>
      <c r="P743" s="196"/>
      <c r="Q743" s="37"/>
      <c r="R743" s="93"/>
      <c r="S743" s="13">
        <f ca="1">IF(ISBLANK(Table2[[#This Row],[Complete corrective actions (Approved Date)]]), TODAY()-Table2[[#This Row],[CAR initialized date]], "CLOSED")</f>
        <v>46077</v>
      </c>
    </row>
    <row r="744" spans="1:19" ht="36" customHeight="1" x14ac:dyDescent="0.25">
      <c r="A744" s="9"/>
      <c r="B744" s="13" t="e">
        <f>VLOOKUP(Table2[[#This Row],[Location 
(drop-down)]],'List source'!D$2:E$71,2,FALSE)</f>
        <v>#N/A</v>
      </c>
      <c r="C744" s="11" t="s">
        <v>1570</v>
      </c>
      <c r="D744" s="212" t="e">
        <f t="shared" si="12"/>
        <v>#N/A</v>
      </c>
      <c r="E744" s="224"/>
      <c r="F744" s="224"/>
      <c r="G744" s="9"/>
      <c r="H744" s="10"/>
      <c r="I744" s="20"/>
      <c r="J744" s="166"/>
      <c r="K744" s="166"/>
      <c r="L744" s="166"/>
      <c r="M744" s="166"/>
      <c r="N744" s="166"/>
      <c r="O744" s="63"/>
      <c r="P744" s="196"/>
      <c r="Q744" s="37"/>
      <c r="R744" s="93"/>
      <c r="S744" s="13">
        <f ca="1">IF(ISBLANK(Table2[[#This Row],[Complete corrective actions (Approved Date)]]), TODAY()-Table2[[#This Row],[CAR initialized date]], "CLOSED")</f>
        <v>46077</v>
      </c>
    </row>
    <row r="745" spans="1:19" ht="36" customHeight="1" x14ac:dyDescent="0.25">
      <c r="A745" s="9"/>
      <c r="B745" s="13" t="e">
        <f>VLOOKUP(Table2[[#This Row],[Location 
(drop-down)]],'List source'!D$2:E$71,2,FALSE)</f>
        <v>#N/A</v>
      </c>
      <c r="C745" s="11" t="s">
        <v>1571</v>
      </c>
      <c r="D745" s="212" t="e">
        <f t="shared" si="12"/>
        <v>#N/A</v>
      </c>
      <c r="E745" s="224"/>
      <c r="F745" s="224"/>
      <c r="G745" s="9"/>
      <c r="H745" s="10"/>
      <c r="I745" s="20"/>
      <c r="J745" s="166"/>
      <c r="K745" s="166"/>
      <c r="L745" s="166"/>
      <c r="M745" s="166"/>
      <c r="N745" s="166"/>
      <c r="O745" s="63"/>
      <c r="P745" s="196"/>
      <c r="Q745" s="37"/>
      <c r="R745" s="93"/>
      <c r="S745" s="13">
        <f ca="1">IF(ISBLANK(Table2[[#This Row],[Complete corrective actions (Approved Date)]]), TODAY()-Table2[[#This Row],[CAR initialized date]], "CLOSED")</f>
        <v>46077</v>
      </c>
    </row>
    <row r="746" spans="1:19" ht="36" customHeight="1" x14ac:dyDescent="0.25">
      <c r="A746" s="9"/>
      <c r="B746" s="13" t="e">
        <f>VLOOKUP(Table2[[#This Row],[Location 
(drop-down)]],'List source'!D$2:E$71,2,FALSE)</f>
        <v>#N/A</v>
      </c>
      <c r="C746" s="11" t="s">
        <v>1572</v>
      </c>
      <c r="D746" s="212" t="e">
        <f t="shared" si="12"/>
        <v>#N/A</v>
      </c>
      <c r="E746" s="224"/>
      <c r="F746" s="224"/>
      <c r="G746" s="9"/>
      <c r="H746" s="10"/>
      <c r="I746" s="20"/>
      <c r="J746" s="166"/>
      <c r="K746" s="166"/>
      <c r="L746" s="166"/>
      <c r="M746" s="166"/>
      <c r="N746" s="166"/>
      <c r="O746" s="63"/>
      <c r="P746" s="196"/>
      <c r="Q746" s="37"/>
      <c r="R746" s="93"/>
      <c r="S746" s="13">
        <f ca="1">IF(ISBLANK(Table2[[#This Row],[Complete corrective actions (Approved Date)]]), TODAY()-Table2[[#This Row],[CAR initialized date]], "CLOSED")</f>
        <v>46077</v>
      </c>
    </row>
    <row r="747" spans="1:19" ht="36" customHeight="1" x14ac:dyDescent="0.25">
      <c r="A747" s="9"/>
      <c r="B747" s="13" t="e">
        <f>VLOOKUP(Table2[[#This Row],[Location 
(drop-down)]],'List source'!D$2:E$71,2,FALSE)</f>
        <v>#N/A</v>
      </c>
      <c r="C747" s="11" t="s">
        <v>1573</v>
      </c>
      <c r="D747" s="212" t="e">
        <f t="shared" si="12"/>
        <v>#N/A</v>
      </c>
      <c r="E747" s="224"/>
      <c r="F747" s="224"/>
      <c r="G747" s="9"/>
      <c r="H747" s="10"/>
      <c r="I747" s="20"/>
      <c r="J747" s="166"/>
      <c r="K747" s="166"/>
      <c r="L747" s="166"/>
      <c r="M747" s="166"/>
      <c r="N747" s="166"/>
      <c r="O747" s="63"/>
      <c r="P747" s="196"/>
      <c r="Q747" s="37"/>
      <c r="R747" s="93"/>
      <c r="S747" s="13">
        <f ca="1">IF(ISBLANK(Table2[[#This Row],[Complete corrective actions (Approved Date)]]), TODAY()-Table2[[#This Row],[CAR initialized date]], "CLOSED")</f>
        <v>46077</v>
      </c>
    </row>
    <row r="748" spans="1:19" ht="36" customHeight="1" x14ac:dyDescent="0.25">
      <c r="A748" s="9"/>
      <c r="B748" s="13" t="e">
        <f>VLOOKUP(Table2[[#This Row],[Location 
(drop-down)]],'List source'!D$2:E$71,2,FALSE)</f>
        <v>#N/A</v>
      </c>
      <c r="C748" s="11" t="s">
        <v>1574</v>
      </c>
      <c r="D748" s="212" t="e">
        <f t="shared" si="12"/>
        <v>#N/A</v>
      </c>
      <c r="E748" s="224"/>
      <c r="F748" s="224"/>
      <c r="G748" s="9"/>
      <c r="H748" s="10"/>
      <c r="I748" s="20"/>
      <c r="J748" s="166"/>
      <c r="K748" s="166"/>
      <c r="L748" s="166"/>
      <c r="M748" s="166"/>
      <c r="N748" s="166"/>
      <c r="O748" s="63"/>
      <c r="P748" s="196"/>
      <c r="Q748" s="37"/>
      <c r="R748" s="93"/>
      <c r="S748" s="13">
        <f ca="1">IF(ISBLANK(Table2[[#This Row],[Complete corrective actions (Approved Date)]]), TODAY()-Table2[[#This Row],[CAR initialized date]], "CLOSED")</f>
        <v>46077</v>
      </c>
    </row>
    <row r="749" spans="1:19" ht="36" customHeight="1" x14ac:dyDescent="0.25">
      <c r="A749" s="9"/>
      <c r="B749" s="13" t="e">
        <f>VLOOKUP(Table2[[#This Row],[Location 
(drop-down)]],'List source'!D$2:E$71,2,FALSE)</f>
        <v>#N/A</v>
      </c>
      <c r="C749" s="11" t="s">
        <v>1575</v>
      </c>
      <c r="D749" s="212" t="e">
        <f t="shared" si="12"/>
        <v>#N/A</v>
      </c>
      <c r="E749" s="224"/>
      <c r="F749" s="224"/>
      <c r="G749" s="9"/>
      <c r="H749" s="10"/>
      <c r="I749" s="20"/>
      <c r="J749" s="166"/>
      <c r="K749" s="166"/>
      <c r="L749" s="166"/>
      <c r="M749" s="166"/>
      <c r="N749" s="166"/>
      <c r="O749" s="63"/>
      <c r="P749" s="196"/>
      <c r="Q749" s="37"/>
      <c r="R749" s="93"/>
      <c r="S749" s="13">
        <f ca="1">IF(ISBLANK(Table2[[#This Row],[Complete corrective actions (Approved Date)]]), TODAY()-Table2[[#This Row],[CAR initialized date]], "CLOSED")</f>
        <v>46077</v>
      </c>
    </row>
    <row r="750" spans="1:19" ht="36" customHeight="1" x14ac:dyDescent="0.25">
      <c r="A750" s="9"/>
      <c r="B750" s="13" t="e">
        <f>VLOOKUP(Table2[[#This Row],[Location 
(drop-down)]],'List source'!D$2:E$71,2,FALSE)</f>
        <v>#N/A</v>
      </c>
      <c r="C750" s="11" t="s">
        <v>1576</v>
      </c>
      <c r="D750" s="212" t="e">
        <f t="shared" si="12"/>
        <v>#N/A</v>
      </c>
      <c r="E750" s="224"/>
      <c r="F750" s="224"/>
      <c r="G750" s="9"/>
      <c r="H750" s="10"/>
      <c r="I750" s="20"/>
      <c r="J750" s="166"/>
      <c r="K750" s="166"/>
      <c r="L750" s="166"/>
      <c r="M750" s="166"/>
      <c r="N750" s="166"/>
      <c r="O750" s="63"/>
      <c r="P750" s="196"/>
      <c r="Q750" s="37"/>
      <c r="R750" s="93"/>
      <c r="S750" s="13">
        <f ca="1">IF(ISBLANK(Table2[[#This Row],[Complete corrective actions (Approved Date)]]), TODAY()-Table2[[#This Row],[CAR initialized date]], "CLOSED")</f>
        <v>46077</v>
      </c>
    </row>
    <row r="751" spans="1:19" ht="36" customHeight="1" x14ac:dyDescent="0.25">
      <c r="A751" s="9"/>
      <c r="B751" s="13" t="e">
        <f>VLOOKUP(Table2[[#This Row],[Location 
(drop-down)]],'List source'!D$2:E$71,2,FALSE)</f>
        <v>#N/A</v>
      </c>
      <c r="C751" s="11" t="s">
        <v>1577</v>
      </c>
      <c r="D751" s="212" t="e">
        <f t="shared" si="12"/>
        <v>#N/A</v>
      </c>
      <c r="E751" s="224"/>
      <c r="F751" s="224"/>
      <c r="G751" s="9"/>
      <c r="H751" s="10"/>
      <c r="I751" s="20"/>
      <c r="J751" s="166"/>
      <c r="K751" s="166"/>
      <c r="L751" s="166"/>
      <c r="M751" s="166"/>
      <c r="N751" s="166"/>
      <c r="O751" s="63"/>
      <c r="P751" s="196"/>
      <c r="Q751" s="37"/>
      <c r="R751" s="93"/>
      <c r="S751" s="13">
        <f ca="1">IF(ISBLANK(Table2[[#This Row],[Complete corrective actions (Approved Date)]]), TODAY()-Table2[[#This Row],[CAR initialized date]], "CLOSED")</f>
        <v>46077</v>
      </c>
    </row>
    <row r="752" spans="1:19" ht="36" customHeight="1" x14ac:dyDescent="0.25">
      <c r="A752" s="9"/>
      <c r="B752" s="13" t="e">
        <f>VLOOKUP(Table2[[#This Row],[Location 
(drop-down)]],'List source'!D$2:E$71,2,FALSE)</f>
        <v>#N/A</v>
      </c>
      <c r="C752" s="11" t="s">
        <v>1578</v>
      </c>
      <c r="D752" s="212" t="e">
        <f t="shared" si="12"/>
        <v>#N/A</v>
      </c>
      <c r="E752" s="224"/>
      <c r="F752" s="224"/>
      <c r="G752" s="9"/>
      <c r="H752" s="10"/>
      <c r="I752" s="20"/>
      <c r="J752" s="166"/>
      <c r="K752" s="166"/>
      <c r="L752" s="166"/>
      <c r="M752" s="166"/>
      <c r="N752" s="166"/>
      <c r="O752" s="63"/>
      <c r="P752" s="196"/>
      <c r="Q752" s="37"/>
      <c r="R752" s="93"/>
      <c r="S752" s="13">
        <f ca="1">IF(ISBLANK(Table2[[#This Row],[Complete corrective actions (Approved Date)]]), TODAY()-Table2[[#This Row],[CAR initialized date]], "CLOSED")</f>
        <v>46077</v>
      </c>
    </row>
    <row r="753" spans="1:19" ht="36" customHeight="1" x14ac:dyDescent="0.25">
      <c r="A753" s="9"/>
      <c r="B753" s="13" t="e">
        <f>VLOOKUP(Table2[[#This Row],[Location 
(drop-down)]],'List source'!D$2:E$71,2,FALSE)</f>
        <v>#N/A</v>
      </c>
      <c r="C753" s="11" t="s">
        <v>1579</v>
      </c>
      <c r="D753" s="212" t="e">
        <f t="shared" si="12"/>
        <v>#N/A</v>
      </c>
      <c r="E753" s="224"/>
      <c r="F753" s="224"/>
      <c r="G753" s="9"/>
      <c r="H753" s="10"/>
      <c r="I753" s="20"/>
      <c r="J753" s="166"/>
      <c r="K753" s="166"/>
      <c r="L753" s="166"/>
      <c r="M753" s="166"/>
      <c r="N753" s="166"/>
      <c r="O753" s="63"/>
      <c r="P753" s="196"/>
      <c r="Q753" s="37"/>
      <c r="R753" s="93"/>
      <c r="S753" s="13">
        <f ca="1">IF(ISBLANK(Table2[[#This Row],[Complete corrective actions (Approved Date)]]), TODAY()-Table2[[#This Row],[CAR initialized date]], "CLOSED")</f>
        <v>46077</v>
      </c>
    </row>
    <row r="754" spans="1:19" ht="36" customHeight="1" x14ac:dyDescent="0.25">
      <c r="A754" s="9"/>
      <c r="B754" s="13" t="e">
        <f>VLOOKUP(Table2[[#This Row],[Location 
(drop-down)]],'List source'!D$2:E$71,2,FALSE)</f>
        <v>#N/A</v>
      </c>
      <c r="C754" s="11" t="s">
        <v>1580</v>
      </c>
      <c r="D754" s="212" t="e">
        <f t="shared" si="12"/>
        <v>#N/A</v>
      </c>
      <c r="E754" s="224"/>
      <c r="F754" s="224"/>
      <c r="G754" s="9"/>
      <c r="H754" s="10"/>
      <c r="I754" s="20"/>
      <c r="J754" s="166"/>
      <c r="K754" s="166"/>
      <c r="L754" s="166"/>
      <c r="M754" s="166"/>
      <c r="N754" s="166"/>
      <c r="O754" s="63"/>
      <c r="P754" s="196"/>
      <c r="Q754" s="37"/>
      <c r="R754" s="93"/>
      <c r="S754" s="13">
        <f ca="1">IF(ISBLANK(Table2[[#This Row],[Complete corrective actions (Approved Date)]]), TODAY()-Table2[[#This Row],[CAR initialized date]], "CLOSED")</f>
        <v>46077</v>
      </c>
    </row>
    <row r="755" spans="1:19" ht="36" customHeight="1" x14ac:dyDescent="0.25">
      <c r="A755" s="9"/>
      <c r="B755" s="13" t="e">
        <f>VLOOKUP(Table2[[#This Row],[Location 
(drop-down)]],'List source'!D$2:E$71,2,FALSE)</f>
        <v>#N/A</v>
      </c>
      <c r="C755" s="11" t="s">
        <v>1581</v>
      </c>
      <c r="D755" s="212" t="e">
        <f t="shared" si="12"/>
        <v>#N/A</v>
      </c>
      <c r="E755" s="224"/>
      <c r="F755" s="224"/>
      <c r="G755" s="9"/>
      <c r="H755" s="10"/>
      <c r="I755" s="20"/>
      <c r="J755" s="166"/>
      <c r="K755" s="166"/>
      <c r="L755" s="166"/>
      <c r="M755" s="166"/>
      <c r="N755" s="166"/>
      <c r="O755" s="63"/>
      <c r="P755" s="196"/>
      <c r="Q755" s="37"/>
      <c r="R755" s="93"/>
      <c r="S755" s="13">
        <f ca="1">IF(ISBLANK(Table2[[#This Row],[Complete corrective actions (Approved Date)]]), TODAY()-Table2[[#This Row],[CAR initialized date]], "CLOSED")</f>
        <v>46077</v>
      </c>
    </row>
    <row r="756" spans="1:19" ht="36" customHeight="1" x14ac:dyDescent="0.25">
      <c r="A756" s="9"/>
      <c r="B756" s="13" t="e">
        <f>VLOOKUP(Table2[[#This Row],[Location 
(drop-down)]],'List source'!D$2:E$71,2,FALSE)</f>
        <v>#N/A</v>
      </c>
      <c r="C756" s="11" t="s">
        <v>1582</v>
      </c>
      <c r="D756" s="212" t="e">
        <f t="shared" si="12"/>
        <v>#N/A</v>
      </c>
      <c r="E756" s="224"/>
      <c r="F756" s="224"/>
      <c r="G756" s="9"/>
      <c r="H756" s="10"/>
      <c r="I756" s="20"/>
      <c r="J756" s="166"/>
      <c r="K756" s="166"/>
      <c r="L756" s="166"/>
      <c r="M756" s="166"/>
      <c r="N756" s="166"/>
      <c r="O756" s="63"/>
      <c r="P756" s="196"/>
      <c r="Q756" s="37"/>
      <c r="R756" s="93"/>
      <c r="S756" s="13">
        <f ca="1">IF(ISBLANK(Table2[[#This Row],[Complete corrective actions (Approved Date)]]), TODAY()-Table2[[#This Row],[CAR initialized date]], "CLOSED")</f>
        <v>46077</v>
      </c>
    </row>
    <row r="757" spans="1:19" ht="36" customHeight="1" x14ac:dyDescent="0.25">
      <c r="A757" s="9"/>
      <c r="B757" s="13" t="e">
        <f>VLOOKUP(Table2[[#This Row],[Location 
(drop-down)]],'List source'!D$2:E$71,2,FALSE)</f>
        <v>#N/A</v>
      </c>
      <c r="C757" s="11" t="s">
        <v>1583</v>
      </c>
      <c r="D757" s="212" t="e">
        <f t="shared" si="12"/>
        <v>#N/A</v>
      </c>
      <c r="E757" s="224"/>
      <c r="F757" s="224"/>
      <c r="G757" s="9"/>
      <c r="H757" s="10"/>
      <c r="I757" s="20"/>
      <c r="J757" s="166"/>
      <c r="K757" s="166"/>
      <c r="L757" s="166"/>
      <c r="M757" s="166"/>
      <c r="N757" s="166"/>
      <c r="O757" s="63"/>
      <c r="P757" s="196"/>
      <c r="Q757" s="37"/>
      <c r="R757" s="93"/>
      <c r="S757" s="13">
        <f ca="1">IF(ISBLANK(Table2[[#This Row],[Complete corrective actions (Approved Date)]]), TODAY()-Table2[[#This Row],[CAR initialized date]], "CLOSED")</f>
        <v>46077</v>
      </c>
    </row>
    <row r="758" spans="1:19" ht="36" customHeight="1" x14ac:dyDescent="0.25">
      <c r="A758" s="9"/>
      <c r="B758" s="13" t="e">
        <f>VLOOKUP(Table2[[#This Row],[Location 
(drop-down)]],'List source'!D$2:E$71,2,FALSE)</f>
        <v>#N/A</v>
      </c>
      <c r="C758" s="11" t="s">
        <v>1584</v>
      </c>
      <c r="D758" s="212" t="e">
        <f t="shared" si="12"/>
        <v>#N/A</v>
      </c>
      <c r="E758" s="224"/>
      <c r="F758" s="224"/>
      <c r="G758" s="9"/>
      <c r="H758" s="10"/>
      <c r="I758" s="20"/>
      <c r="J758" s="166"/>
      <c r="K758" s="166"/>
      <c r="L758" s="166"/>
      <c r="M758" s="166"/>
      <c r="N758" s="166"/>
      <c r="O758" s="63"/>
      <c r="P758" s="196"/>
      <c r="Q758" s="37"/>
      <c r="R758" s="93"/>
      <c r="S758" s="13">
        <f ca="1">IF(ISBLANK(Table2[[#This Row],[Complete corrective actions (Approved Date)]]), TODAY()-Table2[[#This Row],[CAR initialized date]], "CLOSED")</f>
        <v>46077</v>
      </c>
    </row>
    <row r="759" spans="1:19" ht="36" customHeight="1" x14ac:dyDescent="0.25">
      <c r="A759" s="9"/>
      <c r="B759" s="13" t="e">
        <f>VLOOKUP(Table2[[#This Row],[Location 
(drop-down)]],'List source'!D$2:E$71,2,FALSE)</f>
        <v>#N/A</v>
      </c>
      <c r="C759" s="11" t="s">
        <v>1585</v>
      </c>
      <c r="D759" s="212" t="e">
        <f t="shared" si="12"/>
        <v>#N/A</v>
      </c>
      <c r="E759" s="224"/>
      <c r="F759" s="224"/>
      <c r="G759" s="9"/>
      <c r="H759" s="10"/>
      <c r="I759" s="20"/>
      <c r="J759" s="166"/>
      <c r="K759" s="166"/>
      <c r="L759" s="166"/>
      <c r="M759" s="166"/>
      <c r="N759" s="166"/>
      <c r="O759" s="63"/>
      <c r="P759" s="196"/>
      <c r="Q759" s="37"/>
      <c r="R759" s="93"/>
      <c r="S759" s="13">
        <f ca="1">IF(ISBLANK(Table2[[#This Row],[Complete corrective actions (Approved Date)]]), TODAY()-Table2[[#This Row],[CAR initialized date]], "CLOSED")</f>
        <v>46077</v>
      </c>
    </row>
    <row r="760" spans="1:19" ht="36" customHeight="1" x14ac:dyDescent="0.25">
      <c r="A760" s="9"/>
      <c r="B760" s="13" t="e">
        <f>VLOOKUP(Table2[[#This Row],[Location 
(drop-down)]],'List source'!D$2:E$71,2,FALSE)</f>
        <v>#N/A</v>
      </c>
      <c r="C760" s="11" t="s">
        <v>1586</v>
      </c>
      <c r="D760" s="212" t="e">
        <f t="shared" si="12"/>
        <v>#N/A</v>
      </c>
      <c r="E760" s="224"/>
      <c r="F760" s="224"/>
      <c r="G760" s="9"/>
      <c r="H760" s="10"/>
      <c r="I760" s="20"/>
      <c r="J760" s="166"/>
      <c r="K760" s="166"/>
      <c r="L760" s="166"/>
      <c r="M760" s="166"/>
      <c r="N760" s="166"/>
      <c r="O760" s="63"/>
      <c r="P760" s="196"/>
      <c r="Q760" s="37"/>
      <c r="R760" s="93"/>
      <c r="S760" s="13">
        <f ca="1">IF(ISBLANK(Table2[[#This Row],[Complete corrective actions (Approved Date)]]), TODAY()-Table2[[#This Row],[CAR initialized date]], "CLOSED")</f>
        <v>46077</v>
      </c>
    </row>
    <row r="761" spans="1:19" ht="36" customHeight="1" x14ac:dyDescent="0.25">
      <c r="A761" s="9"/>
      <c r="B761" s="13" t="e">
        <f>VLOOKUP(Table2[[#This Row],[Location 
(drop-down)]],'List source'!D$2:E$71,2,FALSE)</f>
        <v>#N/A</v>
      </c>
      <c r="C761" s="11" t="s">
        <v>1587</v>
      </c>
      <c r="D761" s="212" t="e">
        <f t="shared" si="12"/>
        <v>#N/A</v>
      </c>
      <c r="E761" s="224"/>
      <c r="F761" s="224"/>
      <c r="G761" s="9"/>
      <c r="H761" s="10"/>
      <c r="I761" s="20"/>
      <c r="J761" s="166"/>
      <c r="K761" s="166"/>
      <c r="L761" s="166"/>
      <c r="M761" s="166"/>
      <c r="N761" s="166"/>
      <c r="O761" s="63"/>
      <c r="P761" s="196"/>
      <c r="Q761" s="37"/>
      <c r="R761" s="93"/>
      <c r="S761" s="13">
        <f ca="1">IF(ISBLANK(Table2[[#This Row],[Complete corrective actions (Approved Date)]]), TODAY()-Table2[[#This Row],[CAR initialized date]], "CLOSED")</f>
        <v>46077</v>
      </c>
    </row>
    <row r="762" spans="1:19" ht="36" customHeight="1" x14ac:dyDescent="0.25">
      <c r="A762" s="9"/>
      <c r="B762" s="13" t="e">
        <f>VLOOKUP(Table2[[#This Row],[Location 
(drop-down)]],'List source'!D$2:E$71,2,FALSE)</f>
        <v>#N/A</v>
      </c>
      <c r="C762" s="11" t="s">
        <v>1588</v>
      </c>
      <c r="D762" s="212" t="e">
        <f t="shared" si="12"/>
        <v>#N/A</v>
      </c>
      <c r="E762" s="224"/>
      <c r="F762" s="224"/>
      <c r="G762" s="9"/>
      <c r="H762" s="10"/>
      <c r="I762" s="20"/>
      <c r="J762" s="166"/>
      <c r="K762" s="166"/>
      <c r="L762" s="166"/>
      <c r="M762" s="166"/>
      <c r="N762" s="166"/>
      <c r="O762" s="63"/>
      <c r="P762" s="196"/>
      <c r="Q762" s="37"/>
      <c r="R762" s="93"/>
      <c r="S762" s="13">
        <f ca="1">IF(ISBLANK(Table2[[#This Row],[Complete corrective actions (Approved Date)]]), TODAY()-Table2[[#This Row],[CAR initialized date]], "CLOSED")</f>
        <v>46077</v>
      </c>
    </row>
    <row r="763" spans="1:19" ht="36" customHeight="1" x14ac:dyDescent="0.25">
      <c r="A763" s="9"/>
      <c r="B763" s="13" t="e">
        <f>VLOOKUP(Table2[[#This Row],[Location 
(drop-down)]],'List source'!D$2:E$71,2,FALSE)</f>
        <v>#N/A</v>
      </c>
      <c r="C763" s="11" t="s">
        <v>1589</v>
      </c>
      <c r="D763" s="212" t="e">
        <f t="shared" si="12"/>
        <v>#N/A</v>
      </c>
      <c r="E763" s="224"/>
      <c r="F763" s="224"/>
      <c r="G763" s="9"/>
      <c r="H763" s="10"/>
      <c r="I763" s="20"/>
      <c r="J763" s="166"/>
      <c r="K763" s="166"/>
      <c r="L763" s="166"/>
      <c r="M763" s="166"/>
      <c r="N763" s="166"/>
      <c r="O763" s="63"/>
      <c r="P763" s="196"/>
      <c r="Q763" s="37"/>
      <c r="R763" s="93"/>
      <c r="S763" s="13">
        <f ca="1">IF(ISBLANK(Table2[[#This Row],[Complete corrective actions (Approved Date)]]), TODAY()-Table2[[#This Row],[CAR initialized date]], "CLOSED")</f>
        <v>46077</v>
      </c>
    </row>
    <row r="764" spans="1:19" ht="36" customHeight="1" x14ac:dyDescent="0.25">
      <c r="A764" s="9"/>
      <c r="B764" s="13" t="e">
        <f>VLOOKUP(Table2[[#This Row],[Location 
(drop-down)]],'List source'!D$2:E$71,2,FALSE)</f>
        <v>#N/A</v>
      </c>
      <c r="C764" s="11" t="s">
        <v>1590</v>
      </c>
      <c r="D764" s="212" t="e">
        <f t="shared" si="12"/>
        <v>#N/A</v>
      </c>
      <c r="E764" s="224"/>
      <c r="F764" s="224"/>
      <c r="G764" s="9"/>
      <c r="H764" s="10"/>
      <c r="I764" s="20"/>
      <c r="J764" s="166"/>
      <c r="K764" s="166"/>
      <c r="L764" s="166"/>
      <c r="M764" s="166"/>
      <c r="N764" s="166"/>
      <c r="O764" s="63"/>
      <c r="P764" s="196"/>
      <c r="Q764" s="37"/>
      <c r="R764" s="93"/>
      <c r="S764" s="13">
        <f ca="1">IF(ISBLANK(Table2[[#This Row],[Complete corrective actions (Approved Date)]]), TODAY()-Table2[[#This Row],[CAR initialized date]], "CLOSED")</f>
        <v>46077</v>
      </c>
    </row>
    <row r="765" spans="1:19" ht="36" customHeight="1" x14ac:dyDescent="0.25">
      <c r="A765" s="9"/>
      <c r="B765" s="13" t="e">
        <f>VLOOKUP(Table2[[#This Row],[Location 
(drop-down)]],'List source'!D$2:E$71,2,FALSE)</f>
        <v>#N/A</v>
      </c>
      <c r="C765" s="11" t="s">
        <v>1591</v>
      </c>
      <c r="D765" s="212" t="e">
        <f t="shared" si="12"/>
        <v>#N/A</v>
      </c>
      <c r="E765" s="224"/>
      <c r="F765" s="224"/>
      <c r="G765" s="9"/>
      <c r="H765" s="10"/>
      <c r="I765" s="20"/>
      <c r="J765" s="166"/>
      <c r="K765" s="166"/>
      <c r="L765" s="166"/>
      <c r="M765" s="166"/>
      <c r="N765" s="166"/>
      <c r="O765" s="63"/>
      <c r="P765" s="196"/>
      <c r="Q765" s="37"/>
      <c r="R765" s="93"/>
      <c r="S765" s="13">
        <f ca="1">IF(ISBLANK(Table2[[#This Row],[Complete corrective actions (Approved Date)]]), TODAY()-Table2[[#This Row],[CAR initialized date]], "CLOSED")</f>
        <v>46077</v>
      </c>
    </row>
    <row r="766" spans="1:19" ht="36" customHeight="1" x14ac:dyDescent="0.25">
      <c r="A766" s="9"/>
      <c r="B766" s="13" t="e">
        <f>VLOOKUP(Table2[[#This Row],[Location 
(drop-down)]],'List source'!D$2:E$71,2,FALSE)</f>
        <v>#N/A</v>
      </c>
      <c r="C766" s="11" t="s">
        <v>1592</v>
      </c>
      <c r="D766" s="212" t="e">
        <f t="shared" si="12"/>
        <v>#N/A</v>
      </c>
      <c r="E766" s="224"/>
      <c r="F766" s="224"/>
      <c r="G766" s="9"/>
      <c r="H766" s="10"/>
      <c r="I766" s="20"/>
      <c r="J766" s="166"/>
      <c r="K766" s="166"/>
      <c r="L766" s="166"/>
      <c r="M766" s="166"/>
      <c r="N766" s="166"/>
      <c r="O766" s="63"/>
      <c r="P766" s="196"/>
      <c r="Q766" s="37"/>
      <c r="R766" s="93"/>
      <c r="S766" s="13">
        <f ca="1">IF(ISBLANK(Table2[[#This Row],[Complete corrective actions (Approved Date)]]), TODAY()-Table2[[#This Row],[CAR initialized date]], "CLOSED")</f>
        <v>46077</v>
      </c>
    </row>
    <row r="767" spans="1:19" ht="36" customHeight="1" x14ac:dyDescent="0.25">
      <c r="A767" s="9"/>
      <c r="B767" s="13" t="e">
        <f>VLOOKUP(Table2[[#This Row],[Location 
(drop-down)]],'List source'!D$2:E$71,2,FALSE)</f>
        <v>#N/A</v>
      </c>
      <c r="C767" s="11" t="s">
        <v>1593</v>
      </c>
      <c r="D767" s="212" t="e">
        <f t="shared" si="12"/>
        <v>#N/A</v>
      </c>
      <c r="E767" s="224"/>
      <c r="F767" s="224"/>
      <c r="G767" s="9"/>
      <c r="H767" s="10"/>
      <c r="I767" s="20"/>
      <c r="J767" s="166"/>
      <c r="K767" s="166"/>
      <c r="L767" s="166"/>
      <c r="M767" s="166"/>
      <c r="N767" s="166"/>
      <c r="O767" s="63"/>
      <c r="P767" s="196"/>
      <c r="Q767" s="37"/>
      <c r="R767" s="93"/>
      <c r="S767" s="13">
        <f ca="1">IF(ISBLANK(Table2[[#This Row],[Complete corrective actions (Approved Date)]]), TODAY()-Table2[[#This Row],[CAR initialized date]], "CLOSED")</f>
        <v>46077</v>
      </c>
    </row>
    <row r="768" spans="1:19" ht="36" customHeight="1" x14ac:dyDescent="0.25">
      <c r="A768" s="9"/>
      <c r="B768" s="13" t="e">
        <f>VLOOKUP(Table2[[#This Row],[Location 
(drop-down)]],'List source'!D$2:E$71,2,FALSE)</f>
        <v>#N/A</v>
      </c>
      <c r="C768" s="11" t="s">
        <v>1594</v>
      </c>
      <c r="D768" s="212" t="e">
        <f t="shared" si="12"/>
        <v>#N/A</v>
      </c>
      <c r="E768" s="224"/>
      <c r="F768" s="224"/>
      <c r="G768" s="9"/>
      <c r="H768" s="10"/>
      <c r="I768" s="20"/>
      <c r="J768" s="166"/>
      <c r="K768" s="166"/>
      <c r="L768" s="166"/>
      <c r="M768" s="166"/>
      <c r="N768" s="166"/>
      <c r="O768" s="63"/>
      <c r="P768" s="196"/>
      <c r="Q768" s="37"/>
      <c r="R768" s="93"/>
      <c r="S768" s="13">
        <f ca="1">IF(ISBLANK(Table2[[#This Row],[Complete corrective actions (Approved Date)]]), TODAY()-Table2[[#This Row],[CAR initialized date]], "CLOSED")</f>
        <v>46077</v>
      </c>
    </row>
    <row r="769" spans="1:19" ht="36" customHeight="1" x14ac:dyDescent="0.25">
      <c r="A769" s="9"/>
      <c r="B769" s="13" t="e">
        <f>VLOOKUP(Table2[[#This Row],[Location 
(drop-down)]],'List source'!D$2:E$71,2,FALSE)</f>
        <v>#N/A</v>
      </c>
      <c r="C769" s="11" t="s">
        <v>1595</v>
      </c>
      <c r="D769" s="212" t="e">
        <f t="shared" ref="D769:D832" si="13">"C" &amp; C769 &amp;"-" &amp; B769 &amp; "-" &amp; "25"</f>
        <v>#N/A</v>
      </c>
      <c r="E769" s="224"/>
      <c r="F769" s="224"/>
      <c r="G769" s="9"/>
      <c r="H769" s="10"/>
      <c r="I769" s="20"/>
      <c r="J769" s="166"/>
      <c r="K769" s="166"/>
      <c r="L769" s="166"/>
      <c r="M769" s="166"/>
      <c r="N769" s="166"/>
      <c r="O769" s="63"/>
      <c r="P769" s="196"/>
      <c r="Q769" s="37"/>
      <c r="R769" s="93"/>
      <c r="S769" s="13">
        <f ca="1">IF(ISBLANK(Table2[[#This Row],[Complete corrective actions (Approved Date)]]), TODAY()-Table2[[#This Row],[CAR initialized date]], "CLOSED")</f>
        <v>46077</v>
      </c>
    </row>
    <row r="770" spans="1:19" ht="36" customHeight="1" x14ac:dyDescent="0.25">
      <c r="A770" s="9"/>
      <c r="B770" s="13" t="e">
        <f>VLOOKUP(Table2[[#This Row],[Location 
(drop-down)]],'List source'!D$2:E$71,2,FALSE)</f>
        <v>#N/A</v>
      </c>
      <c r="C770" s="11" t="s">
        <v>1596</v>
      </c>
      <c r="D770" s="212" t="e">
        <f t="shared" si="13"/>
        <v>#N/A</v>
      </c>
      <c r="E770" s="224"/>
      <c r="F770" s="224"/>
      <c r="G770" s="9"/>
      <c r="H770" s="10"/>
      <c r="I770" s="20"/>
      <c r="J770" s="166"/>
      <c r="K770" s="166"/>
      <c r="L770" s="166"/>
      <c r="M770" s="166"/>
      <c r="N770" s="166"/>
      <c r="O770" s="63"/>
      <c r="P770" s="196"/>
      <c r="Q770" s="37"/>
      <c r="R770" s="93"/>
      <c r="S770" s="13">
        <f ca="1">IF(ISBLANK(Table2[[#This Row],[Complete corrective actions (Approved Date)]]), TODAY()-Table2[[#This Row],[CAR initialized date]], "CLOSED")</f>
        <v>46077</v>
      </c>
    </row>
    <row r="771" spans="1:19" ht="36" customHeight="1" x14ac:dyDescent="0.25">
      <c r="A771" s="9"/>
      <c r="B771" s="13" t="e">
        <f>VLOOKUP(Table2[[#This Row],[Location 
(drop-down)]],'List source'!D$2:E$71,2,FALSE)</f>
        <v>#N/A</v>
      </c>
      <c r="C771" s="11" t="s">
        <v>1597</v>
      </c>
      <c r="D771" s="212" t="e">
        <f t="shared" si="13"/>
        <v>#N/A</v>
      </c>
      <c r="E771" s="224"/>
      <c r="F771" s="224"/>
      <c r="G771" s="9"/>
      <c r="H771" s="10"/>
      <c r="I771" s="20"/>
      <c r="J771" s="166"/>
      <c r="K771" s="166"/>
      <c r="L771" s="166"/>
      <c r="M771" s="166"/>
      <c r="N771" s="166"/>
      <c r="O771" s="63"/>
      <c r="P771" s="196"/>
      <c r="Q771" s="37"/>
      <c r="R771" s="93"/>
      <c r="S771" s="13">
        <f ca="1">IF(ISBLANK(Table2[[#This Row],[Complete corrective actions (Approved Date)]]), TODAY()-Table2[[#This Row],[CAR initialized date]], "CLOSED")</f>
        <v>46077</v>
      </c>
    </row>
    <row r="772" spans="1:19" ht="36" customHeight="1" x14ac:dyDescent="0.25">
      <c r="A772" s="9"/>
      <c r="B772" s="13" t="e">
        <f>VLOOKUP(Table2[[#This Row],[Location 
(drop-down)]],'List source'!D$2:E$71,2,FALSE)</f>
        <v>#N/A</v>
      </c>
      <c r="C772" s="11" t="s">
        <v>1598</v>
      </c>
      <c r="D772" s="212" t="e">
        <f t="shared" si="13"/>
        <v>#N/A</v>
      </c>
      <c r="E772" s="224"/>
      <c r="F772" s="224"/>
      <c r="G772" s="9"/>
      <c r="H772" s="10"/>
      <c r="I772" s="20"/>
      <c r="J772" s="166"/>
      <c r="K772" s="166"/>
      <c r="L772" s="166"/>
      <c r="M772" s="166"/>
      <c r="N772" s="166"/>
      <c r="O772" s="63"/>
      <c r="P772" s="196"/>
      <c r="Q772" s="37"/>
      <c r="R772" s="93"/>
      <c r="S772" s="13">
        <f ca="1">IF(ISBLANK(Table2[[#This Row],[Complete corrective actions (Approved Date)]]), TODAY()-Table2[[#This Row],[CAR initialized date]], "CLOSED")</f>
        <v>46077</v>
      </c>
    </row>
    <row r="773" spans="1:19" ht="36" customHeight="1" x14ac:dyDescent="0.25">
      <c r="A773" s="9"/>
      <c r="B773" s="13" t="e">
        <f>VLOOKUP(Table2[[#This Row],[Location 
(drop-down)]],'List source'!D$2:E$71,2,FALSE)</f>
        <v>#N/A</v>
      </c>
      <c r="C773" s="11" t="s">
        <v>1599</v>
      </c>
      <c r="D773" s="212" t="e">
        <f t="shared" si="13"/>
        <v>#N/A</v>
      </c>
      <c r="E773" s="224"/>
      <c r="F773" s="224"/>
      <c r="G773" s="9"/>
      <c r="H773" s="10"/>
      <c r="I773" s="20"/>
      <c r="J773" s="166"/>
      <c r="K773" s="166"/>
      <c r="L773" s="166"/>
      <c r="M773" s="166"/>
      <c r="N773" s="166"/>
      <c r="O773" s="63"/>
      <c r="P773" s="196"/>
      <c r="Q773" s="37"/>
      <c r="R773" s="93"/>
      <c r="S773" s="13">
        <f ca="1">IF(ISBLANK(Table2[[#This Row],[Complete corrective actions (Approved Date)]]), TODAY()-Table2[[#This Row],[CAR initialized date]], "CLOSED")</f>
        <v>46077</v>
      </c>
    </row>
    <row r="774" spans="1:19" ht="36" customHeight="1" x14ac:dyDescent="0.25">
      <c r="A774" s="9"/>
      <c r="B774" s="13" t="e">
        <f>VLOOKUP(Table2[[#This Row],[Location 
(drop-down)]],'List source'!D$2:E$71,2,FALSE)</f>
        <v>#N/A</v>
      </c>
      <c r="C774" s="11" t="s">
        <v>1600</v>
      </c>
      <c r="D774" s="212" t="e">
        <f t="shared" si="13"/>
        <v>#N/A</v>
      </c>
      <c r="E774" s="224"/>
      <c r="F774" s="224"/>
      <c r="G774" s="9"/>
      <c r="H774" s="10"/>
      <c r="I774" s="20"/>
      <c r="J774" s="166"/>
      <c r="K774" s="166"/>
      <c r="L774" s="166"/>
      <c r="M774" s="166"/>
      <c r="N774" s="166"/>
      <c r="O774" s="63"/>
      <c r="P774" s="196"/>
      <c r="Q774" s="37"/>
      <c r="R774" s="93"/>
      <c r="S774" s="13">
        <f ca="1">IF(ISBLANK(Table2[[#This Row],[Complete corrective actions (Approved Date)]]), TODAY()-Table2[[#This Row],[CAR initialized date]], "CLOSED")</f>
        <v>46077</v>
      </c>
    </row>
    <row r="775" spans="1:19" ht="36" customHeight="1" x14ac:dyDescent="0.25">
      <c r="A775" s="9"/>
      <c r="B775" s="13" t="e">
        <f>VLOOKUP(Table2[[#This Row],[Location 
(drop-down)]],'List source'!D$2:E$71,2,FALSE)</f>
        <v>#N/A</v>
      </c>
      <c r="C775" s="11" t="s">
        <v>1601</v>
      </c>
      <c r="D775" s="212" t="e">
        <f t="shared" si="13"/>
        <v>#N/A</v>
      </c>
      <c r="E775" s="224"/>
      <c r="F775" s="224"/>
      <c r="G775" s="9"/>
      <c r="H775" s="10"/>
      <c r="I775" s="20"/>
      <c r="J775" s="166"/>
      <c r="K775" s="166"/>
      <c r="L775" s="166"/>
      <c r="M775" s="166"/>
      <c r="N775" s="166"/>
      <c r="O775" s="63"/>
      <c r="P775" s="196"/>
      <c r="Q775" s="37"/>
      <c r="R775" s="93"/>
      <c r="S775" s="13">
        <f ca="1">IF(ISBLANK(Table2[[#This Row],[Complete corrective actions (Approved Date)]]), TODAY()-Table2[[#This Row],[CAR initialized date]], "CLOSED")</f>
        <v>46077</v>
      </c>
    </row>
    <row r="776" spans="1:19" ht="36" customHeight="1" x14ac:dyDescent="0.25">
      <c r="A776" s="9"/>
      <c r="B776" s="13" t="e">
        <f>VLOOKUP(Table2[[#This Row],[Location 
(drop-down)]],'List source'!D$2:E$71,2,FALSE)</f>
        <v>#N/A</v>
      </c>
      <c r="C776" s="11" t="s">
        <v>1602</v>
      </c>
      <c r="D776" s="212" t="e">
        <f t="shared" si="13"/>
        <v>#N/A</v>
      </c>
      <c r="E776" s="224"/>
      <c r="F776" s="224"/>
      <c r="G776" s="9"/>
      <c r="H776" s="10"/>
      <c r="I776" s="20"/>
      <c r="J776" s="166"/>
      <c r="K776" s="166"/>
      <c r="L776" s="166"/>
      <c r="M776" s="166"/>
      <c r="N776" s="166"/>
      <c r="O776" s="63"/>
      <c r="P776" s="196"/>
      <c r="Q776" s="37"/>
      <c r="R776" s="93"/>
      <c r="S776" s="13">
        <f ca="1">IF(ISBLANK(Table2[[#This Row],[Complete corrective actions (Approved Date)]]), TODAY()-Table2[[#This Row],[CAR initialized date]], "CLOSED")</f>
        <v>46077</v>
      </c>
    </row>
    <row r="777" spans="1:19" ht="36" customHeight="1" x14ac:dyDescent="0.25">
      <c r="A777" s="9"/>
      <c r="B777" s="13" t="e">
        <f>VLOOKUP(Table2[[#This Row],[Location 
(drop-down)]],'List source'!D$2:E$71,2,FALSE)</f>
        <v>#N/A</v>
      </c>
      <c r="C777" s="11" t="s">
        <v>1603</v>
      </c>
      <c r="D777" s="212" t="e">
        <f t="shared" si="13"/>
        <v>#N/A</v>
      </c>
      <c r="E777" s="224"/>
      <c r="F777" s="224"/>
      <c r="G777" s="9"/>
      <c r="H777" s="10"/>
      <c r="I777" s="20"/>
      <c r="J777" s="166"/>
      <c r="K777" s="166"/>
      <c r="L777" s="166"/>
      <c r="M777" s="166"/>
      <c r="N777" s="166"/>
      <c r="O777" s="63"/>
      <c r="P777" s="196"/>
      <c r="Q777" s="37"/>
      <c r="R777" s="93"/>
      <c r="S777" s="13">
        <f ca="1">IF(ISBLANK(Table2[[#This Row],[Complete corrective actions (Approved Date)]]), TODAY()-Table2[[#This Row],[CAR initialized date]], "CLOSED")</f>
        <v>46077</v>
      </c>
    </row>
    <row r="778" spans="1:19" ht="36" customHeight="1" x14ac:dyDescent="0.25">
      <c r="A778" s="9"/>
      <c r="B778" s="13" t="e">
        <f>VLOOKUP(Table2[[#This Row],[Location 
(drop-down)]],'List source'!D$2:E$71,2,FALSE)</f>
        <v>#N/A</v>
      </c>
      <c r="C778" s="11" t="s">
        <v>1604</v>
      </c>
      <c r="D778" s="212" t="e">
        <f t="shared" si="13"/>
        <v>#N/A</v>
      </c>
      <c r="E778" s="224"/>
      <c r="F778" s="224"/>
      <c r="G778" s="9"/>
      <c r="H778" s="10"/>
      <c r="I778" s="20"/>
      <c r="J778" s="166"/>
      <c r="K778" s="166"/>
      <c r="L778" s="166"/>
      <c r="M778" s="166"/>
      <c r="N778" s="166"/>
      <c r="O778" s="63"/>
      <c r="P778" s="196"/>
      <c r="Q778" s="37"/>
      <c r="R778" s="93"/>
      <c r="S778" s="13">
        <f ca="1">IF(ISBLANK(Table2[[#This Row],[Complete corrective actions (Approved Date)]]), TODAY()-Table2[[#This Row],[CAR initialized date]], "CLOSED")</f>
        <v>46077</v>
      </c>
    </row>
    <row r="779" spans="1:19" ht="36" customHeight="1" x14ac:dyDescent="0.25">
      <c r="A779" s="9"/>
      <c r="B779" s="13" t="e">
        <f>VLOOKUP(Table2[[#This Row],[Location 
(drop-down)]],'List source'!D$2:E$71,2,FALSE)</f>
        <v>#N/A</v>
      </c>
      <c r="C779" s="11" t="s">
        <v>1605</v>
      </c>
      <c r="D779" s="212" t="e">
        <f t="shared" si="13"/>
        <v>#N/A</v>
      </c>
      <c r="E779" s="224"/>
      <c r="F779" s="224"/>
      <c r="G779" s="9"/>
      <c r="H779" s="10"/>
      <c r="I779" s="20"/>
      <c r="J779" s="166"/>
      <c r="K779" s="166"/>
      <c r="L779" s="166"/>
      <c r="M779" s="166"/>
      <c r="N779" s="166"/>
      <c r="O779" s="63"/>
      <c r="P779" s="196"/>
      <c r="Q779" s="37"/>
      <c r="R779" s="93"/>
      <c r="S779" s="13">
        <f ca="1">IF(ISBLANK(Table2[[#This Row],[Complete corrective actions (Approved Date)]]), TODAY()-Table2[[#This Row],[CAR initialized date]], "CLOSED")</f>
        <v>46077</v>
      </c>
    </row>
    <row r="780" spans="1:19" ht="36" customHeight="1" x14ac:dyDescent="0.25">
      <c r="A780" s="9"/>
      <c r="B780" s="13" t="e">
        <f>VLOOKUP(Table2[[#This Row],[Location 
(drop-down)]],'List source'!D$2:E$71,2,FALSE)</f>
        <v>#N/A</v>
      </c>
      <c r="C780" s="11" t="s">
        <v>1606</v>
      </c>
      <c r="D780" s="212" t="e">
        <f t="shared" si="13"/>
        <v>#N/A</v>
      </c>
      <c r="E780" s="224"/>
      <c r="F780" s="224"/>
      <c r="G780" s="9"/>
      <c r="H780" s="10"/>
      <c r="I780" s="20"/>
      <c r="J780" s="166"/>
      <c r="K780" s="166"/>
      <c r="L780" s="166"/>
      <c r="M780" s="166"/>
      <c r="N780" s="166"/>
      <c r="O780" s="63"/>
      <c r="P780" s="196"/>
      <c r="Q780" s="37"/>
      <c r="R780" s="93"/>
      <c r="S780" s="13">
        <f ca="1">IF(ISBLANK(Table2[[#This Row],[Complete corrective actions (Approved Date)]]), TODAY()-Table2[[#This Row],[CAR initialized date]], "CLOSED")</f>
        <v>46077</v>
      </c>
    </row>
    <row r="781" spans="1:19" ht="36" customHeight="1" x14ac:dyDescent="0.25">
      <c r="A781" s="9"/>
      <c r="B781" s="13" t="e">
        <f>VLOOKUP(Table2[[#This Row],[Location 
(drop-down)]],'List source'!D$2:E$71,2,FALSE)</f>
        <v>#N/A</v>
      </c>
      <c r="C781" s="11" t="s">
        <v>1607</v>
      </c>
      <c r="D781" s="212" t="e">
        <f t="shared" si="13"/>
        <v>#N/A</v>
      </c>
      <c r="E781" s="224"/>
      <c r="F781" s="224"/>
      <c r="G781" s="9"/>
      <c r="H781" s="10"/>
      <c r="I781" s="20"/>
      <c r="J781" s="166"/>
      <c r="K781" s="166"/>
      <c r="L781" s="166"/>
      <c r="M781" s="166"/>
      <c r="N781" s="166"/>
      <c r="O781" s="63"/>
      <c r="P781" s="196"/>
      <c r="Q781" s="37"/>
      <c r="R781" s="93"/>
      <c r="S781" s="13">
        <f ca="1">IF(ISBLANK(Table2[[#This Row],[Complete corrective actions (Approved Date)]]), TODAY()-Table2[[#This Row],[CAR initialized date]], "CLOSED")</f>
        <v>46077</v>
      </c>
    </row>
    <row r="782" spans="1:19" ht="36" customHeight="1" x14ac:dyDescent="0.25">
      <c r="A782" s="9"/>
      <c r="B782" s="13" t="e">
        <f>VLOOKUP(Table2[[#This Row],[Location 
(drop-down)]],'List source'!D$2:E$71,2,FALSE)</f>
        <v>#N/A</v>
      </c>
      <c r="C782" s="11" t="s">
        <v>1608</v>
      </c>
      <c r="D782" s="212" t="e">
        <f t="shared" si="13"/>
        <v>#N/A</v>
      </c>
      <c r="E782" s="224"/>
      <c r="F782" s="224"/>
      <c r="G782" s="9"/>
      <c r="H782" s="10"/>
      <c r="I782" s="20"/>
      <c r="J782" s="166"/>
      <c r="K782" s="166"/>
      <c r="L782" s="166"/>
      <c r="M782" s="166"/>
      <c r="N782" s="166"/>
      <c r="O782" s="63"/>
      <c r="P782" s="196"/>
      <c r="Q782" s="37"/>
      <c r="R782" s="93"/>
      <c r="S782" s="13">
        <f ca="1">IF(ISBLANK(Table2[[#This Row],[Complete corrective actions (Approved Date)]]), TODAY()-Table2[[#This Row],[CAR initialized date]], "CLOSED")</f>
        <v>46077</v>
      </c>
    </row>
    <row r="783" spans="1:19" ht="36" customHeight="1" x14ac:dyDescent="0.25">
      <c r="A783" s="9"/>
      <c r="B783" s="13" t="e">
        <f>VLOOKUP(Table2[[#This Row],[Location 
(drop-down)]],'List source'!D$2:E$71,2,FALSE)</f>
        <v>#N/A</v>
      </c>
      <c r="C783" s="11" t="s">
        <v>1609</v>
      </c>
      <c r="D783" s="212" t="e">
        <f t="shared" si="13"/>
        <v>#N/A</v>
      </c>
      <c r="E783" s="224"/>
      <c r="F783" s="224"/>
      <c r="G783" s="9"/>
      <c r="H783" s="10"/>
      <c r="I783" s="20"/>
      <c r="J783" s="166"/>
      <c r="K783" s="166"/>
      <c r="L783" s="166"/>
      <c r="M783" s="166"/>
      <c r="N783" s="166"/>
      <c r="O783" s="63"/>
      <c r="P783" s="196"/>
      <c r="Q783" s="37"/>
      <c r="R783" s="93"/>
      <c r="S783" s="13">
        <f ca="1">IF(ISBLANK(Table2[[#This Row],[Complete corrective actions (Approved Date)]]), TODAY()-Table2[[#This Row],[CAR initialized date]], "CLOSED")</f>
        <v>46077</v>
      </c>
    </row>
    <row r="784" spans="1:19" ht="36" customHeight="1" x14ac:dyDescent="0.25">
      <c r="A784" s="9"/>
      <c r="B784" s="13" t="e">
        <f>VLOOKUP(Table2[[#This Row],[Location 
(drop-down)]],'List source'!D$2:E$71,2,FALSE)</f>
        <v>#N/A</v>
      </c>
      <c r="C784" s="11" t="s">
        <v>1610</v>
      </c>
      <c r="D784" s="212" t="e">
        <f t="shared" si="13"/>
        <v>#N/A</v>
      </c>
      <c r="E784" s="224"/>
      <c r="F784" s="224"/>
      <c r="G784" s="9"/>
      <c r="H784" s="10"/>
      <c r="I784" s="20"/>
      <c r="J784" s="166"/>
      <c r="K784" s="166"/>
      <c r="L784" s="166"/>
      <c r="M784" s="166"/>
      <c r="N784" s="166"/>
      <c r="O784" s="63"/>
      <c r="P784" s="196"/>
      <c r="Q784" s="37"/>
      <c r="R784" s="93"/>
      <c r="S784" s="13">
        <f ca="1">IF(ISBLANK(Table2[[#This Row],[Complete corrective actions (Approved Date)]]), TODAY()-Table2[[#This Row],[CAR initialized date]], "CLOSED")</f>
        <v>46077</v>
      </c>
    </row>
    <row r="785" spans="1:19" ht="36" customHeight="1" x14ac:dyDescent="0.25">
      <c r="A785" s="9"/>
      <c r="B785" s="13" t="e">
        <f>VLOOKUP(Table2[[#This Row],[Location 
(drop-down)]],'List source'!D$2:E$71,2,FALSE)</f>
        <v>#N/A</v>
      </c>
      <c r="C785" s="11" t="s">
        <v>1611</v>
      </c>
      <c r="D785" s="212" t="e">
        <f t="shared" si="13"/>
        <v>#N/A</v>
      </c>
      <c r="E785" s="224"/>
      <c r="F785" s="224"/>
      <c r="G785" s="9"/>
      <c r="H785" s="10"/>
      <c r="I785" s="20"/>
      <c r="J785" s="166"/>
      <c r="K785" s="166"/>
      <c r="L785" s="166"/>
      <c r="M785" s="166"/>
      <c r="N785" s="166"/>
      <c r="O785" s="63"/>
      <c r="P785" s="196"/>
      <c r="Q785" s="37"/>
      <c r="R785" s="93"/>
      <c r="S785" s="13">
        <f ca="1">IF(ISBLANK(Table2[[#This Row],[Complete corrective actions (Approved Date)]]), TODAY()-Table2[[#This Row],[CAR initialized date]], "CLOSED")</f>
        <v>46077</v>
      </c>
    </row>
    <row r="786" spans="1:19" ht="36" customHeight="1" x14ac:dyDescent="0.25">
      <c r="A786" s="9"/>
      <c r="B786" s="13" t="e">
        <f>VLOOKUP(Table2[[#This Row],[Location 
(drop-down)]],'List source'!D$2:E$71,2,FALSE)</f>
        <v>#N/A</v>
      </c>
      <c r="C786" s="11" t="s">
        <v>1612</v>
      </c>
      <c r="D786" s="212" t="e">
        <f t="shared" si="13"/>
        <v>#N/A</v>
      </c>
      <c r="E786" s="224"/>
      <c r="F786" s="224"/>
      <c r="G786" s="9"/>
      <c r="H786" s="10"/>
      <c r="I786" s="20"/>
      <c r="J786" s="166"/>
      <c r="K786" s="166"/>
      <c r="L786" s="166"/>
      <c r="M786" s="166"/>
      <c r="N786" s="166"/>
      <c r="O786" s="63"/>
      <c r="P786" s="196"/>
      <c r="Q786" s="37"/>
      <c r="R786" s="93"/>
      <c r="S786" s="13">
        <f ca="1">IF(ISBLANK(Table2[[#This Row],[Complete corrective actions (Approved Date)]]), TODAY()-Table2[[#This Row],[CAR initialized date]], "CLOSED")</f>
        <v>46077</v>
      </c>
    </row>
    <row r="787" spans="1:19" ht="36" customHeight="1" x14ac:dyDescent="0.25">
      <c r="A787" s="9"/>
      <c r="B787" s="13" t="e">
        <f>VLOOKUP(Table2[[#This Row],[Location 
(drop-down)]],'List source'!D$2:E$71,2,FALSE)</f>
        <v>#N/A</v>
      </c>
      <c r="C787" s="11" t="s">
        <v>1613</v>
      </c>
      <c r="D787" s="212" t="e">
        <f t="shared" si="13"/>
        <v>#N/A</v>
      </c>
      <c r="E787" s="224"/>
      <c r="F787" s="224"/>
      <c r="G787" s="9"/>
      <c r="H787" s="10"/>
      <c r="I787" s="20"/>
      <c r="J787" s="166"/>
      <c r="K787" s="166"/>
      <c r="L787" s="166"/>
      <c r="M787" s="166"/>
      <c r="N787" s="166"/>
      <c r="O787" s="63"/>
      <c r="P787" s="196"/>
      <c r="Q787" s="37"/>
      <c r="R787" s="93"/>
      <c r="S787" s="13">
        <f ca="1">IF(ISBLANK(Table2[[#This Row],[Complete corrective actions (Approved Date)]]), TODAY()-Table2[[#This Row],[CAR initialized date]], "CLOSED")</f>
        <v>46077</v>
      </c>
    </row>
    <row r="788" spans="1:19" ht="36" customHeight="1" x14ac:dyDescent="0.25">
      <c r="A788" s="9"/>
      <c r="B788" s="13" t="e">
        <f>VLOOKUP(Table2[[#This Row],[Location 
(drop-down)]],'List source'!D$2:E$71,2,FALSE)</f>
        <v>#N/A</v>
      </c>
      <c r="C788" s="11" t="s">
        <v>1614</v>
      </c>
      <c r="D788" s="212" t="e">
        <f t="shared" si="13"/>
        <v>#N/A</v>
      </c>
      <c r="E788" s="224"/>
      <c r="F788" s="224"/>
      <c r="G788" s="9"/>
      <c r="H788" s="10"/>
      <c r="I788" s="20"/>
      <c r="J788" s="166"/>
      <c r="K788" s="166"/>
      <c r="L788" s="166"/>
      <c r="M788" s="166"/>
      <c r="N788" s="166"/>
      <c r="O788" s="63"/>
      <c r="P788" s="196"/>
      <c r="Q788" s="37"/>
      <c r="R788" s="93"/>
      <c r="S788" s="13">
        <f ca="1">IF(ISBLANK(Table2[[#This Row],[Complete corrective actions (Approved Date)]]), TODAY()-Table2[[#This Row],[CAR initialized date]], "CLOSED")</f>
        <v>46077</v>
      </c>
    </row>
    <row r="789" spans="1:19" ht="36" customHeight="1" x14ac:dyDescent="0.25">
      <c r="A789" s="9"/>
      <c r="B789" s="13" t="e">
        <f>VLOOKUP(Table2[[#This Row],[Location 
(drop-down)]],'List source'!D$2:E$71,2,FALSE)</f>
        <v>#N/A</v>
      </c>
      <c r="C789" s="11" t="s">
        <v>1615</v>
      </c>
      <c r="D789" s="212" t="e">
        <f t="shared" si="13"/>
        <v>#N/A</v>
      </c>
      <c r="E789" s="224"/>
      <c r="F789" s="224"/>
      <c r="G789" s="9"/>
      <c r="H789" s="10"/>
      <c r="I789" s="20"/>
      <c r="J789" s="166"/>
      <c r="K789" s="166"/>
      <c r="L789" s="166"/>
      <c r="M789" s="166"/>
      <c r="N789" s="166"/>
      <c r="O789" s="63"/>
      <c r="P789" s="196"/>
      <c r="Q789" s="37"/>
      <c r="R789" s="93"/>
      <c r="S789" s="13">
        <f ca="1">IF(ISBLANK(Table2[[#This Row],[Complete corrective actions (Approved Date)]]), TODAY()-Table2[[#This Row],[CAR initialized date]], "CLOSED")</f>
        <v>46077</v>
      </c>
    </row>
    <row r="790" spans="1:19" ht="36" customHeight="1" x14ac:dyDescent="0.25">
      <c r="A790" s="9"/>
      <c r="B790" s="13" t="e">
        <f>VLOOKUP(Table2[[#This Row],[Location 
(drop-down)]],'List source'!D$2:E$71,2,FALSE)</f>
        <v>#N/A</v>
      </c>
      <c r="C790" s="11" t="s">
        <v>1616</v>
      </c>
      <c r="D790" s="212" t="e">
        <f t="shared" si="13"/>
        <v>#N/A</v>
      </c>
      <c r="E790" s="224"/>
      <c r="F790" s="224"/>
      <c r="G790" s="9"/>
      <c r="H790" s="10"/>
      <c r="I790" s="20"/>
      <c r="J790" s="166"/>
      <c r="K790" s="166"/>
      <c r="L790" s="166"/>
      <c r="M790" s="166"/>
      <c r="N790" s="166"/>
      <c r="O790" s="63"/>
      <c r="P790" s="196"/>
      <c r="Q790" s="37"/>
      <c r="R790" s="93"/>
      <c r="S790" s="13">
        <f ca="1">IF(ISBLANK(Table2[[#This Row],[Complete corrective actions (Approved Date)]]), TODAY()-Table2[[#This Row],[CAR initialized date]], "CLOSED")</f>
        <v>46077</v>
      </c>
    </row>
    <row r="791" spans="1:19" ht="36" customHeight="1" x14ac:dyDescent="0.25">
      <c r="A791" s="9"/>
      <c r="B791" s="13" t="e">
        <f>VLOOKUP(Table2[[#This Row],[Location 
(drop-down)]],'List source'!D$2:E$71,2,FALSE)</f>
        <v>#N/A</v>
      </c>
      <c r="C791" s="11" t="s">
        <v>1617</v>
      </c>
      <c r="D791" s="212" t="e">
        <f t="shared" si="13"/>
        <v>#N/A</v>
      </c>
      <c r="E791" s="224"/>
      <c r="F791" s="224"/>
      <c r="G791" s="9"/>
      <c r="H791" s="10"/>
      <c r="I791" s="20"/>
      <c r="J791" s="166"/>
      <c r="K791" s="166"/>
      <c r="L791" s="166"/>
      <c r="M791" s="166"/>
      <c r="N791" s="166"/>
      <c r="O791" s="63"/>
      <c r="P791" s="196"/>
      <c r="Q791" s="37"/>
      <c r="R791" s="93"/>
      <c r="S791" s="13">
        <f ca="1">IF(ISBLANK(Table2[[#This Row],[Complete corrective actions (Approved Date)]]), TODAY()-Table2[[#This Row],[CAR initialized date]], "CLOSED")</f>
        <v>46077</v>
      </c>
    </row>
    <row r="792" spans="1:19" ht="36" customHeight="1" x14ac:dyDescent="0.25">
      <c r="A792" s="9"/>
      <c r="B792" s="13" t="e">
        <f>VLOOKUP(Table2[[#This Row],[Location 
(drop-down)]],'List source'!D$2:E$71,2,FALSE)</f>
        <v>#N/A</v>
      </c>
      <c r="C792" s="11" t="s">
        <v>1618</v>
      </c>
      <c r="D792" s="212" t="e">
        <f t="shared" si="13"/>
        <v>#N/A</v>
      </c>
      <c r="E792" s="224"/>
      <c r="F792" s="224"/>
      <c r="G792" s="9"/>
      <c r="H792" s="10"/>
      <c r="I792" s="20"/>
      <c r="J792" s="166"/>
      <c r="K792" s="166"/>
      <c r="L792" s="166"/>
      <c r="M792" s="166"/>
      <c r="N792" s="166"/>
      <c r="O792" s="63"/>
      <c r="P792" s="196"/>
      <c r="Q792" s="37"/>
      <c r="R792" s="93"/>
      <c r="S792" s="13">
        <f ca="1">IF(ISBLANK(Table2[[#This Row],[Complete corrective actions (Approved Date)]]), TODAY()-Table2[[#This Row],[CAR initialized date]], "CLOSED")</f>
        <v>46077</v>
      </c>
    </row>
    <row r="793" spans="1:19" ht="36" customHeight="1" x14ac:dyDescent="0.25">
      <c r="A793" s="9"/>
      <c r="B793" s="13" t="e">
        <f>VLOOKUP(Table2[[#This Row],[Location 
(drop-down)]],'List source'!D$2:E$71,2,FALSE)</f>
        <v>#N/A</v>
      </c>
      <c r="C793" s="11" t="s">
        <v>1619</v>
      </c>
      <c r="D793" s="212" t="e">
        <f t="shared" si="13"/>
        <v>#N/A</v>
      </c>
      <c r="E793" s="224"/>
      <c r="F793" s="224"/>
      <c r="G793" s="9"/>
      <c r="H793" s="10"/>
      <c r="I793" s="20"/>
      <c r="J793" s="166"/>
      <c r="K793" s="166"/>
      <c r="L793" s="166"/>
      <c r="M793" s="166"/>
      <c r="N793" s="166"/>
      <c r="O793" s="63"/>
      <c r="P793" s="196"/>
      <c r="Q793" s="37"/>
      <c r="R793" s="93"/>
      <c r="S793" s="13">
        <f ca="1">IF(ISBLANK(Table2[[#This Row],[Complete corrective actions (Approved Date)]]), TODAY()-Table2[[#This Row],[CAR initialized date]], "CLOSED")</f>
        <v>46077</v>
      </c>
    </row>
    <row r="794" spans="1:19" ht="36" customHeight="1" x14ac:dyDescent="0.25">
      <c r="A794" s="9"/>
      <c r="B794" s="13" t="e">
        <f>VLOOKUP(Table2[[#This Row],[Location 
(drop-down)]],'List source'!D$2:E$71,2,FALSE)</f>
        <v>#N/A</v>
      </c>
      <c r="C794" s="11" t="s">
        <v>1620</v>
      </c>
      <c r="D794" s="212" t="e">
        <f t="shared" si="13"/>
        <v>#N/A</v>
      </c>
      <c r="E794" s="224"/>
      <c r="F794" s="224"/>
      <c r="G794" s="9"/>
      <c r="H794" s="10"/>
      <c r="I794" s="20"/>
      <c r="J794" s="166"/>
      <c r="K794" s="166"/>
      <c r="L794" s="166"/>
      <c r="M794" s="166"/>
      <c r="N794" s="166"/>
      <c r="O794" s="63"/>
      <c r="P794" s="196"/>
      <c r="Q794" s="37"/>
      <c r="R794" s="93"/>
      <c r="S794" s="13">
        <f ca="1">IF(ISBLANK(Table2[[#This Row],[Complete corrective actions (Approved Date)]]), TODAY()-Table2[[#This Row],[CAR initialized date]], "CLOSED")</f>
        <v>46077</v>
      </c>
    </row>
    <row r="795" spans="1:19" ht="36" customHeight="1" x14ac:dyDescent="0.25">
      <c r="A795" s="9"/>
      <c r="B795" s="13" t="e">
        <f>VLOOKUP(Table2[[#This Row],[Location 
(drop-down)]],'List source'!D$2:E$71,2,FALSE)</f>
        <v>#N/A</v>
      </c>
      <c r="C795" s="11" t="s">
        <v>1621</v>
      </c>
      <c r="D795" s="212" t="e">
        <f t="shared" si="13"/>
        <v>#N/A</v>
      </c>
      <c r="E795" s="224"/>
      <c r="F795" s="224"/>
      <c r="G795" s="9"/>
      <c r="H795" s="10"/>
      <c r="I795" s="20"/>
      <c r="J795" s="166"/>
      <c r="K795" s="166"/>
      <c r="L795" s="166"/>
      <c r="M795" s="166"/>
      <c r="N795" s="166"/>
      <c r="O795" s="63"/>
      <c r="P795" s="196"/>
      <c r="Q795" s="37"/>
      <c r="R795" s="93"/>
      <c r="S795" s="13">
        <f ca="1">IF(ISBLANK(Table2[[#This Row],[Complete corrective actions (Approved Date)]]), TODAY()-Table2[[#This Row],[CAR initialized date]], "CLOSED")</f>
        <v>46077</v>
      </c>
    </row>
    <row r="796" spans="1:19" ht="36" customHeight="1" x14ac:dyDescent="0.25">
      <c r="A796" s="9"/>
      <c r="B796" s="13" t="e">
        <f>VLOOKUP(Table2[[#This Row],[Location 
(drop-down)]],'List source'!D$2:E$71,2,FALSE)</f>
        <v>#N/A</v>
      </c>
      <c r="C796" s="11" t="s">
        <v>1622</v>
      </c>
      <c r="D796" s="212" t="e">
        <f t="shared" si="13"/>
        <v>#N/A</v>
      </c>
      <c r="E796" s="224"/>
      <c r="F796" s="224"/>
      <c r="G796" s="9"/>
      <c r="H796" s="10"/>
      <c r="I796" s="20"/>
      <c r="J796" s="166"/>
      <c r="K796" s="166"/>
      <c r="L796" s="166"/>
      <c r="M796" s="166"/>
      <c r="N796" s="166"/>
      <c r="O796" s="63"/>
      <c r="P796" s="196"/>
      <c r="Q796" s="37"/>
      <c r="R796" s="93"/>
      <c r="S796" s="13">
        <f ca="1">IF(ISBLANK(Table2[[#This Row],[Complete corrective actions (Approved Date)]]), TODAY()-Table2[[#This Row],[CAR initialized date]], "CLOSED")</f>
        <v>46077</v>
      </c>
    </row>
    <row r="797" spans="1:19" ht="36" customHeight="1" x14ac:dyDescent="0.25">
      <c r="A797" s="9"/>
      <c r="B797" s="13" t="e">
        <f>VLOOKUP(Table2[[#This Row],[Location 
(drop-down)]],'List source'!D$2:E$71,2,FALSE)</f>
        <v>#N/A</v>
      </c>
      <c r="C797" s="11" t="s">
        <v>1623</v>
      </c>
      <c r="D797" s="212" t="e">
        <f t="shared" si="13"/>
        <v>#N/A</v>
      </c>
      <c r="E797" s="224"/>
      <c r="F797" s="224"/>
      <c r="G797" s="9"/>
      <c r="H797" s="10"/>
      <c r="I797" s="20"/>
      <c r="J797" s="166"/>
      <c r="K797" s="166"/>
      <c r="L797" s="166"/>
      <c r="M797" s="166"/>
      <c r="N797" s="166"/>
      <c r="O797" s="63"/>
      <c r="P797" s="196"/>
      <c r="Q797" s="37"/>
      <c r="R797" s="93"/>
      <c r="S797" s="13">
        <f ca="1">IF(ISBLANK(Table2[[#This Row],[Complete corrective actions (Approved Date)]]), TODAY()-Table2[[#This Row],[CAR initialized date]], "CLOSED")</f>
        <v>46077</v>
      </c>
    </row>
    <row r="798" spans="1:19" ht="36" customHeight="1" x14ac:dyDescent="0.25">
      <c r="A798" s="9"/>
      <c r="B798" s="13" t="e">
        <f>VLOOKUP(Table2[[#This Row],[Location 
(drop-down)]],'List source'!D$2:E$71,2,FALSE)</f>
        <v>#N/A</v>
      </c>
      <c r="C798" s="11" t="s">
        <v>1624</v>
      </c>
      <c r="D798" s="212" t="e">
        <f t="shared" si="13"/>
        <v>#N/A</v>
      </c>
      <c r="E798" s="224"/>
      <c r="F798" s="224"/>
      <c r="G798" s="9"/>
      <c r="H798" s="10"/>
      <c r="I798" s="20"/>
      <c r="J798" s="166"/>
      <c r="K798" s="166"/>
      <c r="L798" s="166"/>
      <c r="M798" s="166"/>
      <c r="N798" s="166"/>
      <c r="O798" s="63"/>
      <c r="P798" s="196"/>
      <c r="Q798" s="37"/>
      <c r="R798" s="93"/>
      <c r="S798" s="13">
        <f ca="1">IF(ISBLANK(Table2[[#This Row],[Complete corrective actions (Approved Date)]]), TODAY()-Table2[[#This Row],[CAR initialized date]], "CLOSED")</f>
        <v>46077</v>
      </c>
    </row>
    <row r="799" spans="1:19" ht="36" customHeight="1" x14ac:dyDescent="0.25">
      <c r="A799" s="9"/>
      <c r="B799" s="13" t="e">
        <f>VLOOKUP(Table2[[#This Row],[Location 
(drop-down)]],'List source'!D$2:E$71,2,FALSE)</f>
        <v>#N/A</v>
      </c>
      <c r="C799" s="11" t="s">
        <v>1625</v>
      </c>
      <c r="D799" s="212" t="e">
        <f t="shared" si="13"/>
        <v>#N/A</v>
      </c>
      <c r="E799" s="224"/>
      <c r="F799" s="224"/>
      <c r="G799" s="9"/>
      <c r="H799" s="10"/>
      <c r="I799" s="20"/>
      <c r="J799" s="166"/>
      <c r="K799" s="166"/>
      <c r="L799" s="166"/>
      <c r="M799" s="166"/>
      <c r="N799" s="166"/>
      <c r="O799" s="63"/>
      <c r="P799" s="196"/>
      <c r="Q799" s="37"/>
      <c r="R799" s="93"/>
      <c r="S799" s="13">
        <f ca="1">IF(ISBLANK(Table2[[#This Row],[Complete corrective actions (Approved Date)]]), TODAY()-Table2[[#This Row],[CAR initialized date]], "CLOSED")</f>
        <v>46077</v>
      </c>
    </row>
    <row r="800" spans="1:19" ht="36" customHeight="1" x14ac:dyDescent="0.25">
      <c r="A800" s="9"/>
      <c r="B800" s="13" t="e">
        <f>VLOOKUP(Table2[[#This Row],[Location 
(drop-down)]],'List source'!D$2:E$71,2,FALSE)</f>
        <v>#N/A</v>
      </c>
      <c r="C800" s="11" t="s">
        <v>1626</v>
      </c>
      <c r="D800" s="212" t="e">
        <f t="shared" si="13"/>
        <v>#N/A</v>
      </c>
      <c r="E800" s="224"/>
      <c r="F800" s="224"/>
      <c r="G800" s="9"/>
      <c r="H800" s="10"/>
      <c r="I800" s="20"/>
      <c r="J800" s="166"/>
      <c r="K800" s="166"/>
      <c r="L800" s="166"/>
      <c r="M800" s="166"/>
      <c r="N800" s="166"/>
      <c r="O800" s="63"/>
      <c r="P800" s="196"/>
      <c r="Q800" s="37"/>
      <c r="R800" s="93"/>
      <c r="S800" s="13">
        <f ca="1">IF(ISBLANK(Table2[[#This Row],[Complete corrective actions (Approved Date)]]), TODAY()-Table2[[#This Row],[CAR initialized date]], "CLOSED")</f>
        <v>46077</v>
      </c>
    </row>
    <row r="801" spans="1:19" ht="36" customHeight="1" x14ac:dyDescent="0.25">
      <c r="A801" s="9"/>
      <c r="B801" s="13" t="e">
        <f>VLOOKUP(Table2[[#This Row],[Location 
(drop-down)]],'List source'!D$2:E$71,2,FALSE)</f>
        <v>#N/A</v>
      </c>
      <c r="C801" s="11" t="s">
        <v>1627</v>
      </c>
      <c r="D801" s="212" t="e">
        <f t="shared" si="13"/>
        <v>#N/A</v>
      </c>
      <c r="E801" s="224"/>
      <c r="F801" s="224"/>
      <c r="G801" s="9"/>
      <c r="H801" s="10"/>
      <c r="I801" s="20"/>
      <c r="J801" s="166"/>
      <c r="K801" s="166"/>
      <c r="L801" s="166"/>
      <c r="M801" s="166"/>
      <c r="N801" s="166"/>
      <c r="O801" s="63"/>
      <c r="P801" s="196"/>
      <c r="Q801" s="37"/>
      <c r="R801" s="93"/>
      <c r="S801" s="13">
        <f ca="1">IF(ISBLANK(Table2[[#This Row],[Complete corrective actions (Approved Date)]]), TODAY()-Table2[[#This Row],[CAR initialized date]], "CLOSED")</f>
        <v>46077</v>
      </c>
    </row>
    <row r="802" spans="1:19" ht="36" customHeight="1" x14ac:dyDescent="0.25">
      <c r="A802" s="9"/>
      <c r="B802" s="13" t="e">
        <f>VLOOKUP(Table2[[#This Row],[Location 
(drop-down)]],'List source'!D$2:E$71,2,FALSE)</f>
        <v>#N/A</v>
      </c>
      <c r="C802" s="11" t="s">
        <v>1628</v>
      </c>
      <c r="D802" s="212" t="e">
        <f t="shared" si="13"/>
        <v>#N/A</v>
      </c>
      <c r="E802" s="224"/>
      <c r="F802" s="224"/>
      <c r="G802" s="9"/>
      <c r="H802" s="10"/>
      <c r="I802" s="20"/>
      <c r="J802" s="166"/>
      <c r="K802" s="166"/>
      <c r="L802" s="166"/>
      <c r="M802" s="166"/>
      <c r="N802" s="166"/>
      <c r="O802" s="63"/>
      <c r="P802" s="196"/>
      <c r="Q802" s="37"/>
      <c r="R802" s="93"/>
      <c r="S802" s="13">
        <f ca="1">IF(ISBLANK(Table2[[#This Row],[Complete corrective actions (Approved Date)]]), TODAY()-Table2[[#This Row],[CAR initialized date]], "CLOSED")</f>
        <v>46077</v>
      </c>
    </row>
    <row r="803" spans="1:19" ht="36" customHeight="1" x14ac:dyDescent="0.25">
      <c r="A803" s="9"/>
      <c r="B803" s="13" t="e">
        <f>VLOOKUP(Table2[[#This Row],[Location 
(drop-down)]],'List source'!D$2:E$71,2,FALSE)</f>
        <v>#N/A</v>
      </c>
      <c r="C803" s="11" t="s">
        <v>1629</v>
      </c>
      <c r="D803" s="212" t="e">
        <f t="shared" si="13"/>
        <v>#N/A</v>
      </c>
      <c r="E803" s="220"/>
      <c r="F803" s="220"/>
      <c r="G803" s="9"/>
      <c r="H803" s="10"/>
      <c r="I803" s="20"/>
      <c r="J803" s="166"/>
      <c r="K803" s="166"/>
      <c r="L803" s="166"/>
      <c r="M803" s="166"/>
      <c r="N803" s="166"/>
      <c r="O803" s="63"/>
      <c r="P803" s="196"/>
      <c r="Q803" s="37"/>
      <c r="R803" s="93"/>
      <c r="S803" s="13">
        <f ca="1">IF(ISBLANK(Table2[[#This Row],[Complete corrective actions (Approved Date)]]), TODAY()-Table2[[#This Row],[CAR initialized date]], "CLOSED")</f>
        <v>46077</v>
      </c>
    </row>
    <row r="804" spans="1:19" ht="36" customHeight="1" x14ac:dyDescent="0.25">
      <c r="A804" s="71"/>
      <c r="B804" s="13" t="e">
        <f>VLOOKUP(Table2[[#This Row],[Location 
(drop-down)]],'List source'!D$2:E$71,2,FALSE)</f>
        <v>#N/A</v>
      </c>
      <c r="C804" s="11" t="s">
        <v>1630</v>
      </c>
      <c r="D804" s="212" t="e">
        <f t="shared" si="13"/>
        <v>#N/A</v>
      </c>
      <c r="E804" s="220"/>
      <c r="F804" s="225"/>
      <c r="G804" s="71"/>
      <c r="H804" s="75"/>
      <c r="I804" s="20"/>
      <c r="J804" s="204"/>
      <c r="K804" s="204"/>
      <c r="L804" s="204"/>
      <c r="M804" s="204"/>
      <c r="N804" s="204"/>
      <c r="O804" s="74"/>
      <c r="P804" s="263"/>
      <c r="Q804" s="68"/>
      <c r="R804" s="93"/>
      <c r="S804" s="13">
        <f ca="1">IF(ISBLANK(Table2[[#This Row],[Complete corrective actions (Approved Date)]]), TODAY()-Table2[[#This Row],[CAR initialized date]], "CLOSED")</f>
        <v>46077</v>
      </c>
    </row>
    <row r="805" spans="1:19" ht="36" customHeight="1" x14ac:dyDescent="0.25">
      <c r="A805" s="71"/>
      <c r="B805" s="13" t="e">
        <f>VLOOKUP(Table2[[#This Row],[Location 
(drop-down)]],'List source'!D$2:E$71,2,FALSE)</f>
        <v>#N/A</v>
      </c>
      <c r="C805" s="11" t="s">
        <v>1631</v>
      </c>
      <c r="D805" s="212" t="e">
        <f t="shared" si="13"/>
        <v>#N/A</v>
      </c>
      <c r="E805" s="220"/>
      <c r="F805" s="225"/>
      <c r="G805" s="71"/>
      <c r="H805" s="75"/>
      <c r="I805" s="20"/>
      <c r="J805" s="204"/>
      <c r="K805" s="204"/>
      <c r="L805" s="204"/>
      <c r="M805" s="204"/>
      <c r="N805" s="204"/>
      <c r="O805" s="74"/>
      <c r="P805" s="263"/>
      <c r="Q805" s="68"/>
      <c r="R805" s="93"/>
      <c r="S805" s="13">
        <f ca="1">IF(ISBLANK(Table2[[#This Row],[Complete corrective actions (Approved Date)]]), TODAY()-Table2[[#This Row],[CAR initialized date]], "CLOSED")</f>
        <v>46077</v>
      </c>
    </row>
    <row r="806" spans="1:19" ht="36" customHeight="1" x14ac:dyDescent="0.25">
      <c r="A806" s="71"/>
      <c r="B806" s="13" t="e">
        <f>VLOOKUP(Table2[[#This Row],[Location 
(drop-down)]],'List source'!D$2:E$71,2,FALSE)</f>
        <v>#N/A</v>
      </c>
      <c r="C806" s="11" t="s">
        <v>1632</v>
      </c>
      <c r="D806" s="212" t="e">
        <f t="shared" si="13"/>
        <v>#N/A</v>
      </c>
      <c r="E806" s="220"/>
      <c r="F806" s="225"/>
      <c r="G806" s="71"/>
      <c r="H806" s="75"/>
      <c r="I806" s="20"/>
      <c r="J806" s="204"/>
      <c r="K806" s="204"/>
      <c r="L806" s="204"/>
      <c r="M806" s="204"/>
      <c r="N806" s="204"/>
      <c r="O806" s="74"/>
      <c r="P806" s="263"/>
      <c r="Q806" s="68"/>
      <c r="R806" s="93"/>
      <c r="S806" s="13">
        <f ca="1">IF(ISBLANK(Table2[[#This Row],[Complete corrective actions (Approved Date)]]), TODAY()-Table2[[#This Row],[CAR initialized date]], "CLOSED")</f>
        <v>46077</v>
      </c>
    </row>
    <row r="807" spans="1:19" ht="36" customHeight="1" x14ac:dyDescent="0.25">
      <c r="A807" s="71"/>
      <c r="B807" s="13" t="e">
        <f>VLOOKUP(Table2[[#This Row],[Location 
(drop-down)]],'List source'!D$2:E$71,2,FALSE)</f>
        <v>#N/A</v>
      </c>
      <c r="C807" s="11" t="s">
        <v>1633</v>
      </c>
      <c r="D807" s="212" t="e">
        <f t="shared" si="13"/>
        <v>#N/A</v>
      </c>
      <c r="E807" s="220"/>
      <c r="F807" s="225"/>
      <c r="G807" s="71"/>
      <c r="H807" s="75"/>
      <c r="I807" s="20"/>
      <c r="J807" s="204"/>
      <c r="K807" s="204"/>
      <c r="L807" s="204"/>
      <c r="M807" s="204"/>
      <c r="N807" s="204"/>
      <c r="O807" s="74"/>
      <c r="P807" s="263"/>
      <c r="Q807" s="68"/>
      <c r="R807" s="93"/>
      <c r="S807" s="13">
        <f ca="1">IF(ISBLANK(Table2[[#This Row],[Complete corrective actions (Approved Date)]]), TODAY()-Table2[[#This Row],[CAR initialized date]], "CLOSED")</f>
        <v>46077</v>
      </c>
    </row>
    <row r="808" spans="1:19" ht="36" customHeight="1" x14ac:dyDescent="0.25">
      <c r="A808" s="71"/>
      <c r="B808" s="13" t="e">
        <f>VLOOKUP(Table2[[#This Row],[Location 
(drop-down)]],'List source'!D$2:E$71,2,FALSE)</f>
        <v>#N/A</v>
      </c>
      <c r="C808" s="11" t="s">
        <v>1634</v>
      </c>
      <c r="D808" s="212" t="e">
        <f t="shared" si="13"/>
        <v>#N/A</v>
      </c>
      <c r="E808" s="220"/>
      <c r="F808" s="225"/>
      <c r="G808" s="71"/>
      <c r="H808" s="75"/>
      <c r="I808" s="20"/>
      <c r="J808" s="204"/>
      <c r="K808" s="204"/>
      <c r="L808" s="204"/>
      <c r="M808" s="204"/>
      <c r="N808" s="204"/>
      <c r="O808" s="74"/>
      <c r="P808" s="263"/>
      <c r="Q808" s="68"/>
      <c r="R808" s="93"/>
      <c r="S808" s="13">
        <f ca="1">IF(ISBLANK(Table2[[#This Row],[Complete corrective actions (Approved Date)]]), TODAY()-Table2[[#This Row],[CAR initialized date]], "CLOSED")</f>
        <v>46077</v>
      </c>
    </row>
    <row r="809" spans="1:19" ht="36" customHeight="1" x14ac:dyDescent="0.25">
      <c r="A809" s="71"/>
      <c r="B809" s="13" t="e">
        <f>VLOOKUP(Table2[[#This Row],[Location 
(drop-down)]],'List source'!D$2:E$71,2,FALSE)</f>
        <v>#N/A</v>
      </c>
      <c r="C809" s="11" t="s">
        <v>1635</v>
      </c>
      <c r="D809" s="212" t="e">
        <f t="shared" si="13"/>
        <v>#N/A</v>
      </c>
      <c r="E809" s="220"/>
      <c r="F809" s="225"/>
      <c r="G809" s="71"/>
      <c r="H809" s="75"/>
      <c r="I809" s="20"/>
      <c r="J809" s="204"/>
      <c r="K809" s="204"/>
      <c r="L809" s="204"/>
      <c r="M809" s="204"/>
      <c r="N809" s="204"/>
      <c r="O809" s="74"/>
      <c r="P809" s="263"/>
      <c r="Q809" s="68"/>
      <c r="R809" s="93"/>
      <c r="S809" s="13">
        <f ca="1">IF(ISBLANK(Table2[[#This Row],[Complete corrective actions (Approved Date)]]), TODAY()-Table2[[#This Row],[CAR initialized date]], "CLOSED")</f>
        <v>46077</v>
      </c>
    </row>
    <row r="810" spans="1:19" ht="36" customHeight="1" x14ac:dyDescent="0.25">
      <c r="A810" s="71"/>
      <c r="B810" s="13" t="e">
        <f>VLOOKUP(Table2[[#This Row],[Location 
(drop-down)]],'List source'!D$2:E$71,2,FALSE)</f>
        <v>#N/A</v>
      </c>
      <c r="C810" s="11" t="s">
        <v>1636</v>
      </c>
      <c r="D810" s="212" t="e">
        <f t="shared" si="13"/>
        <v>#N/A</v>
      </c>
      <c r="E810" s="220"/>
      <c r="F810" s="225"/>
      <c r="G810" s="71"/>
      <c r="H810" s="75"/>
      <c r="I810" s="20"/>
      <c r="J810" s="204"/>
      <c r="K810" s="204"/>
      <c r="L810" s="204"/>
      <c r="M810" s="204"/>
      <c r="N810" s="204"/>
      <c r="O810" s="74"/>
      <c r="P810" s="263"/>
      <c r="Q810" s="68"/>
      <c r="R810" s="93"/>
      <c r="S810" s="13">
        <f ca="1">IF(ISBLANK(Table2[[#This Row],[Complete corrective actions (Approved Date)]]), TODAY()-Table2[[#This Row],[CAR initialized date]], "CLOSED")</f>
        <v>46077</v>
      </c>
    </row>
    <row r="811" spans="1:19" ht="36" customHeight="1" x14ac:dyDescent="0.25">
      <c r="A811" s="71"/>
      <c r="B811" s="13" t="e">
        <f>VLOOKUP(Table2[[#This Row],[Location 
(drop-down)]],'List source'!D$2:E$71,2,FALSE)</f>
        <v>#N/A</v>
      </c>
      <c r="C811" s="11" t="s">
        <v>1637</v>
      </c>
      <c r="D811" s="212" t="e">
        <f t="shared" si="13"/>
        <v>#N/A</v>
      </c>
      <c r="E811" s="220"/>
      <c r="F811" s="225"/>
      <c r="G811" s="71"/>
      <c r="H811" s="75"/>
      <c r="I811" s="20"/>
      <c r="J811" s="204"/>
      <c r="K811" s="204"/>
      <c r="L811" s="204"/>
      <c r="M811" s="204"/>
      <c r="N811" s="204"/>
      <c r="O811" s="74"/>
      <c r="P811" s="263"/>
      <c r="Q811" s="68"/>
      <c r="R811" s="93"/>
      <c r="S811" s="13">
        <f ca="1">IF(ISBLANK(Table2[[#This Row],[Complete corrective actions (Approved Date)]]), TODAY()-Table2[[#This Row],[CAR initialized date]], "CLOSED")</f>
        <v>46077</v>
      </c>
    </row>
    <row r="812" spans="1:19" ht="36" customHeight="1" x14ac:dyDescent="0.25">
      <c r="A812" s="71"/>
      <c r="B812" s="13" t="e">
        <f>VLOOKUP(Table2[[#This Row],[Location 
(drop-down)]],'List source'!D$2:E$71,2,FALSE)</f>
        <v>#N/A</v>
      </c>
      <c r="C812" s="11" t="s">
        <v>1638</v>
      </c>
      <c r="D812" s="212" t="e">
        <f t="shared" si="13"/>
        <v>#N/A</v>
      </c>
      <c r="E812" s="220"/>
      <c r="F812" s="225"/>
      <c r="G812" s="71"/>
      <c r="H812" s="75"/>
      <c r="I812" s="20"/>
      <c r="J812" s="204"/>
      <c r="K812" s="204"/>
      <c r="L812" s="204"/>
      <c r="M812" s="204"/>
      <c r="N812" s="204"/>
      <c r="O812" s="74"/>
      <c r="P812" s="263"/>
      <c r="Q812" s="68"/>
      <c r="R812" s="93"/>
      <c r="S812" s="13">
        <f ca="1">IF(ISBLANK(Table2[[#This Row],[Complete corrective actions (Approved Date)]]), TODAY()-Table2[[#This Row],[CAR initialized date]], "CLOSED")</f>
        <v>46077</v>
      </c>
    </row>
    <row r="813" spans="1:19" ht="36" customHeight="1" x14ac:dyDescent="0.25">
      <c r="A813" s="71"/>
      <c r="B813" s="13" t="e">
        <f>VLOOKUP(Table2[[#This Row],[Location 
(drop-down)]],'List source'!D$2:E$71,2,FALSE)</f>
        <v>#N/A</v>
      </c>
      <c r="C813" s="11" t="s">
        <v>1639</v>
      </c>
      <c r="D813" s="212" t="e">
        <f t="shared" si="13"/>
        <v>#N/A</v>
      </c>
      <c r="E813" s="220"/>
      <c r="F813" s="225"/>
      <c r="G813" s="71"/>
      <c r="H813" s="75"/>
      <c r="I813" s="20"/>
      <c r="J813" s="204"/>
      <c r="K813" s="204"/>
      <c r="L813" s="204"/>
      <c r="M813" s="204"/>
      <c r="N813" s="204"/>
      <c r="O813" s="74"/>
      <c r="P813" s="263"/>
      <c r="Q813" s="68"/>
      <c r="R813" s="93"/>
      <c r="S813" s="13">
        <f ca="1">IF(ISBLANK(Table2[[#This Row],[Complete corrective actions (Approved Date)]]), TODAY()-Table2[[#This Row],[CAR initialized date]], "CLOSED")</f>
        <v>46077</v>
      </c>
    </row>
    <row r="814" spans="1:19" ht="36" customHeight="1" x14ac:dyDescent="0.25">
      <c r="A814" s="71"/>
      <c r="B814" s="13" t="e">
        <f>VLOOKUP(Table2[[#This Row],[Location 
(drop-down)]],'List source'!D$2:E$71,2,FALSE)</f>
        <v>#N/A</v>
      </c>
      <c r="C814" s="11" t="s">
        <v>1640</v>
      </c>
      <c r="D814" s="212" t="e">
        <f t="shared" si="13"/>
        <v>#N/A</v>
      </c>
      <c r="E814" s="220"/>
      <c r="F814" s="225"/>
      <c r="G814" s="71"/>
      <c r="H814" s="75"/>
      <c r="I814" s="20"/>
      <c r="J814" s="204"/>
      <c r="K814" s="204"/>
      <c r="L814" s="204"/>
      <c r="M814" s="204"/>
      <c r="N814" s="204"/>
      <c r="O814" s="74"/>
      <c r="P814" s="263"/>
      <c r="Q814" s="68"/>
      <c r="R814" s="93"/>
      <c r="S814" s="13">
        <f ca="1">IF(ISBLANK(Table2[[#This Row],[Complete corrective actions (Approved Date)]]), TODAY()-Table2[[#This Row],[CAR initialized date]], "CLOSED")</f>
        <v>46077</v>
      </c>
    </row>
    <row r="815" spans="1:19" ht="36" customHeight="1" x14ac:dyDescent="0.25">
      <c r="A815" s="71"/>
      <c r="B815" s="13" t="e">
        <f>VLOOKUP(Table2[[#This Row],[Location 
(drop-down)]],'List source'!D$2:E$71,2,FALSE)</f>
        <v>#N/A</v>
      </c>
      <c r="C815" s="11" t="s">
        <v>1641</v>
      </c>
      <c r="D815" s="212" t="e">
        <f t="shared" si="13"/>
        <v>#N/A</v>
      </c>
      <c r="E815" s="220"/>
      <c r="F815" s="225"/>
      <c r="G815" s="71"/>
      <c r="H815" s="75"/>
      <c r="I815" s="20"/>
      <c r="J815" s="204"/>
      <c r="K815" s="204"/>
      <c r="L815" s="204"/>
      <c r="M815" s="204"/>
      <c r="N815" s="204"/>
      <c r="O815" s="74"/>
      <c r="P815" s="263"/>
      <c r="Q815" s="68"/>
      <c r="R815" s="93"/>
      <c r="S815" s="13">
        <f ca="1">IF(ISBLANK(Table2[[#This Row],[Complete corrective actions (Approved Date)]]), TODAY()-Table2[[#This Row],[CAR initialized date]], "CLOSED")</f>
        <v>46077</v>
      </c>
    </row>
    <row r="816" spans="1:19" ht="36" customHeight="1" x14ac:dyDescent="0.25">
      <c r="A816" s="71"/>
      <c r="B816" s="13" t="e">
        <f>VLOOKUP(Table2[[#This Row],[Location 
(drop-down)]],'List source'!D$2:E$71,2,FALSE)</f>
        <v>#N/A</v>
      </c>
      <c r="C816" s="11" t="s">
        <v>1642</v>
      </c>
      <c r="D816" s="212" t="e">
        <f t="shared" si="13"/>
        <v>#N/A</v>
      </c>
      <c r="E816" s="220"/>
      <c r="F816" s="225"/>
      <c r="G816" s="71"/>
      <c r="H816" s="75"/>
      <c r="I816" s="20"/>
      <c r="J816" s="204"/>
      <c r="K816" s="204"/>
      <c r="L816" s="204"/>
      <c r="M816" s="204"/>
      <c r="N816" s="204"/>
      <c r="O816" s="74"/>
      <c r="P816" s="263"/>
      <c r="Q816" s="68"/>
      <c r="R816" s="93"/>
      <c r="S816" s="13">
        <f ca="1">IF(ISBLANK(Table2[[#This Row],[Complete corrective actions (Approved Date)]]), TODAY()-Table2[[#This Row],[CAR initialized date]], "CLOSED")</f>
        <v>46077</v>
      </c>
    </row>
    <row r="817" spans="1:19" ht="36" customHeight="1" x14ac:dyDescent="0.25">
      <c r="A817" s="71"/>
      <c r="B817" s="13" t="e">
        <f>VLOOKUP(Table2[[#This Row],[Location 
(drop-down)]],'List source'!D$2:E$71,2,FALSE)</f>
        <v>#N/A</v>
      </c>
      <c r="C817" s="11" t="s">
        <v>1643</v>
      </c>
      <c r="D817" s="212" t="e">
        <f t="shared" si="13"/>
        <v>#N/A</v>
      </c>
      <c r="E817" s="220"/>
      <c r="F817" s="225"/>
      <c r="G817" s="71"/>
      <c r="H817" s="75"/>
      <c r="I817" s="20"/>
      <c r="J817" s="204"/>
      <c r="K817" s="204"/>
      <c r="L817" s="204"/>
      <c r="M817" s="204"/>
      <c r="N817" s="204"/>
      <c r="O817" s="74"/>
      <c r="P817" s="263"/>
      <c r="Q817" s="68"/>
      <c r="R817" s="93"/>
      <c r="S817" s="13">
        <f ca="1">IF(ISBLANK(Table2[[#This Row],[Complete corrective actions (Approved Date)]]), TODAY()-Table2[[#This Row],[CAR initialized date]], "CLOSED")</f>
        <v>46077</v>
      </c>
    </row>
    <row r="818" spans="1:19" ht="36" customHeight="1" x14ac:dyDescent="0.25">
      <c r="A818" s="71"/>
      <c r="B818" s="13" t="e">
        <f>VLOOKUP(Table2[[#This Row],[Location 
(drop-down)]],'List source'!D$2:E$71,2,FALSE)</f>
        <v>#N/A</v>
      </c>
      <c r="C818" s="11" t="s">
        <v>1644</v>
      </c>
      <c r="D818" s="212" t="e">
        <f t="shared" si="13"/>
        <v>#N/A</v>
      </c>
      <c r="E818" s="220"/>
      <c r="F818" s="225"/>
      <c r="G818" s="71"/>
      <c r="H818" s="75"/>
      <c r="I818" s="20"/>
      <c r="J818" s="204"/>
      <c r="K818" s="204"/>
      <c r="L818" s="204"/>
      <c r="M818" s="204"/>
      <c r="N818" s="204"/>
      <c r="O818" s="74"/>
      <c r="P818" s="263"/>
      <c r="Q818" s="68"/>
      <c r="R818" s="93"/>
      <c r="S818" s="13">
        <f ca="1">IF(ISBLANK(Table2[[#This Row],[Complete corrective actions (Approved Date)]]), TODAY()-Table2[[#This Row],[CAR initialized date]], "CLOSED")</f>
        <v>46077</v>
      </c>
    </row>
    <row r="819" spans="1:19" ht="36" customHeight="1" x14ac:dyDescent="0.25">
      <c r="A819" s="71"/>
      <c r="B819" s="13" t="e">
        <f>VLOOKUP(Table2[[#This Row],[Location 
(drop-down)]],'List source'!D$2:E$71,2,FALSE)</f>
        <v>#N/A</v>
      </c>
      <c r="C819" s="11" t="s">
        <v>1645</v>
      </c>
      <c r="D819" s="212" t="e">
        <f t="shared" si="13"/>
        <v>#N/A</v>
      </c>
      <c r="E819" s="220"/>
      <c r="F819" s="225"/>
      <c r="G819" s="71"/>
      <c r="H819" s="75"/>
      <c r="I819" s="20"/>
      <c r="J819" s="204"/>
      <c r="K819" s="204"/>
      <c r="L819" s="204"/>
      <c r="M819" s="204"/>
      <c r="N819" s="204"/>
      <c r="O819" s="74"/>
      <c r="P819" s="263"/>
      <c r="Q819" s="68"/>
      <c r="R819" s="93"/>
      <c r="S819" s="13">
        <f ca="1">IF(ISBLANK(Table2[[#This Row],[Complete corrective actions (Approved Date)]]), TODAY()-Table2[[#This Row],[CAR initialized date]], "CLOSED")</f>
        <v>46077</v>
      </c>
    </row>
    <row r="820" spans="1:19" ht="36" customHeight="1" x14ac:dyDescent="0.25">
      <c r="A820" s="71"/>
      <c r="B820" s="13" t="e">
        <f>VLOOKUP(Table2[[#This Row],[Location 
(drop-down)]],'List source'!D$2:E$71,2,FALSE)</f>
        <v>#N/A</v>
      </c>
      <c r="C820" s="11" t="s">
        <v>1646</v>
      </c>
      <c r="D820" s="212" t="e">
        <f t="shared" si="13"/>
        <v>#N/A</v>
      </c>
      <c r="E820" s="220"/>
      <c r="F820" s="225"/>
      <c r="G820" s="71"/>
      <c r="H820" s="75"/>
      <c r="I820" s="20"/>
      <c r="J820" s="204"/>
      <c r="K820" s="204"/>
      <c r="L820" s="204"/>
      <c r="M820" s="204"/>
      <c r="N820" s="204"/>
      <c r="O820" s="74"/>
      <c r="P820" s="263"/>
      <c r="Q820" s="68"/>
      <c r="R820" s="93"/>
      <c r="S820" s="13">
        <f ca="1">IF(ISBLANK(Table2[[#This Row],[Complete corrective actions (Approved Date)]]), TODAY()-Table2[[#This Row],[CAR initialized date]], "CLOSED")</f>
        <v>46077</v>
      </c>
    </row>
    <row r="821" spans="1:19" ht="36" customHeight="1" x14ac:dyDescent="0.25">
      <c r="A821" s="71"/>
      <c r="B821" s="13" t="e">
        <f>VLOOKUP(Table2[[#This Row],[Location 
(drop-down)]],'List source'!D$2:E$71,2,FALSE)</f>
        <v>#N/A</v>
      </c>
      <c r="C821" s="11" t="s">
        <v>1647</v>
      </c>
      <c r="D821" s="212" t="e">
        <f t="shared" si="13"/>
        <v>#N/A</v>
      </c>
      <c r="E821" s="220"/>
      <c r="F821" s="225"/>
      <c r="G821" s="71"/>
      <c r="H821" s="75"/>
      <c r="I821" s="20"/>
      <c r="J821" s="204"/>
      <c r="K821" s="204"/>
      <c r="L821" s="204"/>
      <c r="M821" s="204"/>
      <c r="N821" s="204"/>
      <c r="O821" s="74"/>
      <c r="P821" s="263"/>
      <c r="Q821" s="68"/>
      <c r="R821" s="93"/>
      <c r="S821" s="13">
        <f ca="1">IF(ISBLANK(Table2[[#This Row],[Complete corrective actions (Approved Date)]]), TODAY()-Table2[[#This Row],[CAR initialized date]], "CLOSED")</f>
        <v>46077</v>
      </c>
    </row>
    <row r="822" spans="1:19" ht="36" customHeight="1" x14ac:dyDescent="0.25">
      <c r="A822" s="71"/>
      <c r="B822" s="13" t="e">
        <f>VLOOKUP(Table2[[#This Row],[Location 
(drop-down)]],'List source'!D$2:E$71,2,FALSE)</f>
        <v>#N/A</v>
      </c>
      <c r="C822" s="11" t="s">
        <v>1648</v>
      </c>
      <c r="D822" s="212" t="e">
        <f t="shared" si="13"/>
        <v>#N/A</v>
      </c>
      <c r="E822" s="220"/>
      <c r="F822" s="225"/>
      <c r="G822" s="71"/>
      <c r="H822" s="75"/>
      <c r="I822" s="20"/>
      <c r="J822" s="204"/>
      <c r="K822" s="204"/>
      <c r="L822" s="204"/>
      <c r="M822" s="204"/>
      <c r="N822" s="204"/>
      <c r="O822" s="74"/>
      <c r="P822" s="263"/>
      <c r="Q822" s="68"/>
      <c r="R822" s="93"/>
      <c r="S822" s="13">
        <f ca="1">IF(ISBLANK(Table2[[#This Row],[Complete corrective actions (Approved Date)]]), TODAY()-Table2[[#This Row],[CAR initialized date]], "CLOSED")</f>
        <v>46077</v>
      </c>
    </row>
    <row r="823" spans="1:19" ht="36" customHeight="1" x14ac:dyDescent="0.25">
      <c r="A823" s="71"/>
      <c r="B823" s="13" t="e">
        <f>VLOOKUP(Table2[[#This Row],[Location 
(drop-down)]],'List source'!D$2:E$71,2,FALSE)</f>
        <v>#N/A</v>
      </c>
      <c r="C823" s="11" t="s">
        <v>1649</v>
      </c>
      <c r="D823" s="212" t="e">
        <f t="shared" si="13"/>
        <v>#N/A</v>
      </c>
      <c r="E823" s="220"/>
      <c r="F823" s="225"/>
      <c r="G823" s="71"/>
      <c r="H823" s="75"/>
      <c r="I823" s="20"/>
      <c r="J823" s="204"/>
      <c r="K823" s="204"/>
      <c r="L823" s="204"/>
      <c r="M823" s="204"/>
      <c r="N823" s="204"/>
      <c r="O823" s="74"/>
      <c r="P823" s="263"/>
      <c r="Q823" s="68"/>
      <c r="R823" s="93"/>
      <c r="S823" s="13">
        <f ca="1">IF(ISBLANK(Table2[[#This Row],[Complete corrective actions (Approved Date)]]), TODAY()-Table2[[#This Row],[CAR initialized date]], "CLOSED")</f>
        <v>46077</v>
      </c>
    </row>
    <row r="824" spans="1:19" ht="36" customHeight="1" x14ac:dyDescent="0.25">
      <c r="A824" s="71"/>
      <c r="B824" s="13" t="e">
        <f>VLOOKUP(Table2[[#This Row],[Location 
(drop-down)]],'List source'!D$2:E$71,2,FALSE)</f>
        <v>#N/A</v>
      </c>
      <c r="C824" s="11" t="s">
        <v>1650</v>
      </c>
      <c r="D824" s="212" t="e">
        <f t="shared" si="13"/>
        <v>#N/A</v>
      </c>
      <c r="E824" s="220"/>
      <c r="F824" s="225"/>
      <c r="G824" s="71"/>
      <c r="H824" s="75"/>
      <c r="I824" s="20"/>
      <c r="J824" s="204"/>
      <c r="K824" s="204"/>
      <c r="L824" s="204"/>
      <c r="M824" s="204"/>
      <c r="N824" s="204"/>
      <c r="O824" s="74"/>
      <c r="P824" s="263"/>
      <c r="Q824" s="68"/>
      <c r="R824" s="93"/>
      <c r="S824" s="13">
        <f ca="1">IF(ISBLANK(Table2[[#This Row],[Complete corrective actions (Approved Date)]]), TODAY()-Table2[[#This Row],[CAR initialized date]], "CLOSED")</f>
        <v>46077</v>
      </c>
    </row>
    <row r="825" spans="1:19" ht="36" customHeight="1" x14ac:dyDescent="0.25">
      <c r="A825" s="71"/>
      <c r="B825" s="13" t="e">
        <f>VLOOKUP(Table2[[#This Row],[Location 
(drop-down)]],'List source'!D$2:E$71,2,FALSE)</f>
        <v>#N/A</v>
      </c>
      <c r="C825" s="11" t="s">
        <v>1651</v>
      </c>
      <c r="D825" s="212" t="e">
        <f t="shared" si="13"/>
        <v>#N/A</v>
      </c>
      <c r="E825" s="220"/>
      <c r="F825" s="225"/>
      <c r="G825" s="71"/>
      <c r="H825" s="75"/>
      <c r="I825" s="20"/>
      <c r="J825" s="204"/>
      <c r="K825" s="204"/>
      <c r="L825" s="204"/>
      <c r="M825" s="204"/>
      <c r="N825" s="204"/>
      <c r="O825" s="74"/>
      <c r="P825" s="263"/>
      <c r="Q825" s="68"/>
      <c r="R825" s="93"/>
      <c r="S825" s="13">
        <f ca="1">IF(ISBLANK(Table2[[#This Row],[Complete corrective actions (Approved Date)]]), TODAY()-Table2[[#This Row],[CAR initialized date]], "CLOSED")</f>
        <v>46077</v>
      </c>
    </row>
    <row r="826" spans="1:19" ht="36" customHeight="1" x14ac:dyDescent="0.25">
      <c r="A826" s="71"/>
      <c r="B826" s="13" t="e">
        <f>VLOOKUP(Table2[[#This Row],[Location 
(drop-down)]],'List source'!D$2:E$71,2,FALSE)</f>
        <v>#N/A</v>
      </c>
      <c r="C826" s="11" t="s">
        <v>1652</v>
      </c>
      <c r="D826" s="212" t="e">
        <f t="shared" si="13"/>
        <v>#N/A</v>
      </c>
      <c r="E826" s="220"/>
      <c r="F826" s="225"/>
      <c r="G826" s="71"/>
      <c r="H826" s="75"/>
      <c r="I826" s="20"/>
      <c r="J826" s="204"/>
      <c r="K826" s="204"/>
      <c r="L826" s="204"/>
      <c r="M826" s="204"/>
      <c r="N826" s="204"/>
      <c r="O826" s="74"/>
      <c r="P826" s="263"/>
      <c r="Q826" s="68"/>
      <c r="R826" s="93"/>
      <c r="S826" s="13">
        <f ca="1">IF(ISBLANK(Table2[[#This Row],[Complete corrective actions (Approved Date)]]), TODAY()-Table2[[#This Row],[CAR initialized date]], "CLOSED")</f>
        <v>46077</v>
      </c>
    </row>
    <row r="827" spans="1:19" ht="36" customHeight="1" x14ac:dyDescent="0.25">
      <c r="A827" s="71"/>
      <c r="B827" s="13" t="e">
        <f>VLOOKUP(Table2[[#This Row],[Location 
(drop-down)]],'List source'!D$2:E$71,2,FALSE)</f>
        <v>#N/A</v>
      </c>
      <c r="C827" s="11" t="s">
        <v>1653</v>
      </c>
      <c r="D827" s="212" t="e">
        <f t="shared" si="13"/>
        <v>#N/A</v>
      </c>
      <c r="E827" s="220"/>
      <c r="F827" s="225"/>
      <c r="G827" s="71"/>
      <c r="H827" s="75"/>
      <c r="I827" s="20"/>
      <c r="J827" s="204"/>
      <c r="K827" s="204"/>
      <c r="L827" s="204"/>
      <c r="M827" s="204"/>
      <c r="N827" s="204"/>
      <c r="O827" s="74"/>
      <c r="P827" s="263"/>
      <c r="Q827" s="68"/>
      <c r="R827" s="93"/>
      <c r="S827" s="13">
        <f ca="1">IF(ISBLANK(Table2[[#This Row],[Complete corrective actions (Approved Date)]]), TODAY()-Table2[[#This Row],[CAR initialized date]], "CLOSED")</f>
        <v>46077</v>
      </c>
    </row>
    <row r="828" spans="1:19" ht="36" customHeight="1" x14ac:dyDescent="0.25">
      <c r="A828" s="71"/>
      <c r="B828" s="13" t="e">
        <f>VLOOKUP(Table2[[#This Row],[Location 
(drop-down)]],'List source'!D$2:E$71,2,FALSE)</f>
        <v>#N/A</v>
      </c>
      <c r="C828" s="11" t="s">
        <v>1654</v>
      </c>
      <c r="D828" s="212" t="e">
        <f t="shared" si="13"/>
        <v>#N/A</v>
      </c>
      <c r="E828" s="220"/>
      <c r="F828" s="225"/>
      <c r="G828" s="71"/>
      <c r="H828" s="75"/>
      <c r="I828" s="20"/>
      <c r="J828" s="204"/>
      <c r="K828" s="204"/>
      <c r="L828" s="204"/>
      <c r="M828" s="204"/>
      <c r="N828" s="204"/>
      <c r="O828" s="74"/>
      <c r="P828" s="263"/>
      <c r="Q828" s="68"/>
      <c r="R828" s="93"/>
      <c r="S828" s="13">
        <f ca="1">IF(ISBLANK(Table2[[#This Row],[Complete corrective actions (Approved Date)]]), TODAY()-Table2[[#This Row],[CAR initialized date]], "CLOSED")</f>
        <v>46077</v>
      </c>
    </row>
    <row r="829" spans="1:19" ht="36" customHeight="1" x14ac:dyDescent="0.25">
      <c r="A829" s="71"/>
      <c r="B829" s="13" t="e">
        <f>VLOOKUP(Table2[[#This Row],[Location 
(drop-down)]],'List source'!D$2:E$71,2,FALSE)</f>
        <v>#N/A</v>
      </c>
      <c r="C829" s="11" t="s">
        <v>1655</v>
      </c>
      <c r="D829" s="212" t="e">
        <f t="shared" si="13"/>
        <v>#N/A</v>
      </c>
      <c r="E829" s="220"/>
      <c r="F829" s="225"/>
      <c r="G829" s="71"/>
      <c r="H829" s="75"/>
      <c r="I829" s="20"/>
      <c r="J829" s="204"/>
      <c r="K829" s="204"/>
      <c r="L829" s="204"/>
      <c r="M829" s="204"/>
      <c r="N829" s="204"/>
      <c r="O829" s="74"/>
      <c r="P829" s="263"/>
      <c r="Q829" s="68"/>
      <c r="R829" s="93"/>
      <c r="S829" s="13">
        <f ca="1">IF(ISBLANK(Table2[[#This Row],[Complete corrective actions (Approved Date)]]), TODAY()-Table2[[#This Row],[CAR initialized date]], "CLOSED")</f>
        <v>46077</v>
      </c>
    </row>
    <row r="830" spans="1:19" ht="36" customHeight="1" x14ac:dyDescent="0.25">
      <c r="A830" s="71"/>
      <c r="B830" s="13" t="e">
        <f>VLOOKUP(Table2[[#This Row],[Location 
(drop-down)]],'List source'!D$2:E$71,2,FALSE)</f>
        <v>#N/A</v>
      </c>
      <c r="C830" s="11" t="s">
        <v>1656</v>
      </c>
      <c r="D830" s="212" t="e">
        <f t="shared" si="13"/>
        <v>#N/A</v>
      </c>
      <c r="E830" s="220"/>
      <c r="F830" s="225"/>
      <c r="G830" s="71"/>
      <c r="H830" s="75"/>
      <c r="I830" s="20"/>
      <c r="J830" s="204"/>
      <c r="K830" s="204"/>
      <c r="L830" s="204"/>
      <c r="M830" s="204"/>
      <c r="N830" s="204"/>
      <c r="O830" s="74"/>
      <c r="P830" s="263"/>
      <c r="Q830" s="68"/>
      <c r="R830" s="93"/>
      <c r="S830" s="13">
        <f ca="1">IF(ISBLANK(Table2[[#This Row],[Complete corrective actions (Approved Date)]]), TODAY()-Table2[[#This Row],[CAR initialized date]], "CLOSED")</f>
        <v>46077</v>
      </c>
    </row>
    <row r="831" spans="1:19" ht="36" customHeight="1" x14ac:dyDescent="0.25">
      <c r="A831" s="71"/>
      <c r="B831" s="13" t="e">
        <f>VLOOKUP(Table2[[#This Row],[Location 
(drop-down)]],'List source'!D$2:E$71,2,FALSE)</f>
        <v>#N/A</v>
      </c>
      <c r="C831" s="11" t="s">
        <v>1657</v>
      </c>
      <c r="D831" s="212" t="e">
        <f t="shared" si="13"/>
        <v>#N/A</v>
      </c>
      <c r="E831" s="220"/>
      <c r="F831" s="225"/>
      <c r="G831" s="71"/>
      <c r="H831" s="75"/>
      <c r="I831" s="20"/>
      <c r="J831" s="204"/>
      <c r="K831" s="204"/>
      <c r="L831" s="204"/>
      <c r="M831" s="204"/>
      <c r="N831" s="204"/>
      <c r="O831" s="74"/>
      <c r="P831" s="263"/>
      <c r="Q831" s="68"/>
      <c r="R831" s="93"/>
      <c r="S831" s="13">
        <f ca="1">IF(ISBLANK(Table2[[#This Row],[Complete corrective actions (Approved Date)]]), TODAY()-Table2[[#This Row],[CAR initialized date]], "CLOSED")</f>
        <v>46077</v>
      </c>
    </row>
    <row r="832" spans="1:19" ht="36" customHeight="1" x14ac:dyDescent="0.25">
      <c r="A832" s="71"/>
      <c r="B832" s="13" t="e">
        <f>VLOOKUP(Table2[[#This Row],[Location 
(drop-down)]],'List source'!D$2:E$71,2,FALSE)</f>
        <v>#N/A</v>
      </c>
      <c r="C832" s="11" t="s">
        <v>1658</v>
      </c>
      <c r="D832" s="212" t="e">
        <f t="shared" si="13"/>
        <v>#N/A</v>
      </c>
      <c r="E832" s="220"/>
      <c r="F832" s="225"/>
      <c r="G832" s="71"/>
      <c r="H832" s="75"/>
      <c r="I832" s="20"/>
      <c r="J832" s="204"/>
      <c r="K832" s="204"/>
      <c r="L832" s="204"/>
      <c r="M832" s="204"/>
      <c r="N832" s="204"/>
      <c r="O832" s="74"/>
      <c r="P832" s="263"/>
      <c r="Q832" s="68"/>
      <c r="R832" s="93"/>
      <c r="S832" s="13">
        <f ca="1">IF(ISBLANK(Table2[[#This Row],[Complete corrective actions (Approved Date)]]), TODAY()-Table2[[#This Row],[CAR initialized date]], "CLOSED")</f>
        <v>46077</v>
      </c>
    </row>
    <row r="833" spans="1:19" ht="36" customHeight="1" x14ac:dyDescent="0.25">
      <c r="A833" s="71"/>
      <c r="B833" s="13" t="e">
        <f>VLOOKUP(Table2[[#This Row],[Location 
(drop-down)]],'List source'!D$2:E$71,2,FALSE)</f>
        <v>#N/A</v>
      </c>
      <c r="C833" s="11" t="s">
        <v>1659</v>
      </c>
      <c r="D833" s="212" t="e">
        <f t="shared" ref="D833:D896" si="14">"C" &amp; C833 &amp;"-" &amp; B833 &amp; "-" &amp; "25"</f>
        <v>#N/A</v>
      </c>
      <c r="E833" s="220"/>
      <c r="F833" s="225"/>
      <c r="G833" s="71"/>
      <c r="H833" s="75"/>
      <c r="I833" s="20"/>
      <c r="J833" s="204"/>
      <c r="K833" s="204"/>
      <c r="L833" s="204"/>
      <c r="M833" s="204"/>
      <c r="N833" s="204"/>
      <c r="O833" s="74"/>
      <c r="P833" s="263"/>
      <c r="Q833" s="68"/>
      <c r="R833" s="93"/>
      <c r="S833" s="13">
        <f ca="1">IF(ISBLANK(Table2[[#This Row],[Complete corrective actions (Approved Date)]]), TODAY()-Table2[[#This Row],[CAR initialized date]], "CLOSED")</f>
        <v>46077</v>
      </c>
    </row>
    <row r="834" spans="1:19" ht="36" customHeight="1" x14ac:dyDescent="0.25">
      <c r="A834" s="71"/>
      <c r="B834" s="13" t="e">
        <f>VLOOKUP(Table2[[#This Row],[Location 
(drop-down)]],'List source'!D$2:E$71,2,FALSE)</f>
        <v>#N/A</v>
      </c>
      <c r="C834" s="11" t="s">
        <v>1660</v>
      </c>
      <c r="D834" s="212" t="e">
        <f t="shared" si="14"/>
        <v>#N/A</v>
      </c>
      <c r="E834" s="220"/>
      <c r="F834" s="225"/>
      <c r="G834" s="71"/>
      <c r="H834" s="75"/>
      <c r="I834" s="20"/>
      <c r="J834" s="204"/>
      <c r="K834" s="204"/>
      <c r="L834" s="204"/>
      <c r="M834" s="204"/>
      <c r="N834" s="204"/>
      <c r="O834" s="74"/>
      <c r="P834" s="263"/>
      <c r="Q834" s="68"/>
      <c r="R834" s="93"/>
      <c r="S834" s="13">
        <f ca="1">IF(ISBLANK(Table2[[#This Row],[Complete corrective actions (Approved Date)]]), TODAY()-Table2[[#This Row],[CAR initialized date]], "CLOSED")</f>
        <v>46077</v>
      </c>
    </row>
    <row r="835" spans="1:19" ht="36" customHeight="1" x14ac:dyDescent="0.25">
      <c r="A835" s="71"/>
      <c r="B835" s="13" t="e">
        <f>VLOOKUP(Table2[[#This Row],[Location 
(drop-down)]],'List source'!D$2:E$71,2,FALSE)</f>
        <v>#N/A</v>
      </c>
      <c r="C835" s="11" t="s">
        <v>1661</v>
      </c>
      <c r="D835" s="212" t="e">
        <f t="shared" si="14"/>
        <v>#N/A</v>
      </c>
      <c r="E835" s="220"/>
      <c r="F835" s="225"/>
      <c r="G835" s="71"/>
      <c r="H835" s="75"/>
      <c r="I835" s="20"/>
      <c r="J835" s="204"/>
      <c r="K835" s="204"/>
      <c r="L835" s="204"/>
      <c r="M835" s="204"/>
      <c r="N835" s="204"/>
      <c r="O835" s="74"/>
      <c r="P835" s="263"/>
      <c r="Q835" s="68"/>
      <c r="R835" s="93"/>
      <c r="S835" s="13">
        <f ca="1">IF(ISBLANK(Table2[[#This Row],[Complete corrective actions (Approved Date)]]), TODAY()-Table2[[#This Row],[CAR initialized date]], "CLOSED")</f>
        <v>46077</v>
      </c>
    </row>
    <row r="836" spans="1:19" ht="36" customHeight="1" x14ac:dyDescent="0.25">
      <c r="A836" s="71"/>
      <c r="B836" s="13" t="e">
        <f>VLOOKUP(Table2[[#This Row],[Location 
(drop-down)]],'List source'!D$2:E$71,2,FALSE)</f>
        <v>#N/A</v>
      </c>
      <c r="C836" s="11" t="s">
        <v>1662</v>
      </c>
      <c r="D836" s="212" t="e">
        <f t="shared" si="14"/>
        <v>#N/A</v>
      </c>
      <c r="E836" s="220"/>
      <c r="F836" s="225"/>
      <c r="G836" s="71"/>
      <c r="H836" s="75"/>
      <c r="I836" s="20"/>
      <c r="J836" s="204"/>
      <c r="K836" s="204"/>
      <c r="L836" s="204"/>
      <c r="M836" s="204"/>
      <c r="N836" s="204"/>
      <c r="O836" s="74"/>
      <c r="P836" s="263"/>
      <c r="Q836" s="68"/>
      <c r="R836" s="93"/>
      <c r="S836" s="13">
        <f ca="1">IF(ISBLANK(Table2[[#This Row],[Complete corrective actions (Approved Date)]]), TODAY()-Table2[[#This Row],[CAR initialized date]], "CLOSED")</f>
        <v>46077</v>
      </c>
    </row>
    <row r="837" spans="1:19" ht="36" customHeight="1" x14ac:dyDescent="0.25">
      <c r="A837" s="71"/>
      <c r="B837" s="13" t="e">
        <f>VLOOKUP(Table2[[#This Row],[Location 
(drop-down)]],'List source'!D$2:E$71,2,FALSE)</f>
        <v>#N/A</v>
      </c>
      <c r="C837" s="11" t="s">
        <v>1663</v>
      </c>
      <c r="D837" s="212" t="e">
        <f t="shared" si="14"/>
        <v>#N/A</v>
      </c>
      <c r="E837" s="220"/>
      <c r="F837" s="225"/>
      <c r="G837" s="71"/>
      <c r="H837" s="75"/>
      <c r="I837" s="20"/>
      <c r="J837" s="204"/>
      <c r="K837" s="204"/>
      <c r="L837" s="204"/>
      <c r="M837" s="204"/>
      <c r="N837" s="204"/>
      <c r="O837" s="74"/>
      <c r="P837" s="263"/>
      <c r="Q837" s="68"/>
      <c r="R837" s="93"/>
      <c r="S837" s="13">
        <f ca="1">IF(ISBLANK(Table2[[#This Row],[Complete corrective actions (Approved Date)]]), TODAY()-Table2[[#This Row],[CAR initialized date]], "CLOSED")</f>
        <v>46077</v>
      </c>
    </row>
    <row r="838" spans="1:19" ht="36" customHeight="1" x14ac:dyDescent="0.25">
      <c r="A838" s="71"/>
      <c r="B838" s="13" t="e">
        <f>VLOOKUP(Table2[[#This Row],[Location 
(drop-down)]],'List source'!D$2:E$71,2,FALSE)</f>
        <v>#N/A</v>
      </c>
      <c r="C838" s="11" t="s">
        <v>1664</v>
      </c>
      <c r="D838" s="212" t="e">
        <f t="shared" si="14"/>
        <v>#N/A</v>
      </c>
      <c r="E838" s="220"/>
      <c r="F838" s="225"/>
      <c r="G838" s="71"/>
      <c r="H838" s="75"/>
      <c r="I838" s="20"/>
      <c r="J838" s="204"/>
      <c r="K838" s="204"/>
      <c r="L838" s="204"/>
      <c r="M838" s="204"/>
      <c r="N838" s="204"/>
      <c r="O838" s="74"/>
      <c r="P838" s="263"/>
      <c r="Q838" s="68"/>
      <c r="R838" s="93"/>
      <c r="S838" s="13">
        <f ca="1">IF(ISBLANK(Table2[[#This Row],[Complete corrective actions (Approved Date)]]), TODAY()-Table2[[#This Row],[CAR initialized date]], "CLOSED")</f>
        <v>46077</v>
      </c>
    </row>
    <row r="839" spans="1:19" ht="36" customHeight="1" x14ac:dyDescent="0.25">
      <c r="A839" s="71"/>
      <c r="B839" s="13" t="e">
        <f>VLOOKUP(Table2[[#This Row],[Location 
(drop-down)]],'List source'!D$2:E$71,2,FALSE)</f>
        <v>#N/A</v>
      </c>
      <c r="C839" s="11" t="s">
        <v>1665</v>
      </c>
      <c r="D839" s="212" t="e">
        <f t="shared" si="14"/>
        <v>#N/A</v>
      </c>
      <c r="E839" s="220"/>
      <c r="F839" s="225"/>
      <c r="G839" s="71"/>
      <c r="H839" s="75"/>
      <c r="I839" s="20"/>
      <c r="J839" s="204"/>
      <c r="K839" s="204"/>
      <c r="L839" s="204"/>
      <c r="M839" s="204"/>
      <c r="N839" s="204"/>
      <c r="O839" s="74"/>
      <c r="P839" s="263"/>
      <c r="Q839" s="68"/>
      <c r="R839" s="93"/>
      <c r="S839" s="13">
        <f ca="1">IF(ISBLANK(Table2[[#This Row],[Complete corrective actions (Approved Date)]]), TODAY()-Table2[[#This Row],[CAR initialized date]], "CLOSED")</f>
        <v>46077</v>
      </c>
    </row>
    <row r="840" spans="1:19" ht="36" customHeight="1" x14ac:dyDescent="0.25">
      <c r="A840" s="71"/>
      <c r="B840" s="13" t="e">
        <f>VLOOKUP(Table2[[#This Row],[Location 
(drop-down)]],'List source'!D$2:E$71,2,FALSE)</f>
        <v>#N/A</v>
      </c>
      <c r="C840" s="11" t="s">
        <v>1666</v>
      </c>
      <c r="D840" s="212" t="e">
        <f t="shared" si="14"/>
        <v>#N/A</v>
      </c>
      <c r="E840" s="220"/>
      <c r="F840" s="225"/>
      <c r="G840" s="71"/>
      <c r="H840" s="75"/>
      <c r="I840" s="20"/>
      <c r="J840" s="204"/>
      <c r="K840" s="204"/>
      <c r="L840" s="204"/>
      <c r="M840" s="204"/>
      <c r="N840" s="204"/>
      <c r="O840" s="74"/>
      <c r="P840" s="263"/>
      <c r="Q840" s="68"/>
      <c r="R840" s="93"/>
      <c r="S840" s="13">
        <f ca="1">IF(ISBLANK(Table2[[#This Row],[Complete corrective actions (Approved Date)]]), TODAY()-Table2[[#This Row],[CAR initialized date]], "CLOSED")</f>
        <v>46077</v>
      </c>
    </row>
    <row r="841" spans="1:19" ht="36" customHeight="1" x14ac:dyDescent="0.25">
      <c r="A841" s="71"/>
      <c r="B841" s="13" t="e">
        <f>VLOOKUP(Table2[[#This Row],[Location 
(drop-down)]],'List source'!D$2:E$71,2,FALSE)</f>
        <v>#N/A</v>
      </c>
      <c r="C841" s="11" t="s">
        <v>1667</v>
      </c>
      <c r="D841" s="212" t="e">
        <f t="shared" si="14"/>
        <v>#N/A</v>
      </c>
      <c r="E841" s="220"/>
      <c r="F841" s="225"/>
      <c r="G841" s="71"/>
      <c r="H841" s="75"/>
      <c r="I841" s="20"/>
      <c r="J841" s="204"/>
      <c r="K841" s="204"/>
      <c r="L841" s="204"/>
      <c r="M841" s="204"/>
      <c r="N841" s="204"/>
      <c r="O841" s="74"/>
      <c r="P841" s="263"/>
      <c r="Q841" s="68"/>
      <c r="R841" s="93"/>
      <c r="S841" s="13">
        <f ca="1">IF(ISBLANK(Table2[[#This Row],[Complete corrective actions (Approved Date)]]), TODAY()-Table2[[#This Row],[CAR initialized date]], "CLOSED")</f>
        <v>46077</v>
      </c>
    </row>
    <row r="842" spans="1:19" ht="36" customHeight="1" x14ac:dyDescent="0.25">
      <c r="A842" s="71"/>
      <c r="B842" s="13" t="e">
        <f>VLOOKUP(Table2[[#This Row],[Location 
(drop-down)]],'List source'!D$2:E$71,2,FALSE)</f>
        <v>#N/A</v>
      </c>
      <c r="C842" s="11" t="s">
        <v>1668</v>
      </c>
      <c r="D842" s="212" t="e">
        <f t="shared" si="14"/>
        <v>#N/A</v>
      </c>
      <c r="E842" s="220"/>
      <c r="F842" s="225"/>
      <c r="G842" s="71"/>
      <c r="H842" s="75"/>
      <c r="I842" s="20"/>
      <c r="J842" s="204"/>
      <c r="K842" s="204"/>
      <c r="L842" s="204"/>
      <c r="M842" s="204"/>
      <c r="N842" s="204"/>
      <c r="O842" s="74"/>
      <c r="P842" s="263"/>
      <c r="Q842" s="68"/>
      <c r="R842" s="93"/>
      <c r="S842" s="13">
        <f ca="1">IF(ISBLANK(Table2[[#This Row],[Complete corrective actions (Approved Date)]]), TODAY()-Table2[[#This Row],[CAR initialized date]], "CLOSED")</f>
        <v>46077</v>
      </c>
    </row>
    <row r="843" spans="1:19" ht="36" customHeight="1" x14ac:dyDescent="0.25">
      <c r="A843" s="71"/>
      <c r="B843" s="13" t="e">
        <f>VLOOKUP(Table2[[#This Row],[Location 
(drop-down)]],'List source'!D$2:E$71,2,FALSE)</f>
        <v>#N/A</v>
      </c>
      <c r="C843" s="11" t="s">
        <v>1669</v>
      </c>
      <c r="D843" s="212" t="e">
        <f t="shared" si="14"/>
        <v>#N/A</v>
      </c>
      <c r="E843" s="220"/>
      <c r="F843" s="225"/>
      <c r="G843" s="71"/>
      <c r="H843" s="75"/>
      <c r="I843" s="20"/>
      <c r="J843" s="204"/>
      <c r="K843" s="204"/>
      <c r="L843" s="204"/>
      <c r="M843" s="204"/>
      <c r="N843" s="204"/>
      <c r="O843" s="74"/>
      <c r="P843" s="263"/>
      <c r="Q843" s="68"/>
      <c r="R843" s="93"/>
      <c r="S843" s="13">
        <f ca="1">IF(ISBLANK(Table2[[#This Row],[Complete corrective actions (Approved Date)]]), TODAY()-Table2[[#This Row],[CAR initialized date]], "CLOSED")</f>
        <v>46077</v>
      </c>
    </row>
    <row r="844" spans="1:19" ht="36" customHeight="1" x14ac:dyDescent="0.25">
      <c r="A844" s="71"/>
      <c r="B844" s="13" t="e">
        <f>VLOOKUP(Table2[[#This Row],[Location 
(drop-down)]],'List source'!D$2:E$71,2,FALSE)</f>
        <v>#N/A</v>
      </c>
      <c r="C844" s="11" t="s">
        <v>1670</v>
      </c>
      <c r="D844" s="212" t="e">
        <f t="shared" si="14"/>
        <v>#N/A</v>
      </c>
      <c r="E844" s="220"/>
      <c r="F844" s="225"/>
      <c r="G844" s="71"/>
      <c r="H844" s="75"/>
      <c r="I844" s="20"/>
      <c r="J844" s="204"/>
      <c r="K844" s="204"/>
      <c r="L844" s="204"/>
      <c r="M844" s="204"/>
      <c r="N844" s="204"/>
      <c r="O844" s="74"/>
      <c r="P844" s="263"/>
      <c r="Q844" s="68"/>
      <c r="R844" s="93"/>
      <c r="S844" s="13">
        <f ca="1">IF(ISBLANK(Table2[[#This Row],[Complete corrective actions (Approved Date)]]), TODAY()-Table2[[#This Row],[CAR initialized date]], "CLOSED")</f>
        <v>46077</v>
      </c>
    </row>
    <row r="845" spans="1:19" ht="36" customHeight="1" x14ac:dyDescent="0.25">
      <c r="A845" s="71"/>
      <c r="B845" s="13" t="e">
        <f>VLOOKUP(Table2[[#This Row],[Location 
(drop-down)]],'List source'!D$2:E$71,2,FALSE)</f>
        <v>#N/A</v>
      </c>
      <c r="C845" s="11" t="s">
        <v>1671</v>
      </c>
      <c r="D845" s="212" t="e">
        <f t="shared" si="14"/>
        <v>#N/A</v>
      </c>
      <c r="E845" s="220"/>
      <c r="F845" s="225"/>
      <c r="G845" s="71"/>
      <c r="H845" s="75"/>
      <c r="I845" s="20"/>
      <c r="J845" s="204"/>
      <c r="K845" s="204"/>
      <c r="L845" s="204"/>
      <c r="M845" s="204"/>
      <c r="N845" s="204"/>
      <c r="O845" s="74"/>
      <c r="P845" s="263"/>
      <c r="Q845" s="68"/>
      <c r="R845" s="93"/>
      <c r="S845" s="13">
        <f ca="1">IF(ISBLANK(Table2[[#This Row],[Complete corrective actions (Approved Date)]]), TODAY()-Table2[[#This Row],[CAR initialized date]], "CLOSED")</f>
        <v>46077</v>
      </c>
    </row>
    <row r="846" spans="1:19" ht="36" customHeight="1" x14ac:dyDescent="0.25">
      <c r="A846" s="71"/>
      <c r="B846" s="13" t="e">
        <f>VLOOKUP(Table2[[#This Row],[Location 
(drop-down)]],'List source'!D$2:E$71,2,FALSE)</f>
        <v>#N/A</v>
      </c>
      <c r="C846" s="11" t="s">
        <v>1672</v>
      </c>
      <c r="D846" s="212" t="e">
        <f t="shared" si="14"/>
        <v>#N/A</v>
      </c>
      <c r="E846" s="220"/>
      <c r="F846" s="225"/>
      <c r="G846" s="71"/>
      <c r="H846" s="75"/>
      <c r="I846" s="20"/>
      <c r="J846" s="204"/>
      <c r="K846" s="204"/>
      <c r="L846" s="204"/>
      <c r="M846" s="204"/>
      <c r="N846" s="204"/>
      <c r="O846" s="74"/>
      <c r="P846" s="263"/>
      <c r="Q846" s="68"/>
      <c r="R846" s="93"/>
      <c r="S846" s="13">
        <f ca="1">IF(ISBLANK(Table2[[#This Row],[Complete corrective actions (Approved Date)]]), TODAY()-Table2[[#This Row],[CAR initialized date]], "CLOSED")</f>
        <v>46077</v>
      </c>
    </row>
    <row r="847" spans="1:19" ht="36" customHeight="1" x14ac:dyDescent="0.25">
      <c r="A847" s="71"/>
      <c r="B847" s="13" t="e">
        <f>VLOOKUP(Table2[[#This Row],[Location 
(drop-down)]],'List source'!D$2:E$71,2,FALSE)</f>
        <v>#N/A</v>
      </c>
      <c r="C847" s="11" t="s">
        <v>1673</v>
      </c>
      <c r="D847" s="212" t="e">
        <f t="shared" si="14"/>
        <v>#N/A</v>
      </c>
      <c r="E847" s="220"/>
      <c r="F847" s="225"/>
      <c r="G847" s="71"/>
      <c r="H847" s="75"/>
      <c r="I847" s="20"/>
      <c r="J847" s="204"/>
      <c r="K847" s="204"/>
      <c r="L847" s="204"/>
      <c r="M847" s="204"/>
      <c r="N847" s="204"/>
      <c r="O847" s="74"/>
      <c r="P847" s="263"/>
      <c r="Q847" s="68"/>
      <c r="R847" s="93"/>
      <c r="S847" s="13">
        <f ca="1">IF(ISBLANK(Table2[[#This Row],[Complete corrective actions (Approved Date)]]), TODAY()-Table2[[#This Row],[CAR initialized date]], "CLOSED")</f>
        <v>46077</v>
      </c>
    </row>
    <row r="848" spans="1:19" ht="36" customHeight="1" x14ac:dyDescent="0.25">
      <c r="A848" s="71"/>
      <c r="B848" s="13" t="e">
        <f>VLOOKUP(Table2[[#This Row],[Location 
(drop-down)]],'List source'!D$2:E$71,2,FALSE)</f>
        <v>#N/A</v>
      </c>
      <c r="C848" s="11" t="s">
        <v>1674</v>
      </c>
      <c r="D848" s="212" t="e">
        <f t="shared" si="14"/>
        <v>#N/A</v>
      </c>
      <c r="E848" s="220"/>
      <c r="F848" s="225"/>
      <c r="G848" s="71"/>
      <c r="H848" s="75"/>
      <c r="I848" s="20"/>
      <c r="J848" s="204"/>
      <c r="K848" s="204"/>
      <c r="L848" s="204"/>
      <c r="M848" s="204"/>
      <c r="N848" s="204"/>
      <c r="O848" s="74"/>
      <c r="P848" s="263"/>
      <c r="Q848" s="68"/>
      <c r="R848" s="93"/>
      <c r="S848" s="13">
        <f ca="1">IF(ISBLANK(Table2[[#This Row],[Complete corrective actions (Approved Date)]]), TODAY()-Table2[[#This Row],[CAR initialized date]], "CLOSED")</f>
        <v>46077</v>
      </c>
    </row>
    <row r="849" spans="1:19" ht="36" customHeight="1" x14ac:dyDescent="0.25">
      <c r="A849" s="71"/>
      <c r="B849" s="13" t="e">
        <f>VLOOKUP(Table2[[#This Row],[Location 
(drop-down)]],'List source'!D$2:E$71,2,FALSE)</f>
        <v>#N/A</v>
      </c>
      <c r="C849" s="11" t="s">
        <v>1675</v>
      </c>
      <c r="D849" s="212" t="e">
        <f t="shared" si="14"/>
        <v>#N/A</v>
      </c>
      <c r="E849" s="220"/>
      <c r="F849" s="225"/>
      <c r="G849" s="71"/>
      <c r="H849" s="75"/>
      <c r="I849" s="20"/>
      <c r="J849" s="204"/>
      <c r="K849" s="204"/>
      <c r="L849" s="204"/>
      <c r="M849" s="204"/>
      <c r="N849" s="204"/>
      <c r="O849" s="74"/>
      <c r="P849" s="263"/>
      <c r="Q849" s="68"/>
      <c r="R849" s="93"/>
      <c r="S849" s="13">
        <f ca="1">IF(ISBLANK(Table2[[#This Row],[Complete corrective actions (Approved Date)]]), TODAY()-Table2[[#This Row],[CAR initialized date]], "CLOSED")</f>
        <v>46077</v>
      </c>
    </row>
    <row r="850" spans="1:19" ht="36" customHeight="1" x14ac:dyDescent="0.25">
      <c r="A850" s="71"/>
      <c r="B850" s="13" t="e">
        <f>VLOOKUP(Table2[[#This Row],[Location 
(drop-down)]],'List source'!D$2:E$71,2,FALSE)</f>
        <v>#N/A</v>
      </c>
      <c r="C850" s="11" t="s">
        <v>1676</v>
      </c>
      <c r="D850" s="212" t="e">
        <f t="shared" si="14"/>
        <v>#N/A</v>
      </c>
      <c r="E850" s="220"/>
      <c r="F850" s="225"/>
      <c r="G850" s="71"/>
      <c r="H850" s="75"/>
      <c r="I850" s="20"/>
      <c r="J850" s="204"/>
      <c r="K850" s="204"/>
      <c r="L850" s="204"/>
      <c r="M850" s="204"/>
      <c r="N850" s="204"/>
      <c r="O850" s="74"/>
      <c r="P850" s="263"/>
      <c r="Q850" s="68"/>
      <c r="R850" s="93"/>
      <c r="S850" s="13">
        <f ca="1">IF(ISBLANK(Table2[[#This Row],[Complete corrective actions (Approved Date)]]), TODAY()-Table2[[#This Row],[CAR initialized date]], "CLOSED")</f>
        <v>46077</v>
      </c>
    </row>
    <row r="851" spans="1:19" ht="36" customHeight="1" x14ac:dyDescent="0.25">
      <c r="A851" s="71"/>
      <c r="B851" s="13" t="e">
        <f>VLOOKUP(Table2[[#This Row],[Location 
(drop-down)]],'List source'!D$2:E$71,2,FALSE)</f>
        <v>#N/A</v>
      </c>
      <c r="C851" s="11" t="s">
        <v>1677</v>
      </c>
      <c r="D851" s="212" t="e">
        <f t="shared" si="14"/>
        <v>#N/A</v>
      </c>
      <c r="E851" s="220"/>
      <c r="F851" s="225"/>
      <c r="G851" s="71"/>
      <c r="H851" s="75"/>
      <c r="I851" s="20"/>
      <c r="J851" s="204"/>
      <c r="K851" s="204"/>
      <c r="L851" s="204"/>
      <c r="M851" s="204"/>
      <c r="N851" s="204"/>
      <c r="O851" s="74"/>
      <c r="P851" s="263"/>
      <c r="Q851" s="68"/>
      <c r="R851" s="93"/>
      <c r="S851" s="13">
        <f ca="1">IF(ISBLANK(Table2[[#This Row],[Complete corrective actions (Approved Date)]]), TODAY()-Table2[[#This Row],[CAR initialized date]], "CLOSED")</f>
        <v>46077</v>
      </c>
    </row>
    <row r="852" spans="1:19" ht="36" customHeight="1" x14ac:dyDescent="0.25">
      <c r="A852" s="71"/>
      <c r="B852" s="13" t="e">
        <f>VLOOKUP(Table2[[#This Row],[Location 
(drop-down)]],'List source'!D$2:E$71,2,FALSE)</f>
        <v>#N/A</v>
      </c>
      <c r="C852" s="11" t="s">
        <v>1678</v>
      </c>
      <c r="D852" s="212" t="e">
        <f t="shared" si="14"/>
        <v>#N/A</v>
      </c>
      <c r="E852" s="220"/>
      <c r="F852" s="225"/>
      <c r="G852" s="71"/>
      <c r="H852" s="75"/>
      <c r="I852" s="20"/>
      <c r="J852" s="204"/>
      <c r="K852" s="204"/>
      <c r="L852" s="204"/>
      <c r="M852" s="204"/>
      <c r="N852" s="204"/>
      <c r="O852" s="74"/>
      <c r="P852" s="263"/>
      <c r="Q852" s="68"/>
      <c r="R852" s="93"/>
      <c r="S852" s="13">
        <f ca="1">IF(ISBLANK(Table2[[#This Row],[Complete corrective actions (Approved Date)]]), TODAY()-Table2[[#This Row],[CAR initialized date]], "CLOSED")</f>
        <v>46077</v>
      </c>
    </row>
    <row r="853" spans="1:19" ht="36" customHeight="1" x14ac:dyDescent="0.25">
      <c r="A853" s="71"/>
      <c r="B853" s="13" t="e">
        <f>VLOOKUP(Table2[[#This Row],[Location 
(drop-down)]],'List source'!D$2:E$71,2,FALSE)</f>
        <v>#N/A</v>
      </c>
      <c r="C853" s="11" t="s">
        <v>1679</v>
      </c>
      <c r="D853" s="212" t="e">
        <f t="shared" si="14"/>
        <v>#N/A</v>
      </c>
      <c r="E853" s="220"/>
      <c r="F853" s="225"/>
      <c r="G853" s="71"/>
      <c r="H853" s="75"/>
      <c r="I853" s="20"/>
      <c r="J853" s="204"/>
      <c r="K853" s="204"/>
      <c r="L853" s="204"/>
      <c r="M853" s="204"/>
      <c r="N853" s="204"/>
      <c r="O853" s="74"/>
      <c r="P853" s="263"/>
      <c r="Q853" s="68"/>
      <c r="R853" s="93"/>
      <c r="S853" s="13">
        <f ca="1">IF(ISBLANK(Table2[[#This Row],[Complete corrective actions (Approved Date)]]), TODAY()-Table2[[#This Row],[CAR initialized date]], "CLOSED")</f>
        <v>46077</v>
      </c>
    </row>
    <row r="854" spans="1:19" ht="36" customHeight="1" x14ac:dyDescent="0.25">
      <c r="A854" s="71"/>
      <c r="B854" s="13" t="e">
        <f>VLOOKUP(Table2[[#This Row],[Location 
(drop-down)]],'List source'!D$2:E$71,2,FALSE)</f>
        <v>#N/A</v>
      </c>
      <c r="C854" s="11" t="s">
        <v>1680</v>
      </c>
      <c r="D854" s="212" t="e">
        <f t="shared" si="14"/>
        <v>#N/A</v>
      </c>
      <c r="E854" s="220"/>
      <c r="F854" s="225"/>
      <c r="G854" s="71"/>
      <c r="H854" s="75"/>
      <c r="I854" s="20"/>
      <c r="J854" s="204"/>
      <c r="K854" s="204"/>
      <c r="L854" s="204"/>
      <c r="M854" s="204"/>
      <c r="N854" s="204"/>
      <c r="O854" s="74"/>
      <c r="P854" s="263"/>
      <c r="Q854" s="68"/>
      <c r="R854" s="93"/>
      <c r="S854" s="13">
        <f ca="1">IF(ISBLANK(Table2[[#This Row],[Complete corrective actions (Approved Date)]]), TODAY()-Table2[[#This Row],[CAR initialized date]], "CLOSED")</f>
        <v>46077</v>
      </c>
    </row>
    <row r="855" spans="1:19" ht="36" customHeight="1" x14ac:dyDescent="0.25">
      <c r="A855" s="9"/>
      <c r="B855" s="13" t="e">
        <f>VLOOKUP(Table2[[#This Row],[Location 
(drop-down)]],'List source'!D$2:E$71,2,FALSE)</f>
        <v>#N/A</v>
      </c>
      <c r="C855" s="11" t="s">
        <v>1681</v>
      </c>
      <c r="D855" s="212" t="e">
        <f t="shared" si="14"/>
        <v>#N/A</v>
      </c>
      <c r="E855" s="224"/>
      <c r="F855" s="224"/>
      <c r="G855" s="9"/>
      <c r="H855" s="10"/>
      <c r="I855" s="20"/>
      <c r="J855" s="166"/>
      <c r="K855" s="166"/>
      <c r="L855" s="166"/>
      <c r="M855" s="166"/>
      <c r="N855" s="166"/>
      <c r="O855" s="63"/>
      <c r="P855" s="196"/>
      <c r="Q855" s="37"/>
      <c r="R855" s="93"/>
      <c r="S855" s="13">
        <f ca="1">IF(ISBLANK(Table2[[#This Row],[Complete corrective actions (Approved Date)]]), TODAY()-Table2[[#This Row],[CAR initialized date]], "CLOSED")</f>
        <v>46077</v>
      </c>
    </row>
    <row r="856" spans="1:19" ht="36" customHeight="1" x14ac:dyDescent="0.25">
      <c r="A856" s="9"/>
      <c r="B856" s="13" t="e">
        <f>VLOOKUP(Table2[[#This Row],[Location 
(drop-down)]],'List source'!D$2:E$71,2,FALSE)</f>
        <v>#N/A</v>
      </c>
      <c r="C856" s="11" t="s">
        <v>1682</v>
      </c>
      <c r="D856" s="212" t="e">
        <f t="shared" si="14"/>
        <v>#N/A</v>
      </c>
      <c r="E856" s="224"/>
      <c r="F856" s="224"/>
      <c r="G856" s="9"/>
      <c r="H856" s="10"/>
      <c r="I856" s="20"/>
      <c r="J856" s="166"/>
      <c r="K856" s="166"/>
      <c r="L856" s="166"/>
      <c r="M856" s="166"/>
      <c r="N856" s="166"/>
      <c r="O856" s="63"/>
      <c r="P856" s="196"/>
      <c r="Q856" s="37"/>
      <c r="R856" s="93"/>
      <c r="S856" s="13">
        <f ca="1">IF(ISBLANK(Table2[[#This Row],[Complete corrective actions (Approved Date)]]), TODAY()-Table2[[#This Row],[CAR initialized date]], "CLOSED")</f>
        <v>46077</v>
      </c>
    </row>
    <row r="857" spans="1:19" ht="36" customHeight="1" x14ac:dyDescent="0.25">
      <c r="A857" s="9"/>
      <c r="B857" s="13" t="e">
        <f>VLOOKUP(Table2[[#This Row],[Location 
(drop-down)]],'List source'!D$2:E$71,2,FALSE)</f>
        <v>#N/A</v>
      </c>
      <c r="C857" s="11" t="s">
        <v>1683</v>
      </c>
      <c r="D857" s="212" t="e">
        <f t="shared" si="14"/>
        <v>#N/A</v>
      </c>
      <c r="E857" s="224"/>
      <c r="F857" s="224"/>
      <c r="G857" s="9"/>
      <c r="H857" s="10"/>
      <c r="I857" s="20"/>
      <c r="J857" s="166"/>
      <c r="K857" s="166"/>
      <c r="L857" s="166"/>
      <c r="M857" s="166"/>
      <c r="N857" s="166"/>
      <c r="O857" s="63"/>
      <c r="P857" s="196"/>
      <c r="Q857" s="37"/>
      <c r="R857" s="93"/>
      <c r="S857" s="13">
        <f ca="1">IF(ISBLANK(Table2[[#This Row],[Complete corrective actions (Approved Date)]]), TODAY()-Table2[[#This Row],[CAR initialized date]], "CLOSED")</f>
        <v>46077</v>
      </c>
    </row>
    <row r="858" spans="1:19" ht="36" customHeight="1" x14ac:dyDescent="0.25">
      <c r="A858" s="9"/>
      <c r="B858" s="13" t="e">
        <f>VLOOKUP(Table2[[#This Row],[Location 
(drop-down)]],'List source'!D$2:E$71,2,FALSE)</f>
        <v>#N/A</v>
      </c>
      <c r="C858" s="11" t="s">
        <v>1684</v>
      </c>
      <c r="D858" s="212" t="e">
        <f t="shared" si="14"/>
        <v>#N/A</v>
      </c>
      <c r="E858" s="224"/>
      <c r="F858" s="224"/>
      <c r="G858" s="9"/>
      <c r="H858" s="10"/>
      <c r="I858" s="20"/>
      <c r="J858" s="166"/>
      <c r="K858" s="166"/>
      <c r="L858" s="166"/>
      <c r="M858" s="166"/>
      <c r="N858" s="166"/>
      <c r="O858" s="63"/>
      <c r="P858" s="196"/>
      <c r="Q858" s="37"/>
      <c r="R858" s="93"/>
      <c r="S858" s="13">
        <f ca="1">IF(ISBLANK(Table2[[#This Row],[Complete corrective actions (Approved Date)]]), TODAY()-Table2[[#This Row],[CAR initialized date]], "CLOSED")</f>
        <v>46077</v>
      </c>
    </row>
    <row r="859" spans="1:19" ht="36" customHeight="1" x14ac:dyDescent="0.25">
      <c r="A859" s="9"/>
      <c r="B859" s="13" t="e">
        <f>VLOOKUP(Table2[[#This Row],[Location 
(drop-down)]],'List source'!D$2:E$71,2,FALSE)</f>
        <v>#N/A</v>
      </c>
      <c r="C859" s="11" t="s">
        <v>1685</v>
      </c>
      <c r="D859" s="212" t="e">
        <f t="shared" si="14"/>
        <v>#N/A</v>
      </c>
      <c r="E859" s="224"/>
      <c r="F859" s="224"/>
      <c r="G859" s="9"/>
      <c r="H859" s="10"/>
      <c r="I859" s="20"/>
      <c r="J859" s="166"/>
      <c r="K859" s="166"/>
      <c r="L859" s="166"/>
      <c r="M859" s="166"/>
      <c r="N859" s="166"/>
      <c r="O859" s="63"/>
      <c r="P859" s="196"/>
      <c r="Q859" s="37"/>
      <c r="R859" s="93"/>
      <c r="S859" s="13">
        <f ca="1">IF(ISBLANK(Table2[[#This Row],[Complete corrective actions (Approved Date)]]), TODAY()-Table2[[#This Row],[CAR initialized date]], "CLOSED")</f>
        <v>46077</v>
      </c>
    </row>
    <row r="860" spans="1:19" ht="36" customHeight="1" x14ac:dyDescent="0.25">
      <c r="A860" s="9"/>
      <c r="B860" s="13" t="e">
        <f>VLOOKUP(Table2[[#This Row],[Location 
(drop-down)]],'List source'!D$2:E$71,2,FALSE)</f>
        <v>#N/A</v>
      </c>
      <c r="C860" s="11" t="s">
        <v>1686</v>
      </c>
      <c r="D860" s="212" t="e">
        <f t="shared" si="14"/>
        <v>#N/A</v>
      </c>
      <c r="E860" s="224"/>
      <c r="F860" s="224"/>
      <c r="G860" s="9"/>
      <c r="H860" s="10"/>
      <c r="I860" s="20"/>
      <c r="J860" s="166"/>
      <c r="K860" s="166"/>
      <c r="L860" s="166"/>
      <c r="M860" s="166"/>
      <c r="N860" s="166"/>
      <c r="O860" s="63"/>
      <c r="P860" s="196"/>
      <c r="Q860" s="37"/>
      <c r="R860" s="93"/>
      <c r="S860" s="13">
        <f ca="1">IF(ISBLANK(Table2[[#This Row],[Complete corrective actions (Approved Date)]]), TODAY()-Table2[[#This Row],[CAR initialized date]], "CLOSED")</f>
        <v>46077</v>
      </c>
    </row>
    <row r="861" spans="1:19" ht="36" customHeight="1" x14ac:dyDescent="0.25">
      <c r="A861" s="9"/>
      <c r="B861" s="13" t="e">
        <f>VLOOKUP(Table2[[#This Row],[Location 
(drop-down)]],'List source'!D$2:E$71,2,FALSE)</f>
        <v>#N/A</v>
      </c>
      <c r="C861" s="11" t="s">
        <v>1687</v>
      </c>
      <c r="D861" s="212" t="e">
        <f t="shared" si="14"/>
        <v>#N/A</v>
      </c>
      <c r="E861" s="224"/>
      <c r="F861" s="224"/>
      <c r="G861" s="9"/>
      <c r="H861" s="10"/>
      <c r="I861" s="20"/>
      <c r="J861" s="166"/>
      <c r="K861" s="166"/>
      <c r="L861" s="166"/>
      <c r="M861" s="166"/>
      <c r="N861" s="166"/>
      <c r="O861" s="63"/>
      <c r="P861" s="196"/>
      <c r="Q861" s="37"/>
      <c r="R861" s="93"/>
      <c r="S861" s="13">
        <f ca="1">IF(ISBLANK(Table2[[#This Row],[Complete corrective actions (Approved Date)]]), TODAY()-Table2[[#This Row],[CAR initialized date]], "CLOSED")</f>
        <v>46077</v>
      </c>
    </row>
    <row r="862" spans="1:19" ht="36" customHeight="1" x14ac:dyDescent="0.25">
      <c r="A862" s="9"/>
      <c r="B862" s="13" t="e">
        <f>VLOOKUP(Table2[[#This Row],[Location 
(drop-down)]],'List source'!D$2:E$71,2,FALSE)</f>
        <v>#N/A</v>
      </c>
      <c r="C862" s="11" t="s">
        <v>1688</v>
      </c>
      <c r="D862" s="212" t="e">
        <f t="shared" si="14"/>
        <v>#N/A</v>
      </c>
      <c r="E862" s="224"/>
      <c r="F862" s="224"/>
      <c r="G862" s="9"/>
      <c r="H862" s="10"/>
      <c r="I862" s="20"/>
      <c r="J862" s="166"/>
      <c r="K862" s="166"/>
      <c r="L862" s="166"/>
      <c r="M862" s="166"/>
      <c r="N862" s="166"/>
      <c r="O862" s="63"/>
      <c r="P862" s="196"/>
      <c r="Q862" s="37"/>
      <c r="R862" s="93"/>
      <c r="S862" s="13">
        <f ca="1">IF(ISBLANK(Table2[[#This Row],[Complete corrective actions (Approved Date)]]), TODAY()-Table2[[#This Row],[CAR initialized date]], "CLOSED")</f>
        <v>46077</v>
      </c>
    </row>
    <row r="863" spans="1:19" ht="36" customHeight="1" x14ac:dyDescent="0.25">
      <c r="A863" s="9"/>
      <c r="B863" s="13" t="e">
        <f>VLOOKUP(Table2[[#This Row],[Location 
(drop-down)]],'List source'!D$2:E$71,2,FALSE)</f>
        <v>#N/A</v>
      </c>
      <c r="C863" s="11" t="s">
        <v>1689</v>
      </c>
      <c r="D863" s="212" t="e">
        <f t="shared" si="14"/>
        <v>#N/A</v>
      </c>
      <c r="E863" s="224"/>
      <c r="F863" s="224"/>
      <c r="G863" s="9"/>
      <c r="H863" s="10"/>
      <c r="I863" s="20"/>
      <c r="J863" s="166"/>
      <c r="K863" s="166"/>
      <c r="L863" s="166"/>
      <c r="M863" s="166"/>
      <c r="N863" s="166"/>
      <c r="O863" s="63"/>
      <c r="P863" s="196"/>
      <c r="Q863" s="37"/>
      <c r="R863" s="93"/>
      <c r="S863" s="13">
        <f ca="1">IF(ISBLANK(Table2[[#This Row],[Complete corrective actions (Approved Date)]]), TODAY()-Table2[[#This Row],[CAR initialized date]], "CLOSED")</f>
        <v>46077</v>
      </c>
    </row>
    <row r="864" spans="1:19" ht="36" customHeight="1" x14ac:dyDescent="0.25">
      <c r="A864" s="9"/>
      <c r="B864" s="13" t="e">
        <f>VLOOKUP(Table2[[#This Row],[Location 
(drop-down)]],'List source'!D$2:E$71,2,FALSE)</f>
        <v>#N/A</v>
      </c>
      <c r="C864" s="11" t="s">
        <v>1690</v>
      </c>
      <c r="D864" s="212" t="e">
        <f t="shared" si="14"/>
        <v>#N/A</v>
      </c>
      <c r="E864" s="224"/>
      <c r="F864" s="224"/>
      <c r="G864" s="9"/>
      <c r="H864" s="10"/>
      <c r="I864" s="20"/>
      <c r="J864" s="166"/>
      <c r="K864" s="166"/>
      <c r="L864" s="166"/>
      <c r="M864" s="166"/>
      <c r="N864" s="166"/>
      <c r="O864" s="63"/>
      <c r="P864" s="196"/>
      <c r="Q864" s="37"/>
      <c r="R864" s="93"/>
      <c r="S864" s="13">
        <f ca="1">IF(ISBLANK(Table2[[#This Row],[Complete corrective actions (Approved Date)]]), TODAY()-Table2[[#This Row],[CAR initialized date]], "CLOSED")</f>
        <v>46077</v>
      </c>
    </row>
    <row r="865" spans="1:19" ht="36" customHeight="1" x14ac:dyDescent="0.25">
      <c r="A865" s="9"/>
      <c r="B865" s="13" t="e">
        <f>VLOOKUP(Table2[[#This Row],[Location 
(drop-down)]],'List source'!D$2:E$71,2,FALSE)</f>
        <v>#N/A</v>
      </c>
      <c r="C865" s="11" t="s">
        <v>1691</v>
      </c>
      <c r="D865" s="212" t="e">
        <f t="shared" si="14"/>
        <v>#N/A</v>
      </c>
      <c r="E865" s="224"/>
      <c r="F865" s="224"/>
      <c r="G865" s="9"/>
      <c r="H865" s="10"/>
      <c r="I865" s="20"/>
      <c r="J865" s="166"/>
      <c r="K865" s="166"/>
      <c r="L865" s="166"/>
      <c r="M865" s="166"/>
      <c r="N865" s="166"/>
      <c r="O865" s="63"/>
      <c r="P865" s="196"/>
      <c r="Q865" s="37"/>
      <c r="R865" s="93"/>
      <c r="S865" s="13">
        <f ca="1">IF(ISBLANK(Table2[[#This Row],[Complete corrective actions (Approved Date)]]), TODAY()-Table2[[#This Row],[CAR initialized date]], "CLOSED")</f>
        <v>46077</v>
      </c>
    </row>
    <row r="866" spans="1:19" ht="36" customHeight="1" x14ac:dyDescent="0.25">
      <c r="A866" s="9"/>
      <c r="B866" s="13" t="e">
        <f>VLOOKUP(Table2[[#This Row],[Location 
(drop-down)]],'List source'!D$2:E$71,2,FALSE)</f>
        <v>#N/A</v>
      </c>
      <c r="C866" s="11" t="s">
        <v>1692</v>
      </c>
      <c r="D866" s="212" t="e">
        <f t="shared" si="14"/>
        <v>#N/A</v>
      </c>
      <c r="E866" s="224"/>
      <c r="F866" s="224"/>
      <c r="G866" s="9"/>
      <c r="H866" s="10"/>
      <c r="I866" s="20"/>
      <c r="J866" s="166"/>
      <c r="K866" s="166"/>
      <c r="L866" s="166"/>
      <c r="M866" s="166"/>
      <c r="N866" s="166"/>
      <c r="O866" s="63"/>
      <c r="P866" s="196"/>
      <c r="Q866" s="37"/>
      <c r="R866" s="93"/>
      <c r="S866" s="13">
        <f ca="1">IF(ISBLANK(Table2[[#This Row],[Complete corrective actions (Approved Date)]]), TODAY()-Table2[[#This Row],[CAR initialized date]], "CLOSED")</f>
        <v>46077</v>
      </c>
    </row>
    <row r="867" spans="1:19" ht="36" customHeight="1" x14ac:dyDescent="0.25">
      <c r="A867" s="9"/>
      <c r="B867" s="13" t="e">
        <f>VLOOKUP(Table2[[#This Row],[Location 
(drop-down)]],'List source'!D$2:E$71,2,FALSE)</f>
        <v>#N/A</v>
      </c>
      <c r="C867" s="11" t="s">
        <v>1693</v>
      </c>
      <c r="D867" s="212" t="e">
        <f t="shared" si="14"/>
        <v>#N/A</v>
      </c>
      <c r="E867" s="224"/>
      <c r="F867" s="224"/>
      <c r="G867" s="9"/>
      <c r="H867" s="10"/>
      <c r="I867" s="20"/>
      <c r="J867" s="166"/>
      <c r="K867" s="166"/>
      <c r="L867" s="166"/>
      <c r="M867" s="166"/>
      <c r="N867" s="166"/>
      <c r="O867" s="63"/>
      <c r="P867" s="196"/>
      <c r="Q867" s="37"/>
      <c r="R867" s="93"/>
      <c r="S867" s="13">
        <f ca="1">IF(ISBLANK(Table2[[#This Row],[Complete corrective actions (Approved Date)]]), TODAY()-Table2[[#This Row],[CAR initialized date]], "CLOSED")</f>
        <v>46077</v>
      </c>
    </row>
    <row r="868" spans="1:19" ht="36" customHeight="1" x14ac:dyDescent="0.25">
      <c r="A868" s="9"/>
      <c r="B868" s="13" t="e">
        <f>VLOOKUP(Table2[[#This Row],[Location 
(drop-down)]],'List source'!D$2:E$71,2,FALSE)</f>
        <v>#N/A</v>
      </c>
      <c r="C868" s="11" t="s">
        <v>1694</v>
      </c>
      <c r="D868" s="212" t="e">
        <f t="shared" si="14"/>
        <v>#N/A</v>
      </c>
      <c r="E868" s="224"/>
      <c r="F868" s="224"/>
      <c r="G868" s="9"/>
      <c r="H868" s="10"/>
      <c r="I868" s="20"/>
      <c r="J868" s="166"/>
      <c r="K868" s="166"/>
      <c r="L868" s="166"/>
      <c r="M868" s="166"/>
      <c r="N868" s="166"/>
      <c r="O868" s="63"/>
      <c r="P868" s="196"/>
      <c r="Q868" s="37"/>
      <c r="R868" s="93"/>
      <c r="S868" s="13">
        <f ca="1">IF(ISBLANK(Table2[[#This Row],[Complete corrective actions (Approved Date)]]), TODAY()-Table2[[#This Row],[CAR initialized date]], "CLOSED")</f>
        <v>46077</v>
      </c>
    </row>
    <row r="869" spans="1:19" ht="36" customHeight="1" x14ac:dyDescent="0.25">
      <c r="A869" s="9"/>
      <c r="B869" s="13" t="e">
        <f>VLOOKUP(Table2[[#This Row],[Location 
(drop-down)]],'List source'!D$2:E$71,2,FALSE)</f>
        <v>#N/A</v>
      </c>
      <c r="C869" s="11" t="s">
        <v>1695</v>
      </c>
      <c r="D869" s="212" t="e">
        <f t="shared" si="14"/>
        <v>#N/A</v>
      </c>
      <c r="E869" s="224"/>
      <c r="F869" s="224"/>
      <c r="G869" s="9"/>
      <c r="H869" s="10"/>
      <c r="I869" s="20"/>
      <c r="J869" s="166"/>
      <c r="K869" s="166"/>
      <c r="L869" s="166"/>
      <c r="M869" s="166"/>
      <c r="N869" s="166"/>
      <c r="O869" s="63"/>
      <c r="P869" s="196"/>
      <c r="Q869" s="37"/>
      <c r="R869" s="93"/>
      <c r="S869" s="13">
        <f ca="1">IF(ISBLANK(Table2[[#This Row],[Complete corrective actions (Approved Date)]]), TODAY()-Table2[[#This Row],[CAR initialized date]], "CLOSED")</f>
        <v>46077</v>
      </c>
    </row>
    <row r="870" spans="1:19" ht="36" customHeight="1" x14ac:dyDescent="0.25">
      <c r="A870" s="9"/>
      <c r="B870" s="13" t="e">
        <f>VLOOKUP(Table2[[#This Row],[Location 
(drop-down)]],'List source'!D$2:E$71,2,FALSE)</f>
        <v>#N/A</v>
      </c>
      <c r="C870" s="11" t="s">
        <v>1696</v>
      </c>
      <c r="D870" s="212" t="e">
        <f t="shared" si="14"/>
        <v>#N/A</v>
      </c>
      <c r="E870" s="224"/>
      <c r="F870" s="224"/>
      <c r="G870" s="9"/>
      <c r="H870" s="10"/>
      <c r="I870" s="20"/>
      <c r="J870" s="166"/>
      <c r="K870" s="166"/>
      <c r="L870" s="166"/>
      <c r="M870" s="166"/>
      <c r="N870" s="166"/>
      <c r="O870" s="63"/>
      <c r="P870" s="196"/>
      <c r="Q870" s="37"/>
      <c r="R870" s="93"/>
      <c r="S870" s="13">
        <f ca="1">IF(ISBLANK(Table2[[#This Row],[Complete corrective actions (Approved Date)]]), TODAY()-Table2[[#This Row],[CAR initialized date]], "CLOSED")</f>
        <v>46077</v>
      </c>
    </row>
    <row r="871" spans="1:19" ht="36" customHeight="1" x14ac:dyDescent="0.25">
      <c r="A871" s="9"/>
      <c r="B871" s="13" t="e">
        <f>VLOOKUP(Table2[[#This Row],[Location 
(drop-down)]],'List source'!D$2:E$71,2,FALSE)</f>
        <v>#N/A</v>
      </c>
      <c r="C871" s="11" t="s">
        <v>1697</v>
      </c>
      <c r="D871" s="212" t="e">
        <f t="shared" si="14"/>
        <v>#N/A</v>
      </c>
      <c r="E871" s="224"/>
      <c r="F871" s="224"/>
      <c r="G871" s="9"/>
      <c r="H871" s="10"/>
      <c r="I871" s="20"/>
      <c r="J871" s="166"/>
      <c r="K871" s="166"/>
      <c r="L871" s="166"/>
      <c r="M871" s="166"/>
      <c r="N871" s="166"/>
      <c r="O871" s="63"/>
      <c r="P871" s="196"/>
      <c r="Q871" s="37"/>
      <c r="R871" s="93"/>
      <c r="S871" s="13">
        <f ca="1">IF(ISBLANK(Table2[[#This Row],[Complete corrective actions (Approved Date)]]), TODAY()-Table2[[#This Row],[CAR initialized date]], "CLOSED")</f>
        <v>46077</v>
      </c>
    </row>
    <row r="872" spans="1:19" ht="36" customHeight="1" x14ac:dyDescent="0.25">
      <c r="A872" s="9"/>
      <c r="B872" s="13" t="e">
        <f>VLOOKUP(Table2[[#This Row],[Location 
(drop-down)]],'List source'!D$2:E$71,2,FALSE)</f>
        <v>#N/A</v>
      </c>
      <c r="C872" s="11" t="s">
        <v>1698</v>
      </c>
      <c r="D872" s="212" t="e">
        <f t="shared" si="14"/>
        <v>#N/A</v>
      </c>
      <c r="E872" s="224"/>
      <c r="F872" s="224"/>
      <c r="G872" s="9"/>
      <c r="H872" s="10"/>
      <c r="I872" s="20"/>
      <c r="J872" s="166"/>
      <c r="K872" s="166"/>
      <c r="L872" s="166"/>
      <c r="M872" s="166"/>
      <c r="N872" s="166"/>
      <c r="O872" s="63"/>
      <c r="P872" s="196"/>
      <c r="Q872" s="37"/>
      <c r="R872" s="93"/>
      <c r="S872" s="13">
        <f ca="1">IF(ISBLANK(Table2[[#This Row],[Complete corrective actions (Approved Date)]]), TODAY()-Table2[[#This Row],[CAR initialized date]], "CLOSED")</f>
        <v>46077</v>
      </c>
    </row>
    <row r="873" spans="1:19" ht="36" customHeight="1" x14ac:dyDescent="0.25">
      <c r="A873" s="9"/>
      <c r="B873" s="13" t="e">
        <f>VLOOKUP(Table2[[#This Row],[Location 
(drop-down)]],'List source'!D$2:E$71,2,FALSE)</f>
        <v>#N/A</v>
      </c>
      <c r="C873" s="11" t="s">
        <v>1699</v>
      </c>
      <c r="D873" s="212" t="e">
        <f t="shared" si="14"/>
        <v>#N/A</v>
      </c>
      <c r="E873" s="224"/>
      <c r="F873" s="224"/>
      <c r="G873" s="9"/>
      <c r="H873" s="10"/>
      <c r="I873" s="20"/>
      <c r="J873" s="166"/>
      <c r="K873" s="166"/>
      <c r="L873" s="166"/>
      <c r="M873" s="166"/>
      <c r="N873" s="166"/>
      <c r="O873" s="63"/>
      <c r="P873" s="196"/>
      <c r="Q873" s="37"/>
      <c r="R873" s="93"/>
      <c r="S873" s="13">
        <f ca="1">IF(ISBLANK(Table2[[#This Row],[Complete corrective actions (Approved Date)]]), TODAY()-Table2[[#This Row],[CAR initialized date]], "CLOSED")</f>
        <v>46077</v>
      </c>
    </row>
    <row r="874" spans="1:19" ht="36" customHeight="1" x14ac:dyDescent="0.25">
      <c r="A874" s="9"/>
      <c r="B874" s="13" t="e">
        <f>VLOOKUP(Table2[[#This Row],[Location 
(drop-down)]],'List source'!D$2:E$71,2,FALSE)</f>
        <v>#N/A</v>
      </c>
      <c r="C874" s="11" t="s">
        <v>1700</v>
      </c>
      <c r="D874" s="212" t="e">
        <f t="shared" si="14"/>
        <v>#N/A</v>
      </c>
      <c r="E874" s="224"/>
      <c r="F874" s="224"/>
      <c r="G874" s="9"/>
      <c r="H874" s="10"/>
      <c r="I874" s="20"/>
      <c r="J874" s="166"/>
      <c r="K874" s="166"/>
      <c r="L874" s="166"/>
      <c r="M874" s="166"/>
      <c r="N874" s="166"/>
      <c r="O874" s="63"/>
      <c r="P874" s="196"/>
      <c r="Q874" s="37"/>
      <c r="R874" s="93"/>
      <c r="S874" s="13">
        <f ca="1">IF(ISBLANK(Table2[[#This Row],[Complete corrective actions (Approved Date)]]), TODAY()-Table2[[#This Row],[CAR initialized date]], "CLOSED")</f>
        <v>46077</v>
      </c>
    </row>
    <row r="875" spans="1:19" ht="36" customHeight="1" x14ac:dyDescent="0.25">
      <c r="A875" s="9"/>
      <c r="B875" s="13" t="e">
        <f>VLOOKUP(Table2[[#This Row],[Location 
(drop-down)]],'List source'!D$2:E$71,2,FALSE)</f>
        <v>#N/A</v>
      </c>
      <c r="C875" s="11" t="s">
        <v>1701</v>
      </c>
      <c r="D875" s="212" t="e">
        <f t="shared" si="14"/>
        <v>#N/A</v>
      </c>
      <c r="E875" s="224"/>
      <c r="F875" s="224"/>
      <c r="G875" s="9"/>
      <c r="H875" s="10"/>
      <c r="I875" s="20"/>
      <c r="J875" s="166"/>
      <c r="K875" s="166"/>
      <c r="L875" s="166"/>
      <c r="M875" s="166"/>
      <c r="N875" s="166"/>
      <c r="O875" s="63"/>
      <c r="P875" s="196"/>
      <c r="Q875" s="37"/>
      <c r="R875" s="93"/>
      <c r="S875" s="13">
        <f ca="1">IF(ISBLANK(Table2[[#This Row],[Complete corrective actions (Approved Date)]]), TODAY()-Table2[[#This Row],[CAR initialized date]], "CLOSED")</f>
        <v>46077</v>
      </c>
    </row>
    <row r="876" spans="1:19" ht="36" customHeight="1" x14ac:dyDescent="0.25">
      <c r="A876" s="9"/>
      <c r="B876" s="13" t="e">
        <f>VLOOKUP(Table2[[#This Row],[Location 
(drop-down)]],'List source'!D$2:E$71,2,FALSE)</f>
        <v>#N/A</v>
      </c>
      <c r="C876" s="11" t="s">
        <v>1702</v>
      </c>
      <c r="D876" s="212" t="e">
        <f t="shared" si="14"/>
        <v>#N/A</v>
      </c>
      <c r="E876" s="224"/>
      <c r="F876" s="224"/>
      <c r="G876" s="9"/>
      <c r="H876" s="10"/>
      <c r="I876" s="20"/>
      <c r="J876" s="166"/>
      <c r="K876" s="166"/>
      <c r="L876" s="166"/>
      <c r="M876" s="166"/>
      <c r="N876" s="166"/>
      <c r="O876" s="63"/>
      <c r="P876" s="196"/>
      <c r="Q876" s="37"/>
      <c r="R876" s="93"/>
      <c r="S876" s="13">
        <f ca="1">IF(ISBLANK(Table2[[#This Row],[Complete corrective actions (Approved Date)]]), TODAY()-Table2[[#This Row],[CAR initialized date]], "CLOSED")</f>
        <v>46077</v>
      </c>
    </row>
    <row r="877" spans="1:19" ht="36" customHeight="1" x14ac:dyDescent="0.25">
      <c r="A877" s="9"/>
      <c r="B877" s="13" t="e">
        <f>VLOOKUP(Table2[[#This Row],[Location 
(drop-down)]],'List source'!D$2:E$71,2,FALSE)</f>
        <v>#N/A</v>
      </c>
      <c r="C877" s="11" t="s">
        <v>1703</v>
      </c>
      <c r="D877" s="212" t="e">
        <f t="shared" si="14"/>
        <v>#N/A</v>
      </c>
      <c r="E877" s="224"/>
      <c r="F877" s="224"/>
      <c r="G877" s="9"/>
      <c r="H877" s="10"/>
      <c r="I877" s="20"/>
      <c r="J877" s="166"/>
      <c r="K877" s="166"/>
      <c r="L877" s="166"/>
      <c r="M877" s="166"/>
      <c r="N877" s="166"/>
      <c r="O877" s="63"/>
      <c r="P877" s="196"/>
      <c r="Q877" s="37"/>
      <c r="R877" s="93"/>
      <c r="S877" s="13">
        <f ca="1">IF(ISBLANK(Table2[[#This Row],[Complete corrective actions (Approved Date)]]), TODAY()-Table2[[#This Row],[CAR initialized date]], "CLOSED")</f>
        <v>46077</v>
      </c>
    </row>
    <row r="878" spans="1:19" ht="36" customHeight="1" x14ac:dyDescent="0.25">
      <c r="A878" s="9"/>
      <c r="B878" s="13" t="e">
        <f>VLOOKUP(Table2[[#This Row],[Location 
(drop-down)]],'List source'!D$2:E$71,2,FALSE)</f>
        <v>#N/A</v>
      </c>
      <c r="C878" s="11" t="s">
        <v>1704</v>
      </c>
      <c r="D878" s="212" t="e">
        <f t="shared" si="14"/>
        <v>#N/A</v>
      </c>
      <c r="E878" s="224"/>
      <c r="F878" s="224"/>
      <c r="G878" s="9"/>
      <c r="H878" s="10"/>
      <c r="I878" s="20"/>
      <c r="J878" s="166"/>
      <c r="K878" s="166"/>
      <c r="L878" s="166"/>
      <c r="M878" s="166"/>
      <c r="N878" s="166"/>
      <c r="O878" s="63"/>
      <c r="P878" s="196"/>
      <c r="Q878" s="37"/>
      <c r="R878" s="93"/>
      <c r="S878" s="13">
        <f ca="1">IF(ISBLANK(Table2[[#This Row],[Complete corrective actions (Approved Date)]]), TODAY()-Table2[[#This Row],[CAR initialized date]], "CLOSED")</f>
        <v>46077</v>
      </c>
    </row>
    <row r="879" spans="1:19" ht="36" customHeight="1" x14ac:dyDescent="0.25">
      <c r="A879" s="9"/>
      <c r="B879" s="13" t="e">
        <f>VLOOKUP(Table2[[#This Row],[Location 
(drop-down)]],'List source'!D$2:E$71,2,FALSE)</f>
        <v>#N/A</v>
      </c>
      <c r="C879" s="11" t="s">
        <v>1705</v>
      </c>
      <c r="D879" s="212" t="e">
        <f t="shared" si="14"/>
        <v>#N/A</v>
      </c>
      <c r="E879" s="224"/>
      <c r="F879" s="224"/>
      <c r="G879" s="9"/>
      <c r="H879" s="10"/>
      <c r="I879" s="20"/>
      <c r="J879" s="166"/>
      <c r="K879" s="166"/>
      <c r="L879" s="166"/>
      <c r="M879" s="166"/>
      <c r="N879" s="166"/>
      <c r="O879" s="63"/>
      <c r="P879" s="196"/>
      <c r="Q879" s="37"/>
      <c r="R879" s="93"/>
      <c r="S879" s="13">
        <f ca="1">IF(ISBLANK(Table2[[#This Row],[Complete corrective actions (Approved Date)]]), TODAY()-Table2[[#This Row],[CAR initialized date]], "CLOSED")</f>
        <v>46077</v>
      </c>
    </row>
    <row r="880" spans="1:19" ht="36" customHeight="1" x14ac:dyDescent="0.25">
      <c r="A880" s="9"/>
      <c r="B880" s="13" t="e">
        <f>VLOOKUP(Table2[[#This Row],[Location 
(drop-down)]],'List source'!D$2:E$71,2,FALSE)</f>
        <v>#N/A</v>
      </c>
      <c r="C880" s="11" t="s">
        <v>1706</v>
      </c>
      <c r="D880" s="212" t="e">
        <f t="shared" si="14"/>
        <v>#N/A</v>
      </c>
      <c r="E880" s="224"/>
      <c r="F880" s="224"/>
      <c r="G880" s="9"/>
      <c r="H880" s="10"/>
      <c r="I880" s="20"/>
      <c r="J880" s="166"/>
      <c r="K880" s="166"/>
      <c r="L880" s="166"/>
      <c r="M880" s="166"/>
      <c r="N880" s="166"/>
      <c r="O880" s="63"/>
      <c r="P880" s="196"/>
      <c r="Q880" s="37"/>
      <c r="R880" s="93"/>
      <c r="S880" s="13">
        <f ca="1">IF(ISBLANK(Table2[[#This Row],[Complete corrective actions (Approved Date)]]), TODAY()-Table2[[#This Row],[CAR initialized date]], "CLOSED")</f>
        <v>46077</v>
      </c>
    </row>
    <row r="881" spans="1:19" ht="36" customHeight="1" x14ac:dyDescent="0.25">
      <c r="A881" s="9"/>
      <c r="B881" s="13" t="e">
        <f>VLOOKUP(Table2[[#This Row],[Location 
(drop-down)]],'List source'!D$2:E$71,2,FALSE)</f>
        <v>#N/A</v>
      </c>
      <c r="C881" s="11" t="s">
        <v>1707</v>
      </c>
      <c r="D881" s="212" t="e">
        <f t="shared" si="14"/>
        <v>#N/A</v>
      </c>
      <c r="E881" s="224"/>
      <c r="F881" s="224"/>
      <c r="G881" s="9"/>
      <c r="H881" s="10"/>
      <c r="I881" s="20"/>
      <c r="J881" s="166"/>
      <c r="K881" s="166"/>
      <c r="L881" s="166"/>
      <c r="M881" s="166"/>
      <c r="N881" s="166"/>
      <c r="O881" s="63"/>
      <c r="P881" s="196"/>
      <c r="Q881" s="37"/>
      <c r="R881" s="93"/>
      <c r="S881" s="13">
        <f ca="1">IF(ISBLANK(Table2[[#This Row],[Complete corrective actions (Approved Date)]]), TODAY()-Table2[[#This Row],[CAR initialized date]], "CLOSED")</f>
        <v>46077</v>
      </c>
    </row>
    <row r="882" spans="1:19" ht="36" customHeight="1" x14ac:dyDescent="0.25">
      <c r="A882" s="9"/>
      <c r="B882" s="13" t="e">
        <f>VLOOKUP(Table2[[#This Row],[Location 
(drop-down)]],'List source'!D$2:E$71,2,FALSE)</f>
        <v>#N/A</v>
      </c>
      <c r="C882" s="11" t="s">
        <v>1708</v>
      </c>
      <c r="D882" s="212" t="e">
        <f t="shared" si="14"/>
        <v>#N/A</v>
      </c>
      <c r="E882" s="224"/>
      <c r="F882" s="224"/>
      <c r="G882" s="9"/>
      <c r="H882" s="10"/>
      <c r="I882" s="20"/>
      <c r="J882" s="166"/>
      <c r="K882" s="166"/>
      <c r="L882" s="166"/>
      <c r="M882" s="166"/>
      <c r="N882" s="166"/>
      <c r="O882" s="63"/>
      <c r="P882" s="196"/>
      <c r="Q882" s="37"/>
      <c r="R882" s="93"/>
      <c r="S882" s="13">
        <f ca="1">IF(ISBLANK(Table2[[#This Row],[Complete corrective actions (Approved Date)]]), TODAY()-Table2[[#This Row],[CAR initialized date]], "CLOSED")</f>
        <v>46077</v>
      </c>
    </row>
    <row r="883" spans="1:19" ht="36" customHeight="1" x14ac:dyDescent="0.25">
      <c r="A883" s="9"/>
      <c r="B883" s="13" t="e">
        <f>VLOOKUP(Table2[[#This Row],[Location 
(drop-down)]],'List source'!D$2:E$71,2,FALSE)</f>
        <v>#N/A</v>
      </c>
      <c r="C883" s="11" t="s">
        <v>1709</v>
      </c>
      <c r="D883" s="212" t="e">
        <f t="shared" si="14"/>
        <v>#N/A</v>
      </c>
      <c r="E883" s="224"/>
      <c r="F883" s="224"/>
      <c r="G883" s="9"/>
      <c r="H883" s="10"/>
      <c r="I883" s="20"/>
      <c r="J883" s="166"/>
      <c r="K883" s="166"/>
      <c r="L883" s="166"/>
      <c r="M883" s="166"/>
      <c r="N883" s="166"/>
      <c r="O883" s="63"/>
      <c r="P883" s="196"/>
      <c r="Q883" s="37"/>
      <c r="R883" s="93"/>
      <c r="S883" s="13">
        <f ca="1">IF(ISBLANK(Table2[[#This Row],[Complete corrective actions (Approved Date)]]), TODAY()-Table2[[#This Row],[CAR initialized date]], "CLOSED")</f>
        <v>46077</v>
      </c>
    </row>
    <row r="884" spans="1:19" ht="36" customHeight="1" x14ac:dyDescent="0.25">
      <c r="A884" s="9"/>
      <c r="B884" s="13" t="e">
        <f>VLOOKUP(Table2[[#This Row],[Location 
(drop-down)]],'List source'!D$2:E$71,2,FALSE)</f>
        <v>#N/A</v>
      </c>
      <c r="C884" s="11" t="s">
        <v>1710</v>
      </c>
      <c r="D884" s="212" t="e">
        <f t="shared" si="14"/>
        <v>#N/A</v>
      </c>
      <c r="E884" s="224"/>
      <c r="F884" s="224"/>
      <c r="G884" s="9"/>
      <c r="H884" s="10"/>
      <c r="I884" s="20"/>
      <c r="J884" s="166"/>
      <c r="K884" s="166"/>
      <c r="L884" s="166"/>
      <c r="M884" s="166"/>
      <c r="N884" s="166"/>
      <c r="O884" s="63"/>
      <c r="P884" s="196"/>
      <c r="Q884" s="37"/>
      <c r="R884" s="93"/>
      <c r="S884" s="13">
        <f ca="1">IF(ISBLANK(Table2[[#This Row],[Complete corrective actions (Approved Date)]]), TODAY()-Table2[[#This Row],[CAR initialized date]], "CLOSED")</f>
        <v>46077</v>
      </c>
    </row>
    <row r="885" spans="1:19" ht="36" customHeight="1" x14ac:dyDescent="0.25">
      <c r="A885" s="9"/>
      <c r="B885" s="13" t="e">
        <f>VLOOKUP(Table2[[#This Row],[Location 
(drop-down)]],'List source'!D$2:E$71,2,FALSE)</f>
        <v>#N/A</v>
      </c>
      <c r="C885" s="11" t="s">
        <v>1711</v>
      </c>
      <c r="D885" s="212" t="e">
        <f t="shared" si="14"/>
        <v>#N/A</v>
      </c>
      <c r="E885" s="224"/>
      <c r="F885" s="224"/>
      <c r="G885" s="9"/>
      <c r="H885" s="10"/>
      <c r="I885" s="20"/>
      <c r="J885" s="166"/>
      <c r="K885" s="166"/>
      <c r="L885" s="166"/>
      <c r="M885" s="166"/>
      <c r="N885" s="166"/>
      <c r="O885" s="63"/>
      <c r="P885" s="196"/>
      <c r="Q885" s="37"/>
      <c r="R885" s="93"/>
      <c r="S885" s="13">
        <f ca="1">IF(ISBLANK(Table2[[#This Row],[Complete corrective actions (Approved Date)]]), TODAY()-Table2[[#This Row],[CAR initialized date]], "CLOSED")</f>
        <v>46077</v>
      </c>
    </row>
    <row r="886" spans="1:19" ht="36" customHeight="1" x14ac:dyDescent="0.25">
      <c r="A886" s="9"/>
      <c r="B886" s="13" t="e">
        <f>VLOOKUP(Table2[[#This Row],[Location 
(drop-down)]],'List source'!D$2:E$71,2,FALSE)</f>
        <v>#N/A</v>
      </c>
      <c r="C886" s="11" t="s">
        <v>1712</v>
      </c>
      <c r="D886" s="212" t="e">
        <f t="shared" si="14"/>
        <v>#N/A</v>
      </c>
      <c r="E886" s="224"/>
      <c r="F886" s="224"/>
      <c r="G886" s="9"/>
      <c r="H886" s="10"/>
      <c r="I886" s="20"/>
      <c r="J886" s="166"/>
      <c r="K886" s="166"/>
      <c r="L886" s="166"/>
      <c r="M886" s="166"/>
      <c r="N886" s="166"/>
      <c r="O886" s="63"/>
      <c r="P886" s="196"/>
      <c r="Q886" s="37"/>
      <c r="R886" s="93"/>
      <c r="S886" s="13">
        <f ca="1">IF(ISBLANK(Table2[[#This Row],[Complete corrective actions (Approved Date)]]), TODAY()-Table2[[#This Row],[CAR initialized date]], "CLOSED")</f>
        <v>46077</v>
      </c>
    </row>
    <row r="887" spans="1:19" ht="36" customHeight="1" x14ac:dyDescent="0.25">
      <c r="A887" s="9"/>
      <c r="B887" s="13" t="e">
        <f>VLOOKUP(Table2[[#This Row],[Location 
(drop-down)]],'List source'!D$2:E$71,2,FALSE)</f>
        <v>#N/A</v>
      </c>
      <c r="C887" s="11" t="s">
        <v>1713</v>
      </c>
      <c r="D887" s="212" t="e">
        <f t="shared" si="14"/>
        <v>#N/A</v>
      </c>
      <c r="E887" s="224"/>
      <c r="F887" s="224"/>
      <c r="G887" s="9"/>
      <c r="H887" s="10"/>
      <c r="I887" s="20"/>
      <c r="J887" s="166"/>
      <c r="K887" s="166"/>
      <c r="L887" s="166"/>
      <c r="M887" s="166"/>
      <c r="N887" s="166"/>
      <c r="O887" s="63"/>
      <c r="P887" s="196"/>
      <c r="Q887" s="37"/>
      <c r="R887" s="93"/>
      <c r="S887" s="13">
        <f ca="1">IF(ISBLANK(Table2[[#This Row],[Complete corrective actions (Approved Date)]]), TODAY()-Table2[[#This Row],[CAR initialized date]], "CLOSED")</f>
        <v>46077</v>
      </c>
    </row>
    <row r="888" spans="1:19" ht="36" customHeight="1" x14ac:dyDescent="0.25">
      <c r="A888" s="9"/>
      <c r="B888" s="13" t="e">
        <f>VLOOKUP(Table2[[#This Row],[Location 
(drop-down)]],'List source'!D$2:E$71,2,FALSE)</f>
        <v>#N/A</v>
      </c>
      <c r="C888" s="11" t="s">
        <v>1714</v>
      </c>
      <c r="D888" s="212" t="e">
        <f t="shared" si="14"/>
        <v>#N/A</v>
      </c>
      <c r="E888" s="224"/>
      <c r="F888" s="224"/>
      <c r="G888" s="9"/>
      <c r="H888" s="10"/>
      <c r="I888" s="20"/>
      <c r="J888" s="166"/>
      <c r="K888" s="166"/>
      <c r="L888" s="166"/>
      <c r="M888" s="166"/>
      <c r="N888" s="166"/>
      <c r="O888" s="63"/>
      <c r="P888" s="196"/>
      <c r="Q888" s="37"/>
      <c r="R888" s="93"/>
      <c r="S888" s="13">
        <f ca="1">IF(ISBLANK(Table2[[#This Row],[Complete corrective actions (Approved Date)]]), TODAY()-Table2[[#This Row],[CAR initialized date]], "CLOSED")</f>
        <v>46077</v>
      </c>
    </row>
    <row r="889" spans="1:19" ht="36" customHeight="1" x14ac:dyDescent="0.25">
      <c r="A889" s="9"/>
      <c r="B889" s="13" t="e">
        <f>VLOOKUP(Table2[[#This Row],[Location 
(drop-down)]],'List source'!D$2:E$71,2,FALSE)</f>
        <v>#N/A</v>
      </c>
      <c r="C889" s="11" t="s">
        <v>1715</v>
      </c>
      <c r="D889" s="212" t="e">
        <f t="shared" si="14"/>
        <v>#N/A</v>
      </c>
      <c r="E889" s="224"/>
      <c r="F889" s="224"/>
      <c r="G889" s="9"/>
      <c r="H889" s="10"/>
      <c r="I889" s="20"/>
      <c r="J889" s="166"/>
      <c r="K889" s="166"/>
      <c r="L889" s="166"/>
      <c r="M889" s="166"/>
      <c r="N889" s="166"/>
      <c r="O889" s="63"/>
      <c r="P889" s="196"/>
      <c r="Q889" s="37"/>
      <c r="R889" s="93"/>
      <c r="S889" s="13">
        <f ca="1">IF(ISBLANK(Table2[[#This Row],[Complete corrective actions (Approved Date)]]), TODAY()-Table2[[#This Row],[CAR initialized date]], "CLOSED")</f>
        <v>46077</v>
      </c>
    </row>
    <row r="890" spans="1:19" ht="36" customHeight="1" x14ac:dyDescent="0.25">
      <c r="A890" s="9"/>
      <c r="B890" s="13" t="e">
        <f>VLOOKUP(Table2[[#This Row],[Location 
(drop-down)]],'List source'!D$2:E$71,2,FALSE)</f>
        <v>#N/A</v>
      </c>
      <c r="C890" s="11" t="s">
        <v>1716</v>
      </c>
      <c r="D890" s="212" t="e">
        <f t="shared" si="14"/>
        <v>#N/A</v>
      </c>
      <c r="E890" s="224"/>
      <c r="F890" s="224"/>
      <c r="G890" s="9"/>
      <c r="H890" s="10"/>
      <c r="I890" s="20"/>
      <c r="J890" s="166"/>
      <c r="K890" s="166"/>
      <c r="L890" s="166"/>
      <c r="M890" s="166"/>
      <c r="N890" s="166"/>
      <c r="O890" s="63"/>
      <c r="P890" s="196"/>
      <c r="Q890" s="37"/>
      <c r="R890" s="93"/>
      <c r="S890" s="13">
        <f ca="1">IF(ISBLANK(Table2[[#This Row],[Complete corrective actions (Approved Date)]]), TODAY()-Table2[[#This Row],[CAR initialized date]], "CLOSED")</f>
        <v>46077</v>
      </c>
    </row>
    <row r="891" spans="1:19" ht="36" customHeight="1" x14ac:dyDescent="0.25">
      <c r="A891" s="9"/>
      <c r="B891" s="13" t="e">
        <f>VLOOKUP(Table2[[#This Row],[Location 
(drop-down)]],'List source'!D$2:E$71,2,FALSE)</f>
        <v>#N/A</v>
      </c>
      <c r="C891" s="11" t="s">
        <v>1717</v>
      </c>
      <c r="D891" s="212" t="e">
        <f t="shared" si="14"/>
        <v>#N/A</v>
      </c>
      <c r="E891" s="224"/>
      <c r="F891" s="224"/>
      <c r="G891" s="9"/>
      <c r="H891" s="10"/>
      <c r="I891" s="20"/>
      <c r="J891" s="166"/>
      <c r="K891" s="166"/>
      <c r="L891" s="166"/>
      <c r="M891" s="166"/>
      <c r="N891" s="166"/>
      <c r="O891" s="63"/>
      <c r="P891" s="196"/>
      <c r="Q891" s="37"/>
      <c r="R891" s="93"/>
      <c r="S891" s="13">
        <f ca="1">IF(ISBLANK(Table2[[#This Row],[Complete corrective actions (Approved Date)]]), TODAY()-Table2[[#This Row],[CAR initialized date]], "CLOSED")</f>
        <v>46077</v>
      </c>
    </row>
    <row r="892" spans="1:19" ht="36" customHeight="1" x14ac:dyDescent="0.25">
      <c r="A892" s="9"/>
      <c r="B892" s="13" t="e">
        <f>VLOOKUP(Table2[[#This Row],[Location 
(drop-down)]],'List source'!D$2:E$71,2,FALSE)</f>
        <v>#N/A</v>
      </c>
      <c r="C892" s="11" t="s">
        <v>1718</v>
      </c>
      <c r="D892" s="212" t="e">
        <f t="shared" si="14"/>
        <v>#N/A</v>
      </c>
      <c r="E892" s="224"/>
      <c r="F892" s="224"/>
      <c r="G892" s="9"/>
      <c r="H892" s="10"/>
      <c r="I892" s="20"/>
      <c r="J892" s="166"/>
      <c r="K892" s="166"/>
      <c r="L892" s="166"/>
      <c r="M892" s="166"/>
      <c r="N892" s="166"/>
      <c r="O892" s="63"/>
      <c r="P892" s="196"/>
      <c r="Q892" s="37"/>
      <c r="R892" s="93"/>
      <c r="S892" s="13">
        <f ca="1">IF(ISBLANK(Table2[[#This Row],[Complete corrective actions (Approved Date)]]), TODAY()-Table2[[#This Row],[CAR initialized date]], "CLOSED")</f>
        <v>46077</v>
      </c>
    </row>
    <row r="893" spans="1:19" ht="36" customHeight="1" x14ac:dyDescent="0.25">
      <c r="A893" s="9"/>
      <c r="B893" s="13" t="e">
        <f>VLOOKUP(Table2[[#This Row],[Location 
(drop-down)]],'List source'!D$2:E$71,2,FALSE)</f>
        <v>#N/A</v>
      </c>
      <c r="C893" s="11" t="s">
        <v>1719</v>
      </c>
      <c r="D893" s="212" t="e">
        <f t="shared" si="14"/>
        <v>#N/A</v>
      </c>
      <c r="E893" s="224"/>
      <c r="F893" s="224"/>
      <c r="G893" s="9"/>
      <c r="H893" s="10"/>
      <c r="I893" s="20"/>
      <c r="J893" s="166"/>
      <c r="K893" s="166"/>
      <c r="L893" s="166"/>
      <c r="M893" s="166"/>
      <c r="N893" s="166"/>
      <c r="O893" s="63"/>
      <c r="P893" s="196"/>
      <c r="Q893" s="37"/>
      <c r="R893" s="93"/>
      <c r="S893" s="13">
        <f ca="1">IF(ISBLANK(Table2[[#This Row],[Complete corrective actions (Approved Date)]]), TODAY()-Table2[[#This Row],[CAR initialized date]], "CLOSED")</f>
        <v>46077</v>
      </c>
    </row>
    <row r="894" spans="1:19" ht="36" customHeight="1" x14ac:dyDescent="0.25">
      <c r="A894" s="9"/>
      <c r="B894" s="13" t="e">
        <f>VLOOKUP(Table2[[#This Row],[Location 
(drop-down)]],'List source'!D$2:E$71,2,FALSE)</f>
        <v>#N/A</v>
      </c>
      <c r="C894" s="11" t="s">
        <v>1720</v>
      </c>
      <c r="D894" s="212" t="e">
        <f t="shared" si="14"/>
        <v>#N/A</v>
      </c>
      <c r="E894" s="224"/>
      <c r="F894" s="224"/>
      <c r="G894" s="9"/>
      <c r="H894" s="10"/>
      <c r="I894" s="20"/>
      <c r="J894" s="166"/>
      <c r="K894" s="166"/>
      <c r="L894" s="166"/>
      <c r="M894" s="166"/>
      <c r="N894" s="166"/>
      <c r="O894" s="63"/>
      <c r="P894" s="196"/>
      <c r="Q894" s="37"/>
      <c r="R894" s="93"/>
      <c r="S894" s="13">
        <f ca="1">IF(ISBLANK(Table2[[#This Row],[Complete corrective actions (Approved Date)]]), TODAY()-Table2[[#This Row],[CAR initialized date]], "CLOSED")</f>
        <v>46077</v>
      </c>
    </row>
    <row r="895" spans="1:19" ht="36" customHeight="1" x14ac:dyDescent="0.25">
      <c r="A895" s="9"/>
      <c r="B895" s="13" t="e">
        <f>VLOOKUP(Table2[[#This Row],[Location 
(drop-down)]],'List source'!D$2:E$71,2,FALSE)</f>
        <v>#N/A</v>
      </c>
      <c r="C895" s="11" t="s">
        <v>1721</v>
      </c>
      <c r="D895" s="212" t="e">
        <f t="shared" si="14"/>
        <v>#N/A</v>
      </c>
      <c r="E895" s="224"/>
      <c r="F895" s="224"/>
      <c r="G895" s="9"/>
      <c r="H895" s="10"/>
      <c r="I895" s="20"/>
      <c r="J895" s="166"/>
      <c r="K895" s="166"/>
      <c r="L895" s="166"/>
      <c r="M895" s="166"/>
      <c r="N895" s="166"/>
      <c r="O895" s="63"/>
      <c r="P895" s="196"/>
      <c r="Q895" s="37"/>
      <c r="R895" s="93"/>
      <c r="S895" s="13">
        <f ca="1">IF(ISBLANK(Table2[[#This Row],[Complete corrective actions (Approved Date)]]), TODAY()-Table2[[#This Row],[CAR initialized date]], "CLOSED")</f>
        <v>46077</v>
      </c>
    </row>
    <row r="896" spans="1:19" ht="36" customHeight="1" x14ac:dyDescent="0.25">
      <c r="A896" s="9"/>
      <c r="B896" s="13" t="e">
        <f>VLOOKUP(Table2[[#This Row],[Location 
(drop-down)]],'List source'!D$2:E$71,2,FALSE)</f>
        <v>#N/A</v>
      </c>
      <c r="C896" s="11" t="s">
        <v>1722</v>
      </c>
      <c r="D896" s="212" t="e">
        <f t="shared" si="14"/>
        <v>#N/A</v>
      </c>
      <c r="E896" s="224"/>
      <c r="F896" s="224"/>
      <c r="G896" s="9"/>
      <c r="H896" s="10"/>
      <c r="I896" s="20"/>
      <c r="J896" s="166"/>
      <c r="K896" s="166"/>
      <c r="L896" s="166"/>
      <c r="M896" s="166"/>
      <c r="N896" s="166"/>
      <c r="O896" s="63"/>
      <c r="P896" s="196"/>
      <c r="Q896" s="37"/>
      <c r="R896" s="93"/>
      <c r="S896" s="13">
        <f ca="1">IF(ISBLANK(Table2[[#This Row],[Complete corrective actions (Approved Date)]]), TODAY()-Table2[[#This Row],[CAR initialized date]], "CLOSED")</f>
        <v>46077</v>
      </c>
    </row>
    <row r="897" spans="1:19" ht="36" customHeight="1" x14ac:dyDescent="0.25">
      <c r="A897" s="9"/>
      <c r="B897" s="13" t="e">
        <f>VLOOKUP(Table2[[#This Row],[Location 
(drop-down)]],'List source'!D$2:E$71,2,FALSE)</f>
        <v>#N/A</v>
      </c>
      <c r="C897" s="11" t="s">
        <v>1723</v>
      </c>
      <c r="D897" s="212" t="e">
        <f t="shared" ref="D897:D960" si="15">"C" &amp; C897 &amp;"-" &amp; B897 &amp; "-" &amp; "25"</f>
        <v>#N/A</v>
      </c>
      <c r="E897" s="224"/>
      <c r="F897" s="224"/>
      <c r="G897" s="9"/>
      <c r="H897" s="10"/>
      <c r="I897" s="20"/>
      <c r="J897" s="166"/>
      <c r="K897" s="166"/>
      <c r="L897" s="166"/>
      <c r="M897" s="166"/>
      <c r="N897" s="166"/>
      <c r="O897" s="63"/>
      <c r="P897" s="196"/>
      <c r="Q897" s="37"/>
      <c r="R897" s="93"/>
      <c r="S897" s="13">
        <f ca="1">IF(ISBLANK(Table2[[#This Row],[Complete corrective actions (Approved Date)]]), TODAY()-Table2[[#This Row],[CAR initialized date]], "CLOSED")</f>
        <v>46077</v>
      </c>
    </row>
    <row r="898" spans="1:19" ht="36" customHeight="1" x14ac:dyDescent="0.25">
      <c r="A898" s="9"/>
      <c r="B898" s="13" t="e">
        <f>VLOOKUP(Table2[[#This Row],[Location 
(drop-down)]],'List source'!D$2:E$71,2,FALSE)</f>
        <v>#N/A</v>
      </c>
      <c r="C898" s="11" t="s">
        <v>1724</v>
      </c>
      <c r="D898" s="212" t="e">
        <f t="shared" si="15"/>
        <v>#N/A</v>
      </c>
      <c r="E898" s="224"/>
      <c r="F898" s="224"/>
      <c r="G898" s="9"/>
      <c r="H898" s="10"/>
      <c r="I898" s="20"/>
      <c r="J898" s="166"/>
      <c r="K898" s="166"/>
      <c r="L898" s="166"/>
      <c r="M898" s="166"/>
      <c r="N898" s="166"/>
      <c r="O898" s="63"/>
      <c r="P898" s="196"/>
      <c r="Q898" s="37"/>
      <c r="R898" s="93"/>
      <c r="S898" s="13">
        <f ca="1">IF(ISBLANK(Table2[[#This Row],[Complete corrective actions (Approved Date)]]), TODAY()-Table2[[#This Row],[CAR initialized date]], "CLOSED")</f>
        <v>46077</v>
      </c>
    </row>
    <row r="899" spans="1:19" ht="36" customHeight="1" x14ac:dyDescent="0.25">
      <c r="A899" s="9"/>
      <c r="B899" s="13" t="e">
        <f>VLOOKUP(Table2[[#This Row],[Location 
(drop-down)]],'List source'!D$2:E$71,2,FALSE)</f>
        <v>#N/A</v>
      </c>
      <c r="C899" s="11" t="s">
        <v>1725</v>
      </c>
      <c r="D899" s="212" t="e">
        <f t="shared" si="15"/>
        <v>#N/A</v>
      </c>
      <c r="E899" s="224"/>
      <c r="F899" s="224"/>
      <c r="G899" s="9"/>
      <c r="H899" s="10"/>
      <c r="I899" s="20"/>
      <c r="J899" s="166"/>
      <c r="K899" s="166"/>
      <c r="L899" s="166"/>
      <c r="M899" s="166"/>
      <c r="N899" s="166"/>
      <c r="O899" s="63"/>
      <c r="P899" s="196"/>
      <c r="Q899" s="37"/>
      <c r="R899" s="93"/>
      <c r="S899" s="13">
        <f ca="1">IF(ISBLANK(Table2[[#This Row],[Complete corrective actions (Approved Date)]]), TODAY()-Table2[[#This Row],[CAR initialized date]], "CLOSED")</f>
        <v>46077</v>
      </c>
    </row>
    <row r="900" spans="1:19" ht="36" customHeight="1" x14ac:dyDescent="0.25">
      <c r="A900" s="9"/>
      <c r="B900" s="13" t="e">
        <f>VLOOKUP(Table2[[#This Row],[Location 
(drop-down)]],'List source'!D$2:E$71,2,FALSE)</f>
        <v>#N/A</v>
      </c>
      <c r="C900" s="11" t="s">
        <v>1726</v>
      </c>
      <c r="D900" s="212" t="e">
        <f t="shared" si="15"/>
        <v>#N/A</v>
      </c>
      <c r="E900" s="224"/>
      <c r="F900" s="224"/>
      <c r="G900" s="9"/>
      <c r="H900" s="10"/>
      <c r="I900" s="20"/>
      <c r="J900" s="166"/>
      <c r="K900" s="166"/>
      <c r="L900" s="166"/>
      <c r="M900" s="166"/>
      <c r="N900" s="166"/>
      <c r="O900" s="63"/>
      <c r="P900" s="196"/>
      <c r="Q900" s="37"/>
      <c r="R900" s="93"/>
      <c r="S900" s="13">
        <f ca="1">IF(ISBLANK(Table2[[#This Row],[Complete corrective actions (Approved Date)]]), TODAY()-Table2[[#This Row],[CAR initialized date]], "CLOSED")</f>
        <v>46077</v>
      </c>
    </row>
    <row r="901" spans="1:19" ht="36" customHeight="1" x14ac:dyDescent="0.25">
      <c r="A901" s="9"/>
      <c r="B901" s="13" t="e">
        <f>VLOOKUP(Table2[[#This Row],[Location 
(drop-down)]],'List source'!D$2:E$71,2,FALSE)</f>
        <v>#N/A</v>
      </c>
      <c r="C901" s="11" t="s">
        <v>1727</v>
      </c>
      <c r="D901" s="212" t="e">
        <f t="shared" si="15"/>
        <v>#N/A</v>
      </c>
      <c r="E901" s="224"/>
      <c r="F901" s="224"/>
      <c r="G901" s="9"/>
      <c r="H901" s="10"/>
      <c r="I901" s="20"/>
      <c r="J901" s="166"/>
      <c r="K901" s="166"/>
      <c r="L901" s="166"/>
      <c r="M901" s="166"/>
      <c r="N901" s="166"/>
      <c r="O901" s="63"/>
      <c r="P901" s="196"/>
      <c r="Q901" s="37"/>
      <c r="R901" s="93"/>
      <c r="S901" s="13">
        <f ca="1">IF(ISBLANK(Table2[[#This Row],[Complete corrective actions (Approved Date)]]), TODAY()-Table2[[#This Row],[CAR initialized date]], "CLOSED")</f>
        <v>46077</v>
      </c>
    </row>
    <row r="902" spans="1:19" ht="36" customHeight="1" x14ac:dyDescent="0.25">
      <c r="A902" s="9"/>
      <c r="B902" s="13" t="e">
        <f>VLOOKUP(Table2[[#This Row],[Location 
(drop-down)]],'List source'!D$2:E$71,2,FALSE)</f>
        <v>#N/A</v>
      </c>
      <c r="C902" s="11" t="s">
        <v>1728</v>
      </c>
      <c r="D902" s="212" t="e">
        <f t="shared" si="15"/>
        <v>#N/A</v>
      </c>
      <c r="E902" s="224"/>
      <c r="F902" s="224"/>
      <c r="G902" s="9"/>
      <c r="H902" s="10"/>
      <c r="I902" s="20"/>
      <c r="J902" s="166"/>
      <c r="K902" s="166"/>
      <c r="L902" s="166"/>
      <c r="M902" s="166"/>
      <c r="N902" s="166"/>
      <c r="O902" s="63"/>
      <c r="P902" s="196"/>
      <c r="Q902" s="37"/>
      <c r="R902" s="93"/>
      <c r="S902" s="13">
        <f ca="1">IF(ISBLANK(Table2[[#This Row],[Complete corrective actions (Approved Date)]]), TODAY()-Table2[[#This Row],[CAR initialized date]], "CLOSED")</f>
        <v>46077</v>
      </c>
    </row>
    <row r="903" spans="1:19" ht="36" customHeight="1" x14ac:dyDescent="0.25">
      <c r="A903" s="9"/>
      <c r="B903" s="13" t="e">
        <f>VLOOKUP(Table2[[#This Row],[Location 
(drop-down)]],'List source'!D$2:E$71,2,FALSE)</f>
        <v>#N/A</v>
      </c>
      <c r="C903" s="11" t="s">
        <v>1729</v>
      </c>
      <c r="D903" s="212" t="e">
        <f t="shared" si="15"/>
        <v>#N/A</v>
      </c>
      <c r="E903" s="224"/>
      <c r="F903" s="224"/>
      <c r="G903" s="9"/>
      <c r="H903" s="10"/>
      <c r="I903" s="20"/>
      <c r="J903" s="166"/>
      <c r="K903" s="166"/>
      <c r="L903" s="166"/>
      <c r="M903" s="166"/>
      <c r="N903" s="166"/>
      <c r="O903" s="63"/>
      <c r="P903" s="196"/>
      <c r="Q903" s="37"/>
      <c r="R903" s="93"/>
      <c r="S903" s="13">
        <f ca="1">IF(ISBLANK(Table2[[#This Row],[Complete corrective actions (Approved Date)]]), TODAY()-Table2[[#This Row],[CAR initialized date]], "CLOSED")</f>
        <v>46077</v>
      </c>
    </row>
    <row r="904" spans="1:19" ht="36" customHeight="1" x14ac:dyDescent="0.25">
      <c r="A904" s="9"/>
      <c r="B904" s="13" t="e">
        <f>VLOOKUP(Table2[[#This Row],[Location 
(drop-down)]],'List source'!D$2:E$71,2,FALSE)</f>
        <v>#N/A</v>
      </c>
      <c r="C904" s="11" t="s">
        <v>1730</v>
      </c>
      <c r="D904" s="212" t="e">
        <f t="shared" si="15"/>
        <v>#N/A</v>
      </c>
      <c r="E904" s="224"/>
      <c r="F904" s="224"/>
      <c r="G904" s="9"/>
      <c r="H904" s="10"/>
      <c r="I904" s="20"/>
      <c r="J904" s="166"/>
      <c r="K904" s="166"/>
      <c r="L904" s="166"/>
      <c r="M904" s="166"/>
      <c r="N904" s="166"/>
      <c r="O904" s="63"/>
      <c r="P904" s="196"/>
      <c r="Q904" s="37"/>
      <c r="R904" s="93"/>
      <c r="S904" s="13">
        <f ca="1">IF(ISBLANK(Table2[[#This Row],[Complete corrective actions (Approved Date)]]), TODAY()-Table2[[#This Row],[CAR initialized date]], "CLOSED")</f>
        <v>46077</v>
      </c>
    </row>
    <row r="905" spans="1:19" ht="36" customHeight="1" x14ac:dyDescent="0.25">
      <c r="A905" s="9"/>
      <c r="B905" s="13" t="e">
        <f>VLOOKUP(Table2[[#This Row],[Location 
(drop-down)]],'List source'!D$2:E$71,2,FALSE)</f>
        <v>#N/A</v>
      </c>
      <c r="C905" s="11" t="s">
        <v>1731</v>
      </c>
      <c r="D905" s="212" t="e">
        <f t="shared" si="15"/>
        <v>#N/A</v>
      </c>
      <c r="E905" s="224"/>
      <c r="F905" s="224"/>
      <c r="G905" s="9"/>
      <c r="H905" s="10"/>
      <c r="I905" s="20"/>
      <c r="J905" s="166"/>
      <c r="K905" s="166"/>
      <c r="L905" s="166"/>
      <c r="M905" s="166"/>
      <c r="N905" s="166"/>
      <c r="O905" s="63"/>
      <c r="P905" s="196"/>
      <c r="Q905" s="37"/>
      <c r="R905" s="93"/>
      <c r="S905" s="13">
        <f ca="1">IF(ISBLANK(Table2[[#This Row],[Complete corrective actions (Approved Date)]]), TODAY()-Table2[[#This Row],[CAR initialized date]], "CLOSED")</f>
        <v>46077</v>
      </c>
    </row>
    <row r="906" spans="1:19" ht="36" customHeight="1" x14ac:dyDescent="0.25">
      <c r="A906" s="9"/>
      <c r="B906" s="13" t="e">
        <f>VLOOKUP(Table2[[#This Row],[Location 
(drop-down)]],'List source'!D$2:E$71,2,FALSE)</f>
        <v>#N/A</v>
      </c>
      <c r="C906" s="11" t="s">
        <v>1732</v>
      </c>
      <c r="D906" s="212" t="e">
        <f t="shared" si="15"/>
        <v>#N/A</v>
      </c>
      <c r="E906" s="224"/>
      <c r="F906" s="224"/>
      <c r="G906" s="9"/>
      <c r="H906" s="10"/>
      <c r="I906" s="20"/>
      <c r="J906" s="166"/>
      <c r="K906" s="166"/>
      <c r="L906" s="166"/>
      <c r="M906" s="166"/>
      <c r="N906" s="166"/>
      <c r="O906" s="63"/>
      <c r="P906" s="196"/>
      <c r="Q906" s="37"/>
      <c r="R906" s="93"/>
      <c r="S906" s="13">
        <f ca="1">IF(ISBLANK(Table2[[#This Row],[Complete corrective actions (Approved Date)]]), TODAY()-Table2[[#This Row],[CAR initialized date]], "CLOSED")</f>
        <v>46077</v>
      </c>
    </row>
    <row r="907" spans="1:19" ht="36" customHeight="1" x14ac:dyDescent="0.25">
      <c r="A907" s="9"/>
      <c r="B907" s="13" t="e">
        <f>VLOOKUP(Table2[[#This Row],[Location 
(drop-down)]],'List source'!D$2:E$71,2,FALSE)</f>
        <v>#N/A</v>
      </c>
      <c r="C907" s="11" t="s">
        <v>1733</v>
      </c>
      <c r="D907" s="212" t="e">
        <f t="shared" si="15"/>
        <v>#N/A</v>
      </c>
      <c r="E907" s="224"/>
      <c r="F907" s="224"/>
      <c r="G907" s="9"/>
      <c r="H907" s="10"/>
      <c r="I907" s="20"/>
      <c r="J907" s="166"/>
      <c r="K907" s="166"/>
      <c r="L907" s="166"/>
      <c r="M907" s="166"/>
      <c r="N907" s="166"/>
      <c r="O907" s="63"/>
      <c r="P907" s="196"/>
      <c r="Q907" s="37"/>
      <c r="R907" s="93"/>
      <c r="S907" s="13">
        <f ca="1">IF(ISBLANK(Table2[[#This Row],[Complete corrective actions (Approved Date)]]), TODAY()-Table2[[#This Row],[CAR initialized date]], "CLOSED")</f>
        <v>46077</v>
      </c>
    </row>
    <row r="908" spans="1:19" ht="36" customHeight="1" x14ac:dyDescent="0.25">
      <c r="A908" s="9"/>
      <c r="B908" s="13" t="e">
        <f>VLOOKUP(Table2[[#This Row],[Location 
(drop-down)]],'List source'!D$2:E$71,2,FALSE)</f>
        <v>#N/A</v>
      </c>
      <c r="C908" s="11" t="s">
        <v>1734</v>
      </c>
      <c r="D908" s="212" t="e">
        <f t="shared" si="15"/>
        <v>#N/A</v>
      </c>
      <c r="E908" s="224"/>
      <c r="F908" s="224"/>
      <c r="G908" s="9"/>
      <c r="H908" s="10"/>
      <c r="I908" s="20"/>
      <c r="J908" s="166"/>
      <c r="K908" s="166"/>
      <c r="L908" s="166"/>
      <c r="M908" s="166"/>
      <c r="N908" s="166"/>
      <c r="O908" s="63"/>
      <c r="P908" s="196"/>
      <c r="Q908" s="37"/>
      <c r="R908" s="93"/>
      <c r="S908" s="13">
        <f ca="1">IF(ISBLANK(Table2[[#This Row],[Complete corrective actions (Approved Date)]]), TODAY()-Table2[[#This Row],[CAR initialized date]], "CLOSED")</f>
        <v>46077</v>
      </c>
    </row>
    <row r="909" spans="1:19" ht="36" customHeight="1" x14ac:dyDescent="0.25">
      <c r="A909" s="9"/>
      <c r="B909" s="13" t="e">
        <f>VLOOKUP(Table2[[#This Row],[Location 
(drop-down)]],'List source'!D$2:E$71,2,FALSE)</f>
        <v>#N/A</v>
      </c>
      <c r="C909" s="11" t="s">
        <v>1735</v>
      </c>
      <c r="D909" s="212" t="e">
        <f t="shared" si="15"/>
        <v>#N/A</v>
      </c>
      <c r="E909" s="224"/>
      <c r="F909" s="224"/>
      <c r="G909" s="9"/>
      <c r="H909" s="10"/>
      <c r="I909" s="20"/>
      <c r="J909" s="166"/>
      <c r="K909" s="166"/>
      <c r="L909" s="166"/>
      <c r="M909" s="166"/>
      <c r="N909" s="166"/>
      <c r="O909" s="63"/>
      <c r="P909" s="196"/>
      <c r="Q909" s="37"/>
      <c r="R909" s="93"/>
      <c r="S909" s="13">
        <f ca="1">IF(ISBLANK(Table2[[#This Row],[Complete corrective actions (Approved Date)]]), TODAY()-Table2[[#This Row],[CAR initialized date]], "CLOSED")</f>
        <v>46077</v>
      </c>
    </row>
    <row r="910" spans="1:19" ht="36" customHeight="1" x14ac:dyDescent="0.25">
      <c r="A910" s="9"/>
      <c r="B910" s="13" t="e">
        <f>VLOOKUP(Table2[[#This Row],[Location 
(drop-down)]],'List source'!D$2:E$71,2,FALSE)</f>
        <v>#N/A</v>
      </c>
      <c r="C910" s="11" t="s">
        <v>1736</v>
      </c>
      <c r="D910" s="212" t="e">
        <f t="shared" si="15"/>
        <v>#N/A</v>
      </c>
      <c r="E910" s="224"/>
      <c r="F910" s="224"/>
      <c r="G910" s="9"/>
      <c r="H910" s="10"/>
      <c r="I910" s="20"/>
      <c r="J910" s="166"/>
      <c r="K910" s="166"/>
      <c r="L910" s="166"/>
      <c r="M910" s="166"/>
      <c r="N910" s="166"/>
      <c r="O910" s="63"/>
      <c r="P910" s="196"/>
      <c r="Q910" s="37"/>
      <c r="R910" s="93"/>
      <c r="S910" s="13">
        <f ca="1">IF(ISBLANK(Table2[[#This Row],[Complete corrective actions (Approved Date)]]), TODAY()-Table2[[#This Row],[CAR initialized date]], "CLOSED")</f>
        <v>46077</v>
      </c>
    </row>
    <row r="911" spans="1:19" ht="36" customHeight="1" x14ac:dyDescent="0.25">
      <c r="A911" s="9"/>
      <c r="B911" s="13" t="e">
        <f>VLOOKUP(Table2[[#This Row],[Location 
(drop-down)]],'List source'!D$2:E$71,2,FALSE)</f>
        <v>#N/A</v>
      </c>
      <c r="C911" s="11" t="s">
        <v>1737</v>
      </c>
      <c r="D911" s="212" t="e">
        <f t="shared" si="15"/>
        <v>#N/A</v>
      </c>
      <c r="E911" s="224"/>
      <c r="F911" s="224"/>
      <c r="G911" s="9"/>
      <c r="H911" s="10"/>
      <c r="I911" s="20"/>
      <c r="J911" s="166"/>
      <c r="K911" s="166"/>
      <c r="L911" s="166"/>
      <c r="M911" s="166"/>
      <c r="N911" s="166"/>
      <c r="O911" s="63"/>
      <c r="P911" s="196"/>
      <c r="Q911" s="37"/>
      <c r="R911" s="93"/>
      <c r="S911" s="13">
        <f ca="1">IF(ISBLANK(Table2[[#This Row],[Complete corrective actions (Approved Date)]]), TODAY()-Table2[[#This Row],[CAR initialized date]], "CLOSED")</f>
        <v>46077</v>
      </c>
    </row>
    <row r="912" spans="1:19" ht="36" customHeight="1" x14ac:dyDescent="0.25">
      <c r="A912" s="9"/>
      <c r="B912" s="13" t="e">
        <f>VLOOKUP(Table2[[#This Row],[Location 
(drop-down)]],'List source'!D$2:E$71,2,FALSE)</f>
        <v>#N/A</v>
      </c>
      <c r="C912" s="11" t="s">
        <v>1738</v>
      </c>
      <c r="D912" s="212" t="e">
        <f t="shared" si="15"/>
        <v>#N/A</v>
      </c>
      <c r="E912" s="224"/>
      <c r="F912" s="224"/>
      <c r="G912" s="9"/>
      <c r="H912" s="10"/>
      <c r="I912" s="20"/>
      <c r="J912" s="166"/>
      <c r="K912" s="166"/>
      <c r="L912" s="166"/>
      <c r="M912" s="166"/>
      <c r="N912" s="166"/>
      <c r="O912" s="63"/>
      <c r="P912" s="196"/>
      <c r="Q912" s="37"/>
      <c r="R912" s="93"/>
      <c r="S912" s="13">
        <f ca="1">IF(ISBLANK(Table2[[#This Row],[Complete corrective actions (Approved Date)]]), TODAY()-Table2[[#This Row],[CAR initialized date]], "CLOSED")</f>
        <v>46077</v>
      </c>
    </row>
    <row r="913" spans="1:19" ht="36" customHeight="1" x14ac:dyDescent="0.25">
      <c r="A913" s="9"/>
      <c r="B913" s="13" t="e">
        <f>VLOOKUP(Table2[[#This Row],[Location 
(drop-down)]],'List source'!D$2:E$71,2,FALSE)</f>
        <v>#N/A</v>
      </c>
      <c r="C913" s="11" t="s">
        <v>1739</v>
      </c>
      <c r="D913" s="212" t="e">
        <f t="shared" si="15"/>
        <v>#N/A</v>
      </c>
      <c r="E913" s="224"/>
      <c r="F913" s="224"/>
      <c r="G913" s="9"/>
      <c r="H913" s="10"/>
      <c r="I913" s="20"/>
      <c r="J913" s="166"/>
      <c r="K913" s="166"/>
      <c r="L913" s="166"/>
      <c r="M913" s="166"/>
      <c r="N913" s="166"/>
      <c r="O913" s="63"/>
      <c r="P913" s="196"/>
      <c r="Q913" s="37"/>
      <c r="R913" s="93"/>
      <c r="S913" s="13">
        <f ca="1">IF(ISBLANK(Table2[[#This Row],[Complete corrective actions (Approved Date)]]), TODAY()-Table2[[#This Row],[CAR initialized date]], "CLOSED")</f>
        <v>46077</v>
      </c>
    </row>
    <row r="914" spans="1:19" ht="36" customHeight="1" x14ac:dyDescent="0.25">
      <c r="A914" s="9"/>
      <c r="B914" s="13" t="e">
        <f>VLOOKUP(Table2[[#This Row],[Location 
(drop-down)]],'List source'!D$2:E$71,2,FALSE)</f>
        <v>#N/A</v>
      </c>
      <c r="C914" s="11" t="s">
        <v>1740</v>
      </c>
      <c r="D914" s="212" t="e">
        <f t="shared" si="15"/>
        <v>#N/A</v>
      </c>
      <c r="E914" s="224"/>
      <c r="F914" s="224"/>
      <c r="G914" s="9"/>
      <c r="H914" s="10"/>
      <c r="I914" s="20"/>
      <c r="J914" s="166"/>
      <c r="K914" s="166"/>
      <c r="L914" s="166"/>
      <c r="M914" s="166"/>
      <c r="N914" s="166"/>
      <c r="O914" s="63"/>
      <c r="P914" s="196"/>
      <c r="Q914" s="37"/>
      <c r="R914" s="93"/>
      <c r="S914" s="13">
        <f ca="1">IF(ISBLANK(Table2[[#This Row],[Complete corrective actions (Approved Date)]]), TODAY()-Table2[[#This Row],[CAR initialized date]], "CLOSED")</f>
        <v>46077</v>
      </c>
    </row>
    <row r="915" spans="1:19" ht="36" customHeight="1" x14ac:dyDescent="0.25">
      <c r="A915" s="9"/>
      <c r="B915" s="13" t="e">
        <f>VLOOKUP(Table2[[#This Row],[Location 
(drop-down)]],'List source'!D$2:E$71,2,FALSE)</f>
        <v>#N/A</v>
      </c>
      <c r="C915" s="11" t="s">
        <v>1741</v>
      </c>
      <c r="D915" s="212" t="e">
        <f t="shared" si="15"/>
        <v>#N/A</v>
      </c>
      <c r="E915" s="224"/>
      <c r="F915" s="224"/>
      <c r="G915" s="9"/>
      <c r="H915" s="10"/>
      <c r="I915" s="20"/>
      <c r="J915" s="166"/>
      <c r="K915" s="166"/>
      <c r="L915" s="166"/>
      <c r="M915" s="166"/>
      <c r="N915" s="166"/>
      <c r="O915" s="63"/>
      <c r="P915" s="196"/>
      <c r="Q915" s="37"/>
      <c r="R915" s="93"/>
      <c r="S915" s="13">
        <f ca="1">IF(ISBLANK(Table2[[#This Row],[Complete corrective actions (Approved Date)]]), TODAY()-Table2[[#This Row],[CAR initialized date]], "CLOSED")</f>
        <v>46077</v>
      </c>
    </row>
    <row r="916" spans="1:19" ht="36" customHeight="1" x14ac:dyDescent="0.25">
      <c r="A916" s="9"/>
      <c r="B916" s="13" t="e">
        <f>VLOOKUP(Table2[[#This Row],[Location 
(drop-down)]],'List source'!D$2:E$71,2,FALSE)</f>
        <v>#N/A</v>
      </c>
      <c r="C916" s="11" t="s">
        <v>1742</v>
      </c>
      <c r="D916" s="212" t="e">
        <f t="shared" si="15"/>
        <v>#N/A</v>
      </c>
      <c r="E916" s="224"/>
      <c r="F916" s="224"/>
      <c r="G916" s="9"/>
      <c r="H916" s="10"/>
      <c r="I916" s="20"/>
      <c r="J916" s="166"/>
      <c r="K916" s="166"/>
      <c r="L916" s="166"/>
      <c r="M916" s="166"/>
      <c r="N916" s="166"/>
      <c r="O916" s="63"/>
      <c r="P916" s="196"/>
      <c r="Q916" s="37"/>
      <c r="R916" s="93"/>
      <c r="S916" s="13">
        <f ca="1">IF(ISBLANK(Table2[[#This Row],[Complete corrective actions (Approved Date)]]), TODAY()-Table2[[#This Row],[CAR initialized date]], "CLOSED")</f>
        <v>46077</v>
      </c>
    </row>
    <row r="917" spans="1:19" ht="36" customHeight="1" x14ac:dyDescent="0.25">
      <c r="A917" s="9"/>
      <c r="B917" s="13" t="e">
        <f>VLOOKUP(Table2[[#This Row],[Location 
(drop-down)]],'List source'!D$2:E$71,2,FALSE)</f>
        <v>#N/A</v>
      </c>
      <c r="C917" s="11" t="s">
        <v>1743</v>
      </c>
      <c r="D917" s="212" t="e">
        <f t="shared" si="15"/>
        <v>#N/A</v>
      </c>
      <c r="E917" s="224"/>
      <c r="F917" s="224"/>
      <c r="G917" s="9"/>
      <c r="H917" s="10"/>
      <c r="I917" s="20"/>
      <c r="J917" s="166"/>
      <c r="K917" s="166"/>
      <c r="L917" s="166"/>
      <c r="M917" s="166"/>
      <c r="N917" s="166"/>
      <c r="O917" s="63"/>
      <c r="P917" s="196"/>
      <c r="Q917" s="37"/>
      <c r="R917" s="93"/>
      <c r="S917" s="13">
        <f ca="1">IF(ISBLANK(Table2[[#This Row],[Complete corrective actions (Approved Date)]]), TODAY()-Table2[[#This Row],[CAR initialized date]], "CLOSED")</f>
        <v>46077</v>
      </c>
    </row>
    <row r="918" spans="1:19" ht="36" customHeight="1" x14ac:dyDescent="0.25">
      <c r="A918" s="9"/>
      <c r="B918" s="13" t="e">
        <f>VLOOKUP(Table2[[#This Row],[Location 
(drop-down)]],'List source'!D$2:E$71,2,FALSE)</f>
        <v>#N/A</v>
      </c>
      <c r="C918" s="11" t="s">
        <v>1744</v>
      </c>
      <c r="D918" s="212" t="e">
        <f t="shared" si="15"/>
        <v>#N/A</v>
      </c>
      <c r="E918" s="224"/>
      <c r="F918" s="224"/>
      <c r="G918" s="9"/>
      <c r="H918" s="10"/>
      <c r="I918" s="20"/>
      <c r="J918" s="166"/>
      <c r="K918" s="166"/>
      <c r="L918" s="166"/>
      <c r="M918" s="166"/>
      <c r="N918" s="166"/>
      <c r="O918" s="63"/>
      <c r="P918" s="196"/>
      <c r="Q918" s="37"/>
      <c r="R918" s="93"/>
      <c r="S918" s="13">
        <f ca="1">IF(ISBLANK(Table2[[#This Row],[Complete corrective actions (Approved Date)]]), TODAY()-Table2[[#This Row],[CAR initialized date]], "CLOSED")</f>
        <v>46077</v>
      </c>
    </row>
    <row r="919" spans="1:19" ht="36" customHeight="1" x14ac:dyDescent="0.25">
      <c r="A919" s="9"/>
      <c r="B919" s="13" t="e">
        <f>VLOOKUP(Table2[[#This Row],[Location 
(drop-down)]],'List source'!D$2:E$71,2,FALSE)</f>
        <v>#N/A</v>
      </c>
      <c r="C919" s="11" t="s">
        <v>1745</v>
      </c>
      <c r="D919" s="212" t="e">
        <f t="shared" si="15"/>
        <v>#N/A</v>
      </c>
      <c r="E919" s="224"/>
      <c r="F919" s="224"/>
      <c r="G919" s="9"/>
      <c r="H919" s="10"/>
      <c r="I919" s="20"/>
      <c r="J919" s="166"/>
      <c r="K919" s="166"/>
      <c r="L919" s="166"/>
      <c r="M919" s="166"/>
      <c r="N919" s="166"/>
      <c r="O919" s="63"/>
      <c r="P919" s="196"/>
      <c r="Q919" s="37"/>
      <c r="R919" s="93"/>
      <c r="S919" s="13">
        <f ca="1">IF(ISBLANK(Table2[[#This Row],[Complete corrective actions (Approved Date)]]), TODAY()-Table2[[#This Row],[CAR initialized date]], "CLOSED")</f>
        <v>46077</v>
      </c>
    </row>
    <row r="920" spans="1:19" ht="36" customHeight="1" x14ac:dyDescent="0.25">
      <c r="A920" s="9"/>
      <c r="B920" s="13" t="e">
        <f>VLOOKUP(Table2[[#This Row],[Location 
(drop-down)]],'List source'!D$2:E$71,2,FALSE)</f>
        <v>#N/A</v>
      </c>
      <c r="C920" s="11" t="s">
        <v>1746</v>
      </c>
      <c r="D920" s="212" t="e">
        <f t="shared" si="15"/>
        <v>#N/A</v>
      </c>
      <c r="E920" s="224"/>
      <c r="F920" s="224"/>
      <c r="G920" s="9"/>
      <c r="H920" s="10"/>
      <c r="I920" s="20"/>
      <c r="J920" s="166"/>
      <c r="K920" s="166"/>
      <c r="L920" s="166"/>
      <c r="M920" s="166"/>
      <c r="N920" s="166"/>
      <c r="O920" s="63"/>
      <c r="P920" s="196"/>
      <c r="Q920" s="37"/>
      <c r="R920" s="93"/>
      <c r="S920" s="13">
        <f ca="1">IF(ISBLANK(Table2[[#This Row],[Complete corrective actions (Approved Date)]]), TODAY()-Table2[[#This Row],[CAR initialized date]], "CLOSED")</f>
        <v>46077</v>
      </c>
    </row>
    <row r="921" spans="1:19" ht="36" customHeight="1" x14ac:dyDescent="0.25">
      <c r="A921" s="9"/>
      <c r="B921" s="13" t="e">
        <f>VLOOKUP(Table2[[#This Row],[Location 
(drop-down)]],'List source'!D$2:E$71,2,FALSE)</f>
        <v>#N/A</v>
      </c>
      <c r="C921" s="11" t="s">
        <v>1747</v>
      </c>
      <c r="D921" s="212" t="e">
        <f t="shared" si="15"/>
        <v>#N/A</v>
      </c>
      <c r="E921" s="224"/>
      <c r="F921" s="224"/>
      <c r="G921" s="9"/>
      <c r="H921" s="10"/>
      <c r="I921" s="20"/>
      <c r="J921" s="166"/>
      <c r="K921" s="166"/>
      <c r="L921" s="166"/>
      <c r="M921" s="166"/>
      <c r="N921" s="166"/>
      <c r="O921" s="63"/>
      <c r="P921" s="196"/>
      <c r="Q921" s="37"/>
      <c r="R921" s="93"/>
      <c r="S921" s="13">
        <f ca="1">IF(ISBLANK(Table2[[#This Row],[Complete corrective actions (Approved Date)]]), TODAY()-Table2[[#This Row],[CAR initialized date]], "CLOSED")</f>
        <v>46077</v>
      </c>
    </row>
    <row r="922" spans="1:19" ht="36" customHeight="1" x14ac:dyDescent="0.25">
      <c r="A922" s="9"/>
      <c r="B922" s="13" t="e">
        <f>VLOOKUP(Table2[[#This Row],[Location 
(drop-down)]],'List source'!D$2:E$71,2,FALSE)</f>
        <v>#N/A</v>
      </c>
      <c r="C922" s="11" t="s">
        <v>1748</v>
      </c>
      <c r="D922" s="212" t="e">
        <f t="shared" si="15"/>
        <v>#N/A</v>
      </c>
      <c r="E922" s="224"/>
      <c r="F922" s="224"/>
      <c r="G922" s="9"/>
      <c r="H922" s="10"/>
      <c r="I922" s="20"/>
      <c r="J922" s="166"/>
      <c r="K922" s="166"/>
      <c r="L922" s="166"/>
      <c r="M922" s="166"/>
      <c r="N922" s="166"/>
      <c r="O922" s="63"/>
      <c r="P922" s="196"/>
      <c r="Q922" s="37"/>
      <c r="R922" s="93"/>
      <c r="S922" s="13">
        <f ca="1">IF(ISBLANK(Table2[[#This Row],[Complete corrective actions (Approved Date)]]), TODAY()-Table2[[#This Row],[CAR initialized date]], "CLOSED")</f>
        <v>46077</v>
      </c>
    </row>
    <row r="923" spans="1:19" ht="36" customHeight="1" x14ac:dyDescent="0.25">
      <c r="A923" s="9"/>
      <c r="B923" s="13" t="e">
        <f>VLOOKUP(Table2[[#This Row],[Location 
(drop-down)]],'List source'!D$2:E$71,2,FALSE)</f>
        <v>#N/A</v>
      </c>
      <c r="C923" s="11" t="s">
        <v>1749</v>
      </c>
      <c r="D923" s="212" t="e">
        <f t="shared" si="15"/>
        <v>#N/A</v>
      </c>
      <c r="E923" s="224"/>
      <c r="F923" s="224"/>
      <c r="G923" s="9"/>
      <c r="H923" s="10"/>
      <c r="I923" s="20"/>
      <c r="J923" s="166"/>
      <c r="K923" s="166"/>
      <c r="L923" s="166"/>
      <c r="M923" s="166"/>
      <c r="N923" s="166"/>
      <c r="O923" s="63"/>
      <c r="P923" s="196"/>
      <c r="Q923" s="37"/>
      <c r="R923" s="93"/>
      <c r="S923" s="13">
        <f ca="1">IF(ISBLANK(Table2[[#This Row],[Complete corrective actions (Approved Date)]]), TODAY()-Table2[[#This Row],[CAR initialized date]], "CLOSED")</f>
        <v>46077</v>
      </c>
    </row>
    <row r="924" spans="1:19" ht="36" customHeight="1" x14ac:dyDescent="0.25">
      <c r="A924" s="9"/>
      <c r="B924" s="13" t="e">
        <f>VLOOKUP(Table2[[#This Row],[Location 
(drop-down)]],'List source'!D$2:E$71,2,FALSE)</f>
        <v>#N/A</v>
      </c>
      <c r="C924" s="11" t="s">
        <v>1750</v>
      </c>
      <c r="D924" s="212" t="e">
        <f t="shared" si="15"/>
        <v>#N/A</v>
      </c>
      <c r="E924" s="224"/>
      <c r="F924" s="224"/>
      <c r="G924" s="9"/>
      <c r="H924" s="10"/>
      <c r="I924" s="20"/>
      <c r="J924" s="166"/>
      <c r="K924" s="166"/>
      <c r="L924" s="166"/>
      <c r="M924" s="166"/>
      <c r="N924" s="166"/>
      <c r="O924" s="63"/>
      <c r="P924" s="196"/>
      <c r="Q924" s="37"/>
      <c r="R924" s="93"/>
      <c r="S924" s="13">
        <f ca="1">IF(ISBLANK(Table2[[#This Row],[Complete corrective actions (Approved Date)]]), TODAY()-Table2[[#This Row],[CAR initialized date]], "CLOSED")</f>
        <v>46077</v>
      </c>
    </row>
    <row r="925" spans="1:19" ht="36" customHeight="1" x14ac:dyDescent="0.25">
      <c r="A925" s="9"/>
      <c r="B925" s="13" t="e">
        <f>VLOOKUP(Table2[[#This Row],[Location 
(drop-down)]],'List source'!D$2:E$71,2,FALSE)</f>
        <v>#N/A</v>
      </c>
      <c r="C925" s="11" t="s">
        <v>1751</v>
      </c>
      <c r="D925" s="212" t="e">
        <f t="shared" si="15"/>
        <v>#N/A</v>
      </c>
      <c r="E925" s="224"/>
      <c r="F925" s="224"/>
      <c r="G925" s="9"/>
      <c r="H925" s="10"/>
      <c r="I925" s="20"/>
      <c r="J925" s="166"/>
      <c r="K925" s="166"/>
      <c r="L925" s="166"/>
      <c r="M925" s="166"/>
      <c r="N925" s="166"/>
      <c r="O925" s="63"/>
      <c r="P925" s="196"/>
      <c r="Q925" s="37"/>
      <c r="R925" s="93"/>
      <c r="S925" s="13">
        <f ca="1">IF(ISBLANK(Table2[[#This Row],[Complete corrective actions (Approved Date)]]), TODAY()-Table2[[#This Row],[CAR initialized date]], "CLOSED")</f>
        <v>46077</v>
      </c>
    </row>
    <row r="926" spans="1:19" ht="36" customHeight="1" x14ac:dyDescent="0.25">
      <c r="A926" s="9"/>
      <c r="B926" s="13" t="e">
        <f>VLOOKUP(Table2[[#This Row],[Location 
(drop-down)]],'List source'!D$2:E$71,2,FALSE)</f>
        <v>#N/A</v>
      </c>
      <c r="C926" s="11" t="s">
        <v>1752</v>
      </c>
      <c r="D926" s="212" t="e">
        <f t="shared" si="15"/>
        <v>#N/A</v>
      </c>
      <c r="E926" s="224"/>
      <c r="F926" s="224"/>
      <c r="G926" s="9"/>
      <c r="H926" s="10"/>
      <c r="I926" s="20"/>
      <c r="J926" s="166"/>
      <c r="K926" s="166"/>
      <c r="L926" s="166"/>
      <c r="M926" s="166"/>
      <c r="N926" s="166"/>
      <c r="O926" s="63"/>
      <c r="P926" s="196"/>
      <c r="Q926" s="37"/>
      <c r="R926" s="93"/>
      <c r="S926" s="13">
        <f ca="1">IF(ISBLANK(Table2[[#This Row],[Complete corrective actions (Approved Date)]]), TODAY()-Table2[[#This Row],[CAR initialized date]], "CLOSED")</f>
        <v>46077</v>
      </c>
    </row>
    <row r="927" spans="1:19" ht="36" customHeight="1" x14ac:dyDescent="0.25">
      <c r="A927" s="9"/>
      <c r="B927" s="13" t="e">
        <f>VLOOKUP(Table2[[#This Row],[Location 
(drop-down)]],'List source'!D$2:E$71,2,FALSE)</f>
        <v>#N/A</v>
      </c>
      <c r="C927" s="11" t="s">
        <v>1753</v>
      </c>
      <c r="D927" s="212" t="e">
        <f t="shared" si="15"/>
        <v>#N/A</v>
      </c>
      <c r="E927" s="224"/>
      <c r="F927" s="224"/>
      <c r="G927" s="9"/>
      <c r="H927" s="10"/>
      <c r="I927" s="20"/>
      <c r="J927" s="166"/>
      <c r="K927" s="166"/>
      <c r="L927" s="166"/>
      <c r="M927" s="166"/>
      <c r="N927" s="166"/>
      <c r="O927" s="63"/>
      <c r="P927" s="196"/>
      <c r="Q927" s="37"/>
      <c r="R927" s="93"/>
      <c r="S927" s="13">
        <f ca="1">IF(ISBLANK(Table2[[#This Row],[Complete corrective actions (Approved Date)]]), TODAY()-Table2[[#This Row],[CAR initialized date]], "CLOSED")</f>
        <v>46077</v>
      </c>
    </row>
    <row r="928" spans="1:19" ht="36" customHeight="1" x14ac:dyDescent="0.25">
      <c r="A928" s="9"/>
      <c r="B928" s="13" t="e">
        <f>VLOOKUP(Table2[[#This Row],[Location 
(drop-down)]],'List source'!D$2:E$71,2,FALSE)</f>
        <v>#N/A</v>
      </c>
      <c r="C928" s="11" t="s">
        <v>1754</v>
      </c>
      <c r="D928" s="212" t="e">
        <f t="shared" si="15"/>
        <v>#N/A</v>
      </c>
      <c r="E928" s="224"/>
      <c r="F928" s="224"/>
      <c r="G928" s="9"/>
      <c r="H928" s="10"/>
      <c r="I928" s="20"/>
      <c r="J928" s="166"/>
      <c r="K928" s="166"/>
      <c r="L928" s="166"/>
      <c r="M928" s="166"/>
      <c r="N928" s="166"/>
      <c r="O928" s="63"/>
      <c r="P928" s="196"/>
      <c r="Q928" s="37"/>
      <c r="R928" s="93"/>
      <c r="S928" s="13">
        <f ca="1">IF(ISBLANK(Table2[[#This Row],[Complete corrective actions (Approved Date)]]), TODAY()-Table2[[#This Row],[CAR initialized date]], "CLOSED")</f>
        <v>46077</v>
      </c>
    </row>
    <row r="929" spans="1:19" ht="36" customHeight="1" x14ac:dyDescent="0.25">
      <c r="A929" s="9"/>
      <c r="B929" s="13" t="e">
        <f>VLOOKUP(Table2[[#This Row],[Location 
(drop-down)]],'List source'!D$2:E$71,2,FALSE)</f>
        <v>#N/A</v>
      </c>
      <c r="C929" s="11" t="s">
        <v>1755</v>
      </c>
      <c r="D929" s="212" t="e">
        <f t="shared" si="15"/>
        <v>#N/A</v>
      </c>
      <c r="E929" s="224"/>
      <c r="F929" s="224"/>
      <c r="G929" s="9"/>
      <c r="H929" s="10"/>
      <c r="I929" s="20"/>
      <c r="J929" s="166"/>
      <c r="K929" s="166"/>
      <c r="L929" s="166"/>
      <c r="M929" s="166"/>
      <c r="N929" s="166"/>
      <c r="O929" s="63"/>
      <c r="P929" s="196"/>
      <c r="Q929" s="37"/>
      <c r="R929" s="93"/>
      <c r="S929" s="13">
        <f ca="1">IF(ISBLANK(Table2[[#This Row],[Complete corrective actions (Approved Date)]]), TODAY()-Table2[[#This Row],[CAR initialized date]], "CLOSED")</f>
        <v>46077</v>
      </c>
    </row>
    <row r="930" spans="1:19" ht="36" customHeight="1" x14ac:dyDescent="0.25">
      <c r="A930" s="9"/>
      <c r="B930" s="13" t="e">
        <f>VLOOKUP(Table2[[#This Row],[Location 
(drop-down)]],'List source'!D$2:E$71,2,FALSE)</f>
        <v>#N/A</v>
      </c>
      <c r="C930" s="11" t="s">
        <v>1756</v>
      </c>
      <c r="D930" s="212" t="e">
        <f t="shared" si="15"/>
        <v>#N/A</v>
      </c>
      <c r="E930" s="224"/>
      <c r="F930" s="224"/>
      <c r="G930" s="9"/>
      <c r="H930" s="10"/>
      <c r="I930" s="20"/>
      <c r="J930" s="166"/>
      <c r="K930" s="166"/>
      <c r="L930" s="166"/>
      <c r="M930" s="166"/>
      <c r="N930" s="166"/>
      <c r="O930" s="63"/>
      <c r="P930" s="196"/>
      <c r="Q930" s="37"/>
      <c r="R930" s="93"/>
      <c r="S930" s="13">
        <f ca="1">IF(ISBLANK(Table2[[#This Row],[Complete corrective actions (Approved Date)]]), TODAY()-Table2[[#This Row],[CAR initialized date]], "CLOSED")</f>
        <v>46077</v>
      </c>
    </row>
    <row r="931" spans="1:19" ht="36" customHeight="1" x14ac:dyDescent="0.25">
      <c r="A931" s="9"/>
      <c r="B931" s="13" t="e">
        <f>VLOOKUP(Table2[[#This Row],[Location 
(drop-down)]],'List source'!D$2:E$71,2,FALSE)</f>
        <v>#N/A</v>
      </c>
      <c r="C931" s="11" t="s">
        <v>1757</v>
      </c>
      <c r="D931" s="212" t="e">
        <f t="shared" si="15"/>
        <v>#N/A</v>
      </c>
      <c r="E931" s="224"/>
      <c r="F931" s="224"/>
      <c r="G931" s="9"/>
      <c r="H931" s="10"/>
      <c r="I931" s="20"/>
      <c r="J931" s="166"/>
      <c r="K931" s="166"/>
      <c r="L931" s="166"/>
      <c r="M931" s="166"/>
      <c r="N931" s="166"/>
      <c r="O931" s="63"/>
      <c r="P931" s="196"/>
      <c r="Q931" s="37"/>
      <c r="R931" s="93"/>
      <c r="S931" s="13">
        <f ca="1">IF(ISBLANK(Table2[[#This Row],[Complete corrective actions (Approved Date)]]), TODAY()-Table2[[#This Row],[CAR initialized date]], "CLOSED")</f>
        <v>46077</v>
      </c>
    </row>
    <row r="932" spans="1:19" ht="36" customHeight="1" x14ac:dyDescent="0.25">
      <c r="A932" s="9"/>
      <c r="B932" s="13" t="e">
        <f>VLOOKUP(Table2[[#This Row],[Location 
(drop-down)]],'List source'!D$2:E$71,2,FALSE)</f>
        <v>#N/A</v>
      </c>
      <c r="C932" s="11" t="s">
        <v>1758</v>
      </c>
      <c r="D932" s="212" t="e">
        <f t="shared" si="15"/>
        <v>#N/A</v>
      </c>
      <c r="E932" s="224"/>
      <c r="F932" s="224"/>
      <c r="G932" s="9"/>
      <c r="H932" s="10"/>
      <c r="I932" s="20"/>
      <c r="J932" s="166"/>
      <c r="K932" s="166"/>
      <c r="L932" s="166"/>
      <c r="M932" s="166"/>
      <c r="N932" s="166"/>
      <c r="O932" s="63"/>
      <c r="P932" s="196"/>
      <c r="Q932" s="37"/>
      <c r="R932" s="93"/>
      <c r="S932" s="13">
        <f ca="1">IF(ISBLANK(Table2[[#This Row],[Complete corrective actions (Approved Date)]]), TODAY()-Table2[[#This Row],[CAR initialized date]], "CLOSED")</f>
        <v>46077</v>
      </c>
    </row>
    <row r="933" spans="1:19" ht="36" customHeight="1" x14ac:dyDescent="0.25">
      <c r="A933" s="9"/>
      <c r="B933" s="13" t="e">
        <f>VLOOKUP(Table2[[#This Row],[Location 
(drop-down)]],'List source'!D$2:E$71,2,FALSE)</f>
        <v>#N/A</v>
      </c>
      <c r="C933" s="11" t="s">
        <v>1759</v>
      </c>
      <c r="D933" s="212" t="e">
        <f t="shared" si="15"/>
        <v>#N/A</v>
      </c>
      <c r="E933" s="224"/>
      <c r="F933" s="224"/>
      <c r="G933" s="9"/>
      <c r="H933" s="10"/>
      <c r="I933" s="20"/>
      <c r="J933" s="166"/>
      <c r="K933" s="166"/>
      <c r="L933" s="166"/>
      <c r="M933" s="166"/>
      <c r="N933" s="166"/>
      <c r="O933" s="63"/>
      <c r="P933" s="196"/>
      <c r="Q933" s="37"/>
      <c r="R933" s="93"/>
      <c r="S933" s="13">
        <f ca="1">IF(ISBLANK(Table2[[#This Row],[Complete corrective actions (Approved Date)]]), TODAY()-Table2[[#This Row],[CAR initialized date]], "CLOSED")</f>
        <v>46077</v>
      </c>
    </row>
    <row r="934" spans="1:19" ht="36" customHeight="1" x14ac:dyDescent="0.25">
      <c r="A934" s="9"/>
      <c r="B934" s="13" t="e">
        <f>VLOOKUP(Table2[[#This Row],[Location 
(drop-down)]],'List source'!D$2:E$71,2,FALSE)</f>
        <v>#N/A</v>
      </c>
      <c r="C934" s="11" t="s">
        <v>1760</v>
      </c>
      <c r="D934" s="212" t="e">
        <f t="shared" si="15"/>
        <v>#N/A</v>
      </c>
      <c r="E934" s="224"/>
      <c r="F934" s="224"/>
      <c r="G934" s="9"/>
      <c r="H934" s="10"/>
      <c r="I934" s="20"/>
      <c r="J934" s="166"/>
      <c r="K934" s="166"/>
      <c r="L934" s="166"/>
      <c r="M934" s="166"/>
      <c r="N934" s="166"/>
      <c r="O934" s="63"/>
      <c r="P934" s="196"/>
      <c r="Q934" s="37"/>
      <c r="R934" s="93"/>
      <c r="S934" s="13">
        <f ca="1">IF(ISBLANK(Table2[[#This Row],[Complete corrective actions (Approved Date)]]), TODAY()-Table2[[#This Row],[CAR initialized date]], "CLOSED")</f>
        <v>46077</v>
      </c>
    </row>
    <row r="935" spans="1:19" ht="36" customHeight="1" x14ac:dyDescent="0.25">
      <c r="A935" s="9"/>
      <c r="B935" s="13" t="e">
        <f>VLOOKUP(Table2[[#This Row],[Location 
(drop-down)]],'List source'!D$2:E$71,2,FALSE)</f>
        <v>#N/A</v>
      </c>
      <c r="C935" s="11" t="s">
        <v>1761</v>
      </c>
      <c r="D935" s="212" t="e">
        <f t="shared" si="15"/>
        <v>#N/A</v>
      </c>
      <c r="E935" s="224"/>
      <c r="F935" s="224"/>
      <c r="G935" s="9"/>
      <c r="H935" s="10"/>
      <c r="I935" s="20"/>
      <c r="J935" s="166"/>
      <c r="K935" s="166"/>
      <c r="L935" s="166"/>
      <c r="M935" s="166"/>
      <c r="N935" s="166"/>
      <c r="O935" s="63"/>
      <c r="P935" s="196"/>
      <c r="Q935" s="37"/>
      <c r="R935" s="93"/>
      <c r="S935" s="13">
        <f ca="1">IF(ISBLANK(Table2[[#This Row],[Complete corrective actions (Approved Date)]]), TODAY()-Table2[[#This Row],[CAR initialized date]], "CLOSED")</f>
        <v>46077</v>
      </c>
    </row>
    <row r="936" spans="1:19" ht="36" customHeight="1" x14ac:dyDescent="0.25">
      <c r="A936" s="9"/>
      <c r="B936" s="13" t="e">
        <f>VLOOKUP(Table2[[#This Row],[Location 
(drop-down)]],'List source'!D$2:E$71,2,FALSE)</f>
        <v>#N/A</v>
      </c>
      <c r="C936" s="11" t="s">
        <v>1762</v>
      </c>
      <c r="D936" s="212" t="e">
        <f t="shared" si="15"/>
        <v>#N/A</v>
      </c>
      <c r="E936" s="224"/>
      <c r="F936" s="224"/>
      <c r="G936" s="9"/>
      <c r="H936" s="10"/>
      <c r="I936" s="20"/>
      <c r="J936" s="166"/>
      <c r="K936" s="166"/>
      <c r="L936" s="166"/>
      <c r="M936" s="166"/>
      <c r="N936" s="166"/>
      <c r="O936" s="63"/>
      <c r="P936" s="196"/>
      <c r="Q936" s="37"/>
      <c r="R936" s="93"/>
      <c r="S936" s="13">
        <f ca="1">IF(ISBLANK(Table2[[#This Row],[Complete corrective actions (Approved Date)]]), TODAY()-Table2[[#This Row],[CAR initialized date]], "CLOSED")</f>
        <v>46077</v>
      </c>
    </row>
    <row r="937" spans="1:19" ht="36" customHeight="1" x14ac:dyDescent="0.25">
      <c r="A937" s="9"/>
      <c r="B937" s="13" t="e">
        <f>VLOOKUP(Table2[[#This Row],[Location 
(drop-down)]],'List source'!D$2:E$71,2,FALSE)</f>
        <v>#N/A</v>
      </c>
      <c r="C937" s="11" t="s">
        <v>1763</v>
      </c>
      <c r="D937" s="212" t="e">
        <f t="shared" si="15"/>
        <v>#N/A</v>
      </c>
      <c r="E937" s="224"/>
      <c r="F937" s="224"/>
      <c r="G937" s="9"/>
      <c r="H937" s="10"/>
      <c r="I937" s="20"/>
      <c r="J937" s="166"/>
      <c r="K937" s="166"/>
      <c r="L937" s="166"/>
      <c r="M937" s="166"/>
      <c r="N937" s="166"/>
      <c r="O937" s="63"/>
      <c r="P937" s="196"/>
      <c r="Q937" s="37"/>
      <c r="R937" s="93"/>
      <c r="S937" s="13">
        <f ca="1">IF(ISBLANK(Table2[[#This Row],[Complete corrective actions (Approved Date)]]), TODAY()-Table2[[#This Row],[CAR initialized date]], "CLOSED")</f>
        <v>46077</v>
      </c>
    </row>
    <row r="938" spans="1:19" ht="36" customHeight="1" x14ac:dyDescent="0.25">
      <c r="A938" s="9"/>
      <c r="B938" s="13" t="e">
        <f>VLOOKUP(Table2[[#This Row],[Location 
(drop-down)]],'List source'!D$2:E$71,2,FALSE)</f>
        <v>#N/A</v>
      </c>
      <c r="C938" s="11" t="s">
        <v>1764</v>
      </c>
      <c r="D938" s="212" t="e">
        <f t="shared" si="15"/>
        <v>#N/A</v>
      </c>
      <c r="E938" s="224"/>
      <c r="F938" s="224"/>
      <c r="G938" s="9"/>
      <c r="H938" s="10"/>
      <c r="I938" s="20"/>
      <c r="J938" s="166"/>
      <c r="K938" s="166"/>
      <c r="L938" s="166"/>
      <c r="M938" s="166"/>
      <c r="N938" s="166"/>
      <c r="O938" s="63"/>
      <c r="P938" s="196"/>
      <c r="Q938" s="37"/>
      <c r="R938" s="93"/>
      <c r="S938" s="13">
        <f ca="1">IF(ISBLANK(Table2[[#This Row],[Complete corrective actions (Approved Date)]]), TODAY()-Table2[[#This Row],[CAR initialized date]], "CLOSED")</f>
        <v>46077</v>
      </c>
    </row>
    <row r="939" spans="1:19" ht="36" customHeight="1" x14ac:dyDescent="0.25">
      <c r="A939" s="9"/>
      <c r="B939" s="13" t="e">
        <f>VLOOKUP(Table2[[#This Row],[Location 
(drop-down)]],'List source'!D$2:E$71,2,FALSE)</f>
        <v>#N/A</v>
      </c>
      <c r="C939" s="11" t="s">
        <v>1765</v>
      </c>
      <c r="D939" s="212" t="e">
        <f t="shared" si="15"/>
        <v>#N/A</v>
      </c>
      <c r="E939" s="224"/>
      <c r="F939" s="224"/>
      <c r="G939" s="9"/>
      <c r="H939" s="10"/>
      <c r="I939" s="20"/>
      <c r="J939" s="166"/>
      <c r="K939" s="166"/>
      <c r="L939" s="166"/>
      <c r="M939" s="166"/>
      <c r="N939" s="166"/>
      <c r="O939" s="63"/>
      <c r="P939" s="196"/>
      <c r="Q939" s="37"/>
      <c r="R939" s="93"/>
      <c r="S939" s="13">
        <f ca="1">IF(ISBLANK(Table2[[#This Row],[Complete corrective actions (Approved Date)]]), TODAY()-Table2[[#This Row],[CAR initialized date]], "CLOSED")</f>
        <v>46077</v>
      </c>
    </row>
    <row r="940" spans="1:19" ht="36" customHeight="1" x14ac:dyDescent="0.25">
      <c r="A940" s="9"/>
      <c r="B940" s="13" t="e">
        <f>VLOOKUP(Table2[[#This Row],[Location 
(drop-down)]],'List source'!D$2:E$71,2,FALSE)</f>
        <v>#N/A</v>
      </c>
      <c r="C940" s="11" t="s">
        <v>1766</v>
      </c>
      <c r="D940" s="212" t="e">
        <f t="shared" si="15"/>
        <v>#N/A</v>
      </c>
      <c r="E940" s="224"/>
      <c r="F940" s="224"/>
      <c r="G940" s="9"/>
      <c r="H940" s="10"/>
      <c r="I940" s="20"/>
      <c r="J940" s="166"/>
      <c r="K940" s="166"/>
      <c r="L940" s="166"/>
      <c r="M940" s="166"/>
      <c r="N940" s="166"/>
      <c r="O940" s="63"/>
      <c r="P940" s="196"/>
      <c r="Q940" s="37"/>
      <c r="R940" s="93"/>
      <c r="S940" s="13">
        <f ca="1">IF(ISBLANK(Table2[[#This Row],[Complete corrective actions (Approved Date)]]), TODAY()-Table2[[#This Row],[CAR initialized date]], "CLOSED")</f>
        <v>46077</v>
      </c>
    </row>
    <row r="941" spans="1:19" ht="36" customHeight="1" x14ac:dyDescent="0.25">
      <c r="A941" s="9"/>
      <c r="B941" s="13" t="e">
        <f>VLOOKUP(Table2[[#This Row],[Location 
(drop-down)]],'List source'!D$2:E$71,2,FALSE)</f>
        <v>#N/A</v>
      </c>
      <c r="C941" s="11" t="s">
        <v>1767</v>
      </c>
      <c r="D941" s="212" t="e">
        <f t="shared" si="15"/>
        <v>#N/A</v>
      </c>
      <c r="E941" s="224"/>
      <c r="F941" s="224"/>
      <c r="G941" s="9"/>
      <c r="H941" s="10"/>
      <c r="I941" s="20"/>
      <c r="J941" s="166"/>
      <c r="K941" s="166"/>
      <c r="L941" s="166"/>
      <c r="M941" s="166"/>
      <c r="N941" s="166"/>
      <c r="O941" s="63"/>
      <c r="P941" s="196"/>
      <c r="Q941" s="37"/>
      <c r="R941" s="93"/>
      <c r="S941" s="13">
        <f ca="1">IF(ISBLANK(Table2[[#This Row],[Complete corrective actions (Approved Date)]]), TODAY()-Table2[[#This Row],[CAR initialized date]], "CLOSED")</f>
        <v>46077</v>
      </c>
    </row>
    <row r="942" spans="1:19" ht="36" customHeight="1" x14ac:dyDescent="0.25">
      <c r="A942" s="9"/>
      <c r="B942" s="13" t="e">
        <f>VLOOKUP(Table2[[#This Row],[Location 
(drop-down)]],'List source'!D$2:E$71,2,FALSE)</f>
        <v>#N/A</v>
      </c>
      <c r="C942" s="11" t="s">
        <v>1768</v>
      </c>
      <c r="D942" s="212" t="e">
        <f t="shared" si="15"/>
        <v>#N/A</v>
      </c>
      <c r="E942" s="224"/>
      <c r="F942" s="224"/>
      <c r="G942" s="9"/>
      <c r="H942" s="10"/>
      <c r="I942" s="20"/>
      <c r="J942" s="166"/>
      <c r="K942" s="166"/>
      <c r="L942" s="166"/>
      <c r="M942" s="166"/>
      <c r="N942" s="166"/>
      <c r="O942" s="63"/>
      <c r="P942" s="196"/>
      <c r="Q942" s="37"/>
      <c r="R942" s="93"/>
      <c r="S942" s="13">
        <f ca="1">IF(ISBLANK(Table2[[#This Row],[Complete corrective actions (Approved Date)]]), TODAY()-Table2[[#This Row],[CAR initialized date]], "CLOSED")</f>
        <v>46077</v>
      </c>
    </row>
    <row r="943" spans="1:19" ht="36" customHeight="1" x14ac:dyDescent="0.25">
      <c r="A943" s="9"/>
      <c r="B943" s="13" t="e">
        <f>VLOOKUP(Table2[[#This Row],[Location 
(drop-down)]],'List source'!D$2:E$71,2,FALSE)</f>
        <v>#N/A</v>
      </c>
      <c r="C943" s="11" t="s">
        <v>1769</v>
      </c>
      <c r="D943" s="212" t="e">
        <f t="shared" si="15"/>
        <v>#N/A</v>
      </c>
      <c r="E943" s="224"/>
      <c r="F943" s="224"/>
      <c r="G943" s="9"/>
      <c r="H943" s="10"/>
      <c r="I943" s="20"/>
      <c r="J943" s="166"/>
      <c r="K943" s="166"/>
      <c r="L943" s="166"/>
      <c r="M943" s="166"/>
      <c r="N943" s="166"/>
      <c r="O943" s="63"/>
      <c r="P943" s="196"/>
      <c r="Q943" s="37"/>
      <c r="R943" s="93"/>
      <c r="S943" s="13">
        <f ca="1">IF(ISBLANK(Table2[[#This Row],[Complete corrective actions (Approved Date)]]), TODAY()-Table2[[#This Row],[CAR initialized date]], "CLOSED")</f>
        <v>46077</v>
      </c>
    </row>
    <row r="944" spans="1:19" ht="36" customHeight="1" x14ac:dyDescent="0.25">
      <c r="A944" s="9"/>
      <c r="B944" s="13" t="e">
        <f>VLOOKUP(Table2[[#This Row],[Location 
(drop-down)]],'List source'!D$2:E$71,2,FALSE)</f>
        <v>#N/A</v>
      </c>
      <c r="C944" s="11" t="s">
        <v>1770</v>
      </c>
      <c r="D944" s="212" t="e">
        <f t="shared" si="15"/>
        <v>#N/A</v>
      </c>
      <c r="E944" s="224"/>
      <c r="F944" s="224"/>
      <c r="G944" s="9"/>
      <c r="H944" s="10"/>
      <c r="I944" s="20"/>
      <c r="J944" s="166"/>
      <c r="K944" s="166"/>
      <c r="L944" s="166"/>
      <c r="M944" s="166"/>
      <c r="N944" s="166"/>
      <c r="O944" s="63"/>
      <c r="P944" s="196"/>
      <c r="Q944" s="37"/>
      <c r="R944" s="93"/>
      <c r="S944" s="13">
        <f ca="1">IF(ISBLANK(Table2[[#This Row],[Complete corrective actions (Approved Date)]]), TODAY()-Table2[[#This Row],[CAR initialized date]], "CLOSED")</f>
        <v>46077</v>
      </c>
    </row>
    <row r="945" spans="1:19" ht="36" customHeight="1" x14ac:dyDescent="0.25">
      <c r="A945" s="9"/>
      <c r="B945" s="13" t="e">
        <f>VLOOKUP(Table2[[#This Row],[Location 
(drop-down)]],'List source'!D$2:E$71,2,FALSE)</f>
        <v>#N/A</v>
      </c>
      <c r="C945" s="11" t="s">
        <v>1771</v>
      </c>
      <c r="D945" s="212" t="e">
        <f t="shared" si="15"/>
        <v>#N/A</v>
      </c>
      <c r="E945" s="224"/>
      <c r="F945" s="224"/>
      <c r="G945" s="9"/>
      <c r="H945" s="10"/>
      <c r="I945" s="20"/>
      <c r="J945" s="166"/>
      <c r="K945" s="166"/>
      <c r="L945" s="166"/>
      <c r="M945" s="166"/>
      <c r="N945" s="166"/>
      <c r="O945" s="63"/>
      <c r="P945" s="196"/>
      <c r="Q945" s="37"/>
      <c r="R945" s="93"/>
      <c r="S945" s="13">
        <f ca="1">IF(ISBLANK(Table2[[#This Row],[Complete corrective actions (Approved Date)]]), TODAY()-Table2[[#This Row],[CAR initialized date]], "CLOSED")</f>
        <v>46077</v>
      </c>
    </row>
    <row r="946" spans="1:19" ht="36" customHeight="1" x14ac:dyDescent="0.25">
      <c r="A946" s="9"/>
      <c r="B946" s="13" t="e">
        <f>VLOOKUP(Table2[[#This Row],[Location 
(drop-down)]],'List source'!D$2:E$71,2,FALSE)</f>
        <v>#N/A</v>
      </c>
      <c r="C946" s="11" t="s">
        <v>1772</v>
      </c>
      <c r="D946" s="212" t="e">
        <f t="shared" si="15"/>
        <v>#N/A</v>
      </c>
      <c r="E946" s="224"/>
      <c r="F946" s="224"/>
      <c r="G946" s="9"/>
      <c r="H946" s="10"/>
      <c r="I946" s="20"/>
      <c r="J946" s="166"/>
      <c r="K946" s="166"/>
      <c r="L946" s="166"/>
      <c r="M946" s="166"/>
      <c r="N946" s="166"/>
      <c r="O946" s="63"/>
      <c r="P946" s="196"/>
      <c r="Q946" s="37"/>
      <c r="R946" s="93"/>
      <c r="S946" s="13">
        <f ca="1">IF(ISBLANK(Table2[[#This Row],[Complete corrective actions (Approved Date)]]), TODAY()-Table2[[#This Row],[CAR initialized date]], "CLOSED")</f>
        <v>46077</v>
      </c>
    </row>
    <row r="947" spans="1:19" ht="36" customHeight="1" x14ac:dyDescent="0.25">
      <c r="A947" s="9"/>
      <c r="B947" s="13" t="e">
        <f>VLOOKUP(Table2[[#This Row],[Location 
(drop-down)]],'List source'!D$2:E$71,2,FALSE)</f>
        <v>#N/A</v>
      </c>
      <c r="C947" s="11" t="s">
        <v>1773</v>
      </c>
      <c r="D947" s="212" t="e">
        <f t="shared" si="15"/>
        <v>#N/A</v>
      </c>
      <c r="E947" s="224"/>
      <c r="F947" s="224"/>
      <c r="G947" s="9"/>
      <c r="H947" s="10"/>
      <c r="I947" s="20"/>
      <c r="J947" s="166"/>
      <c r="K947" s="166"/>
      <c r="L947" s="166"/>
      <c r="M947" s="166"/>
      <c r="N947" s="166"/>
      <c r="O947" s="63"/>
      <c r="P947" s="196"/>
      <c r="Q947" s="37"/>
      <c r="R947" s="93"/>
      <c r="S947" s="13">
        <f ca="1">IF(ISBLANK(Table2[[#This Row],[Complete corrective actions (Approved Date)]]), TODAY()-Table2[[#This Row],[CAR initialized date]], "CLOSED")</f>
        <v>46077</v>
      </c>
    </row>
    <row r="948" spans="1:19" ht="36" customHeight="1" x14ac:dyDescent="0.25">
      <c r="A948" s="9"/>
      <c r="B948" s="13" t="e">
        <f>VLOOKUP(Table2[[#This Row],[Location 
(drop-down)]],'List source'!D$2:E$71,2,FALSE)</f>
        <v>#N/A</v>
      </c>
      <c r="C948" s="11" t="s">
        <v>1774</v>
      </c>
      <c r="D948" s="212" t="e">
        <f t="shared" si="15"/>
        <v>#N/A</v>
      </c>
      <c r="E948" s="224"/>
      <c r="F948" s="224"/>
      <c r="G948" s="9"/>
      <c r="H948" s="10"/>
      <c r="I948" s="20"/>
      <c r="J948" s="166"/>
      <c r="K948" s="166"/>
      <c r="L948" s="166"/>
      <c r="M948" s="166"/>
      <c r="N948" s="166"/>
      <c r="O948" s="63"/>
      <c r="P948" s="196"/>
      <c r="Q948" s="37"/>
      <c r="R948" s="93"/>
      <c r="S948" s="13">
        <f ca="1">IF(ISBLANK(Table2[[#This Row],[Complete corrective actions (Approved Date)]]), TODAY()-Table2[[#This Row],[CAR initialized date]], "CLOSED")</f>
        <v>46077</v>
      </c>
    </row>
    <row r="949" spans="1:19" ht="36" customHeight="1" x14ac:dyDescent="0.25">
      <c r="A949" s="9"/>
      <c r="B949" s="13" t="e">
        <f>VLOOKUP(Table2[[#This Row],[Location 
(drop-down)]],'List source'!D$2:E$71,2,FALSE)</f>
        <v>#N/A</v>
      </c>
      <c r="C949" s="11" t="s">
        <v>1775</v>
      </c>
      <c r="D949" s="212" t="e">
        <f t="shared" si="15"/>
        <v>#N/A</v>
      </c>
      <c r="E949" s="224"/>
      <c r="F949" s="224"/>
      <c r="G949" s="9"/>
      <c r="H949" s="10"/>
      <c r="I949" s="20"/>
      <c r="J949" s="166"/>
      <c r="K949" s="166"/>
      <c r="L949" s="166"/>
      <c r="M949" s="166"/>
      <c r="N949" s="166"/>
      <c r="O949" s="63"/>
      <c r="P949" s="196"/>
      <c r="Q949" s="37"/>
      <c r="R949" s="93"/>
      <c r="S949" s="13">
        <f ca="1">IF(ISBLANK(Table2[[#This Row],[Complete corrective actions (Approved Date)]]), TODAY()-Table2[[#This Row],[CAR initialized date]], "CLOSED")</f>
        <v>46077</v>
      </c>
    </row>
    <row r="950" spans="1:19" ht="36" customHeight="1" x14ac:dyDescent="0.25">
      <c r="A950" s="9"/>
      <c r="B950" s="13" t="e">
        <f>VLOOKUP(Table2[[#This Row],[Location 
(drop-down)]],'List source'!D$2:E$71,2,FALSE)</f>
        <v>#N/A</v>
      </c>
      <c r="C950" s="11" t="s">
        <v>1776</v>
      </c>
      <c r="D950" s="212" t="e">
        <f t="shared" si="15"/>
        <v>#N/A</v>
      </c>
      <c r="E950" s="224"/>
      <c r="F950" s="224"/>
      <c r="G950" s="9"/>
      <c r="H950" s="10"/>
      <c r="I950" s="20"/>
      <c r="J950" s="166"/>
      <c r="K950" s="166"/>
      <c r="L950" s="166"/>
      <c r="M950" s="166"/>
      <c r="N950" s="166"/>
      <c r="O950" s="63"/>
      <c r="P950" s="196"/>
      <c r="Q950" s="37"/>
      <c r="R950" s="93"/>
      <c r="S950" s="13">
        <f ca="1">IF(ISBLANK(Table2[[#This Row],[Complete corrective actions (Approved Date)]]), TODAY()-Table2[[#This Row],[CAR initialized date]], "CLOSED")</f>
        <v>46077</v>
      </c>
    </row>
    <row r="951" spans="1:19" ht="36" customHeight="1" x14ac:dyDescent="0.25">
      <c r="A951" s="9"/>
      <c r="B951" s="13" t="e">
        <f>VLOOKUP(Table2[[#This Row],[Location 
(drop-down)]],'List source'!D$2:E$71,2,FALSE)</f>
        <v>#N/A</v>
      </c>
      <c r="C951" s="11" t="s">
        <v>1777</v>
      </c>
      <c r="D951" s="212" t="e">
        <f t="shared" si="15"/>
        <v>#N/A</v>
      </c>
      <c r="E951" s="224"/>
      <c r="F951" s="224"/>
      <c r="G951" s="9"/>
      <c r="H951" s="10"/>
      <c r="I951" s="20"/>
      <c r="J951" s="166"/>
      <c r="K951" s="166"/>
      <c r="L951" s="166"/>
      <c r="M951" s="166"/>
      <c r="N951" s="166"/>
      <c r="O951" s="63"/>
      <c r="P951" s="196"/>
      <c r="Q951" s="37"/>
      <c r="R951" s="93"/>
      <c r="S951" s="13">
        <f ca="1">IF(ISBLANK(Table2[[#This Row],[Complete corrective actions (Approved Date)]]), TODAY()-Table2[[#This Row],[CAR initialized date]], "CLOSED")</f>
        <v>46077</v>
      </c>
    </row>
    <row r="952" spans="1:19" ht="36" customHeight="1" x14ac:dyDescent="0.25">
      <c r="A952" s="9"/>
      <c r="B952" s="13" t="e">
        <f>VLOOKUP(Table2[[#This Row],[Location 
(drop-down)]],'List source'!D$2:E$71,2,FALSE)</f>
        <v>#N/A</v>
      </c>
      <c r="C952" s="11" t="s">
        <v>1778</v>
      </c>
      <c r="D952" s="212" t="e">
        <f t="shared" si="15"/>
        <v>#N/A</v>
      </c>
      <c r="E952" s="224"/>
      <c r="F952" s="224"/>
      <c r="G952" s="9"/>
      <c r="H952" s="10"/>
      <c r="I952" s="20"/>
      <c r="J952" s="166"/>
      <c r="K952" s="166"/>
      <c r="L952" s="166"/>
      <c r="M952" s="166"/>
      <c r="N952" s="166"/>
      <c r="O952" s="63"/>
      <c r="P952" s="196"/>
      <c r="Q952" s="37"/>
      <c r="R952" s="93"/>
      <c r="S952" s="13">
        <f ca="1">IF(ISBLANK(Table2[[#This Row],[Complete corrective actions (Approved Date)]]), TODAY()-Table2[[#This Row],[CAR initialized date]], "CLOSED")</f>
        <v>46077</v>
      </c>
    </row>
    <row r="953" spans="1:19" ht="36" customHeight="1" x14ac:dyDescent="0.25">
      <c r="A953" s="9"/>
      <c r="B953" s="13" t="e">
        <f>VLOOKUP(Table2[[#This Row],[Location 
(drop-down)]],'List source'!D$2:E$71,2,FALSE)</f>
        <v>#N/A</v>
      </c>
      <c r="C953" s="11" t="s">
        <v>1779</v>
      </c>
      <c r="D953" s="212" t="e">
        <f t="shared" si="15"/>
        <v>#N/A</v>
      </c>
      <c r="E953" s="224"/>
      <c r="F953" s="224"/>
      <c r="G953" s="9"/>
      <c r="H953" s="10"/>
      <c r="I953" s="20"/>
      <c r="J953" s="166"/>
      <c r="K953" s="166"/>
      <c r="L953" s="166"/>
      <c r="M953" s="166"/>
      <c r="N953" s="166"/>
      <c r="O953" s="63"/>
      <c r="P953" s="196"/>
      <c r="Q953" s="37"/>
      <c r="R953" s="93"/>
      <c r="S953" s="13">
        <f ca="1">IF(ISBLANK(Table2[[#This Row],[Complete corrective actions (Approved Date)]]), TODAY()-Table2[[#This Row],[CAR initialized date]], "CLOSED")</f>
        <v>46077</v>
      </c>
    </row>
    <row r="954" spans="1:19" ht="36" customHeight="1" x14ac:dyDescent="0.25">
      <c r="A954" s="9"/>
      <c r="B954" s="13" t="e">
        <f>VLOOKUP(Table2[[#This Row],[Location 
(drop-down)]],'List source'!D$2:E$71,2,FALSE)</f>
        <v>#N/A</v>
      </c>
      <c r="C954" s="11" t="s">
        <v>1780</v>
      </c>
      <c r="D954" s="212" t="e">
        <f t="shared" si="15"/>
        <v>#N/A</v>
      </c>
      <c r="E954" s="224"/>
      <c r="F954" s="224"/>
      <c r="G954" s="9"/>
      <c r="H954" s="10"/>
      <c r="I954" s="20"/>
      <c r="J954" s="166"/>
      <c r="K954" s="166"/>
      <c r="L954" s="166"/>
      <c r="M954" s="166"/>
      <c r="N954" s="166"/>
      <c r="O954" s="63"/>
      <c r="P954" s="196"/>
      <c r="Q954" s="37"/>
      <c r="R954" s="93"/>
      <c r="S954" s="13">
        <f ca="1">IF(ISBLANK(Table2[[#This Row],[Complete corrective actions (Approved Date)]]), TODAY()-Table2[[#This Row],[CAR initialized date]], "CLOSED")</f>
        <v>46077</v>
      </c>
    </row>
    <row r="955" spans="1:19" ht="36" customHeight="1" x14ac:dyDescent="0.25">
      <c r="A955" s="9"/>
      <c r="B955" s="13" t="e">
        <f>VLOOKUP(Table2[[#This Row],[Location 
(drop-down)]],'List source'!D$2:E$71,2,FALSE)</f>
        <v>#N/A</v>
      </c>
      <c r="C955" s="11" t="s">
        <v>1781</v>
      </c>
      <c r="D955" s="212" t="e">
        <f t="shared" si="15"/>
        <v>#N/A</v>
      </c>
      <c r="E955" s="224"/>
      <c r="F955" s="224"/>
      <c r="G955" s="9"/>
      <c r="H955" s="10"/>
      <c r="I955" s="20"/>
      <c r="J955" s="166"/>
      <c r="K955" s="166"/>
      <c r="L955" s="166"/>
      <c r="M955" s="166"/>
      <c r="N955" s="166"/>
      <c r="O955" s="63"/>
      <c r="P955" s="196"/>
      <c r="Q955" s="37"/>
      <c r="R955" s="93"/>
      <c r="S955" s="13">
        <f ca="1">IF(ISBLANK(Table2[[#This Row],[Complete corrective actions (Approved Date)]]), TODAY()-Table2[[#This Row],[CAR initialized date]], "CLOSED")</f>
        <v>46077</v>
      </c>
    </row>
    <row r="956" spans="1:19" ht="36" customHeight="1" x14ac:dyDescent="0.25">
      <c r="A956" s="9"/>
      <c r="B956" s="13" t="e">
        <f>VLOOKUP(Table2[[#This Row],[Location 
(drop-down)]],'List source'!D$2:E$71,2,FALSE)</f>
        <v>#N/A</v>
      </c>
      <c r="C956" s="11" t="s">
        <v>1782</v>
      </c>
      <c r="D956" s="212" t="e">
        <f t="shared" si="15"/>
        <v>#N/A</v>
      </c>
      <c r="E956" s="224"/>
      <c r="F956" s="224"/>
      <c r="G956" s="9"/>
      <c r="H956" s="10"/>
      <c r="I956" s="20"/>
      <c r="J956" s="166"/>
      <c r="K956" s="166"/>
      <c r="L956" s="166"/>
      <c r="M956" s="166"/>
      <c r="N956" s="166"/>
      <c r="O956" s="63"/>
      <c r="P956" s="196"/>
      <c r="Q956" s="37"/>
      <c r="R956" s="93"/>
      <c r="S956" s="13">
        <f ca="1">IF(ISBLANK(Table2[[#This Row],[Complete corrective actions (Approved Date)]]), TODAY()-Table2[[#This Row],[CAR initialized date]], "CLOSED")</f>
        <v>46077</v>
      </c>
    </row>
    <row r="957" spans="1:19" ht="36" customHeight="1" x14ac:dyDescent="0.25">
      <c r="A957" s="9"/>
      <c r="B957" s="13" t="e">
        <f>VLOOKUP(Table2[[#This Row],[Location 
(drop-down)]],'List source'!D$2:E$71,2,FALSE)</f>
        <v>#N/A</v>
      </c>
      <c r="C957" s="11" t="s">
        <v>1783</v>
      </c>
      <c r="D957" s="212" t="e">
        <f t="shared" si="15"/>
        <v>#N/A</v>
      </c>
      <c r="E957" s="224"/>
      <c r="F957" s="224"/>
      <c r="G957" s="9"/>
      <c r="H957" s="10"/>
      <c r="I957" s="20"/>
      <c r="J957" s="166"/>
      <c r="K957" s="166"/>
      <c r="L957" s="166"/>
      <c r="M957" s="166"/>
      <c r="N957" s="166"/>
      <c r="O957" s="63"/>
      <c r="P957" s="196"/>
      <c r="Q957" s="37"/>
      <c r="R957" s="93"/>
      <c r="S957" s="13">
        <f ca="1">IF(ISBLANK(Table2[[#This Row],[Complete corrective actions (Approved Date)]]), TODAY()-Table2[[#This Row],[CAR initialized date]], "CLOSED")</f>
        <v>46077</v>
      </c>
    </row>
    <row r="958" spans="1:19" ht="36" customHeight="1" x14ac:dyDescent="0.25">
      <c r="A958" s="9"/>
      <c r="B958" s="13" t="e">
        <f>VLOOKUP(Table2[[#This Row],[Location 
(drop-down)]],'List source'!D$2:E$71,2,FALSE)</f>
        <v>#N/A</v>
      </c>
      <c r="C958" s="11" t="s">
        <v>1784</v>
      </c>
      <c r="D958" s="212" t="e">
        <f t="shared" si="15"/>
        <v>#N/A</v>
      </c>
      <c r="E958" s="224"/>
      <c r="F958" s="224"/>
      <c r="G958" s="9"/>
      <c r="H958" s="10"/>
      <c r="I958" s="20"/>
      <c r="J958" s="166"/>
      <c r="K958" s="166"/>
      <c r="L958" s="166"/>
      <c r="M958" s="166"/>
      <c r="N958" s="166"/>
      <c r="O958" s="63"/>
      <c r="P958" s="63"/>
      <c r="Q958" s="37"/>
      <c r="R958" s="93"/>
      <c r="S958" s="13">
        <f ca="1">IF(ISBLANK(Table2[[#This Row],[Complete corrective actions (Approved Date)]]), TODAY()-Table2[[#This Row],[CAR initialized date]], "CLOSED")</f>
        <v>46077</v>
      </c>
    </row>
    <row r="959" spans="1:19" ht="36" customHeight="1" x14ac:dyDescent="0.25">
      <c r="A959" s="9"/>
      <c r="B959" s="13" t="e">
        <f>VLOOKUP(Table2[[#This Row],[Location 
(drop-down)]],'List source'!D$2:E$71,2,FALSE)</f>
        <v>#N/A</v>
      </c>
      <c r="C959" s="11" t="s">
        <v>1785</v>
      </c>
      <c r="D959" s="212" t="e">
        <f t="shared" si="15"/>
        <v>#N/A</v>
      </c>
      <c r="E959" s="224"/>
      <c r="F959" s="224"/>
      <c r="G959" s="9"/>
      <c r="H959" s="10"/>
      <c r="I959" s="20"/>
      <c r="J959" s="166"/>
      <c r="K959" s="166"/>
      <c r="L959" s="166"/>
      <c r="M959" s="166"/>
      <c r="N959" s="166"/>
      <c r="O959" s="63"/>
      <c r="P959" s="63"/>
      <c r="Q959" s="37"/>
      <c r="R959" s="93"/>
      <c r="S959" s="13">
        <f ca="1">IF(ISBLANK(Table2[[#This Row],[Complete corrective actions (Approved Date)]]), TODAY()-Table2[[#This Row],[CAR initialized date]], "CLOSED")</f>
        <v>46077</v>
      </c>
    </row>
    <row r="960" spans="1:19" ht="36" customHeight="1" x14ac:dyDescent="0.25">
      <c r="A960" s="9"/>
      <c r="B960" s="13" t="e">
        <f>VLOOKUP(Table2[[#This Row],[Location 
(drop-down)]],'List source'!D$2:E$71,2,FALSE)</f>
        <v>#N/A</v>
      </c>
      <c r="C960" s="11" t="s">
        <v>1786</v>
      </c>
      <c r="D960" s="212" t="e">
        <f t="shared" si="15"/>
        <v>#N/A</v>
      </c>
      <c r="E960" s="224"/>
      <c r="F960" s="224"/>
      <c r="G960" s="9"/>
      <c r="H960" s="10"/>
      <c r="I960" s="20"/>
      <c r="J960" s="166"/>
      <c r="K960" s="166"/>
      <c r="L960" s="166"/>
      <c r="M960" s="166"/>
      <c r="N960" s="166"/>
      <c r="O960" s="63"/>
      <c r="P960" s="63"/>
      <c r="Q960" s="37"/>
      <c r="R960" s="93"/>
      <c r="S960" s="13">
        <f ca="1">IF(ISBLANK(Table2[[#This Row],[Complete corrective actions (Approved Date)]]), TODAY()-Table2[[#This Row],[CAR initialized date]], "CLOSED")</f>
        <v>46077</v>
      </c>
    </row>
    <row r="961" spans="1:19" ht="36" customHeight="1" x14ac:dyDescent="0.25">
      <c r="A961" s="9"/>
      <c r="B961" s="13" t="e">
        <f>VLOOKUP(Table2[[#This Row],[Location 
(drop-down)]],'List source'!D$2:E$71,2,FALSE)</f>
        <v>#N/A</v>
      </c>
      <c r="C961" s="11" t="s">
        <v>1787</v>
      </c>
      <c r="D961" s="212" t="e">
        <f t="shared" ref="D961:D1000" si="16">"C" &amp; C961 &amp;"-" &amp; B961 &amp; "-" &amp; "25"</f>
        <v>#N/A</v>
      </c>
      <c r="E961" s="224"/>
      <c r="F961" s="224"/>
      <c r="G961" s="9"/>
      <c r="H961" s="10"/>
      <c r="I961" s="20"/>
      <c r="J961" s="166"/>
      <c r="K961" s="166"/>
      <c r="L961" s="166"/>
      <c r="M961" s="166"/>
      <c r="N961" s="166"/>
      <c r="O961" s="63"/>
      <c r="P961" s="63"/>
      <c r="Q961" s="37"/>
      <c r="R961" s="93"/>
      <c r="S961" s="13">
        <f ca="1">IF(ISBLANK(Table2[[#This Row],[Complete corrective actions (Approved Date)]]), TODAY()-Table2[[#This Row],[CAR initialized date]], "CLOSED")</f>
        <v>46077</v>
      </c>
    </row>
    <row r="962" spans="1:19" ht="36" customHeight="1" x14ac:dyDescent="0.25">
      <c r="A962" s="9"/>
      <c r="B962" s="13" t="e">
        <f>VLOOKUP(Table2[[#This Row],[Location 
(drop-down)]],'List source'!D$2:E$71,2,FALSE)</f>
        <v>#N/A</v>
      </c>
      <c r="C962" s="11" t="s">
        <v>1788</v>
      </c>
      <c r="D962" s="212" t="e">
        <f t="shared" si="16"/>
        <v>#N/A</v>
      </c>
      <c r="E962" s="224"/>
      <c r="F962" s="224"/>
      <c r="G962" s="9"/>
      <c r="H962" s="10"/>
      <c r="I962" s="20"/>
      <c r="J962" s="166"/>
      <c r="K962" s="166"/>
      <c r="L962" s="166"/>
      <c r="M962" s="166"/>
      <c r="N962" s="166"/>
      <c r="O962" s="63"/>
      <c r="P962" s="63"/>
      <c r="Q962" s="37"/>
      <c r="R962" s="93"/>
      <c r="S962" s="13">
        <f ca="1">IF(ISBLANK(Table2[[#This Row],[Complete corrective actions (Approved Date)]]), TODAY()-Table2[[#This Row],[CAR initialized date]], "CLOSED")</f>
        <v>46077</v>
      </c>
    </row>
    <row r="963" spans="1:19" ht="36" customHeight="1" x14ac:dyDescent="0.25">
      <c r="A963" s="9"/>
      <c r="B963" s="13" t="e">
        <f>VLOOKUP(Table2[[#This Row],[Location 
(drop-down)]],'List source'!D$2:E$71,2,FALSE)</f>
        <v>#N/A</v>
      </c>
      <c r="C963" s="11" t="s">
        <v>1789</v>
      </c>
      <c r="D963" s="212" t="e">
        <f t="shared" si="16"/>
        <v>#N/A</v>
      </c>
      <c r="E963" s="224"/>
      <c r="F963" s="224"/>
      <c r="G963" s="9"/>
      <c r="H963" s="10"/>
      <c r="I963" s="20"/>
      <c r="J963" s="166"/>
      <c r="K963" s="166"/>
      <c r="L963" s="166"/>
      <c r="M963" s="166"/>
      <c r="N963" s="166"/>
      <c r="O963" s="63"/>
      <c r="P963" s="63"/>
      <c r="Q963" s="37"/>
      <c r="R963" s="93"/>
      <c r="S963" s="13">
        <f ca="1">IF(ISBLANK(Table2[[#This Row],[Complete corrective actions (Approved Date)]]), TODAY()-Table2[[#This Row],[CAR initialized date]], "CLOSED")</f>
        <v>46077</v>
      </c>
    </row>
    <row r="964" spans="1:19" ht="36" customHeight="1" x14ac:dyDescent="0.25">
      <c r="A964" s="9"/>
      <c r="B964" s="13" t="e">
        <f>VLOOKUP(Table2[[#This Row],[Location 
(drop-down)]],'List source'!D$2:E$71,2,FALSE)</f>
        <v>#N/A</v>
      </c>
      <c r="C964" s="11" t="s">
        <v>1790</v>
      </c>
      <c r="D964" s="212" t="e">
        <f t="shared" si="16"/>
        <v>#N/A</v>
      </c>
      <c r="E964" s="224"/>
      <c r="F964" s="224"/>
      <c r="G964" s="9"/>
      <c r="H964" s="10"/>
      <c r="I964" s="20"/>
      <c r="J964" s="166"/>
      <c r="K964" s="166"/>
      <c r="L964" s="166"/>
      <c r="M964" s="166"/>
      <c r="N964" s="166"/>
      <c r="O964" s="63"/>
      <c r="P964" s="63"/>
      <c r="Q964" s="37"/>
      <c r="R964" s="93"/>
      <c r="S964" s="13">
        <f ca="1">IF(ISBLANK(Table2[[#This Row],[Complete corrective actions (Approved Date)]]), TODAY()-Table2[[#This Row],[CAR initialized date]], "CLOSED")</f>
        <v>46077</v>
      </c>
    </row>
    <row r="965" spans="1:19" ht="36" customHeight="1" x14ac:dyDescent="0.25">
      <c r="A965" s="9"/>
      <c r="B965" s="13" t="e">
        <f>VLOOKUP(Table2[[#This Row],[Location 
(drop-down)]],'List source'!D$2:E$71,2,FALSE)</f>
        <v>#N/A</v>
      </c>
      <c r="C965" s="11" t="s">
        <v>1791</v>
      </c>
      <c r="D965" s="212" t="e">
        <f t="shared" si="16"/>
        <v>#N/A</v>
      </c>
      <c r="E965" s="224"/>
      <c r="F965" s="224"/>
      <c r="G965" s="9"/>
      <c r="H965" s="10"/>
      <c r="I965" s="20"/>
      <c r="J965" s="166"/>
      <c r="K965" s="166"/>
      <c r="L965" s="166"/>
      <c r="M965" s="166"/>
      <c r="N965" s="166"/>
      <c r="O965" s="63"/>
      <c r="P965" s="63"/>
      <c r="Q965" s="37"/>
      <c r="R965" s="93"/>
      <c r="S965" s="13">
        <f ca="1">IF(ISBLANK(Table2[[#This Row],[Complete corrective actions (Approved Date)]]), TODAY()-Table2[[#This Row],[CAR initialized date]], "CLOSED")</f>
        <v>46077</v>
      </c>
    </row>
    <row r="966" spans="1:19" ht="36" customHeight="1" x14ac:dyDescent="0.25">
      <c r="A966" s="9"/>
      <c r="B966" s="13" t="e">
        <f>VLOOKUP(Table2[[#This Row],[Location 
(drop-down)]],'List source'!D$2:E$71,2,FALSE)</f>
        <v>#N/A</v>
      </c>
      <c r="C966" s="11" t="s">
        <v>1792</v>
      </c>
      <c r="D966" s="212" t="e">
        <f t="shared" si="16"/>
        <v>#N/A</v>
      </c>
      <c r="E966" s="224"/>
      <c r="F966" s="224"/>
      <c r="G966" s="9"/>
      <c r="H966" s="10"/>
      <c r="I966" s="20"/>
      <c r="J966" s="166"/>
      <c r="K966" s="166"/>
      <c r="L966" s="166"/>
      <c r="M966" s="166"/>
      <c r="N966" s="166"/>
      <c r="O966" s="63"/>
      <c r="P966" s="63"/>
      <c r="Q966" s="37"/>
      <c r="R966" s="93"/>
      <c r="S966" s="13">
        <f ca="1">IF(ISBLANK(Table2[[#This Row],[Complete corrective actions (Approved Date)]]), TODAY()-Table2[[#This Row],[CAR initialized date]], "CLOSED")</f>
        <v>46077</v>
      </c>
    </row>
    <row r="967" spans="1:19" ht="36" customHeight="1" x14ac:dyDescent="0.25">
      <c r="A967" s="9"/>
      <c r="B967" s="13" t="e">
        <f>VLOOKUP(Table2[[#This Row],[Location 
(drop-down)]],'List source'!D$2:E$71,2,FALSE)</f>
        <v>#N/A</v>
      </c>
      <c r="C967" s="11" t="s">
        <v>1793</v>
      </c>
      <c r="D967" s="212" t="e">
        <f t="shared" si="16"/>
        <v>#N/A</v>
      </c>
      <c r="E967" s="224"/>
      <c r="F967" s="224"/>
      <c r="G967" s="9"/>
      <c r="H967" s="10"/>
      <c r="I967" s="20"/>
      <c r="J967" s="166"/>
      <c r="K967" s="166"/>
      <c r="L967" s="166"/>
      <c r="M967" s="166"/>
      <c r="N967" s="166"/>
      <c r="O967" s="63"/>
      <c r="P967" s="63"/>
      <c r="Q967" s="37"/>
      <c r="R967" s="93"/>
      <c r="S967" s="13">
        <f ca="1">IF(ISBLANK(Table2[[#This Row],[Complete corrective actions (Approved Date)]]), TODAY()-Table2[[#This Row],[CAR initialized date]], "CLOSED")</f>
        <v>46077</v>
      </c>
    </row>
    <row r="968" spans="1:19" ht="36" customHeight="1" x14ac:dyDescent="0.25">
      <c r="A968" s="9"/>
      <c r="B968" s="13" t="e">
        <f>VLOOKUP(Table2[[#This Row],[Location 
(drop-down)]],'List source'!D$2:E$71,2,FALSE)</f>
        <v>#N/A</v>
      </c>
      <c r="C968" s="11" t="s">
        <v>1794</v>
      </c>
      <c r="D968" s="212" t="e">
        <f t="shared" si="16"/>
        <v>#N/A</v>
      </c>
      <c r="E968" s="224"/>
      <c r="F968" s="224"/>
      <c r="G968" s="9"/>
      <c r="H968" s="10"/>
      <c r="I968" s="20"/>
      <c r="J968" s="166"/>
      <c r="K968" s="166"/>
      <c r="L968" s="166"/>
      <c r="M968" s="166"/>
      <c r="N968" s="166"/>
      <c r="O968" s="63"/>
      <c r="P968" s="63"/>
      <c r="Q968" s="37"/>
      <c r="R968" s="93"/>
      <c r="S968" s="13">
        <f ca="1">IF(ISBLANK(Table2[[#This Row],[Complete corrective actions (Approved Date)]]), TODAY()-Table2[[#This Row],[CAR initialized date]], "CLOSED")</f>
        <v>46077</v>
      </c>
    </row>
    <row r="969" spans="1:19" ht="36" customHeight="1" x14ac:dyDescent="0.25">
      <c r="A969" s="9"/>
      <c r="B969" s="13" t="e">
        <f>VLOOKUP(Table2[[#This Row],[Location 
(drop-down)]],'List source'!D$2:E$71,2,FALSE)</f>
        <v>#N/A</v>
      </c>
      <c r="C969" s="11" t="s">
        <v>1795</v>
      </c>
      <c r="D969" s="212" t="e">
        <f t="shared" si="16"/>
        <v>#N/A</v>
      </c>
      <c r="E969" s="224"/>
      <c r="F969" s="224"/>
      <c r="G969" s="9"/>
      <c r="H969" s="10"/>
      <c r="I969" s="20"/>
      <c r="J969" s="166"/>
      <c r="K969" s="166"/>
      <c r="L969" s="166"/>
      <c r="M969" s="166"/>
      <c r="N969" s="166"/>
      <c r="O969" s="63"/>
      <c r="P969" s="63"/>
      <c r="Q969" s="37"/>
      <c r="R969" s="93"/>
      <c r="S969" s="13">
        <f ca="1">IF(ISBLANK(Table2[[#This Row],[Complete corrective actions (Approved Date)]]), TODAY()-Table2[[#This Row],[CAR initialized date]], "CLOSED")</f>
        <v>46077</v>
      </c>
    </row>
    <row r="970" spans="1:19" ht="36" customHeight="1" x14ac:dyDescent="0.25">
      <c r="A970" s="9"/>
      <c r="B970" s="13" t="e">
        <f>VLOOKUP(Table2[[#This Row],[Location 
(drop-down)]],'List source'!D$2:E$71,2,FALSE)</f>
        <v>#N/A</v>
      </c>
      <c r="C970" s="11" t="s">
        <v>1796</v>
      </c>
      <c r="D970" s="212" t="e">
        <f t="shared" si="16"/>
        <v>#N/A</v>
      </c>
      <c r="E970" s="224"/>
      <c r="F970" s="224"/>
      <c r="G970" s="9"/>
      <c r="H970" s="10"/>
      <c r="I970" s="20"/>
      <c r="J970" s="166"/>
      <c r="K970" s="166"/>
      <c r="L970" s="166"/>
      <c r="M970" s="166"/>
      <c r="N970" s="166"/>
      <c r="O970" s="63"/>
      <c r="P970" s="63"/>
      <c r="Q970" s="37"/>
      <c r="R970" s="93"/>
      <c r="S970" s="13">
        <f ca="1">IF(ISBLANK(Table2[[#This Row],[Complete corrective actions (Approved Date)]]), TODAY()-Table2[[#This Row],[CAR initialized date]], "CLOSED")</f>
        <v>46077</v>
      </c>
    </row>
    <row r="971" spans="1:19" ht="36" customHeight="1" x14ac:dyDescent="0.25">
      <c r="A971" s="9"/>
      <c r="B971" s="13" t="e">
        <f>VLOOKUP(Table2[[#This Row],[Location 
(drop-down)]],'List source'!D$2:E$71,2,FALSE)</f>
        <v>#N/A</v>
      </c>
      <c r="C971" s="11" t="s">
        <v>1797</v>
      </c>
      <c r="D971" s="212" t="e">
        <f t="shared" si="16"/>
        <v>#N/A</v>
      </c>
      <c r="E971" s="224"/>
      <c r="F971" s="224"/>
      <c r="G971" s="9"/>
      <c r="H971" s="10"/>
      <c r="I971" s="20"/>
      <c r="J971" s="166"/>
      <c r="K971" s="166"/>
      <c r="L971" s="166"/>
      <c r="M971" s="166"/>
      <c r="N971" s="166"/>
      <c r="O971" s="63"/>
      <c r="P971" s="63"/>
      <c r="Q971" s="37"/>
      <c r="R971" s="93"/>
      <c r="S971" s="13">
        <f ca="1">IF(ISBLANK(Table2[[#This Row],[Complete corrective actions (Approved Date)]]), TODAY()-Table2[[#This Row],[CAR initialized date]], "CLOSED")</f>
        <v>46077</v>
      </c>
    </row>
    <row r="972" spans="1:19" ht="36" customHeight="1" x14ac:dyDescent="0.25">
      <c r="A972" s="9"/>
      <c r="B972" s="13" t="e">
        <f>VLOOKUP(Table2[[#This Row],[Location 
(drop-down)]],'List source'!D$2:E$71,2,FALSE)</f>
        <v>#N/A</v>
      </c>
      <c r="C972" s="11" t="s">
        <v>1798</v>
      </c>
      <c r="D972" s="212" t="e">
        <f t="shared" si="16"/>
        <v>#N/A</v>
      </c>
      <c r="E972" s="224"/>
      <c r="F972" s="224"/>
      <c r="G972" s="9"/>
      <c r="H972" s="10"/>
      <c r="I972" s="20"/>
      <c r="J972" s="166"/>
      <c r="K972" s="166"/>
      <c r="L972" s="166"/>
      <c r="M972" s="166"/>
      <c r="N972" s="166"/>
      <c r="O972" s="63"/>
      <c r="P972" s="63"/>
      <c r="Q972" s="37"/>
      <c r="R972" s="93"/>
      <c r="S972" s="13">
        <f ca="1">IF(ISBLANK(Table2[[#This Row],[Complete corrective actions (Approved Date)]]), TODAY()-Table2[[#This Row],[CAR initialized date]], "CLOSED")</f>
        <v>46077</v>
      </c>
    </row>
    <row r="973" spans="1:19" ht="36" customHeight="1" x14ac:dyDescent="0.25">
      <c r="A973" s="9"/>
      <c r="B973" s="13" t="e">
        <f>VLOOKUP(Table2[[#This Row],[Location 
(drop-down)]],'List source'!D$2:E$71,2,FALSE)</f>
        <v>#N/A</v>
      </c>
      <c r="C973" s="11" t="s">
        <v>1799</v>
      </c>
      <c r="D973" s="212" t="e">
        <f t="shared" si="16"/>
        <v>#N/A</v>
      </c>
      <c r="E973" s="224"/>
      <c r="F973" s="224"/>
      <c r="G973" s="9"/>
      <c r="H973" s="10"/>
      <c r="I973" s="20"/>
      <c r="J973" s="166"/>
      <c r="K973" s="166"/>
      <c r="L973" s="166"/>
      <c r="M973" s="166"/>
      <c r="N973" s="166"/>
      <c r="O973" s="63"/>
      <c r="P973" s="63"/>
      <c r="Q973" s="37"/>
      <c r="R973" s="93"/>
      <c r="S973" s="13">
        <f ca="1">IF(ISBLANK(Table2[[#This Row],[Complete corrective actions (Approved Date)]]), TODAY()-Table2[[#This Row],[CAR initialized date]], "CLOSED")</f>
        <v>46077</v>
      </c>
    </row>
    <row r="974" spans="1:19" ht="36" customHeight="1" x14ac:dyDescent="0.25">
      <c r="A974" s="9"/>
      <c r="B974" s="13" t="e">
        <f>VLOOKUP(Table2[[#This Row],[Location 
(drop-down)]],'List source'!D$2:E$71,2,FALSE)</f>
        <v>#N/A</v>
      </c>
      <c r="C974" s="11" t="s">
        <v>1800</v>
      </c>
      <c r="D974" s="212" t="e">
        <f t="shared" si="16"/>
        <v>#N/A</v>
      </c>
      <c r="E974" s="224"/>
      <c r="F974" s="224"/>
      <c r="G974" s="9"/>
      <c r="H974" s="10"/>
      <c r="I974" s="20"/>
      <c r="J974" s="166"/>
      <c r="K974" s="166"/>
      <c r="L974" s="166"/>
      <c r="M974" s="166"/>
      <c r="N974" s="166"/>
      <c r="O974" s="63"/>
      <c r="P974" s="63"/>
      <c r="Q974" s="37"/>
      <c r="R974" s="93"/>
      <c r="S974" s="13">
        <f ca="1">IF(ISBLANK(Table2[[#This Row],[Complete corrective actions (Approved Date)]]), TODAY()-Table2[[#This Row],[CAR initialized date]], "CLOSED")</f>
        <v>46077</v>
      </c>
    </row>
    <row r="975" spans="1:19" ht="36" customHeight="1" x14ac:dyDescent="0.25">
      <c r="A975" s="9"/>
      <c r="B975" s="13" t="e">
        <f>VLOOKUP(Table2[[#This Row],[Location 
(drop-down)]],'List source'!D$2:E$71,2,FALSE)</f>
        <v>#N/A</v>
      </c>
      <c r="C975" s="11" t="s">
        <v>1801</v>
      </c>
      <c r="D975" s="212" t="e">
        <f t="shared" si="16"/>
        <v>#N/A</v>
      </c>
      <c r="E975" s="224"/>
      <c r="F975" s="224"/>
      <c r="G975" s="9"/>
      <c r="H975" s="10"/>
      <c r="I975" s="20"/>
      <c r="J975" s="166"/>
      <c r="K975" s="166"/>
      <c r="L975" s="166"/>
      <c r="M975" s="166"/>
      <c r="N975" s="166"/>
      <c r="O975" s="63"/>
      <c r="P975" s="63"/>
      <c r="Q975" s="37"/>
      <c r="R975" s="93"/>
      <c r="S975" s="13">
        <f ca="1">IF(ISBLANK(Table2[[#This Row],[Complete corrective actions (Approved Date)]]), TODAY()-Table2[[#This Row],[CAR initialized date]], "CLOSED")</f>
        <v>46077</v>
      </c>
    </row>
    <row r="976" spans="1:19" ht="36" customHeight="1" x14ac:dyDescent="0.25">
      <c r="A976" s="9"/>
      <c r="B976" s="13" t="e">
        <f>VLOOKUP(Table2[[#This Row],[Location 
(drop-down)]],'List source'!D$2:E$71,2,FALSE)</f>
        <v>#N/A</v>
      </c>
      <c r="C976" s="11" t="s">
        <v>1802</v>
      </c>
      <c r="D976" s="212" t="e">
        <f t="shared" si="16"/>
        <v>#N/A</v>
      </c>
      <c r="E976" s="224"/>
      <c r="F976" s="224"/>
      <c r="G976" s="9"/>
      <c r="H976" s="10"/>
      <c r="I976" s="20"/>
      <c r="J976" s="166"/>
      <c r="K976" s="166"/>
      <c r="L976" s="166"/>
      <c r="M976" s="166"/>
      <c r="N976" s="166"/>
      <c r="O976" s="63"/>
      <c r="P976" s="63"/>
      <c r="Q976" s="37"/>
      <c r="R976" s="93"/>
      <c r="S976" s="13">
        <f ca="1">IF(ISBLANK(Table2[[#This Row],[Complete corrective actions (Approved Date)]]), TODAY()-Table2[[#This Row],[CAR initialized date]], "CLOSED")</f>
        <v>46077</v>
      </c>
    </row>
    <row r="977" spans="1:19" ht="36" customHeight="1" x14ac:dyDescent="0.25">
      <c r="A977" s="9"/>
      <c r="B977" s="13" t="e">
        <f>VLOOKUP(Table2[[#This Row],[Location 
(drop-down)]],'List source'!D$2:E$71,2,FALSE)</f>
        <v>#N/A</v>
      </c>
      <c r="C977" s="11" t="s">
        <v>1803</v>
      </c>
      <c r="D977" s="212" t="e">
        <f t="shared" si="16"/>
        <v>#N/A</v>
      </c>
      <c r="E977" s="224"/>
      <c r="F977" s="224"/>
      <c r="G977" s="9"/>
      <c r="H977" s="10"/>
      <c r="I977" s="20"/>
      <c r="J977" s="166"/>
      <c r="K977" s="166"/>
      <c r="L977" s="166"/>
      <c r="M977" s="166"/>
      <c r="N977" s="166"/>
      <c r="O977" s="63"/>
      <c r="P977" s="63"/>
      <c r="Q977" s="37"/>
      <c r="R977" s="93"/>
      <c r="S977" s="13">
        <f ca="1">IF(ISBLANK(Table2[[#This Row],[Complete corrective actions (Approved Date)]]), TODAY()-Table2[[#This Row],[CAR initialized date]], "CLOSED")</f>
        <v>46077</v>
      </c>
    </row>
    <row r="978" spans="1:19" ht="36" customHeight="1" x14ac:dyDescent="0.25">
      <c r="A978" s="9"/>
      <c r="B978" s="13" t="e">
        <f>VLOOKUP(Table2[[#This Row],[Location 
(drop-down)]],'List source'!D$2:E$71,2,FALSE)</f>
        <v>#N/A</v>
      </c>
      <c r="C978" s="11" t="s">
        <v>1804</v>
      </c>
      <c r="D978" s="212" t="e">
        <f t="shared" si="16"/>
        <v>#N/A</v>
      </c>
      <c r="E978" s="224"/>
      <c r="F978" s="224"/>
      <c r="G978" s="9"/>
      <c r="H978" s="10"/>
      <c r="I978" s="20"/>
      <c r="J978" s="166"/>
      <c r="K978" s="166"/>
      <c r="L978" s="166"/>
      <c r="M978" s="166"/>
      <c r="N978" s="166"/>
      <c r="O978" s="63"/>
      <c r="P978" s="63"/>
      <c r="Q978" s="37"/>
      <c r="R978" s="93"/>
      <c r="S978" s="13">
        <f ca="1">IF(ISBLANK(Table2[[#This Row],[Complete corrective actions (Approved Date)]]), TODAY()-Table2[[#This Row],[CAR initialized date]], "CLOSED")</f>
        <v>46077</v>
      </c>
    </row>
    <row r="979" spans="1:19" ht="36" customHeight="1" x14ac:dyDescent="0.25">
      <c r="A979" s="9"/>
      <c r="B979" s="13" t="e">
        <f>VLOOKUP(Table2[[#This Row],[Location 
(drop-down)]],'List source'!D$2:E$71,2,FALSE)</f>
        <v>#N/A</v>
      </c>
      <c r="C979" s="11" t="s">
        <v>1805</v>
      </c>
      <c r="D979" s="212" t="e">
        <f t="shared" si="16"/>
        <v>#N/A</v>
      </c>
      <c r="E979" s="224"/>
      <c r="F979" s="224"/>
      <c r="G979" s="9"/>
      <c r="H979" s="10"/>
      <c r="I979" s="20"/>
      <c r="J979" s="166"/>
      <c r="K979" s="166"/>
      <c r="L979" s="166"/>
      <c r="M979" s="166"/>
      <c r="N979" s="166"/>
      <c r="O979" s="63"/>
      <c r="P979" s="63"/>
      <c r="Q979" s="37"/>
      <c r="R979" s="93"/>
      <c r="S979" s="13">
        <f ca="1">IF(ISBLANK(Table2[[#This Row],[Complete corrective actions (Approved Date)]]), TODAY()-Table2[[#This Row],[CAR initialized date]], "CLOSED")</f>
        <v>46077</v>
      </c>
    </row>
    <row r="980" spans="1:19" ht="36" customHeight="1" x14ac:dyDescent="0.25">
      <c r="A980" s="9"/>
      <c r="B980" s="13" t="e">
        <f>VLOOKUP(Table2[[#This Row],[Location 
(drop-down)]],'List source'!D$2:E$71,2,FALSE)</f>
        <v>#N/A</v>
      </c>
      <c r="C980" s="11" t="s">
        <v>1806</v>
      </c>
      <c r="D980" s="212" t="e">
        <f t="shared" si="16"/>
        <v>#N/A</v>
      </c>
      <c r="E980" s="224"/>
      <c r="F980" s="224"/>
      <c r="G980" s="9"/>
      <c r="H980" s="10"/>
      <c r="I980" s="20"/>
      <c r="J980" s="166"/>
      <c r="K980" s="166"/>
      <c r="L980" s="166"/>
      <c r="M980" s="166"/>
      <c r="N980" s="166"/>
      <c r="O980" s="63"/>
      <c r="P980" s="63"/>
      <c r="Q980" s="37"/>
      <c r="R980" s="93"/>
      <c r="S980" s="13">
        <f ca="1">IF(ISBLANK(Table2[[#This Row],[Complete corrective actions (Approved Date)]]), TODAY()-Table2[[#This Row],[CAR initialized date]], "CLOSED")</f>
        <v>46077</v>
      </c>
    </row>
    <row r="981" spans="1:19" ht="36" customHeight="1" x14ac:dyDescent="0.25">
      <c r="A981" s="9"/>
      <c r="B981" s="13" t="e">
        <f>VLOOKUP(Table2[[#This Row],[Location 
(drop-down)]],'List source'!D$2:E$71,2,FALSE)</f>
        <v>#N/A</v>
      </c>
      <c r="C981" s="11" t="s">
        <v>1807</v>
      </c>
      <c r="D981" s="212" t="e">
        <f t="shared" si="16"/>
        <v>#N/A</v>
      </c>
      <c r="E981" s="224"/>
      <c r="F981" s="224"/>
      <c r="G981" s="9"/>
      <c r="H981" s="10"/>
      <c r="I981" s="20"/>
      <c r="J981" s="166"/>
      <c r="K981" s="166"/>
      <c r="L981" s="166"/>
      <c r="M981" s="166"/>
      <c r="N981" s="166"/>
      <c r="O981" s="63"/>
      <c r="P981" s="63"/>
      <c r="Q981" s="37"/>
      <c r="R981" s="93"/>
      <c r="S981" s="13">
        <f ca="1">IF(ISBLANK(Table2[[#This Row],[Complete corrective actions (Approved Date)]]), TODAY()-Table2[[#This Row],[CAR initialized date]], "CLOSED")</f>
        <v>46077</v>
      </c>
    </row>
    <row r="982" spans="1:19" ht="36" customHeight="1" x14ac:dyDescent="0.25">
      <c r="A982" s="9"/>
      <c r="B982" s="13" t="e">
        <f>VLOOKUP(Table2[[#This Row],[Location 
(drop-down)]],'List source'!D$2:E$71,2,FALSE)</f>
        <v>#N/A</v>
      </c>
      <c r="C982" s="11" t="s">
        <v>1808</v>
      </c>
      <c r="D982" s="212" t="e">
        <f t="shared" si="16"/>
        <v>#N/A</v>
      </c>
      <c r="E982" s="224"/>
      <c r="F982" s="224"/>
      <c r="G982" s="9"/>
      <c r="H982" s="10"/>
      <c r="I982" s="20"/>
      <c r="J982" s="166"/>
      <c r="K982" s="166"/>
      <c r="L982" s="166"/>
      <c r="M982" s="166"/>
      <c r="N982" s="166"/>
      <c r="O982" s="63"/>
      <c r="P982" s="63"/>
      <c r="Q982" s="37"/>
      <c r="R982" s="93"/>
      <c r="S982" s="13">
        <f ca="1">IF(ISBLANK(Table2[[#This Row],[Complete corrective actions (Approved Date)]]), TODAY()-Table2[[#This Row],[CAR initialized date]], "CLOSED")</f>
        <v>46077</v>
      </c>
    </row>
    <row r="983" spans="1:19" ht="36" customHeight="1" x14ac:dyDescent="0.25">
      <c r="A983" s="9"/>
      <c r="B983" s="13" t="e">
        <f>VLOOKUP(Table2[[#This Row],[Location 
(drop-down)]],'List source'!D$2:E$71,2,FALSE)</f>
        <v>#N/A</v>
      </c>
      <c r="C983" s="11" t="s">
        <v>1809</v>
      </c>
      <c r="D983" s="212" t="e">
        <f t="shared" si="16"/>
        <v>#N/A</v>
      </c>
      <c r="E983" s="224"/>
      <c r="F983" s="224"/>
      <c r="G983" s="9"/>
      <c r="H983" s="10"/>
      <c r="I983" s="20"/>
      <c r="J983" s="166"/>
      <c r="K983" s="166"/>
      <c r="L983" s="166"/>
      <c r="M983" s="166"/>
      <c r="N983" s="166"/>
      <c r="O983" s="63"/>
      <c r="P983" s="63"/>
      <c r="Q983" s="37"/>
      <c r="R983" s="93"/>
      <c r="S983" s="13">
        <f ca="1">IF(ISBLANK(Table2[[#This Row],[Complete corrective actions (Approved Date)]]), TODAY()-Table2[[#This Row],[CAR initialized date]], "CLOSED")</f>
        <v>46077</v>
      </c>
    </row>
    <row r="984" spans="1:19" ht="36" customHeight="1" x14ac:dyDescent="0.25">
      <c r="A984" s="9"/>
      <c r="B984" s="13" t="e">
        <f>VLOOKUP(Table2[[#This Row],[Location 
(drop-down)]],'List source'!D$2:E$71,2,FALSE)</f>
        <v>#N/A</v>
      </c>
      <c r="C984" s="11" t="s">
        <v>1810</v>
      </c>
      <c r="D984" s="212" t="e">
        <f t="shared" si="16"/>
        <v>#N/A</v>
      </c>
      <c r="E984" s="224"/>
      <c r="F984" s="224"/>
      <c r="G984" s="9"/>
      <c r="H984" s="10"/>
      <c r="I984" s="20"/>
      <c r="J984" s="166"/>
      <c r="K984" s="166"/>
      <c r="L984" s="166"/>
      <c r="M984" s="166"/>
      <c r="N984" s="166"/>
      <c r="O984" s="63"/>
      <c r="P984" s="63"/>
      <c r="Q984" s="37"/>
      <c r="R984" s="93"/>
      <c r="S984" s="13">
        <f ca="1">IF(ISBLANK(Table2[[#This Row],[Complete corrective actions (Approved Date)]]), TODAY()-Table2[[#This Row],[CAR initialized date]], "CLOSED")</f>
        <v>46077</v>
      </c>
    </row>
    <row r="985" spans="1:19" ht="36" customHeight="1" x14ac:dyDescent="0.25">
      <c r="A985" s="9"/>
      <c r="B985" s="13" t="e">
        <f>VLOOKUP(Table2[[#This Row],[Location 
(drop-down)]],'List source'!D$2:E$71,2,FALSE)</f>
        <v>#N/A</v>
      </c>
      <c r="C985" s="11" t="s">
        <v>1811</v>
      </c>
      <c r="D985" s="212" t="e">
        <f t="shared" si="16"/>
        <v>#N/A</v>
      </c>
      <c r="E985" s="224"/>
      <c r="F985" s="224"/>
      <c r="G985" s="9"/>
      <c r="H985" s="10"/>
      <c r="I985" s="20"/>
      <c r="J985" s="166"/>
      <c r="K985" s="166"/>
      <c r="L985" s="166"/>
      <c r="M985" s="166"/>
      <c r="N985" s="166"/>
      <c r="O985" s="63"/>
      <c r="P985" s="63"/>
      <c r="Q985" s="37"/>
      <c r="R985" s="93"/>
      <c r="S985" s="13">
        <f ca="1">IF(ISBLANK(Table2[[#This Row],[Complete corrective actions (Approved Date)]]), TODAY()-Table2[[#This Row],[CAR initialized date]], "CLOSED")</f>
        <v>46077</v>
      </c>
    </row>
    <row r="986" spans="1:19" ht="36" customHeight="1" x14ac:dyDescent="0.25">
      <c r="A986" s="9"/>
      <c r="B986" s="13" t="e">
        <f>VLOOKUP(Table2[[#This Row],[Location 
(drop-down)]],'List source'!D$2:E$71,2,FALSE)</f>
        <v>#N/A</v>
      </c>
      <c r="C986" s="11" t="s">
        <v>1812</v>
      </c>
      <c r="D986" s="212" t="e">
        <f t="shared" si="16"/>
        <v>#N/A</v>
      </c>
      <c r="E986" s="224"/>
      <c r="F986" s="224"/>
      <c r="G986" s="9"/>
      <c r="H986" s="10"/>
      <c r="I986" s="20"/>
      <c r="J986" s="166"/>
      <c r="K986" s="166"/>
      <c r="L986" s="166"/>
      <c r="M986" s="166"/>
      <c r="N986" s="166"/>
      <c r="O986" s="63"/>
      <c r="P986" s="63"/>
      <c r="Q986" s="37"/>
      <c r="R986" s="93"/>
      <c r="S986" s="13">
        <f ca="1">IF(ISBLANK(Table2[[#This Row],[Complete corrective actions (Approved Date)]]), TODAY()-Table2[[#This Row],[CAR initialized date]], "CLOSED")</f>
        <v>46077</v>
      </c>
    </row>
    <row r="987" spans="1:19" ht="36" customHeight="1" x14ac:dyDescent="0.25">
      <c r="A987" s="9"/>
      <c r="B987" s="13" t="e">
        <f>VLOOKUP(Table2[[#This Row],[Location 
(drop-down)]],'List source'!D$2:E$71,2,FALSE)</f>
        <v>#N/A</v>
      </c>
      <c r="C987" s="11" t="s">
        <v>1813</v>
      </c>
      <c r="D987" s="212" t="e">
        <f t="shared" si="16"/>
        <v>#N/A</v>
      </c>
      <c r="E987" s="224"/>
      <c r="F987" s="224"/>
      <c r="G987" s="9"/>
      <c r="H987" s="10"/>
      <c r="I987" s="20"/>
      <c r="J987" s="166"/>
      <c r="K987" s="166"/>
      <c r="L987" s="166"/>
      <c r="M987" s="166"/>
      <c r="N987" s="166"/>
      <c r="O987" s="63"/>
      <c r="P987" s="63"/>
      <c r="Q987" s="37"/>
      <c r="R987" s="93"/>
      <c r="S987" s="13">
        <f ca="1">IF(ISBLANK(Table2[[#This Row],[Complete corrective actions (Approved Date)]]), TODAY()-Table2[[#This Row],[CAR initialized date]], "CLOSED")</f>
        <v>46077</v>
      </c>
    </row>
    <row r="988" spans="1:19" ht="36" customHeight="1" x14ac:dyDescent="0.25">
      <c r="A988" s="9"/>
      <c r="B988" s="13" t="e">
        <f>VLOOKUP(Table2[[#This Row],[Location 
(drop-down)]],'List source'!D$2:E$71,2,FALSE)</f>
        <v>#N/A</v>
      </c>
      <c r="C988" s="11" t="s">
        <v>1814</v>
      </c>
      <c r="D988" s="212" t="e">
        <f t="shared" si="16"/>
        <v>#N/A</v>
      </c>
      <c r="E988" s="224"/>
      <c r="F988" s="224"/>
      <c r="G988" s="9"/>
      <c r="H988" s="10"/>
      <c r="I988" s="20"/>
      <c r="J988" s="166"/>
      <c r="K988" s="166"/>
      <c r="L988" s="166"/>
      <c r="M988" s="166"/>
      <c r="N988" s="166"/>
      <c r="O988" s="63"/>
      <c r="P988" s="63"/>
      <c r="Q988" s="37"/>
      <c r="R988" s="93"/>
      <c r="S988" s="13">
        <f ca="1">IF(ISBLANK(Table2[[#This Row],[Complete corrective actions (Approved Date)]]), TODAY()-Table2[[#This Row],[CAR initialized date]], "CLOSED")</f>
        <v>46077</v>
      </c>
    </row>
    <row r="989" spans="1:19" ht="36" customHeight="1" x14ac:dyDescent="0.25">
      <c r="A989" s="9"/>
      <c r="B989" s="13" t="e">
        <f>VLOOKUP(Table2[[#This Row],[Location 
(drop-down)]],'List source'!D$2:E$71,2,FALSE)</f>
        <v>#N/A</v>
      </c>
      <c r="C989" s="11" t="s">
        <v>1815</v>
      </c>
      <c r="D989" s="212" t="e">
        <f t="shared" si="16"/>
        <v>#N/A</v>
      </c>
      <c r="E989" s="224"/>
      <c r="F989" s="224"/>
      <c r="G989" s="9"/>
      <c r="H989" s="10"/>
      <c r="I989" s="20"/>
      <c r="J989" s="166"/>
      <c r="K989" s="166"/>
      <c r="L989" s="166"/>
      <c r="M989" s="166"/>
      <c r="N989" s="166"/>
      <c r="O989" s="63"/>
      <c r="P989" s="63"/>
      <c r="Q989" s="37"/>
      <c r="R989" s="93"/>
      <c r="S989" s="13">
        <f ca="1">IF(ISBLANK(Table2[[#This Row],[Complete corrective actions (Approved Date)]]), TODAY()-Table2[[#This Row],[CAR initialized date]], "CLOSED")</f>
        <v>46077</v>
      </c>
    </row>
    <row r="990" spans="1:19" ht="36" customHeight="1" x14ac:dyDescent="0.25">
      <c r="A990" s="9"/>
      <c r="B990" s="13" t="e">
        <f>VLOOKUP(Table2[[#This Row],[Location 
(drop-down)]],'List source'!D$2:E$71,2,FALSE)</f>
        <v>#N/A</v>
      </c>
      <c r="C990" s="11" t="s">
        <v>1816</v>
      </c>
      <c r="D990" s="212" t="e">
        <f t="shared" si="16"/>
        <v>#N/A</v>
      </c>
      <c r="E990" s="224"/>
      <c r="F990" s="224"/>
      <c r="G990" s="9"/>
      <c r="H990" s="10"/>
      <c r="I990" s="20"/>
      <c r="J990" s="166"/>
      <c r="K990" s="166"/>
      <c r="L990" s="166"/>
      <c r="M990" s="166"/>
      <c r="N990" s="166"/>
      <c r="O990" s="63"/>
      <c r="P990" s="63"/>
      <c r="Q990" s="37"/>
      <c r="R990" s="93"/>
      <c r="S990" s="13">
        <f ca="1">IF(ISBLANK(Table2[[#This Row],[Complete corrective actions (Approved Date)]]), TODAY()-Table2[[#This Row],[CAR initialized date]], "CLOSED")</f>
        <v>46077</v>
      </c>
    </row>
    <row r="991" spans="1:19" ht="36" customHeight="1" x14ac:dyDescent="0.25">
      <c r="A991" s="9"/>
      <c r="B991" s="13" t="e">
        <f>VLOOKUP(Table2[[#This Row],[Location 
(drop-down)]],'List source'!D$2:E$71,2,FALSE)</f>
        <v>#N/A</v>
      </c>
      <c r="C991" s="11" t="s">
        <v>1817</v>
      </c>
      <c r="D991" s="212" t="e">
        <f t="shared" si="16"/>
        <v>#N/A</v>
      </c>
      <c r="E991" s="224"/>
      <c r="F991" s="224"/>
      <c r="G991" s="9"/>
      <c r="H991" s="10"/>
      <c r="I991" s="20"/>
      <c r="J991" s="166"/>
      <c r="K991" s="166"/>
      <c r="L991" s="166"/>
      <c r="M991" s="166"/>
      <c r="N991" s="166"/>
      <c r="O991" s="63"/>
      <c r="P991" s="63"/>
      <c r="Q991" s="37"/>
      <c r="R991" s="93"/>
      <c r="S991" s="13">
        <f ca="1">IF(ISBLANK(Table2[[#This Row],[Complete corrective actions (Approved Date)]]), TODAY()-Table2[[#This Row],[CAR initialized date]], "CLOSED")</f>
        <v>46077</v>
      </c>
    </row>
    <row r="992" spans="1:19" ht="36" customHeight="1" x14ac:dyDescent="0.25">
      <c r="A992" s="9"/>
      <c r="B992" s="13" t="e">
        <f>VLOOKUP(Table2[[#This Row],[Location 
(drop-down)]],'List source'!D$2:E$71,2,FALSE)</f>
        <v>#N/A</v>
      </c>
      <c r="C992" s="11" t="s">
        <v>1818</v>
      </c>
      <c r="D992" s="212" t="e">
        <f t="shared" si="16"/>
        <v>#N/A</v>
      </c>
      <c r="E992" s="224"/>
      <c r="F992" s="224"/>
      <c r="G992" s="9"/>
      <c r="H992" s="10"/>
      <c r="I992" s="20"/>
      <c r="J992" s="166"/>
      <c r="K992" s="166"/>
      <c r="L992" s="166"/>
      <c r="M992" s="166"/>
      <c r="N992" s="166"/>
      <c r="O992" s="63"/>
      <c r="P992" s="63"/>
      <c r="Q992" s="37"/>
      <c r="R992" s="93"/>
      <c r="S992" s="13">
        <f ca="1">IF(ISBLANK(Table2[[#This Row],[Complete corrective actions (Approved Date)]]), TODAY()-Table2[[#This Row],[CAR initialized date]], "CLOSED")</f>
        <v>46077</v>
      </c>
    </row>
    <row r="993" spans="1:19" ht="36" customHeight="1" x14ac:dyDescent="0.25">
      <c r="A993" s="9"/>
      <c r="B993" s="13" t="e">
        <f>VLOOKUP(Table2[[#This Row],[Location 
(drop-down)]],'List source'!D$2:E$71,2,FALSE)</f>
        <v>#N/A</v>
      </c>
      <c r="C993" s="11" t="s">
        <v>1819</v>
      </c>
      <c r="D993" s="212" t="e">
        <f t="shared" si="16"/>
        <v>#N/A</v>
      </c>
      <c r="E993" s="224"/>
      <c r="F993" s="224"/>
      <c r="G993" s="9"/>
      <c r="H993" s="10"/>
      <c r="I993" s="20"/>
      <c r="J993" s="166"/>
      <c r="K993" s="166"/>
      <c r="L993" s="166"/>
      <c r="M993" s="166"/>
      <c r="N993" s="166"/>
      <c r="O993" s="63"/>
      <c r="P993" s="63"/>
      <c r="Q993" s="37"/>
      <c r="R993" s="93"/>
      <c r="S993" s="13">
        <f ca="1">IF(ISBLANK(Table2[[#This Row],[Complete corrective actions (Approved Date)]]), TODAY()-Table2[[#This Row],[CAR initialized date]], "CLOSED")</f>
        <v>46077</v>
      </c>
    </row>
    <row r="994" spans="1:19" ht="36" customHeight="1" x14ac:dyDescent="0.25">
      <c r="A994" s="9"/>
      <c r="B994" s="13" t="e">
        <f>VLOOKUP(Table2[[#This Row],[Location 
(drop-down)]],'List source'!D$2:E$71,2,FALSE)</f>
        <v>#N/A</v>
      </c>
      <c r="C994" s="11" t="s">
        <v>1820</v>
      </c>
      <c r="D994" s="212" t="e">
        <f t="shared" si="16"/>
        <v>#N/A</v>
      </c>
      <c r="E994" s="224"/>
      <c r="F994" s="224"/>
      <c r="G994" s="9"/>
      <c r="H994" s="10"/>
      <c r="I994" s="20"/>
      <c r="J994" s="166"/>
      <c r="K994" s="166"/>
      <c r="L994" s="166"/>
      <c r="M994" s="166"/>
      <c r="N994" s="166"/>
      <c r="O994" s="63"/>
      <c r="P994" s="63"/>
      <c r="Q994" s="37"/>
      <c r="R994" s="93"/>
      <c r="S994" s="13">
        <f ca="1">IF(ISBLANK(Table2[[#This Row],[Complete corrective actions (Approved Date)]]), TODAY()-Table2[[#This Row],[CAR initialized date]], "CLOSED")</f>
        <v>46077</v>
      </c>
    </row>
    <row r="995" spans="1:19" ht="36" customHeight="1" x14ac:dyDescent="0.25">
      <c r="A995" s="9"/>
      <c r="B995" s="13" t="e">
        <f>VLOOKUP(Table2[[#This Row],[Location 
(drop-down)]],'List source'!D$2:E$71,2,FALSE)</f>
        <v>#N/A</v>
      </c>
      <c r="C995" s="11" t="s">
        <v>1821</v>
      </c>
      <c r="D995" s="212" t="e">
        <f t="shared" si="16"/>
        <v>#N/A</v>
      </c>
      <c r="E995" s="224"/>
      <c r="F995" s="224"/>
      <c r="G995" s="9"/>
      <c r="H995" s="10"/>
      <c r="I995" s="20"/>
      <c r="J995" s="166"/>
      <c r="K995" s="166"/>
      <c r="L995" s="166"/>
      <c r="M995" s="166"/>
      <c r="N995" s="166"/>
      <c r="O995" s="63"/>
      <c r="P995" s="63"/>
      <c r="Q995" s="37"/>
      <c r="R995" s="93"/>
      <c r="S995" s="13">
        <f ca="1">IF(ISBLANK(Table2[[#This Row],[Complete corrective actions (Approved Date)]]), TODAY()-Table2[[#This Row],[CAR initialized date]], "CLOSED")</f>
        <v>46077</v>
      </c>
    </row>
    <row r="996" spans="1:19" ht="36" customHeight="1" x14ac:dyDescent="0.25">
      <c r="A996" s="9"/>
      <c r="B996" s="13" t="e">
        <f>VLOOKUP(Table2[[#This Row],[Location 
(drop-down)]],'List source'!D$2:E$71,2,FALSE)</f>
        <v>#N/A</v>
      </c>
      <c r="C996" s="11" t="s">
        <v>1822</v>
      </c>
      <c r="D996" s="212" t="e">
        <f t="shared" si="16"/>
        <v>#N/A</v>
      </c>
      <c r="E996" s="224"/>
      <c r="F996" s="224"/>
      <c r="G996" s="9"/>
      <c r="H996" s="10"/>
      <c r="I996" s="20"/>
      <c r="J996" s="166"/>
      <c r="K996" s="166"/>
      <c r="L996" s="166"/>
      <c r="M996" s="166"/>
      <c r="N996" s="166"/>
      <c r="O996" s="63"/>
      <c r="P996" s="63"/>
      <c r="Q996" s="37"/>
      <c r="R996" s="93"/>
      <c r="S996" s="13">
        <f ca="1">IF(ISBLANK(Table2[[#This Row],[Complete corrective actions (Approved Date)]]), TODAY()-Table2[[#This Row],[CAR initialized date]], "CLOSED")</f>
        <v>46077</v>
      </c>
    </row>
    <row r="997" spans="1:19" ht="36" customHeight="1" x14ac:dyDescent="0.25">
      <c r="A997" s="9"/>
      <c r="B997" s="13" t="e">
        <f>VLOOKUP(Table2[[#This Row],[Location 
(drop-down)]],'List source'!D$2:E$71,2,FALSE)</f>
        <v>#N/A</v>
      </c>
      <c r="C997" s="11" t="s">
        <v>1823</v>
      </c>
      <c r="D997" s="212" t="e">
        <f t="shared" si="16"/>
        <v>#N/A</v>
      </c>
      <c r="E997" s="224"/>
      <c r="F997" s="224"/>
      <c r="G997" s="9"/>
      <c r="H997" s="10"/>
      <c r="I997" s="20"/>
      <c r="J997" s="166"/>
      <c r="K997" s="166"/>
      <c r="L997" s="166"/>
      <c r="M997" s="166"/>
      <c r="N997" s="166"/>
      <c r="O997" s="63"/>
      <c r="P997" s="63"/>
      <c r="Q997" s="37"/>
      <c r="R997" s="93"/>
      <c r="S997" s="13">
        <f ca="1">IF(ISBLANK(Table2[[#This Row],[Complete corrective actions (Approved Date)]]), TODAY()-Table2[[#This Row],[CAR initialized date]], "CLOSED")</f>
        <v>46077</v>
      </c>
    </row>
    <row r="998" spans="1:19" ht="36" customHeight="1" x14ac:dyDescent="0.25">
      <c r="A998" s="9"/>
      <c r="B998" s="13" t="e">
        <f>VLOOKUP(Table2[[#This Row],[Location 
(drop-down)]],'List source'!D$2:E$71,2,FALSE)</f>
        <v>#N/A</v>
      </c>
      <c r="C998" s="11" t="s">
        <v>1824</v>
      </c>
      <c r="D998" s="212" t="e">
        <f t="shared" si="16"/>
        <v>#N/A</v>
      </c>
      <c r="E998" s="224"/>
      <c r="F998" s="224"/>
      <c r="G998" s="9"/>
      <c r="H998" s="10"/>
      <c r="I998" s="20"/>
      <c r="J998" s="166"/>
      <c r="K998" s="166"/>
      <c r="L998" s="166"/>
      <c r="M998" s="166"/>
      <c r="N998" s="166"/>
      <c r="O998" s="63"/>
      <c r="P998" s="63"/>
      <c r="Q998" s="37"/>
      <c r="R998" s="93"/>
      <c r="S998" s="13">
        <f ca="1">IF(ISBLANK(Table2[[#This Row],[Complete corrective actions (Approved Date)]]), TODAY()-Table2[[#This Row],[CAR initialized date]], "CLOSED")</f>
        <v>46077</v>
      </c>
    </row>
    <row r="999" spans="1:19" ht="36" customHeight="1" x14ac:dyDescent="0.25">
      <c r="A999" s="9"/>
      <c r="B999" s="13" t="e">
        <f>VLOOKUP(Table2[[#This Row],[Location 
(drop-down)]],'List source'!D$2:E$71,2,FALSE)</f>
        <v>#N/A</v>
      </c>
      <c r="C999" s="11" t="s">
        <v>1825</v>
      </c>
      <c r="D999" s="212" t="e">
        <f t="shared" si="16"/>
        <v>#N/A</v>
      </c>
      <c r="E999" s="224"/>
      <c r="F999" s="224"/>
      <c r="G999" s="9"/>
      <c r="H999" s="10"/>
      <c r="I999" s="20"/>
      <c r="J999" s="166"/>
      <c r="K999" s="166"/>
      <c r="L999" s="166"/>
      <c r="M999" s="166"/>
      <c r="N999" s="166"/>
      <c r="O999" s="63"/>
      <c r="P999" s="63"/>
      <c r="Q999" s="37"/>
      <c r="R999" s="93"/>
      <c r="S999" s="13">
        <f ca="1">IF(ISBLANK(Table2[[#This Row],[Complete corrective actions (Approved Date)]]), TODAY()-Table2[[#This Row],[CAR initialized date]], "CLOSED")</f>
        <v>46077</v>
      </c>
    </row>
    <row r="1000" spans="1:19" ht="36" customHeight="1" x14ac:dyDescent="0.25">
      <c r="A1000" s="9"/>
      <c r="B1000" s="13" t="e">
        <f>VLOOKUP(Table2[[#This Row],[Location 
(drop-down)]],'List source'!D$2:E$71,2,FALSE)</f>
        <v>#N/A</v>
      </c>
      <c r="C1000" s="11" t="s">
        <v>1826</v>
      </c>
      <c r="D1000" s="212" t="e">
        <f t="shared" si="16"/>
        <v>#N/A</v>
      </c>
      <c r="E1000" s="224"/>
      <c r="F1000" s="224"/>
      <c r="G1000" s="9"/>
      <c r="H1000" s="10"/>
      <c r="I1000" s="20"/>
      <c r="J1000" s="166"/>
      <c r="K1000" s="166"/>
      <c r="L1000" s="166"/>
      <c r="M1000" s="166"/>
      <c r="N1000" s="166"/>
      <c r="O1000" s="63"/>
      <c r="P1000" s="63"/>
      <c r="Q1000" s="37"/>
      <c r="R1000" s="93"/>
      <c r="S1000" s="13">
        <f ca="1">IF(ISBLANK(Table2[[#This Row],[Complete corrective actions (Approved Date)]]), TODAY()-Table2[[#This Row],[CAR initialized date]], "CLOSED")</f>
        <v>46077</v>
      </c>
    </row>
  </sheetData>
  <phoneticPr fontId="4" type="noConversion"/>
  <conditionalFormatting sqref="S2:S1000">
    <cfRule type="expression" dxfId="1" priority="1">
      <formula>ISNUMBER(S2)=TRUE</formula>
    </cfRule>
  </conditionalFormatting>
  <pageMargins left="0.7" right="0.7" top="0.75" bottom="0.75" header="0.3" footer="0.3"/>
  <pageSetup scale="36"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2000000}">
          <x14:formula1>
            <xm:f>'List source'!$C$2:$C$6</xm:f>
          </x14:formula1>
          <xm:sqref>H569:H1000 H282:H452 H136:H280 H2:H134 H454:H567</xm:sqref>
        </x14:dataValidation>
        <x14:dataValidation type="list" allowBlank="1" showInputMessage="1" showErrorMessage="1" xr:uid="{00000000-0002-0000-0200-000004000000}">
          <x14:formula1>
            <xm:f>'List source'!$A$14:$A$19</xm:f>
          </x14:formula1>
          <xm:sqref>E2:E437 E439:E1000</xm:sqref>
        </x14:dataValidation>
        <x14:dataValidation type="list" allowBlank="1" showInputMessage="1" showErrorMessage="1" xr:uid="{27F6E9CB-AF00-4D7A-B0C2-AB9BFFEEEE6C}">
          <x14:formula1>
            <xm:f>'List source'!$D$6:$D$71</xm:f>
          </x14:formula1>
          <xm:sqref>A1 A1001:A1048576</xm:sqref>
        </x14:dataValidation>
        <x14:dataValidation type="list" allowBlank="1" showInputMessage="1" showErrorMessage="1" xr:uid="{DCEC84A8-08E5-4B19-AB4A-0A3B2E7A9D79}">
          <x14:formula1>
            <xm:f>'List source'!$I$2:$I$3</xm:f>
          </x14:formula1>
          <xm:sqref>P41:P1000 N2:N1000 K2:L1000</xm:sqref>
        </x14:dataValidation>
        <x14:dataValidation type="list" allowBlank="1" showInputMessage="1" showErrorMessage="1" xr:uid="{90F2BD43-99A9-423F-92EF-16AB475FEBDD}">
          <x14:formula1>
            <xm:f>'List source'!$B$12:$B$16</xm:f>
          </x14:formula1>
          <xm:sqref>R2:R1000</xm:sqref>
        </x14:dataValidation>
        <x14:dataValidation type="list" allowBlank="1" showInputMessage="1" showErrorMessage="1" xr:uid="{CADECC81-07D0-41BE-AB9E-B7903154C8A5}">
          <x14:formula1>
            <xm:f>'List source'!$D$2:$D$71</xm:f>
          </x14:formula1>
          <xm:sqref>A2:A1000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7030A0"/>
    <pageSetUpPr fitToPage="1"/>
  </sheetPr>
  <dimension ref="A1:K501"/>
  <sheetViews>
    <sheetView showGridLines="0" tabSelected="1" zoomScale="90" zoomScaleNormal="90" workbookViewId="0">
      <pane ySplit="1" topLeftCell="A49" activePane="bottomLeft" state="frozen"/>
      <selection activeCell="D1" sqref="D1"/>
      <selection pane="bottomLeft" activeCell="I58" sqref="I58"/>
    </sheetView>
  </sheetViews>
  <sheetFormatPr defaultRowHeight="15" x14ac:dyDescent="0.25"/>
  <cols>
    <col min="1" max="1" width="26.5703125" style="5" customWidth="1"/>
    <col min="2" max="2" width="9.5703125" customWidth="1"/>
    <col min="3" max="3" width="7.42578125" bestFit="1" customWidth="1"/>
    <col min="4" max="4" width="28" customWidth="1"/>
    <col min="5" max="5" width="21.42578125" customWidth="1"/>
    <col min="6" max="6" width="85.85546875" style="95" customWidth="1"/>
    <col min="7" max="7" width="16.5703125" style="6" customWidth="1"/>
    <col min="8" max="8" width="17" style="6" customWidth="1"/>
    <col min="9" max="9" width="13.42578125" style="6" customWidth="1"/>
    <col min="10" max="10" width="17.5703125" style="6" customWidth="1"/>
    <col min="11" max="11" width="36.5703125" customWidth="1"/>
  </cols>
  <sheetData>
    <row r="1" spans="1:11" s="2" customFormat="1" ht="45" customHeight="1" x14ac:dyDescent="0.25">
      <c r="A1" s="53" t="s">
        <v>435</v>
      </c>
      <c r="B1" s="54" t="s">
        <v>1</v>
      </c>
      <c r="C1" s="54" t="s">
        <v>2</v>
      </c>
      <c r="D1" s="54" t="s">
        <v>1827</v>
      </c>
      <c r="E1" s="54" t="s">
        <v>1828</v>
      </c>
      <c r="F1" s="55" t="s">
        <v>1829</v>
      </c>
      <c r="G1" s="55" t="s">
        <v>1830</v>
      </c>
      <c r="H1" s="55" t="s">
        <v>441</v>
      </c>
      <c r="I1" s="96" t="s">
        <v>1831</v>
      </c>
      <c r="J1" s="55" t="s">
        <v>1832</v>
      </c>
      <c r="K1" s="54" t="s">
        <v>449</v>
      </c>
    </row>
    <row r="2" spans="1:11" s="4" customFormat="1" ht="30" customHeight="1" x14ac:dyDescent="0.25">
      <c r="A2" s="9" t="s">
        <v>14</v>
      </c>
      <c r="B2" s="13">
        <f>VLOOKUP(Table24[[#This Row],[Location 
(drop-down)]],'List source'!D$2:E$71,2,FALSE)</f>
        <v>131</v>
      </c>
      <c r="C2" s="17" t="s">
        <v>15</v>
      </c>
      <c r="D2" s="21" t="str">
        <f t="shared" ref="D2:D65" si="0">"P" &amp; C2 &amp; "-" &amp; B2 &amp; "-" &amp; "25"</f>
        <v>P001-131-25</v>
      </c>
      <c r="E2" s="11" t="s">
        <v>465</v>
      </c>
      <c r="F2" s="126" t="s">
        <v>1833</v>
      </c>
      <c r="G2" s="12">
        <v>45671</v>
      </c>
      <c r="H2" s="127" t="s">
        <v>167</v>
      </c>
      <c r="I2" s="127">
        <v>45826</v>
      </c>
      <c r="J2" s="128" t="s">
        <v>455</v>
      </c>
      <c r="K2" s="128"/>
    </row>
    <row r="3" spans="1:11" s="4" customFormat="1" ht="30" customHeight="1" x14ac:dyDescent="0.25">
      <c r="A3" s="9" t="s">
        <v>37</v>
      </c>
      <c r="B3" s="13">
        <f>VLOOKUP(Table24[[#This Row],[Location 
(drop-down)]],'List source'!D$2:E$71,2,FALSE)</f>
        <v>210</v>
      </c>
      <c r="C3" s="17" t="s">
        <v>22</v>
      </c>
      <c r="D3" s="21" t="str">
        <f t="shared" si="0"/>
        <v>P002-210-25</v>
      </c>
      <c r="E3" s="11" t="s">
        <v>519</v>
      </c>
      <c r="F3" s="129" t="s">
        <v>1834</v>
      </c>
      <c r="G3" s="12">
        <v>45680</v>
      </c>
      <c r="H3" s="12" t="s">
        <v>189</v>
      </c>
      <c r="I3" s="12">
        <v>45958</v>
      </c>
      <c r="J3" s="10" t="s">
        <v>455</v>
      </c>
      <c r="K3" s="10"/>
    </row>
    <row r="4" spans="1:11" s="4" customFormat="1" ht="30" customHeight="1" x14ac:dyDescent="0.25">
      <c r="A4" s="9" t="s">
        <v>37</v>
      </c>
      <c r="B4" s="13">
        <f>VLOOKUP(Table24[[#This Row],[Location 
(drop-down)]],'List source'!D$2:E$71,2,FALSE)</f>
        <v>210</v>
      </c>
      <c r="C4" s="17" t="s">
        <v>26</v>
      </c>
      <c r="D4" s="21" t="str">
        <f t="shared" si="0"/>
        <v>P003-210-25</v>
      </c>
      <c r="E4" s="11" t="s">
        <v>519</v>
      </c>
      <c r="F4" s="91" t="s">
        <v>1835</v>
      </c>
      <c r="G4" s="12">
        <v>45680</v>
      </c>
      <c r="H4" s="12" t="s">
        <v>189</v>
      </c>
      <c r="I4" s="12">
        <v>45958</v>
      </c>
      <c r="J4" s="10" t="s">
        <v>455</v>
      </c>
      <c r="K4" s="10"/>
    </row>
    <row r="5" spans="1:11" s="4" customFormat="1" ht="30" customHeight="1" x14ac:dyDescent="0.25">
      <c r="A5" s="9" t="s">
        <v>37</v>
      </c>
      <c r="B5" s="13">
        <f>VLOOKUP(Table24[[#This Row],[Location 
(drop-down)]],'List source'!D$2:E$71,2,FALSE)</f>
        <v>210</v>
      </c>
      <c r="C5" s="17" t="s">
        <v>30</v>
      </c>
      <c r="D5" s="21" t="str">
        <f t="shared" si="0"/>
        <v>P004-210-25</v>
      </c>
      <c r="E5" s="11" t="s">
        <v>519</v>
      </c>
      <c r="F5" s="91" t="s">
        <v>1836</v>
      </c>
      <c r="G5" s="12">
        <v>45680</v>
      </c>
      <c r="H5" s="12" t="s">
        <v>189</v>
      </c>
      <c r="I5" s="12">
        <v>45958</v>
      </c>
      <c r="J5" s="10" t="s">
        <v>455</v>
      </c>
      <c r="K5" s="10"/>
    </row>
    <row r="6" spans="1:11" s="4" customFormat="1" ht="30" customHeight="1" x14ac:dyDescent="0.25">
      <c r="A6" s="9" t="s">
        <v>14</v>
      </c>
      <c r="B6" s="13">
        <f>VLOOKUP(Table24[[#This Row],[Location 
(drop-down)]],'List source'!D$2:E$71,2,FALSE)</f>
        <v>131</v>
      </c>
      <c r="C6" s="17" t="s">
        <v>34</v>
      </c>
      <c r="D6" s="21" t="str">
        <f t="shared" si="0"/>
        <v>P005-131-25</v>
      </c>
      <c r="E6" s="11" t="s">
        <v>472</v>
      </c>
      <c r="F6" s="130" t="s">
        <v>1837</v>
      </c>
      <c r="G6" s="12">
        <v>45687</v>
      </c>
      <c r="H6" s="12" t="s">
        <v>167</v>
      </c>
      <c r="I6" s="12">
        <v>45838</v>
      </c>
      <c r="J6" s="10" t="s">
        <v>455</v>
      </c>
      <c r="K6" s="10"/>
    </row>
    <row r="7" spans="1:11" s="4" customFormat="1" ht="61.5" customHeight="1" x14ac:dyDescent="0.25">
      <c r="A7" s="9" t="s">
        <v>14</v>
      </c>
      <c r="B7" s="13">
        <f>VLOOKUP(Table24[[#This Row],[Location 
(drop-down)]],'List source'!D$2:E$71,2,FALSE)</f>
        <v>131</v>
      </c>
      <c r="C7" s="17" t="s">
        <v>38</v>
      </c>
      <c r="D7" s="21" t="str">
        <f t="shared" si="0"/>
        <v>P006-131-25</v>
      </c>
      <c r="E7" s="11" t="s">
        <v>472</v>
      </c>
      <c r="F7" s="131" t="s">
        <v>1838</v>
      </c>
      <c r="G7" s="12">
        <v>45687</v>
      </c>
      <c r="H7" s="12" t="s">
        <v>167</v>
      </c>
      <c r="I7" s="12">
        <v>45838</v>
      </c>
      <c r="J7" s="10" t="s">
        <v>455</v>
      </c>
      <c r="K7" s="10"/>
    </row>
    <row r="8" spans="1:11" s="4" customFormat="1" ht="30" customHeight="1" x14ac:dyDescent="0.25">
      <c r="A8" s="9" t="s">
        <v>14</v>
      </c>
      <c r="B8" s="13">
        <f>VLOOKUP(Table24[[#This Row],[Location 
(drop-down)]],'List source'!D$2:E$71,2,FALSE)</f>
        <v>131</v>
      </c>
      <c r="C8" s="17" t="s">
        <v>45</v>
      </c>
      <c r="D8" s="21" t="str">
        <f t="shared" si="0"/>
        <v>P007-131-25</v>
      </c>
      <c r="E8" s="11" t="s">
        <v>472</v>
      </c>
      <c r="F8" s="91" t="s">
        <v>1839</v>
      </c>
      <c r="G8" s="12">
        <v>45687</v>
      </c>
      <c r="H8" s="12" t="s">
        <v>167</v>
      </c>
      <c r="I8" s="12">
        <v>45838</v>
      </c>
      <c r="J8" s="10" t="s">
        <v>455</v>
      </c>
      <c r="K8" s="10"/>
    </row>
    <row r="9" spans="1:11" s="4" customFormat="1" ht="30" customHeight="1" x14ac:dyDescent="0.25">
      <c r="A9" s="9" t="s">
        <v>14</v>
      </c>
      <c r="B9" s="13">
        <f>VLOOKUP(Table24[[#This Row],[Location 
(drop-down)]],'List source'!D$2:E$71,2,FALSE)</f>
        <v>131</v>
      </c>
      <c r="C9" s="17" t="s">
        <v>47</v>
      </c>
      <c r="D9" s="21" t="str">
        <f t="shared" si="0"/>
        <v>P008-131-25</v>
      </c>
      <c r="E9" s="11" t="s">
        <v>472</v>
      </c>
      <c r="F9" s="91" t="s">
        <v>1840</v>
      </c>
      <c r="G9" s="12">
        <v>45687</v>
      </c>
      <c r="H9" s="12" t="s">
        <v>167</v>
      </c>
      <c r="I9" s="12">
        <v>45868</v>
      </c>
      <c r="J9" s="10" t="s">
        <v>455</v>
      </c>
      <c r="K9" s="10"/>
    </row>
    <row r="10" spans="1:11" s="4" customFormat="1" ht="30" customHeight="1" x14ac:dyDescent="0.25">
      <c r="A10" s="9" t="s">
        <v>14</v>
      </c>
      <c r="B10" s="13">
        <f>VLOOKUP(Table24[[#This Row],[Location 
(drop-down)]],'List source'!D$2:E$71,2,FALSE)</f>
        <v>131</v>
      </c>
      <c r="C10" s="17" t="s">
        <v>50</v>
      </c>
      <c r="D10" s="21" t="str">
        <f t="shared" si="0"/>
        <v>P009-131-25</v>
      </c>
      <c r="E10" s="11" t="s">
        <v>472</v>
      </c>
      <c r="F10" s="91" t="s">
        <v>1841</v>
      </c>
      <c r="G10" s="12">
        <v>45687</v>
      </c>
      <c r="H10" s="12" t="s">
        <v>167</v>
      </c>
      <c r="I10" s="12">
        <v>45868</v>
      </c>
      <c r="J10" s="10" t="s">
        <v>455</v>
      </c>
      <c r="K10" s="10"/>
    </row>
    <row r="11" spans="1:11" s="4" customFormat="1" ht="46.35" customHeight="1" x14ac:dyDescent="0.25">
      <c r="A11" s="9" t="s">
        <v>58</v>
      </c>
      <c r="B11" s="13">
        <f>VLOOKUP(Table24[[#This Row],[Location 
(drop-down)]],'List source'!D$2:E$71,2,FALSE)</f>
        <v>146</v>
      </c>
      <c r="C11" s="17" t="s">
        <v>52</v>
      </c>
      <c r="D11" s="21" t="str">
        <f t="shared" si="0"/>
        <v>P010-146-25</v>
      </c>
      <c r="E11" s="11" t="s">
        <v>460</v>
      </c>
      <c r="F11" s="91" t="s">
        <v>1842</v>
      </c>
      <c r="G11" s="12">
        <v>45694</v>
      </c>
      <c r="H11" s="12" t="s">
        <v>48</v>
      </c>
      <c r="I11" s="12">
        <v>45742</v>
      </c>
      <c r="J11" s="10" t="s">
        <v>455</v>
      </c>
      <c r="K11" s="10"/>
    </row>
    <row r="12" spans="1:11" s="4" customFormat="1" ht="41.1" customHeight="1" x14ac:dyDescent="0.25">
      <c r="A12" s="9" t="s">
        <v>476</v>
      </c>
      <c r="B12" s="13">
        <f>VLOOKUP(Table24[[#This Row],[Location 
(drop-down)]],'List source'!D$2:E$71,2,FALSE)</f>
        <v>101</v>
      </c>
      <c r="C12" s="17" t="s">
        <v>55</v>
      </c>
      <c r="D12" s="21" t="str">
        <f t="shared" si="0"/>
        <v>P011-101-25</v>
      </c>
      <c r="E12" s="11" t="s">
        <v>460</v>
      </c>
      <c r="F12" s="91" t="s">
        <v>1843</v>
      </c>
      <c r="G12" s="12">
        <v>45659</v>
      </c>
      <c r="H12" s="12" t="s">
        <v>35</v>
      </c>
      <c r="I12" s="12">
        <v>45732</v>
      </c>
      <c r="J12" s="10" t="s">
        <v>494</v>
      </c>
      <c r="K12" s="10"/>
    </row>
    <row r="13" spans="1:11" s="4" customFormat="1" ht="44.1" customHeight="1" x14ac:dyDescent="0.25">
      <c r="A13" s="9" t="s">
        <v>656</v>
      </c>
      <c r="B13" s="13" t="str">
        <f>VLOOKUP(Table24[[#This Row],[Location 
(drop-down)]],'List source'!D$2:E$71,2,FALSE)</f>
        <v>VOID</v>
      </c>
      <c r="C13" s="17" t="s">
        <v>59</v>
      </c>
      <c r="D13" s="21" t="str">
        <f t="shared" si="0"/>
        <v>P012-VOID-25</v>
      </c>
      <c r="E13" s="11" t="s">
        <v>657</v>
      </c>
      <c r="F13" s="91" t="s">
        <v>1844</v>
      </c>
      <c r="G13" s="12" t="s">
        <v>657</v>
      </c>
      <c r="H13" s="12" t="s">
        <v>657</v>
      </c>
      <c r="I13" s="12" t="s">
        <v>657</v>
      </c>
      <c r="J13" s="10" t="s">
        <v>657</v>
      </c>
      <c r="K13" s="10" t="s">
        <v>1845</v>
      </c>
    </row>
    <row r="14" spans="1:11" s="4" customFormat="1" ht="30" customHeight="1" x14ac:dyDescent="0.25">
      <c r="A14" s="9" t="s">
        <v>79</v>
      </c>
      <c r="B14" s="13">
        <f>VLOOKUP(Table24[[#This Row],[Location 
(drop-down)]],'List source'!D$2:E$71,2,FALSE)</f>
        <v>160</v>
      </c>
      <c r="C14" s="17" t="s">
        <v>63</v>
      </c>
      <c r="D14" s="21" t="str">
        <f t="shared" si="0"/>
        <v>P013-160-25</v>
      </c>
      <c r="E14" s="11" t="s">
        <v>460</v>
      </c>
      <c r="F14" s="132" t="s">
        <v>1846</v>
      </c>
      <c r="G14" s="12">
        <v>45726</v>
      </c>
      <c r="H14" s="12" t="s">
        <v>82</v>
      </c>
      <c r="I14" s="12">
        <v>45838</v>
      </c>
      <c r="J14" s="10" t="s">
        <v>455</v>
      </c>
      <c r="K14" s="10"/>
    </row>
    <row r="15" spans="1:11" s="4" customFormat="1" ht="30" customHeight="1" x14ac:dyDescent="0.25">
      <c r="A15" s="9" t="s">
        <v>79</v>
      </c>
      <c r="B15" s="13">
        <f>VLOOKUP(Table24[[#This Row],[Location 
(drop-down)]],'List source'!D$2:E$71,2,FALSE)</f>
        <v>160</v>
      </c>
      <c r="C15" s="17" t="s">
        <v>65</v>
      </c>
      <c r="D15" s="21" t="str">
        <f t="shared" si="0"/>
        <v>P014-160-25</v>
      </c>
      <c r="E15" s="11" t="s">
        <v>460</v>
      </c>
      <c r="F15" s="91" t="s">
        <v>1847</v>
      </c>
      <c r="G15" s="12">
        <v>45726</v>
      </c>
      <c r="H15" s="12" t="s">
        <v>82</v>
      </c>
      <c r="I15" s="12">
        <v>45839</v>
      </c>
      <c r="J15" s="10" t="s">
        <v>455</v>
      </c>
      <c r="K15" s="10"/>
    </row>
    <row r="16" spans="1:11" s="4" customFormat="1" ht="30" customHeight="1" x14ac:dyDescent="0.25">
      <c r="A16" s="9" t="s">
        <v>91</v>
      </c>
      <c r="B16" s="13">
        <f>VLOOKUP(Table24[[#This Row],[Location 
(drop-down)]],'List source'!D$2:E$71,2,FALSE)</f>
        <v>190</v>
      </c>
      <c r="C16" s="17" t="s">
        <v>68</v>
      </c>
      <c r="D16" s="21" t="str">
        <f t="shared" si="0"/>
        <v>P015-190-25</v>
      </c>
      <c r="E16" s="11" t="s">
        <v>472</v>
      </c>
      <c r="F16" s="213" t="s">
        <v>1848</v>
      </c>
      <c r="G16" s="12">
        <v>45729</v>
      </c>
      <c r="H16" s="12" t="s">
        <v>35</v>
      </c>
      <c r="I16" s="12">
        <v>45905</v>
      </c>
      <c r="J16" s="10"/>
      <c r="K16" s="10"/>
    </row>
    <row r="17" spans="1:11" s="4" customFormat="1" ht="30" customHeight="1" x14ac:dyDescent="0.25">
      <c r="A17" s="9" t="s">
        <v>91</v>
      </c>
      <c r="B17" s="13">
        <f>VLOOKUP(Table24[[#This Row],[Location 
(drop-down)]],'List source'!D$2:E$71,2,FALSE)</f>
        <v>190</v>
      </c>
      <c r="C17" s="17" t="s">
        <v>70</v>
      </c>
      <c r="D17" s="21" t="str">
        <f t="shared" si="0"/>
        <v>P016-190-25</v>
      </c>
      <c r="E17" s="11" t="s">
        <v>472</v>
      </c>
      <c r="F17" s="91" t="s">
        <v>1849</v>
      </c>
      <c r="G17" s="12">
        <v>45729</v>
      </c>
      <c r="H17" s="12" t="s">
        <v>35</v>
      </c>
      <c r="I17" s="12">
        <v>45785</v>
      </c>
      <c r="J17" s="10"/>
      <c r="K17" s="10"/>
    </row>
    <row r="18" spans="1:11" s="4" customFormat="1" ht="30" customHeight="1" x14ac:dyDescent="0.25">
      <c r="A18" s="9" t="s">
        <v>91</v>
      </c>
      <c r="B18" s="13">
        <f>VLOOKUP(Table24[[#This Row],[Location 
(drop-down)]],'List source'!D$2:E$71,2,FALSE)</f>
        <v>190</v>
      </c>
      <c r="C18" s="17" t="s">
        <v>72</v>
      </c>
      <c r="D18" s="21" t="str">
        <f t="shared" si="0"/>
        <v>P017-190-25</v>
      </c>
      <c r="E18" s="11" t="s">
        <v>472</v>
      </c>
      <c r="F18" s="91" t="s">
        <v>1850</v>
      </c>
      <c r="G18" s="12">
        <v>45729</v>
      </c>
      <c r="H18" s="12" t="s">
        <v>35</v>
      </c>
      <c r="I18" s="12">
        <v>45793</v>
      </c>
      <c r="J18" s="10"/>
      <c r="K18" s="10"/>
    </row>
    <row r="19" spans="1:11" s="4" customFormat="1" ht="30" customHeight="1" x14ac:dyDescent="0.25">
      <c r="A19" s="9" t="s">
        <v>91</v>
      </c>
      <c r="B19" s="13">
        <f>VLOOKUP(Table24[[#This Row],[Location 
(drop-down)]],'List source'!D$2:E$71,2,FALSE)</f>
        <v>190</v>
      </c>
      <c r="C19" s="17" t="s">
        <v>74</v>
      </c>
      <c r="D19" s="21" t="str">
        <f t="shared" si="0"/>
        <v>P018-190-25</v>
      </c>
      <c r="E19" s="11" t="s">
        <v>472</v>
      </c>
      <c r="F19" s="91" t="s">
        <v>673</v>
      </c>
      <c r="G19" s="12">
        <v>45729</v>
      </c>
      <c r="H19" s="12" t="s">
        <v>35</v>
      </c>
      <c r="I19" s="12">
        <v>45785</v>
      </c>
      <c r="J19" s="10"/>
      <c r="K19" s="10"/>
    </row>
    <row r="20" spans="1:11" s="4" customFormat="1" ht="30" customHeight="1" x14ac:dyDescent="0.25">
      <c r="A20" s="9" t="s">
        <v>389</v>
      </c>
      <c r="B20" s="13">
        <f>VLOOKUP(Table24[[#This Row],[Location 
(drop-down)]],'List source'!D$2:E$71,2,FALSE)</f>
        <v>161</v>
      </c>
      <c r="C20" s="17" t="s">
        <v>77</v>
      </c>
      <c r="D20" s="21" t="str">
        <f t="shared" si="0"/>
        <v>P019-161-25</v>
      </c>
      <c r="E20" s="11" t="s">
        <v>460</v>
      </c>
      <c r="F20" s="91" t="s">
        <v>1851</v>
      </c>
      <c r="G20" s="12">
        <v>45726</v>
      </c>
      <c r="H20" s="12" t="s">
        <v>256</v>
      </c>
      <c r="I20" s="12">
        <v>45751</v>
      </c>
      <c r="J20" s="10" t="s">
        <v>458</v>
      </c>
      <c r="K20" s="10" t="s">
        <v>1852</v>
      </c>
    </row>
    <row r="21" spans="1:11" s="4" customFormat="1" ht="30" customHeight="1" x14ac:dyDescent="0.25">
      <c r="A21" s="9" t="s">
        <v>94</v>
      </c>
      <c r="B21" s="13">
        <f>VLOOKUP(Table24[[#This Row],[Location 
(drop-down)]],'List source'!D$2:E$71,2,FALSE)</f>
        <v>120</v>
      </c>
      <c r="C21" s="17" t="s">
        <v>80</v>
      </c>
      <c r="D21" s="42" t="str">
        <f t="shared" si="0"/>
        <v>P020-120-25</v>
      </c>
      <c r="E21" s="11" t="s">
        <v>452</v>
      </c>
      <c r="F21" s="91" t="s">
        <v>1853</v>
      </c>
      <c r="G21" s="12">
        <v>45764</v>
      </c>
      <c r="H21" s="12" t="s">
        <v>82</v>
      </c>
      <c r="I21" s="12">
        <v>45804</v>
      </c>
      <c r="J21" s="10" t="s">
        <v>458</v>
      </c>
      <c r="K21" s="10" t="s">
        <v>1854</v>
      </c>
    </row>
    <row r="22" spans="1:11" s="4" customFormat="1" ht="30" customHeight="1" x14ac:dyDescent="0.25">
      <c r="A22" s="9" t="s">
        <v>107</v>
      </c>
      <c r="B22" s="13">
        <f>VLOOKUP(Table24[[#This Row],[Location 
(drop-down)]],'List source'!D$2:E$71,2,FALSE)</f>
        <v>170</v>
      </c>
      <c r="C22" s="17" t="s">
        <v>87</v>
      </c>
      <c r="D22" s="21" t="str">
        <f t="shared" si="0"/>
        <v>P021-170-25</v>
      </c>
      <c r="E22" s="11" t="s">
        <v>452</v>
      </c>
      <c r="F22" s="70" t="s">
        <v>1855</v>
      </c>
      <c r="G22" s="12">
        <v>45768</v>
      </c>
      <c r="H22" s="12" t="s">
        <v>109</v>
      </c>
      <c r="I22" s="12"/>
      <c r="J22" s="10"/>
      <c r="K22" s="10"/>
    </row>
    <row r="23" spans="1:11" s="4" customFormat="1" ht="30" customHeight="1" x14ac:dyDescent="0.25">
      <c r="A23" s="9" t="s">
        <v>133</v>
      </c>
      <c r="B23" s="13">
        <f>VLOOKUP(Table24[[#This Row],[Location 
(drop-down)]],'List source'!D$2:E$71,2,FALSE)</f>
        <v>194</v>
      </c>
      <c r="C23" s="17" t="s">
        <v>89</v>
      </c>
      <c r="D23" s="21" t="str">
        <f t="shared" si="0"/>
        <v>P022-194-25</v>
      </c>
      <c r="E23" s="10" t="s">
        <v>472</v>
      </c>
      <c r="F23" s="91" t="s">
        <v>1856</v>
      </c>
      <c r="G23" s="12">
        <v>45772</v>
      </c>
      <c r="H23" s="12" t="s">
        <v>135</v>
      </c>
      <c r="I23" s="12">
        <v>45777</v>
      </c>
      <c r="J23" s="10" t="s">
        <v>455</v>
      </c>
      <c r="K23" s="10"/>
    </row>
    <row r="24" spans="1:11" s="4" customFormat="1" ht="30" customHeight="1" x14ac:dyDescent="0.25">
      <c r="A24" s="9" t="s">
        <v>156</v>
      </c>
      <c r="B24" s="13">
        <f>VLOOKUP(Table24[[#This Row],[Location 
(drop-down)]],'List source'!D$2:E$71,2,FALSE)</f>
        <v>130</v>
      </c>
      <c r="C24" s="17" t="s">
        <v>92</v>
      </c>
      <c r="D24" s="21" t="str">
        <f t="shared" si="0"/>
        <v>P023-130-25</v>
      </c>
      <c r="E24" s="11" t="s">
        <v>465</v>
      </c>
      <c r="F24" s="91" t="s">
        <v>1857</v>
      </c>
      <c r="G24" s="12">
        <v>45782</v>
      </c>
      <c r="H24" s="12" t="s">
        <v>167</v>
      </c>
      <c r="I24" s="12">
        <v>45784</v>
      </c>
      <c r="J24" s="10" t="s">
        <v>455</v>
      </c>
      <c r="K24" s="10"/>
    </row>
    <row r="25" spans="1:11" s="4" customFormat="1" ht="30" customHeight="1" x14ac:dyDescent="0.25">
      <c r="A25" s="9" t="s">
        <v>156</v>
      </c>
      <c r="B25" s="13">
        <f>VLOOKUP(Table24[[#This Row],[Location 
(drop-down)]],'List source'!D$2:E$71,2,FALSE)</f>
        <v>130</v>
      </c>
      <c r="C25" s="17" t="s">
        <v>93</v>
      </c>
      <c r="D25" s="21" t="str">
        <f t="shared" si="0"/>
        <v>P024-130-25</v>
      </c>
      <c r="E25" s="11" t="s">
        <v>465</v>
      </c>
      <c r="F25" s="91" t="s">
        <v>1858</v>
      </c>
      <c r="G25" s="12">
        <v>45782</v>
      </c>
      <c r="H25" s="12" t="s">
        <v>167</v>
      </c>
      <c r="I25" s="12">
        <v>45784</v>
      </c>
      <c r="J25" s="10" t="s">
        <v>455</v>
      </c>
      <c r="K25" s="10"/>
    </row>
    <row r="26" spans="1:11" s="4" customFormat="1" ht="30" customHeight="1" x14ac:dyDescent="0.25">
      <c r="A26" s="9" t="s">
        <v>156</v>
      </c>
      <c r="B26" s="13">
        <f>VLOOKUP(Table24[[#This Row],[Location 
(drop-down)]],'List source'!D$2:E$71,2,FALSE)</f>
        <v>130</v>
      </c>
      <c r="C26" s="17" t="s">
        <v>95</v>
      </c>
      <c r="D26" s="21" t="str">
        <f t="shared" si="0"/>
        <v>P025-130-25</v>
      </c>
      <c r="E26" s="11" t="s">
        <v>465</v>
      </c>
      <c r="F26" s="93" t="s">
        <v>1859</v>
      </c>
      <c r="G26" s="12">
        <v>45782</v>
      </c>
      <c r="H26" s="12" t="s">
        <v>167</v>
      </c>
      <c r="I26" s="12">
        <v>45786</v>
      </c>
      <c r="J26" s="10" t="s">
        <v>455</v>
      </c>
      <c r="K26" s="10"/>
    </row>
    <row r="27" spans="1:11" s="4" customFormat="1" ht="30" customHeight="1" x14ac:dyDescent="0.25">
      <c r="A27" s="9" t="s">
        <v>389</v>
      </c>
      <c r="B27" s="13">
        <f>VLOOKUP(Table24[[#This Row],[Location 
(drop-down)]],'List source'!D$2:E$71,2,FALSE)</f>
        <v>161</v>
      </c>
      <c r="C27" s="17" t="s">
        <v>100</v>
      </c>
      <c r="D27" s="21" t="str">
        <f t="shared" si="0"/>
        <v>P026-161-25</v>
      </c>
      <c r="E27" s="11" t="s">
        <v>460</v>
      </c>
      <c r="F27" s="91" t="s">
        <v>1860</v>
      </c>
      <c r="G27" s="12">
        <v>45784</v>
      </c>
      <c r="H27" s="12" t="s">
        <v>82</v>
      </c>
      <c r="I27" s="73"/>
      <c r="J27" s="10" t="s">
        <v>458</v>
      </c>
      <c r="K27" s="10"/>
    </row>
    <row r="28" spans="1:11" s="4" customFormat="1" ht="39.75" customHeight="1" x14ac:dyDescent="0.25">
      <c r="A28" s="9" t="s">
        <v>37</v>
      </c>
      <c r="B28" s="13">
        <f>VLOOKUP(Table24[[#This Row],[Location 
(drop-down)]],'List source'!D$2:E$71,2,FALSE)</f>
        <v>210</v>
      </c>
      <c r="C28" s="17" t="s">
        <v>106</v>
      </c>
      <c r="D28" s="21" t="str">
        <f t="shared" si="0"/>
        <v>P027-210-25</v>
      </c>
      <c r="E28" s="11" t="s">
        <v>460</v>
      </c>
      <c r="F28" s="91" t="s">
        <v>1861</v>
      </c>
      <c r="G28" s="12">
        <v>45791</v>
      </c>
      <c r="H28" s="188" t="s">
        <v>189</v>
      </c>
      <c r="I28" s="230">
        <v>45958</v>
      </c>
      <c r="J28" s="187" t="s">
        <v>455</v>
      </c>
      <c r="K28" s="10"/>
    </row>
    <row r="29" spans="1:11" s="4" customFormat="1" ht="37.35" customHeight="1" x14ac:dyDescent="0.25">
      <c r="A29" s="9" t="s">
        <v>156</v>
      </c>
      <c r="B29" s="13">
        <f>VLOOKUP(Table24[[#This Row],[Location 
(drop-down)]],'List source'!D$2:E$71,2,FALSE)</f>
        <v>130</v>
      </c>
      <c r="C29" s="17" t="s">
        <v>108</v>
      </c>
      <c r="D29" s="21" t="str">
        <f t="shared" si="0"/>
        <v>P028-130-25</v>
      </c>
      <c r="E29" s="11" t="s">
        <v>465</v>
      </c>
      <c r="F29" s="91" t="s">
        <v>1862</v>
      </c>
      <c r="G29" s="12">
        <v>45807</v>
      </c>
      <c r="H29" s="188" t="s">
        <v>167</v>
      </c>
      <c r="I29" s="231"/>
      <c r="J29" s="187" t="s">
        <v>494</v>
      </c>
      <c r="K29" s="10"/>
    </row>
    <row r="30" spans="1:11" s="4" customFormat="1" ht="30" customHeight="1" x14ac:dyDescent="0.25">
      <c r="A30" s="9" t="s">
        <v>156</v>
      </c>
      <c r="B30" s="13">
        <f>VLOOKUP(Table24[[#This Row],[Location 
(drop-down)]],'List source'!D$2:E$71,2,FALSE)</f>
        <v>130</v>
      </c>
      <c r="C30" s="17" t="s">
        <v>113</v>
      </c>
      <c r="D30" s="21" t="str">
        <f t="shared" si="0"/>
        <v>P029-130-25</v>
      </c>
      <c r="E30" s="11" t="s">
        <v>465</v>
      </c>
      <c r="F30" s="91" t="s">
        <v>1863</v>
      </c>
      <c r="G30" s="12">
        <v>45807</v>
      </c>
      <c r="H30" s="12" t="s">
        <v>167</v>
      </c>
      <c r="I30" s="127">
        <v>45940</v>
      </c>
      <c r="J30" s="10" t="s">
        <v>458</v>
      </c>
      <c r="K30" s="10"/>
    </row>
    <row r="31" spans="1:11" s="4" customFormat="1" ht="30" customHeight="1" x14ac:dyDescent="0.25">
      <c r="A31" s="9" t="s">
        <v>156</v>
      </c>
      <c r="B31" s="13">
        <f>VLOOKUP(Table24[[#This Row],[Location 
(drop-down)]],'List source'!D$2:E$71,2,FALSE)</f>
        <v>130</v>
      </c>
      <c r="C31" s="17" t="s">
        <v>114</v>
      </c>
      <c r="D31" s="21" t="str">
        <f t="shared" si="0"/>
        <v>P030-130-25</v>
      </c>
      <c r="E31" s="11" t="s">
        <v>465</v>
      </c>
      <c r="F31" s="91" t="s">
        <v>1864</v>
      </c>
      <c r="G31" s="12">
        <v>45807</v>
      </c>
      <c r="H31" s="12" t="s">
        <v>167</v>
      </c>
      <c r="I31" s="12"/>
      <c r="J31" s="10" t="s">
        <v>455</v>
      </c>
      <c r="K31" s="10"/>
    </row>
    <row r="32" spans="1:11" s="4" customFormat="1" ht="30" customHeight="1" x14ac:dyDescent="0.25">
      <c r="A32" s="9" t="s">
        <v>58</v>
      </c>
      <c r="B32" s="13">
        <f>VLOOKUP(Table24[[#This Row],[Location 
(drop-down)]],'List source'!D$2:E$71,2,FALSE)</f>
        <v>146</v>
      </c>
      <c r="C32" s="17" t="s">
        <v>118</v>
      </c>
      <c r="D32" s="21" t="str">
        <f t="shared" si="0"/>
        <v>P031-146-25</v>
      </c>
      <c r="E32" s="11" t="s">
        <v>465</v>
      </c>
      <c r="F32" s="91" t="s">
        <v>1865</v>
      </c>
      <c r="G32" s="12">
        <v>45862</v>
      </c>
      <c r="H32" s="12" t="s">
        <v>27</v>
      </c>
      <c r="I32" s="12">
        <v>45873</v>
      </c>
      <c r="J32" s="10" t="s">
        <v>458</v>
      </c>
      <c r="K32" s="10" t="s">
        <v>1866</v>
      </c>
    </row>
    <row r="33" spans="1:11" s="4" customFormat="1" ht="30" customHeight="1" x14ac:dyDescent="0.25">
      <c r="A33" s="9" t="s">
        <v>107</v>
      </c>
      <c r="B33" s="13">
        <f>VLOOKUP(Table24[[#This Row],[Location 
(drop-down)]],'List source'!D$2:E$71,2,FALSE)</f>
        <v>170</v>
      </c>
      <c r="C33" s="17" t="s">
        <v>119</v>
      </c>
      <c r="D33" s="42" t="str">
        <f>"P" &amp; C33 &amp; "-" &amp; B33 &amp; "-" &amp; "25"</f>
        <v>P032-170-25</v>
      </c>
      <c r="E33" s="11" t="s">
        <v>472</v>
      </c>
      <c r="F33" s="91" t="s">
        <v>1867</v>
      </c>
      <c r="G33" s="12">
        <v>45810</v>
      </c>
      <c r="H33" s="12" t="s">
        <v>109</v>
      </c>
      <c r="I33" s="12"/>
      <c r="J33" s="10"/>
      <c r="K33" s="10"/>
    </row>
    <row r="34" spans="1:11" s="4" customFormat="1" ht="30" customHeight="1" x14ac:dyDescent="0.25">
      <c r="A34" s="9" t="s">
        <v>107</v>
      </c>
      <c r="B34" s="13">
        <f>VLOOKUP(Table24[[#This Row],[Location 
(drop-down)]],'List source'!D$2:E$71,2,FALSE)</f>
        <v>170</v>
      </c>
      <c r="C34" s="17" t="s">
        <v>120</v>
      </c>
      <c r="D34" s="21" t="str">
        <f t="shared" si="0"/>
        <v>P033-170-25</v>
      </c>
      <c r="E34" s="11" t="s">
        <v>472</v>
      </c>
      <c r="F34" s="91" t="s">
        <v>1868</v>
      </c>
      <c r="G34" s="12">
        <v>45810</v>
      </c>
      <c r="H34" s="12" t="s">
        <v>109</v>
      </c>
      <c r="I34" s="12"/>
      <c r="J34" s="10"/>
      <c r="K34" s="10"/>
    </row>
    <row r="35" spans="1:11" s="4" customFormat="1" ht="30" customHeight="1" x14ac:dyDescent="0.25">
      <c r="A35" s="9" t="s">
        <v>287</v>
      </c>
      <c r="B35" s="13">
        <f>VLOOKUP(Table24[[#This Row],[Location 
(drop-down)]],'List source'!D$2:E$71,2,FALSE)</f>
        <v>180</v>
      </c>
      <c r="C35" s="17" t="s">
        <v>121</v>
      </c>
      <c r="D35" s="42" t="str">
        <f t="shared" si="0"/>
        <v>P034-180-25</v>
      </c>
      <c r="E35" s="11" t="s">
        <v>460</v>
      </c>
      <c r="F35" s="91" t="s">
        <v>1869</v>
      </c>
      <c r="G35" s="12">
        <v>45882</v>
      </c>
      <c r="H35" s="12" t="s">
        <v>27</v>
      </c>
      <c r="I35" s="12">
        <v>45930</v>
      </c>
      <c r="J35" s="10" t="s">
        <v>455</v>
      </c>
      <c r="K35" s="10" t="s">
        <v>1870</v>
      </c>
    </row>
    <row r="36" spans="1:11" s="4" customFormat="1" ht="30" customHeight="1" x14ac:dyDescent="0.25">
      <c r="A36" s="9" t="s">
        <v>249</v>
      </c>
      <c r="B36" s="13">
        <f>VLOOKUP(Table24[[#This Row],[Location 
(drop-down)]],'List source'!D$2:E$71,2,FALSE)</f>
        <v>199</v>
      </c>
      <c r="C36" s="17" t="s">
        <v>124</v>
      </c>
      <c r="D36" s="21" t="str">
        <f t="shared" si="0"/>
        <v>P035-199-25</v>
      </c>
      <c r="E36" s="11" t="s">
        <v>472</v>
      </c>
      <c r="F36" s="91" t="s">
        <v>1871</v>
      </c>
      <c r="G36" s="12">
        <v>45888</v>
      </c>
      <c r="H36" s="12" t="s">
        <v>101</v>
      </c>
      <c r="I36" s="12">
        <v>45905</v>
      </c>
      <c r="J36" s="10" t="s">
        <v>458</v>
      </c>
      <c r="K36" s="10"/>
    </row>
    <row r="37" spans="1:11" s="4" customFormat="1" ht="30" customHeight="1" x14ac:dyDescent="0.25">
      <c r="A37" s="9" t="s">
        <v>179</v>
      </c>
      <c r="B37" s="13">
        <f>VLOOKUP(Table24[[#This Row],[Location 
(drop-down)]],'List source'!D$2:E$71,2,FALSE)</f>
        <v>189</v>
      </c>
      <c r="C37" s="17" t="s">
        <v>126</v>
      </c>
      <c r="D37" s="21" t="str">
        <f t="shared" si="0"/>
        <v>P036-189-25</v>
      </c>
      <c r="E37" s="11" t="s">
        <v>472</v>
      </c>
      <c r="F37" s="91" t="s">
        <v>1872</v>
      </c>
      <c r="G37" s="12">
        <v>45894</v>
      </c>
      <c r="H37" s="12" t="s">
        <v>48</v>
      </c>
      <c r="I37" s="12">
        <v>46010</v>
      </c>
      <c r="J37" s="10" t="s">
        <v>494</v>
      </c>
      <c r="K37" s="10"/>
    </row>
    <row r="38" spans="1:11" s="4" customFormat="1" ht="30" customHeight="1" x14ac:dyDescent="0.25">
      <c r="A38" s="9" t="s">
        <v>179</v>
      </c>
      <c r="B38" s="13">
        <f>VLOOKUP(Table24[[#This Row],[Location 
(drop-down)]],'List source'!D$2:E$71,2,FALSE)</f>
        <v>189</v>
      </c>
      <c r="C38" s="17" t="s">
        <v>132</v>
      </c>
      <c r="D38" s="21" t="str">
        <f t="shared" si="0"/>
        <v>P037-189-25</v>
      </c>
      <c r="E38" s="11" t="s">
        <v>472</v>
      </c>
      <c r="F38" s="91" t="s">
        <v>1873</v>
      </c>
      <c r="G38" s="12">
        <v>45894</v>
      </c>
      <c r="H38" s="12" t="s">
        <v>48</v>
      </c>
      <c r="I38" s="12">
        <v>46010</v>
      </c>
      <c r="J38" s="10" t="s">
        <v>494</v>
      </c>
      <c r="K38" s="10"/>
    </row>
    <row r="39" spans="1:11" s="4" customFormat="1" ht="30" customHeight="1" x14ac:dyDescent="0.25">
      <c r="A39" s="9" t="s">
        <v>44</v>
      </c>
      <c r="B39" s="13">
        <f>VLOOKUP(Table24[[#This Row],[Location 
(drop-down)]],'List source'!D$2:E$71,2,FALSE)</f>
        <v>185</v>
      </c>
      <c r="C39" s="17" t="s">
        <v>134</v>
      </c>
      <c r="D39" s="21" t="str">
        <f t="shared" si="0"/>
        <v>P038-185-25</v>
      </c>
      <c r="E39" s="11" t="s">
        <v>465</v>
      </c>
      <c r="F39" s="91" t="s">
        <v>1874</v>
      </c>
      <c r="G39" s="12">
        <v>45897</v>
      </c>
      <c r="H39" s="12" t="s">
        <v>189</v>
      </c>
      <c r="I39" s="12"/>
      <c r="J39" s="10" t="s">
        <v>458</v>
      </c>
      <c r="K39" s="10" t="s">
        <v>1875</v>
      </c>
    </row>
    <row r="40" spans="1:11" s="4" customFormat="1" ht="30" customHeight="1" x14ac:dyDescent="0.25">
      <c r="A40" s="9" t="s">
        <v>44</v>
      </c>
      <c r="B40" s="13">
        <f>VLOOKUP(Table24[[#This Row],[Location 
(drop-down)]],'List source'!D$2:E$71,2,FALSE)</f>
        <v>185</v>
      </c>
      <c r="C40" s="17" t="s">
        <v>137</v>
      </c>
      <c r="D40" s="21" t="str">
        <f t="shared" si="0"/>
        <v>P039-185-25</v>
      </c>
      <c r="E40" s="11" t="s">
        <v>465</v>
      </c>
      <c r="F40" s="91" t="s">
        <v>1876</v>
      </c>
      <c r="G40" s="12">
        <v>45897</v>
      </c>
      <c r="H40" s="12" t="s">
        <v>189</v>
      </c>
      <c r="I40" s="12">
        <v>45930</v>
      </c>
      <c r="J40" s="10" t="s">
        <v>455</v>
      </c>
      <c r="K40" s="10" t="s">
        <v>1875</v>
      </c>
    </row>
    <row r="41" spans="1:11" s="4" customFormat="1" ht="30" customHeight="1" x14ac:dyDescent="0.25">
      <c r="A41" s="9" t="s">
        <v>44</v>
      </c>
      <c r="B41" s="13">
        <f>VLOOKUP(Table24[[#This Row],[Location 
(drop-down)]],'List source'!D$2:E$71,2,FALSE)</f>
        <v>185</v>
      </c>
      <c r="C41" s="17" t="s">
        <v>140</v>
      </c>
      <c r="D41" s="21" t="str">
        <f t="shared" si="0"/>
        <v>P040-185-25</v>
      </c>
      <c r="E41" s="11" t="s">
        <v>465</v>
      </c>
      <c r="F41" s="91" t="s">
        <v>1877</v>
      </c>
      <c r="G41" s="12">
        <v>45897</v>
      </c>
      <c r="H41" s="12" t="s">
        <v>189</v>
      </c>
      <c r="I41" s="12">
        <v>45930</v>
      </c>
      <c r="J41" s="10" t="s">
        <v>455</v>
      </c>
      <c r="K41" s="10" t="s">
        <v>1875</v>
      </c>
    </row>
    <row r="42" spans="1:11" s="4" customFormat="1" ht="30" customHeight="1" x14ac:dyDescent="0.25">
      <c r="A42" s="9" t="s">
        <v>44</v>
      </c>
      <c r="B42" s="13">
        <f>VLOOKUP(Table24[[#This Row],[Location 
(drop-down)]],'List source'!D$2:E$71,2,FALSE)</f>
        <v>185</v>
      </c>
      <c r="C42" s="17" t="s">
        <v>142</v>
      </c>
      <c r="D42" s="21" t="str">
        <f t="shared" si="0"/>
        <v>P041-185-25</v>
      </c>
      <c r="E42" s="11" t="s">
        <v>465</v>
      </c>
      <c r="F42" s="91" t="s">
        <v>1878</v>
      </c>
      <c r="G42" s="12">
        <v>45897</v>
      </c>
      <c r="H42" s="12" t="s">
        <v>189</v>
      </c>
      <c r="I42" s="12">
        <v>45930</v>
      </c>
      <c r="J42" s="10" t="s">
        <v>455</v>
      </c>
      <c r="K42" s="10" t="s">
        <v>1875</v>
      </c>
    </row>
    <row r="43" spans="1:11" s="4" customFormat="1" ht="30" customHeight="1" x14ac:dyDescent="0.25">
      <c r="A43" s="9" t="s">
        <v>44</v>
      </c>
      <c r="B43" s="13">
        <f>VLOOKUP(Table24[[#This Row],[Location 
(drop-down)]],'List source'!D$2:E$71,2,FALSE)</f>
        <v>185</v>
      </c>
      <c r="C43" s="17" t="s">
        <v>143</v>
      </c>
      <c r="D43" s="21" t="str">
        <f t="shared" si="0"/>
        <v>P042-185-25</v>
      </c>
      <c r="E43" s="11" t="s">
        <v>465</v>
      </c>
      <c r="F43" s="91" t="s">
        <v>1879</v>
      </c>
      <c r="G43" s="12">
        <v>45897</v>
      </c>
      <c r="H43" s="12" t="s">
        <v>189</v>
      </c>
      <c r="I43" s="12">
        <v>45930</v>
      </c>
      <c r="J43" s="10" t="s">
        <v>455</v>
      </c>
      <c r="K43" s="10" t="s">
        <v>1875</v>
      </c>
    </row>
    <row r="44" spans="1:11" s="4" customFormat="1" ht="30" customHeight="1" x14ac:dyDescent="0.25">
      <c r="A44" s="9" t="s">
        <v>246</v>
      </c>
      <c r="B44" s="13">
        <f>VLOOKUP(Table24[[#This Row],[Location 
(drop-down)]],'List source'!D$2:E$71,2,FALSE)</f>
        <v>188</v>
      </c>
      <c r="C44" s="17" t="s">
        <v>144</v>
      </c>
      <c r="D44" s="21" t="str">
        <f t="shared" si="0"/>
        <v>P043-188-25</v>
      </c>
      <c r="E44" s="11" t="s">
        <v>472</v>
      </c>
      <c r="F44" s="91" t="s">
        <v>1880</v>
      </c>
      <c r="G44" s="12">
        <v>45847</v>
      </c>
      <c r="H44" s="12" t="s">
        <v>101</v>
      </c>
      <c r="I44" s="12">
        <v>45974</v>
      </c>
      <c r="J44" s="10" t="s">
        <v>455</v>
      </c>
      <c r="K44" s="10" t="s">
        <v>1881</v>
      </c>
    </row>
    <row r="45" spans="1:11" s="4" customFormat="1" ht="30" customHeight="1" x14ac:dyDescent="0.25">
      <c r="A45" s="9" t="s">
        <v>156</v>
      </c>
      <c r="B45" s="13">
        <f>VLOOKUP(Table24[[#This Row],[Location 
(drop-down)]],'List source'!D$2:E$71,2,FALSE)</f>
        <v>130</v>
      </c>
      <c r="C45" s="17" t="s">
        <v>148</v>
      </c>
      <c r="D45" s="21" t="str">
        <f t="shared" si="0"/>
        <v>P044-130-25</v>
      </c>
      <c r="E45" s="11" t="s">
        <v>472</v>
      </c>
      <c r="F45" s="91" t="s">
        <v>1882</v>
      </c>
      <c r="G45" s="12">
        <v>45931</v>
      </c>
      <c r="H45" s="12" t="s">
        <v>167</v>
      </c>
      <c r="I45" s="12"/>
      <c r="J45" s="10" t="s">
        <v>455</v>
      </c>
      <c r="K45" s="10"/>
    </row>
    <row r="46" spans="1:11" s="4" customFormat="1" ht="30" customHeight="1" x14ac:dyDescent="0.25">
      <c r="A46" s="9" t="s">
        <v>156</v>
      </c>
      <c r="B46" s="13">
        <f>VLOOKUP(Table24[[#This Row],[Location 
(drop-down)]],'List source'!D$2:E$71,2,FALSE)</f>
        <v>130</v>
      </c>
      <c r="C46" s="17" t="s">
        <v>149</v>
      </c>
      <c r="D46" s="21" t="str">
        <f t="shared" si="0"/>
        <v>P045-130-25</v>
      </c>
      <c r="E46" s="11" t="s">
        <v>472</v>
      </c>
      <c r="F46" s="91" t="s">
        <v>1883</v>
      </c>
      <c r="G46" s="12">
        <v>45931</v>
      </c>
      <c r="H46" s="12" t="s">
        <v>167</v>
      </c>
      <c r="I46" s="12"/>
      <c r="J46" s="10" t="s">
        <v>455</v>
      </c>
      <c r="K46" s="10"/>
    </row>
    <row r="47" spans="1:11" s="4" customFormat="1" ht="30" customHeight="1" x14ac:dyDescent="0.25">
      <c r="A47" s="9" t="s">
        <v>156</v>
      </c>
      <c r="B47" s="13">
        <f>VLOOKUP(Table24[[#This Row],[Location 
(drop-down)]],'List source'!D$2:E$71,2,FALSE)</f>
        <v>130</v>
      </c>
      <c r="C47" s="17" t="s">
        <v>150</v>
      </c>
      <c r="D47" s="21" t="str">
        <f t="shared" si="0"/>
        <v>P046-130-25</v>
      </c>
      <c r="E47" s="11" t="s">
        <v>472</v>
      </c>
      <c r="F47" s="91" t="s">
        <v>1884</v>
      </c>
      <c r="G47" s="12">
        <v>45931</v>
      </c>
      <c r="H47" s="12" t="s">
        <v>167</v>
      </c>
      <c r="I47" s="12"/>
      <c r="J47" s="10" t="s">
        <v>455</v>
      </c>
      <c r="K47" s="10"/>
    </row>
    <row r="48" spans="1:11" s="4" customFormat="1" ht="30" customHeight="1" x14ac:dyDescent="0.25">
      <c r="A48" s="9" t="s">
        <v>156</v>
      </c>
      <c r="B48" s="13">
        <f>VLOOKUP(Table24[[#This Row],[Location 
(drop-down)]],'List source'!D$2:E$71,2,FALSE)</f>
        <v>130</v>
      </c>
      <c r="C48" s="17" t="s">
        <v>152</v>
      </c>
      <c r="D48" s="21" t="str">
        <f t="shared" si="0"/>
        <v>P047-130-25</v>
      </c>
      <c r="E48" s="11" t="s">
        <v>472</v>
      </c>
      <c r="F48" s="91" t="s">
        <v>1885</v>
      </c>
      <c r="G48" s="12">
        <v>45940</v>
      </c>
      <c r="H48" s="12" t="s">
        <v>167</v>
      </c>
      <c r="I48" s="12"/>
      <c r="J48" s="10" t="s">
        <v>455</v>
      </c>
      <c r="K48" s="10"/>
    </row>
    <row r="49" spans="1:11" s="4" customFormat="1" ht="30" customHeight="1" x14ac:dyDescent="0.25">
      <c r="A49" s="9" t="s">
        <v>211</v>
      </c>
      <c r="B49" s="13">
        <f>VLOOKUP(Table24[[#This Row],[Location 
(drop-down)]],'List source'!D$2:E$71,2,FALSE)</f>
        <v>132</v>
      </c>
      <c r="C49" s="17" t="s">
        <v>154</v>
      </c>
      <c r="D49" s="21" t="str">
        <f t="shared" si="0"/>
        <v>P048-132-25</v>
      </c>
      <c r="E49" s="11" t="s">
        <v>472</v>
      </c>
      <c r="F49" s="91" t="s">
        <v>1886</v>
      </c>
      <c r="G49" s="12">
        <v>45940</v>
      </c>
      <c r="H49" s="12" t="s">
        <v>167</v>
      </c>
      <c r="I49" s="12"/>
      <c r="J49" s="10" t="s">
        <v>455</v>
      </c>
      <c r="K49" s="10"/>
    </row>
    <row r="50" spans="1:11" s="4" customFormat="1" ht="30" customHeight="1" x14ac:dyDescent="0.25">
      <c r="A50" s="9" t="s">
        <v>211</v>
      </c>
      <c r="B50" s="13">
        <f>VLOOKUP(Table24[[#This Row],[Location 
(drop-down)]],'List source'!D$2:E$71,2,FALSE)</f>
        <v>132</v>
      </c>
      <c r="C50" s="17" t="s">
        <v>155</v>
      </c>
      <c r="D50" s="21" t="str">
        <f t="shared" si="0"/>
        <v>P049-132-25</v>
      </c>
      <c r="E50" s="11" t="s">
        <v>472</v>
      </c>
      <c r="F50" s="91" t="s">
        <v>1887</v>
      </c>
      <c r="G50" s="12">
        <v>45940</v>
      </c>
      <c r="H50" s="12" t="s">
        <v>167</v>
      </c>
      <c r="I50" s="12"/>
      <c r="J50" s="10" t="s">
        <v>455</v>
      </c>
      <c r="K50" s="10"/>
    </row>
    <row r="51" spans="1:11" s="4" customFormat="1" ht="30" customHeight="1" x14ac:dyDescent="0.25">
      <c r="A51" s="9" t="s">
        <v>211</v>
      </c>
      <c r="B51" s="13">
        <f>VLOOKUP(Table24[[#This Row],[Location 
(drop-down)]],'List source'!D$2:E$71,2,FALSE)</f>
        <v>132</v>
      </c>
      <c r="C51" s="17" t="s">
        <v>157</v>
      </c>
      <c r="D51" s="21" t="str">
        <f t="shared" si="0"/>
        <v>P050-132-25</v>
      </c>
      <c r="E51" s="11" t="s">
        <v>472</v>
      </c>
      <c r="F51" s="91" t="s">
        <v>1888</v>
      </c>
      <c r="G51" s="12">
        <v>45940</v>
      </c>
      <c r="H51" s="12" t="s">
        <v>167</v>
      </c>
      <c r="I51" s="12"/>
      <c r="J51" s="10" t="s">
        <v>455</v>
      </c>
      <c r="K51" s="10"/>
    </row>
    <row r="52" spans="1:11" s="4" customFormat="1" ht="30" customHeight="1" x14ac:dyDescent="0.25">
      <c r="A52" s="9" t="s">
        <v>211</v>
      </c>
      <c r="B52" s="13">
        <f>VLOOKUP(Table24[[#This Row],[Location 
(drop-down)]],'List source'!D$2:E$71,2,FALSE)</f>
        <v>132</v>
      </c>
      <c r="C52" s="17" t="s">
        <v>159</v>
      </c>
      <c r="D52" s="21" t="str">
        <f t="shared" si="0"/>
        <v>P051-132-25</v>
      </c>
      <c r="E52" s="11" t="s">
        <v>472</v>
      </c>
      <c r="F52" s="91" t="s">
        <v>1889</v>
      </c>
      <c r="G52" s="12">
        <v>45940</v>
      </c>
      <c r="H52" s="12" t="s">
        <v>167</v>
      </c>
      <c r="I52" s="12"/>
      <c r="J52" s="10" t="s">
        <v>455</v>
      </c>
      <c r="K52" s="10"/>
    </row>
    <row r="53" spans="1:11" s="4" customFormat="1" ht="30" customHeight="1" x14ac:dyDescent="0.25">
      <c r="A53" s="9" t="s">
        <v>254</v>
      </c>
      <c r="B53" s="13">
        <f>VLOOKUP(Table24[[#This Row],[Location 
(drop-down)]],'List source'!D$2:E$71,2,FALSE)</f>
        <v>133</v>
      </c>
      <c r="C53" s="17" t="s">
        <v>161</v>
      </c>
      <c r="D53" s="21" t="str">
        <f t="shared" si="0"/>
        <v>P052-133-25</v>
      </c>
      <c r="E53" s="11" t="s">
        <v>472</v>
      </c>
      <c r="F53" s="91" t="s">
        <v>1890</v>
      </c>
      <c r="G53" s="12">
        <v>45940</v>
      </c>
      <c r="H53" s="12" t="s">
        <v>167</v>
      </c>
      <c r="I53" s="12"/>
      <c r="J53" s="10" t="s">
        <v>455</v>
      </c>
      <c r="K53" s="10"/>
    </row>
    <row r="54" spans="1:11" s="4" customFormat="1" ht="30" customHeight="1" x14ac:dyDescent="0.25">
      <c r="A54" s="9" t="s">
        <v>254</v>
      </c>
      <c r="B54" s="13">
        <f>VLOOKUP(Table24[[#This Row],[Location 
(drop-down)]],'List source'!D$2:E$71,2,FALSE)</f>
        <v>133</v>
      </c>
      <c r="C54" s="17" t="s">
        <v>163</v>
      </c>
      <c r="D54" s="21" t="str">
        <f t="shared" si="0"/>
        <v>P053-133-25</v>
      </c>
      <c r="E54" s="11" t="s">
        <v>472</v>
      </c>
      <c r="F54" s="273" t="s">
        <v>1891</v>
      </c>
      <c r="G54" s="12">
        <v>45940</v>
      </c>
      <c r="H54" s="12" t="s">
        <v>167</v>
      </c>
      <c r="I54" s="12"/>
      <c r="J54" s="10" t="s">
        <v>455</v>
      </c>
      <c r="K54" s="10"/>
    </row>
    <row r="55" spans="1:11" s="4" customFormat="1" ht="30" customHeight="1" x14ac:dyDescent="0.25">
      <c r="A55" s="9" t="s">
        <v>281</v>
      </c>
      <c r="B55" s="13">
        <f>VLOOKUP(Table24[[#This Row],[Location 
(drop-down)]],'List source'!D$2:E$71,2,FALSE)</f>
        <v>129</v>
      </c>
      <c r="C55" s="17" t="s">
        <v>165</v>
      </c>
      <c r="D55" s="21" t="str">
        <f t="shared" si="0"/>
        <v>P054-129-25</v>
      </c>
      <c r="E55" s="11" t="s">
        <v>472</v>
      </c>
      <c r="F55" s="91" t="s">
        <v>1892</v>
      </c>
      <c r="G55" s="12">
        <v>45940</v>
      </c>
      <c r="H55" s="12" t="s">
        <v>167</v>
      </c>
      <c r="I55" s="12"/>
      <c r="J55" s="10" t="s">
        <v>455</v>
      </c>
      <c r="K55" s="10"/>
    </row>
    <row r="56" spans="1:11" s="4" customFormat="1" ht="30" customHeight="1" x14ac:dyDescent="0.25">
      <c r="A56" s="9" t="s">
        <v>237</v>
      </c>
      <c r="B56" s="13">
        <f>VLOOKUP(Table24[[#This Row],[Location 
(drop-down)]],'List source'!D$2:E$71,2,FALSE)</f>
        <v>171</v>
      </c>
      <c r="C56" s="17" t="s">
        <v>166</v>
      </c>
      <c r="D56" s="21" t="str">
        <f t="shared" si="0"/>
        <v>P055-171-25</v>
      </c>
      <c r="E56" s="11" t="s">
        <v>472</v>
      </c>
      <c r="F56" s="91" t="s">
        <v>1893</v>
      </c>
      <c r="G56" s="12">
        <v>45945</v>
      </c>
      <c r="H56" s="12" t="s">
        <v>48</v>
      </c>
      <c r="I56" s="12">
        <v>45961</v>
      </c>
      <c r="J56" s="10" t="s">
        <v>455</v>
      </c>
      <c r="K56" s="10" t="s">
        <v>1894</v>
      </c>
    </row>
    <row r="57" spans="1:11" s="4" customFormat="1" ht="30" customHeight="1" x14ac:dyDescent="0.25">
      <c r="A57" s="9" t="s">
        <v>338</v>
      </c>
      <c r="B57" s="13">
        <f>VLOOKUP(Table24[[#This Row],[Location 
(drop-down)]],'List source'!D$2:E$71,2,FALSE)</f>
        <v>191</v>
      </c>
      <c r="C57" s="17" t="s">
        <v>171</v>
      </c>
      <c r="D57" s="21" t="str">
        <f t="shared" si="0"/>
        <v>P056-191-25</v>
      </c>
      <c r="E57" s="11" t="s">
        <v>472</v>
      </c>
      <c r="F57" s="91" t="s">
        <v>1895</v>
      </c>
      <c r="G57" s="12">
        <v>45961</v>
      </c>
      <c r="H57" s="12" t="s">
        <v>18</v>
      </c>
      <c r="I57" s="12">
        <v>46077</v>
      </c>
      <c r="J57" s="10" t="s">
        <v>455</v>
      </c>
      <c r="K57" s="10"/>
    </row>
    <row r="58" spans="1:11" s="4" customFormat="1" ht="30" customHeight="1" x14ac:dyDescent="0.25">
      <c r="A58" s="9" t="s">
        <v>338</v>
      </c>
      <c r="B58" s="13">
        <f>VLOOKUP(Table24[[#This Row],[Location 
(drop-down)]],'List source'!D$2:E$71,2,FALSE)</f>
        <v>191</v>
      </c>
      <c r="C58" s="17" t="s">
        <v>173</v>
      </c>
      <c r="D58" s="21" t="str">
        <f t="shared" si="0"/>
        <v>P057-191-25</v>
      </c>
      <c r="E58" s="11" t="s">
        <v>472</v>
      </c>
      <c r="F58" s="91" t="s">
        <v>1896</v>
      </c>
      <c r="G58" s="12">
        <v>45961</v>
      </c>
      <c r="H58" s="12" t="s">
        <v>135</v>
      </c>
      <c r="I58" s="12">
        <v>46003</v>
      </c>
      <c r="J58" s="10" t="s">
        <v>455</v>
      </c>
      <c r="K58" s="10"/>
    </row>
    <row r="59" spans="1:11" s="4" customFormat="1" ht="30" customHeight="1" x14ac:dyDescent="0.25">
      <c r="A59" s="9" t="s">
        <v>338</v>
      </c>
      <c r="B59" s="13">
        <f>VLOOKUP(Table24[[#This Row],[Location 
(drop-down)]],'List source'!D$2:E$71,2,FALSE)</f>
        <v>191</v>
      </c>
      <c r="C59" s="17" t="s">
        <v>176</v>
      </c>
      <c r="D59" s="21" t="str">
        <f t="shared" si="0"/>
        <v>P058-191-25</v>
      </c>
      <c r="E59" s="11" t="s">
        <v>472</v>
      </c>
      <c r="F59" s="91" t="s">
        <v>1897</v>
      </c>
      <c r="G59" s="12">
        <v>45961</v>
      </c>
      <c r="H59" s="12" t="s">
        <v>135</v>
      </c>
      <c r="I59" s="12">
        <v>46003</v>
      </c>
      <c r="J59" s="10" t="s">
        <v>455</v>
      </c>
      <c r="K59" s="10"/>
    </row>
    <row r="60" spans="1:11" s="4" customFormat="1" ht="30" customHeight="1" x14ac:dyDescent="0.25">
      <c r="A60" s="9" t="s">
        <v>156</v>
      </c>
      <c r="B60" s="13">
        <f>VLOOKUP(Table24[[#This Row],[Location 
(drop-down)]],'List source'!D$2:E$71,2,FALSE)</f>
        <v>130</v>
      </c>
      <c r="C60" s="17" t="s">
        <v>178</v>
      </c>
      <c r="D60" s="21" t="str">
        <f t="shared" si="0"/>
        <v>P059-130-25</v>
      </c>
      <c r="E60" s="11" t="s">
        <v>519</v>
      </c>
      <c r="F60" s="91" t="s">
        <v>1898</v>
      </c>
      <c r="G60" s="12">
        <v>45973</v>
      </c>
      <c r="H60" s="12" t="s">
        <v>167</v>
      </c>
      <c r="I60" s="12"/>
      <c r="J60" s="10" t="s">
        <v>1200</v>
      </c>
      <c r="K60" s="10"/>
    </row>
    <row r="61" spans="1:11" s="4" customFormat="1" ht="30" customHeight="1" x14ac:dyDescent="0.25">
      <c r="A61" s="9" t="s">
        <v>476</v>
      </c>
      <c r="B61" s="13">
        <f>VLOOKUP(Table24[[#This Row],[Location 
(drop-down)]],'List source'!D$2:E$71,2,FALSE)</f>
        <v>101</v>
      </c>
      <c r="C61" s="17" t="s">
        <v>180</v>
      </c>
      <c r="D61" s="21" t="str">
        <f t="shared" si="0"/>
        <v>P060-101-25</v>
      </c>
      <c r="E61" s="11" t="s">
        <v>519</v>
      </c>
      <c r="F61" s="91" t="s">
        <v>1899</v>
      </c>
      <c r="G61" s="12">
        <v>46031</v>
      </c>
      <c r="H61" s="12" t="s">
        <v>48</v>
      </c>
      <c r="I61" s="12"/>
      <c r="J61" s="10" t="s">
        <v>638</v>
      </c>
      <c r="K61" s="10" t="s">
        <v>1900</v>
      </c>
    </row>
    <row r="62" spans="1:11" s="4" customFormat="1" ht="30" customHeight="1" x14ac:dyDescent="0.25">
      <c r="A62" s="9"/>
      <c r="B62" s="13" t="e">
        <f>VLOOKUP(Table24[[#This Row],[Location 
(drop-down)]],'List source'!D$2:E$71,2,FALSE)</f>
        <v>#N/A</v>
      </c>
      <c r="C62" s="17" t="s">
        <v>183</v>
      </c>
      <c r="D62" s="21" t="e">
        <f t="shared" si="0"/>
        <v>#N/A</v>
      </c>
      <c r="E62" s="11"/>
      <c r="F62" s="91"/>
      <c r="G62" s="12"/>
      <c r="H62" s="12"/>
      <c r="I62" s="12"/>
      <c r="J62" s="10"/>
      <c r="K62" s="10"/>
    </row>
    <row r="63" spans="1:11" s="4" customFormat="1" ht="30" customHeight="1" x14ac:dyDescent="0.25">
      <c r="A63" s="9"/>
      <c r="B63" s="13" t="e">
        <f>VLOOKUP(Table24[[#This Row],[Location 
(drop-down)]],'List source'!D$2:E$71,2,FALSE)</f>
        <v>#N/A</v>
      </c>
      <c r="C63" s="17" t="s">
        <v>187</v>
      </c>
      <c r="D63" s="21" t="e">
        <f t="shared" si="0"/>
        <v>#N/A</v>
      </c>
      <c r="E63" s="11"/>
      <c r="F63" s="91"/>
      <c r="G63" s="12"/>
      <c r="H63" s="12"/>
      <c r="I63" s="12"/>
      <c r="J63" s="10"/>
      <c r="K63" s="10"/>
    </row>
    <row r="64" spans="1:11" s="4" customFormat="1" ht="30" customHeight="1" x14ac:dyDescent="0.25">
      <c r="A64" s="9"/>
      <c r="B64" s="13" t="e">
        <f>VLOOKUP(Table24[[#This Row],[Location 
(drop-down)]],'List source'!D$2:E$71,2,FALSE)</f>
        <v>#N/A</v>
      </c>
      <c r="C64" s="17" t="s">
        <v>188</v>
      </c>
      <c r="D64" s="21" t="e">
        <f t="shared" si="0"/>
        <v>#N/A</v>
      </c>
      <c r="E64" s="11"/>
      <c r="F64" s="91"/>
      <c r="G64" s="12"/>
      <c r="H64" s="12"/>
      <c r="I64" s="12"/>
      <c r="J64" s="10"/>
      <c r="K64" s="10"/>
    </row>
    <row r="65" spans="1:11" s="4" customFormat="1" ht="30" customHeight="1" x14ac:dyDescent="0.25">
      <c r="A65" s="9"/>
      <c r="B65" s="13" t="e">
        <f>VLOOKUP(Table24[[#This Row],[Location 
(drop-down)]],'List source'!D$2:E$71,2,FALSE)</f>
        <v>#N/A</v>
      </c>
      <c r="C65" s="17" t="s">
        <v>192</v>
      </c>
      <c r="D65" s="21" t="e">
        <f t="shared" si="0"/>
        <v>#N/A</v>
      </c>
      <c r="E65" s="11"/>
      <c r="F65" s="91"/>
      <c r="G65" s="12"/>
      <c r="H65" s="12"/>
      <c r="I65" s="12"/>
      <c r="J65" s="10"/>
      <c r="K65" s="10"/>
    </row>
    <row r="66" spans="1:11" s="4" customFormat="1" ht="30" customHeight="1" x14ac:dyDescent="0.25">
      <c r="A66" s="9"/>
      <c r="B66" s="13" t="e">
        <f>VLOOKUP(Table24[[#This Row],[Location 
(drop-down)]],'List source'!D$2:E$71,2,FALSE)</f>
        <v>#N/A</v>
      </c>
      <c r="C66" s="17" t="s">
        <v>196</v>
      </c>
      <c r="D66" s="21" t="e">
        <f t="shared" ref="D66:D129" si="1">"P" &amp; C66 &amp; "-" &amp; B66 &amp; "-" &amp; "25"</f>
        <v>#N/A</v>
      </c>
      <c r="E66" s="11"/>
      <c r="F66" s="91"/>
      <c r="G66" s="12"/>
      <c r="H66" s="12"/>
      <c r="I66" s="12"/>
      <c r="J66" s="10"/>
      <c r="K66" s="10"/>
    </row>
    <row r="67" spans="1:11" s="4" customFormat="1" ht="30" customHeight="1" x14ac:dyDescent="0.25">
      <c r="A67" s="9"/>
      <c r="B67" s="13" t="e">
        <f>VLOOKUP(Table24[[#This Row],[Location 
(drop-down)]],'List source'!D$2:E$71,2,FALSE)</f>
        <v>#N/A</v>
      </c>
      <c r="C67" s="17" t="s">
        <v>198</v>
      </c>
      <c r="D67" s="21" t="e">
        <f t="shared" si="1"/>
        <v>#N/A</v>
      </c>
      <c r="E67" s="11"/>
      <c r="F67" s="91"/>
      <c r="G67" s="12"/>
      <c r="H67" s="12"/>
      <c r="I67" s="12"/>
      <c r="J67" s="10"/>
      <c r="K67" s="10"/>
    </row>
    <row r="68" spans="1:11" s="4" customFormat="1" ht="30" customHeight="1" x14ac:dyDescent="0.25">
      <c r="A68" s="9"/>
      <c r="B68" s="13" t="e">
        <f>VLOOKUP(Table24[[#This Row],[Location 
(drop-down)]],'List source'!D$2:E$71,2,FALSE)</f>
        <v>#N/A</v>
      </c>
      <c r="C68" s="17" t="s">
        <v>199</v>
      </c>
      <c r="D68" s="21" t="e">
        <f t="shared" si="1"/>
        <v>#N/A</v>
      </c>
      <c r="E68" s="11"/>
      <c r="F68" s="91"/>
      <c r="G68" s="12"/>
      <c r="H68" s="12"/>
      <c r="I68" s="12"/>
      <c r="J68" s="10"/>
      <c r="K68" s="10"/>
    </row>
    <row r="69" spans="1:11" s="4" customFormat="1" ht="30" customHeight="1" x14ac:dyDescent="0.25">
      <c r="A69" s="9"/>
      <c r="B69" s="13" t="e">
        <f>VLOOKUP(Table24[[#This Row],[Location 
(drop-down)]],'List source'!D$2:E$71,2,FALSE)</f>
        <v>#N/A</v>
      </c>
      <c r="C69" s="17" t="s">
        <v>200</v>
      </c>
      <c r="D69" s="21" t="e">
        <f t="shared" si="1"/>
        <v>#N/A</v>
      </c>
      <c r="E69" s="11"/>
      <c r="F69" s="91"/>
      <c r="G69" s="12"/>
      <c r="H69" s="12"/>
      <c r="I69" s="12"/>
      <c r="J69" s="10"/>
      <c r="K69" s="10"/>
    </row>
    <row r="70" spans="1:11" s="4" customFormat="1" ht="30" customHeight="1" x14ac:dyDescent="0.25">
      <c r="A70" s="9"/>
      <c r="B70" s="13" t="e">
        <f>VLOOKUP(Table24[[#This Row],[Location 
(drop-down)]],'List source'!D$2:E$71,2,FALSE)</f>
        <v>#N/A</v>
      </c>
      <c r="C70" s="17" t="s">
        <v>204</v>
      </c>
      <c r="D70" s="21" t="e">
        <f t="shared" si="1"/>
        <v>#N/A</v>
      </c>
      <c r="E70" s="11"/>
      <c r="F70" s="91"/>
      <c r="G70" s="12"/>
      <c r="H70" s="12"/>
      <c r="I70" s="12"/>
      <c r="J70" s="10"/>
      <c r="K70" s="10"/>
    </row>
    <row r="71" spans="1:11" s="4" customFormat="1" ht="30" customHeight="1" x14ac:dyDescent="0.25">
      <c r="A71" s="9"/>
      <c r="B71" s="13" t="e">
        <f>VLOOKUP(Table24[[#This Row],[Location 
(drop-down)]],'List source'!D$2:E$71,2,FALSE)</f>
        <v>#N/A</v>
      </c>
      <c r="C71" s="17" t="s">
        <v>205</v>
      </c>
      <c r="D71" s="21" t="e">
        <f t="shared" si="1"/>
        <v>#N/A</v>
      </c>
      <c r="E71" s="11"/>
      <c r="F71" s="91"/>
      <c r="G71" s="12"/>
      <c r="H71" s="12"/>
      <c r="I71" s="12"/>
      <c r="J71" s="10"/>
      <c r="K71" s="10"/>
    </row>
    <row r="72" spans="1:11" s="4" customFormat="1" ht="30" customHeight="1" x14ac:dyDescent="0.25">
      <c r="A72" s="9"/>
      <c r="B72" s="13" t="e">
        <f>VLOOKUP(Table24[[#This Row],[Location 
(drop-down)]],'List source'!D$2:E$71,2,FALSE)</f>
        <v>#N/A</v>
      </c>
      <c r="C72" s="17" t="s">
        <v>207</v>
      </c>
      <c r="D72" s="21" t="e">
        <f t="shared" si="1"/>
        <v>#N/A</v>
      </c>
      <c r="E72" s="11"/>
      <c r="F72" s="91"/>
      <c r="G72" s="12"/>
      <c r="H72" s="12"/>
      <c r="I72" s="12"/>
      <c r="J72" s="10"/>
      <c r="K72" s="10"/>
    </row>
    <row r="73" spans="1:11" s="4" customFormat="1" ht="30" customHeight="1" x14ac:dyDescent="0.25">
      <c r="A73" s="9"/>
      <c r="B73" s="13" t="e">
        <f>VLOOKUP(Table24[[#This Row],[Location 
(drop-down)]],'List source'!D$2:E$71,2,FALSE)</f>
        <v>#N/A</v>
      </c>
      <c r="C73" s="17" t="s">
        <v>209</v>
      </c>
      <c r="D73" s="21" t="e">
        <f t="shared" si="1"/>
        <v>#N/A</v>
      </c>
      <c r="E73" s="11"/>
      <c r="F73" s="91"/>
      <c r="G73" s="12"/>
      <c r="H73" s="12"/>
      <c r="I73" s="12"/>
      <c r="J73" s="10"/>
      <c r="K73" s="10"/>
    </row>
    <row r="74" spans="1:11" s="4" customFormat="1" ht="30" customHeight="1" x14ac:dyDescent="0.25">
      <c r="A74" s="9"/>
      <c r="B74" s="13" t="e">
        <f>VLOOKUP(Table24[[#This Row],[Location 
(drop-down)]],'List source'!D$2:E$71,2,FALSE)</f>
        <v>#N/A</v>
      </c>
      <c r="C74" s="17" t="s">
        <v>212</v>
      </c>
      <c r="D74" s="21" t="e">
        <f t="shared" si="1"/>
        <v>#N/A</v>
      </c>
      <c r="E74" s="11"/>
      <c r="F74" s="91"/>
      <c r="G74" s="12"/>
      <c r="H74" s="12"/>
      <c r="I74" s="12"/>
      <c r="J74" s="10"/>
      <c r="K74" s="10"/>
    </row>
    <row r="75" spans="1:11" s="4" customFormat="1" ht="30" customHeight="1" x14ac:dyDescent="0.25">
      <c r="A75" s="9"/>
      <c r="B75" s="13" t="e">
        <f>VLOOKUP(Table24[[#This Row],[Location 
(drop-down)]],'List source'!D$2:E$71,2,FALSE)</f>
        <v>#N/A</v>
      </c>
      <c r="C75" s="17" t="s">
        <v>213</v>
      </c>
      <c r="D75" s="21" t="e">
        <f t="shared" si="1"/>
        <v>#N/A</v>
      </c>
      <c r="E75" s="11"/>
      <c r="F75" s="91"/>
      <c r="G75" s="12"/>
      <c r="H75" s="12"/>
      <c r="I75" s="12"/>
      <c r="J75" s="10"/>
      <c r="K75" s="10"/>
    </row>
    <row r="76" spans="1:11" s="4" customFormat="1" ht="30" customHeight="1" x14ac:dyDescent="0.25">
      <c r="A76" s="9"/>
      <c r="B76" s="13" t="e">
        <f>VLOOKUP(Table24[[#This Row],[Location 
(drop-down)]],'List source'!D$2:E$71,2,FALSE)</f>
        <v>#N/A</v>
      </c>
      <c r="C76" s="17" t="s">
        <v>214</v>
      </c>
      <c r="D76" s="21" t="e">
        <f t="shared" si="1"/>
        <v>#N/A</v>
      </c>
      <c r="E76" s="11"/>
      <c r="F76" s="91"/>
      <c r="G76" s="12"/>
      <c r="H76" s="12"/>
      <c r="I76" s="12"/>
      <c r="J76" s="10"/>
      <c r="K76" s="10"/>
    </row>
    <row r="77" spans="1:11" s="4" customFormat="1" ht="30" customHeight="1" x14ac:dyDescent="0.25">
      <c r="A77" s="9"/>
      <c r="B77" s="13" t="e">
        <f>VLOOKUP(Table24[[#This Row],[Location 
(drop-down)]],'List source'!D$2:E$71,2,FALSE)</f>
        <v>#N/A</v>
      </c>
      <c r="C77" s="17" t="s">
        <v>215</v>
      </c>
      <c r="D77" s="21" t="e">
        <f t="shared" si="1"/>
        <v>#N/A</v>
      </c>
      <c r="E77" s="11"/>
      <c r="F77" s="91"/>
      <c r="G77" s="12"/>
      <c r="H77" s="12"/>
      <c r="I77" s="12"/>
      <c r="J77" s="10"/>
      <c r="K77" s="10"/>
    </row>
    <row r="78" spans="1:11" s="4" customFormat="1" ht="30" customHeight="1" x14ac:dyDescent="0.25">
      <c r="A78" s="9"/>
      <c r="B78" s="13" t="e">
        <f>VLOOKUP(Table24[[#This Row],[Location 
(drop-down)]],'List source'!D$2:E$71,2,FALSE)</f>
        <v>#N/A</v>
      </c>
      <c r="C78" s="17" t="s">
        <v>219</v>
      </c>
      <c r="D78" s="21" t="e">
        <f t="shared" si="1"/>
        <v>#N/A</v>
      </c>
      <c r="E78" s="11"/>
      <c r="F78" s="91"/>
      <c r="G78" s="12"/>
      <c r="H78" s="12"/>
      <c r="I78" s="12"/>
      <c r="J78" s="10"/>
      <c r="K78" s="10"/>
    </row>
    <row r="79" spans="1:11" s="4" customFormat="1" ht="30" customHeight="1" x14ac:dyDescent="0.25">
      <c r="A79" s="9"/>
      <c r="B79" s="13" t="e">
        <f>VLOOKUP(Table24[[#This Row],[Location 
(drop-down)]],'List source'!D$2:E$71,2,FALSE)</f>
        <v>#N/A</v>
      </c>
      <c r="C79" s="17" t="s">
        <v>221</v>
      </c>
      <c r="D79" s="21" t="e">
        <f t="shared" si="1"/>
        <v>#N/A</v>
      </c>
      <c r="E79" s="11"/>
      <c r="F79" s="91"/>
      <c r="G79" s="12"/>
      <c r="H79" s="12"/>
      <c r="I79" s="12"/>
      <c r="J79" s="10"/>
      <c r="K79" s="10"/>
    </row>
    <row r="80" spans="1:11" s="4" customFormat="1" ht="30" customHeight="1" x14ac:dyDescent="0.25">
      <c r="A80" s="9"/>
      <c r="B80" s="13" t="e">
        <f>VLOOKUP(Table24[[#This Row],[Location 
(drop-down)]],'List source'!D$2:E$71,2,FALSE)</f>
        <v>#N/A</v>
      </c>
      <c r="C80" s="17" t="s">
        <v>223</v>
      </c>
      <c r="D80" s="21" t="e">
        <f t="shared" si="1"/>
        <v>#N/A</v>
      </c>
      <c r="E80" s="11"/>
      <c r="F80" s="91"/>
      <c r="G80" s="12"/>
      <c r="H80" s="12"/>
      <c r="I80" s="12"/>
      <c r="J80" s="10"/>
      <c r="K80" s="10"/>
    </row>
    <row r="81" spans="1:11" s="4" customFormat="1" ht="30" customHeight="1" x14ac:dyDescent="0.25">
      <c r="A81" s="9"/>
      <c r="B81" s="13" t="e">
        <f>VLOOKUP(Table24[[#This Row],[Location 
(drop-down)]],'List source'!D$2:E$71,2,FALSE)</f>
        <v>#N/A</v>
      </c>
      <c r="C81" s="17" t="s">
        <v>224</v>
      </c>
      <c r="D81" s="42" t="e">
        <f t="shared" si="1"/>
        <v>#N/A</v>
      </c>
      <c r="E81" s="11"/>
      <c r="F81" s="91"/>
      <c r="G81" s="12"/>
      <c r="H81" s="12"/>
      <c r="I81" s="12"/>
      <c r="J81" s="10"/>
      <c r="K81" s="10"/>
    </row>
    <row r="82" spans="1:11" s="4" customFormat="1" ht="30" customHeight="1" x14ac:dyDescent="0.25">
      <c r="A82" s="9"/>
      <c r="B82" s="13" t="e">
        <f>VLOOKUP(Table24[[#This Row],[Location 
(drop-down)]],'List source'!D$2:E$71,2,FALSE)</f>
        <v>#N/A</v>
      </c>
      <c r="C82" s="17" t="s">
        <v>226</v>
      </c>
      <c r="D82" s="21" t="e">
        <f t="shared" si="1"/>
        <v>#N/A</v>
      </c>
      <c r="E82" s="11"/>
      <c r="F82" s="91"/>
      <c r="G82" s="12"/>
      <c r="H82" s="12"/>
      <c r="I82" s="12"/>
      <c r="J82" s="10"/>
      <c r="K82" s="10"/>
    </row>
    <row r="83" spans="1:11" s="4" customFormat="1" ht="30" customHeight="1" x14ac:dyDescent="0.25">
      <c r="A83" s="9"/>
      <c r="B83" s="13" t="e">
        <f>VLOOKUP(Table24[[#This Row],[Location 
(drop-down)]],'List source'!D$2:E$71,2,FALSE)</f>
        <v>#N/A</v>
      </c>
      <c r="C83" s="17" t="s">
        <v>227</v>
      </c>
      <c r="D83" s="21" t="e">
        <f t="shared" si="1"/>
        <v>#N/A</v>
      </c>
      <c r="E83" s="11"/>
      <c r="F83" s="92"/>
      <c r="G83" s="12"/>
      <c r="H83" s="12"/>
      <c r="I83" s="12"/>
      <c r="J83" s="10"/>
      <c r="K83" s="10"/>
    </row>
    <row r="84" spans="1:11" s="4" customFormat="1" ht="30" customHeight="1" x14ac:dyDescent="0.25">
      <c r="A84" s="9"/>
      <c r="B84" s="13" t="e">
        <f>VLOOKUP(Table24[[#This Row],[Location 
(drop-down)]],'List source'!D$2:E$71,2,FALSE)</f>
        <v>#N/A</v>
      </c>
      <c r="C84" s="17" t="s">
        <v>230</v>
      </c>
      <c r="D84" s="21" t="e">
        <f t="shared" si="1"/>
        <v>#N/A</v>
      </c>
      <c r="E84" s="11"/>
      <c r="F84" s="91"/>
      <c r="G84" s="12"/>
      <c r="H84" s="12"/>
      <c r="I84" s="12"/>
      <c r="J84" s="10"/>
      <c r="K84" s="10"/>
    </row>
    <row r="85" spans="1:11" s="4" customFormat="1" ht="30" customHeight="1" x14ac:dyDescent="0.25">
      <c r="A85" s="9"/>
      <c r="B85" s="13" t="e">
        <f>VLOOKUP(Table24[[#This Row],[Location 
(drop-down)]],'List source'!D$2:E$71,2,FALSE)</f>
        <v>#N/A</v>
      </c>
      <c r="C85" s="17" t="s">
        <v>233</v>
      </c>
      <c r="D85" s="21" t="e">
        <f t="shared" si="1"/>
        <v>#N/A</v>
      </c>
      <c r="E85" s="11"/>
      <c r="F85" s="91"/>
      <c r="G85" s="12"/>
      <c r="H85" s="12"/>
      <c r="I85" s="12"/>
      <c r="J85" s="10"/>
      <c r="K85" s="10"/>
    </row>
    <row r="86" spans="1:11" s="4" customFormat="1" ht="30" customHeight="1" x14ac:dyDescent="0.25">
      <c r="A86" s="9"/>
      <c r="B86" s="13" t="e">
        <f>VLOOKUP(Table24[[#This Row],[Location 
(drop-down)]],'List source'!D$2:E$71,2,FALSE)</f>
        <v>#N/A</v>
      </c>
      <c r="C86" s="17" t="s">
        <v>238</v>
      </c>
      <c r="D86" s="21" t="e">
        <f t="shared" si="1"/>
        <v>#N/A</v>
      </c>
      <c r="E86" s="11"/>
      <c r="F86" s="91"/>
      <c r="G86" s="12"/>
      <c r="H86" s="12"/>
      <c r="I86" s="12"/>
      <c r="J86" s="10"/>
      <c r="K86" s="10"/>
    </row>
    <row r="87" spans="1:11" s="4" customFormat="1" ht="30" customHeight="1" x14ac:dyDescent="0.25">
      <c r="A87" s="9"/>
      <c r="B87" s="13" t="e">
        <f>VLOOKUP(Table24[[#This Row],[Location 
(drop-down)]],'List source'!D$2:E$71,2,FALSE)</f>
        <v>#N/A</v>
      </c>
      <c r="C87" s="17" t="s">
        <v>240</v>
      </c>
      <c r="D87" s="21" t="e">
        <f t="shared" si="1"/>
        <v>#N/A</v>
      </c>
      <c r="E87" s="11"/>
      <c r="F87" s="91"/>
      <c r="G87" s="12"/>
      <c r="H87" s="12"/>
      <c r="I87" s="12"/>
      <c r="J87" s="10"/>
      <c r="K87" s="10"/>
    </row>
    <row r="88" spans="1:11" s="4" customFormat="1" ht="30" customHeight="1" x14ac:dyDescent="0.25">
      <c r="A88" s="9"/>
      <c r="B88" s="13" t="e">
        <f>VLOOKUP(Table24[[#This Row],[Location 
(drop-down)]],'List source'!D$2:E$71,2,FALSE)</f>
        <v>#N/A</v>
      </c>
      <c r="C88" s="17" t="s">
        <v>242</v>
      </c>
      <c r="D88" s="21" t="e">
        <f t="shared" si="1"/>
        <v>#N/A</v>
      </c>
      <c r="E88" s="11"/>
      <c r="F88" s="91"/>
      <c r="G88" s="12"/>
      <c r="H88" s="12"/>
      <c r="I88" s="12"/>
      <c r="J88" s="10"/>
      <c r="K88" s="10"/>
    </row>
    <row r="89" spans="1:11" s="4" customFormat="1" ht="30" customHeight="1" x14ac:dyDescent="0.25">
      <c r="A89" s="9"/>
      <c r="B89" s="13" t="e">
        <f>VLOOKUP(Table24[[#This Row],[Location 
(drop-down)]],'List source'!D$2:E$71,2,FALSE)</f>
        <v>#N/A</v>
      </c>
      <c r="C89" s="17" t="s">
        <v>245</v>
      </c>
      <c r="D89" s="21" t="e">
        <f t="shared" si="1"/>
        <v>#N/A</v>
      </c>
      <c r="E89" s="11"/>
      <c r="F89" s="91"/>
      <c r="G89" s="12"/>
      <c r="H89" s="12"/>
      <c r="I89" s="12"/>
      <c r="J89" s="10"/>
      <c r="K89" s="10"/>
    </row>
    <row r="90" spans="1:11" s="4" customFormat="1" ht="30" customHeight="1" x14ac:dyDescent="0.25">
      <c r="A90" s="9"/>
      <c r="B90" s="13" t="e">
        <f>VLOOKUP(Table24[[#This Row],[Location 
(drop-down)]],'List source'!D$2:E$71,2,FALSE)</f>
        <v>#N/A</v>
      </c>
      <c r="C90" s="17" t="s">
        <v>247</v>
      </c>
      <c r="D90" s="42" t="e">
        <f t="shared" si="1"/>
        <v>#N/A</v>
      </c>
      <c r="E90" s="11"/>
      <c r="F90" s="91"/>
      <c r="G90" s="12"/>
      <c r="H90" s="12"/>
      <c r="I90" s="12"/>
      <c r="J90" s="10"/>
      <c r="K90" s="10"/>
    </row>
    <row r="91" spans="1:11" s="4" customFormat="1" ht="30" customHeight="1" x14ac:dyDescent="0.25">
      <c r="A91" s="9"/>
      <c r="B91" s="13" t="e">
        <f>VLOOKUP(Table24[[#This Row],[Location 
(drop-down)]],'List source'!D$2:E$71,2,FALSE)</f>
        <v>#N/A</v>
      </c>
      <c r="C91" s="17" t="s">
        <v>250</v>
      </c>
      <c r="D91" s="21" t="e">
        <f t="shared" si="1"/>
        <v>#N/A</v>
      </c>
      <c r="E91" s="11"/>
      <c r="F91" s="91"/>
      <c r="G91" s="12"/>
      <c r="H91" s="12"/>
      <c r="I91" s="12"/>
      <c r="J91" s="10"/>
      <c r="K91" s="10"/>
    </row>
    <row r="92" spans="1:11" s="4" customFormat="1" ht="30" customHeight="1" x14ac:dyDescent="0.25">
      <c r="A92" s="9"/>
      <c r="B92" s="13" t="e">
        <f>VLOOKUP(Table24[[#This Row],[Location 
(drop-down)]],'List source'!D$2:E$71,2,FALSE)</f>
        <v>#N/A</v>
      </c>
      <c r="C92" s="17" t="s">
        <v>251</v>
      </c>
      <c r="D92" s="21" t="e">
        <f t="shared" si="1"/>
        <v>#N/A</v>
      </c>
      <c r="E92" s="11"/>
      <c r="F92" s="91"/>
      <c r="G92" s="12"/>
      <c r="H92" s="12"/>
      <c r="I92" s="12"/>
      <c r="J92" s="10"/>
      <c r="K92" s="10"/>
    </row>
    <row r="93" spans="1:11" s="4" customFormat="1" ht="30" customHeight="1" x14ac:dyDescent="0.25">
      <c r="A93" s="9"/>
      <c r="B93" s="13" t="e">
        <f>VLOOKUP(Table24[[#This Row],[Location 
(drop-down)]],'List source'!D$2:E$71,2,FALSE)</f>
        <v>#N/A</v>
      </c>
      <c r="C93" s="17" t="s">
        <v>255</v>
      </c>
      <c r="D93" s="21" t="e">
        <f t="shared" si="1"/>
        <v>#N/A</v>
      </c>
      <c r="E93" s="11"/>
      <c r="F93" s="91"/>
      <c r="G93" s="12"/>
      <c r="H93" s="12"/>
      <c r="I93" s="12"/>
      <c r="J93" s="10"/>
      <c r="K93" s="10"/>
    </row>
    <row r="94" spans="1:11" s="4" customFormat="1" ht="30" customHeight="1" x14ac:dyDescent="0.25">
      <c r="A94" s="9"/>
      <c r="B94" s="13" t="e">
        <f>VLOOKUP(Table24[[#This Row],[Location 
(drop-down)]],'List source'!D$2:E$71,2,FALSE)</f>
        <v>#N/A</v>
      </c>
      <c r="C94" s="17" t="s">
        <v>258</v>
      </c>
      <c r="D94" s="21" t="e">
        <f t="shared" si="1"/>
        <v>#N/A</v>
      </c>
      <c r="E94" s="11"/>
      <c r="F94" s="91"/>
      <c r="G94" s="12"/>
      <c r="H94" s="12"/>
      <c r="I94" s="12"/>
      <c r="J94" s="10"/>
      <c r="K94" s="10"/>
    </row>
    <row r="95" spans="1:11" s="4" customFormat="1" ht="30" customHeight="1" x14ac:dyDescent="0.25">
      <c r="A95" s="9"/>
      <c r="B95" s="13" t="e">
        <f>VLOOKUP(Table24[[#This Row],[Location 
(drop-down)]],'List source'!D$2:E$71,2,FALSE)</f>
        <v>#N/A</v>
      </c>
      <c r="C95" s="17" t="s">
        <v>259</v>
      </c>
      <c r="D95" s="21" t="e">
        <f t="shared" si="1"/>
        <v>#N/A</v>
      </c>
      <c r="E95" s="11"/>
      <c r="F95" s="91"/>
      <c r="G95" s="12"/>
      <c r="H95" s="12"/>
      <c r="I95" s="12"/>
      <c r="J95" s="10"/>
      <c r="K95" s="10"/>
    </row>
    <row r="96" spans="1:11" s="4" customFormat="1" ht="30" customHeight="1" x14ac:dyDescent="0.25">
      <c r="A96" s="9"/>
      <c r="B96" s="13" t="e">
        <f>VLOOKUP(Table24[[#This Row],[Location 
(drop-down)]],'List source'!D$2:E$71,2,FALSE)</f>
        <v>#N/A</v>
      </c>
      <c r="C96" s="17" t="s">
        <v>261</v>
      </c>
      <c r="D96" s="21" t="e">
        <f t="shared" si="1"/>
        <v>#N/A</v>
      </c>
      <c r="E96" s="11"/>
      <c r="F96" s="91"/>
      <c r="G96" s="12"/>
      <c r="H96" s="12"/>
      <c r="I96" s="12"/>
      <c r="J96" s="10"/>
      <c r="K96" s="10"/>
    </row>
    <row r="97" spans="1:11" s="4" customFormat="1" ht="30" customHeight="1" x14ac:dyDescent="0.25">
      <c r="A97" s="9"/>
      <c r="B97" s="13" t="e">
        <f>VLOOKUP(Table24[[#This Row],[Location 
(drop-down)]],'List source'!D$2:E$71,2,FALSE)</f>
        <v>#N/A</v>
      </c>
      <c r="C97" s="17" t="s">
        <v>263</v>
      </c>
      <c r="D97" s="21" t="e">
        <f t="shared" si="1"/>
        <v>#N/A</v>
      </c>
      <c r="E97" s="11"/>
      <c r="F97" s="91"/>
      <c r="G97" s="12"/>
      <c r="H97" s="12"/>
      <c r="I97" s="12"/>
      <c r="J97" s="10"/>
      <c r="K97" s="10"/>
    </row>
    <row r="98" spans="1:11" s="4" customFormat="1" ht="30" customHeight="1" x14ac:dyDescent="0.25">
      <c r="A98" s="9"/>
      <c r="B98" s="13" t="e">
        <f>VLOOKUP(Table24[[#This Row],[Location 
(drop-down)]],'List source'!D$2:E$71,2,FALSE)</f>
        <v>#N/A</v>
      </c>
      <c r="C98" s="17" t="s">
        <v>266</v>
      </c>
      <c r="D98" s="21" t="e">
        <f t="shared" si="1"/>
        <v>#N/A</v>
      </c>
      <c r="E98" s="11"/>
      <c r="F98" s="91"/>
      <c r="G98" s="12"/>
      <c r="H98" s="12"/>
      <c r="I98" s="12"/>
      <c r="J98" s="10"/>
      <c r="K98" s="10"/>
    </row>
    <row r="99" spans="1:11" s="4" customFormat="1" ht="30" customHeight="1" x14ac:dyDescent="0.25">
      <c r="A99" s="9"/>
      <c r="B99" s="13" t="e">
        <f>VLOOKUP(Table24[[#This Row],[Location 
(drop-down)]],'List source'!D$2:E$71,2,FALSE)</f>
        <v>#N/A</v>
      </c>
      <c r="C99" s="17" t="s">
        <v>269</v>
      </c>
      <c r="D99" s="21" t="e">
        <f t="shared" si="1"/>
        <v>#N/A</v>
      </c>
      <c r="E99" s="11"/>
      <c r="F99" s="91"/>
      <c r="G99" s="12"/>
      <c r="H99" s="12"/>
      <c r="I99" s="12"/>
      <c r="J99" s="10"/>
      <c r="K99" s="10"/>
    </row>
    <row r="100" spans="1:11" s="4" customFormat="1" ht="30" customHeight="1" x14ac:dyDescent="0.25">
      <c r="A100" s="9"/>
      <c r="B100" s="13" t="e">
        <f>VLOOKUP(Table24[[#This Row],[Location 
(drop-down)]],'List source'!D$2:E$71,2,FALSE)</f>
        <v>#N/A</v>
      </c>
      <c r="C100" s="17" t="s">
        <v>271</v>
      </c>
      <c r="D100" s="21" t="e">
        <f t="shared" si="1"/>
        <v>#N/A</v>
      </c>
      <c r="E100" s="11"/>
      <c r="F100" s="91"/>
      <c r="G100" s="12"/>
      <c r="H100" s="12"/>
      <c r="I100" s="12"/>
      <c r="J100" s="10"/>
      <c r="K100" s="10"/>
    </row>
    <row r="101" spans="1:11" s="4" customFormat="1" ht="30" customHeight="1" x14ac:dyDescent="0.25">
      <c r="A101" s="9"/>
      <c r="B101" s="13" t="e">
        <f>VLOOKUP(Table24[[#This Row],[Location 
(drop-down)]],'List source'!D$2:E$71,2,FALSE)</f>
        <v>#N/A</v>
      </c>
      <c r="C101" s="17" t="s">
        <v>273</v>
      </c>
      <c r="D101" s="21" t="e">
        <f t="shared" si="1"/>
        <v>#N/A</v>
      </c>
      <c r="E101" s="11"/>
      <c r="F101" s="91"/>
      <c r="G101" s="12"/>
      <c r="H101" s="12"/>
      <c r="I101" s="12"/>
      <c r="J101" s="10"/>
      <c r="K101" s="10"/>
    </row>
    <row r="102" spans="1:11" s="4" customFormat="1" ht="30" customHeight="1" x14ac:dyDescent="0.25">
      <c r="A102" s="9"/>
      <c r="B102" s="13" t="e">
        <f>VLOOKUP(Table24[[#This Row],[Location 
(drop-down)]],'List source'!D$2:E$71,2,FALSE)</f>
        <v>#N/A</v>
      </c>
      <c r="C102" s="17" t="s">
        <v>274</v>
      </c>
      <c r="D102" s="21" t="e">
        <f t="shared" si="1"/>
        <v>#N/A</v>
      </c>
      <c r="E102" s="11"/>
      <c r="F102" s="91"/>
      <c r="G102" s="12"/>
      <c r="H102" s="12"/>
      <c r="I102" s="12"/>
      <c r="J102" s="10"/>
      <c r="K102" s="10"/>
    </row>
    <row r="103" spans="1:11" s="4" customFormat="1" ht="30" customHeight="1" x14ac:dyDescent="0.25">
      <c r="A103" s="9"/>
      <c r="B103" s="13" t="e">
        <f>VLOOKUP(Table24[[#This Row],[Location 
(drop-down)]],'List source'!D$2:E$71,2,FALSE)</f>
        <v>#N/A</v>
      </c>
      <c r="C103" s="17" t="s">
        <v>275</v>
      </c>
      <c r="D103" s="21" t="e">
        <f t="shared" si="1"/>
        <v>#N/A</v>
      </c>
      <c r="E103" s="11"/>
      <c r="F103" s="91"/>
      <c r="G103" s="12"/>
      <c r="H103" s="12"/>
      <c r="I103" s="12"/>
      <c r="J103" s="10"/>
      <c r="K103" s="10"/>
    </row>
    <row r="104" spans="1:11" s="4" customFormat="1" ht="30" customHeight="1" x14ac:dyDescent="0.25">
      <c r="A104" s="9"/>
      <c r="B104" s="13" t="e">
        <f>VLOOKUP(Table24[[#This Row],[Location 
(drop-down)]],'List source'!D$2:E$71,2,FALSE)</f>
        <v>#N/A</v>
      </c>
      <c r="C104" s="17" t="s">
        <v>279</v>
      </c>
      <c r="D104" s="21" t="e">
        <f t="shared" si="1"/>
        <v>#N/A</v>
      </c>
      <c r="E104" s="11"/>
      <c r="F104" s="91"/>
      <c r="G104" s="12"/>
      <c r="H104" s="12"/>
      <c r="I104" s="12"/>
      <c r="J104" s="10"/>
      <c r="K104" s="10"/>
    </row>
    <row r="105" spans="1:11" s="4" customFormat="1" ht="30" customHeight="1" x14ac:dyDescent="0.25">
      <c r="A105" s="9"/>
      <c r="B105" s="13" t="e">
        <f>VLOOKUP(Table24[[#This Row],[Location 
(drop-down)]],'List source'!D$2:E$71,2,FALSE)</f>
        <v>#N/A</v>
      </c>
      <c r="C105" s="17" t="s">
        <v>282</v>
      </c>
      <c r="D105" s="21" t="e">
        <f t="shared" si="1"/>
        <v>#N/A</v>
      </c>
      <c r="E105" s="11"/>
      <c r="F105" s="91"/>
      <c r="G105" s="12"/>
      <c r="H105" s="12"/>
      <c r="I105" s="12"/>
      <c r="J105" s="10"/>
      <c r="K105" s="10"/>
    </row>
    <row r="106" spans="1:11" s="4" customFormat="1" ht="30" customHeight="1" x14ac:dyDescent="0.25">
      <c r="A106" s="9"/>
      <c r="B106" s="13" t="e">
        <f>VLOOKUP(Table24[[#This Row],[Location 
(drop-down)]],'List source'!D$2:E$71,2,FALSE)</f>
        <v>#N/A</v>
      </c>
      <c r="C106" s="17" t="s">
        <v>283</v>
      </c>
      <c r="D106" s="21" t="e">
        <f t="shared" si="1"/>
        <v>#N/A</v>
      </c>
      <c r="E106" s="11"/>
      <c r="F106" s="91"/>
      <c r="G106" s="12"/>
      <c r="H106" s="12"/>
      <c r="I106" s="12"/>
      <c r="J106" s="10"/>
      <c r="K106" s="10"/>
    </row>
    <row r="107" spans="1:11" s="4" customFormat="1" ht="30" customHeight="1" x14ac:dyDescent="0.25">
      <c r="A107" s="9"/>
      <c r="B107" s="13" t="e">
        <f>VLOOKUP(Table24[[#This Row],[Location 
(drop-down)]],'List source'!D$2:E$71,2,FALSE)</f>
        <v>#N/A</v>
      </c>
      <c r="C107" s="17" t="s">
        <v>285</v>
      </c>
      <c r="D107" s="21" t="e">
        <f t="shared" si="1"/>
        <v>#N/A</v>
      </c>
      <c r="E107" s="11"/>
      <c r="F107" s="91"/>
      <c r="G107" s="12"/>
      <c r="H107" s="12"/>
      <c r="I107" s="12"/>
      <c r="J107" s="10"/>
      <c r="K107" s="10"/>
    </row>
    <row r="108" spans="1:11" s="4" customFormat="1" ht="30" customHeight="1" x14ac:dyDescent="0.25">
      <c r="A108" s="9"/>
      <c r="B108" s="13" t="e">
        <f>VLOOKUP(Table24[[#This Row],[Location 
(drop-down)]],'List source'!D$2:E$71,2,FALSE)</f>
        <v>#N/A</v>
      </c>
      <c r="C108" s="17" t="s">
        <v>288</v>
      </c>
      <c r="D108" s="21" t="e">
        <f t="shared" si="1"/>
        <v>#N/A</v>
      </c>
      <c r="E108" s="11"/>
      <c r="F108" s="92"/>
      <c r="G108" s="12"/>
      <c r="H108" s="12"/>
      <c r="I108" s="12"/>
      <c r="J108" s="10"/>
      <c r="K108" s="10"/>
    </row>
    <row r="109" spans="1:11" s="4" customFormat="1" ht="30" customHeight="1" x14ac:dyDescent="0.25">
      <c r="A109" s="9"/>
      <c r="B109" s="13" t="e">
        <f>VLOOKUP(Table24[[#This Row],[Location 
(drop-down)]],'List source'!D$2:E$71,2,FALSE)</f>
        <v>#N/A</v>
      </c>
      <c r="C109" s="17" t="s">
        <v>290</v>
      </c>
      <c r="D109" s="21" t="e">
        <f t="shared" si="1"/>
        <v>#N/A</v>
      </c>
      <c r="E109" s="11"/>
      <c r="F109" s="91"/>
      <c r="G109" s="12"/>
      <c r="H109" s="12"/>
      <c r="I109" s="12"/>
      <c r="J109" s="10"/>
      <c r="K109" s="10"/>
    </row>
    <row r="110" spans="1:11" s="4" customFormat="1" ht="30" customHeight="1" x14ac:dyDescent="0.25">
      <c r="A110" s="9"/>
      <c r="B110" s="13" t="e">
        <f>VLOOKUP(Table24[[#This Row],[Location 
(drop-down)]],'List source'!D$2:E$71,2,FALSE)</f>
        <v>#N/A</v>
      </c>
      <c r="C110" s="17" t="s">
        <v>291</v>
      </c>
      <c r="D110" s="21" t="e">
        <f t="shared" si="1"/>
        <v>#N/A</v>
      </c>
      <c r="E110" s="11"/>
      <c r="F110" s="91"/>
      <c r="G110" s="12"/>
      <c r="H110" s="12"/>
      <c r="I110" s="12"/>
      <c r="J110" s="10"/>
      <c r="K110" s="10"/>
    </row>
    <row r="111" spans="1:11" s="4" customFormat="1" ht="30" customHeight="1" x14ac:dyDescent="0.25">
      <c r="A111" s="9"/>
      <c r="B111" s="13" t="e">
        <f>VLOOKUP(Table24[[#This Row],[Location 
(drop-down)]],'List source'!D$2:E$71,2,FALSE)</f>
        <v>#N/A</v>
      </c>
      <c r="C111" s="17" t="s">
        <v>294</v>
      </c>
      <c r="D111" s="21" t="e">
        <f t="shared" si="1"/>
        <v>#N/A</v>
      </c>
      <c r="E111" s="11"/>
      <c r="F111" s="91"/>
      <c r="G111" s="12"/>
      <c r="H111" s="12"/>
      <c r="I111" s="12"/>
      <c r="J111" s="10"/>
      <c r="K111" s="10"/>
    </row>
    <row r="112" spans="1:11" s="4" customFormat="1" ht="30" customHeight="1" x14ac:dyDescent="0.25">
      <c r="A112" s="9"/>
      <c r="B112" s="13" t="e">
        <f>VLOOKUP(Table24[[#This Row],[Location 
(drop-down)]],'List source'!D$2:E$71,2,FALSE)</f>
        <v>#N/A</v>
      </c>
      <c r="C112" s="17" t="s">
        <v>297</v>
      </c>
      <c r="D112" s="21" t="e">
        <f t="shared" si="1"/>
        <v>#N/A</v>
      </c>
      <c r="E112" s="11"/>
      <c r="F112" s="91"/>
      <c r="G112" s="12"/>
      <c r="H112" s="12"/>
      <c r="I112" s="12"/>
      <c r="J112" s="10"/>
      <c r="K112" s="10"/>
    </row>
    <row r="113" spans="1:11" s="4" customFormat="1" ht="30" customHeight="1" x14ac:dyDescent="0.25">
      <c r="A113" s="9"/>
      <c r="B113" s="13" t="e">
        <f>VLOOKUP(Table24[[#This Row],[Location 
(drop-down)]],'List source'!D$2:E$71,2,FALSE)</f>
        <v>#N/A</v>
      </c>
      <c r="C113" s="17" t="s">
        <v>299</v>
      </c>
      <c r="D113" s="21" t="e">
        <f t="shared" si="1"/>
        <v>#N/A</v>
      </c>
      <c r="E113" s="11"/>
      <c r="F113" s="91"/>
      <c r="G113" s="12"/>
      <c r="H113" s="12"/>
      <c r="I113" s="12"/>
      <c r="J113" s="10"/>
      <c r="K113" s="10"/>
    </row>
    <row r="114" spans="1:11" s="4" customFormat="1" ht="30" customHeight="1" x14ac:dyDescent="0.25">
      <c r="A114" s="9"/>
      <c r="B114" s="13" t="e">
        <f>VLOOKUP(Table24[[#This Row],[Location 
(drop-down)]],'List source'!D$2:E$71,2,FALSE)</f>
        <v>#N/A</v>
      </c>
      <c r="C114" s="17" t="s">
        <v>300</v>
      </c>
      <c r="D114" s="21" t="e">
        <f t="shared" si="1"/>
        <v>#N/A</v>
      </c>
      <c r="E114" s="11"/>
      <c r="F114" s="91"/>
      <c r="G114" s="12"/>
      <c r="H114" s="12"/>
      <c r="I114" s="12"/>
      <c r="J114" s="10"/>
      <c r="K114" s="10"/>
    </row>
    <row r="115" spans="1:11" s="4" customFormat="1" ht="30" customHeight="1" x14ac:dyDescent="0.25">
      <c r="A115" s="9"/>
      <c r="B115" s="13" t="e">
        <f>VLOOKUP(Table24[[#This Row],[Location 
(drop-down)]],'List source'!D$2:E$71,2,FALSE)</f>
        <v>#N/A</v>
      </c>
      <c r="C115" s="17" t="s">
        <v>301</v>
      </c>
      <c r="D115" s="21" t="e">
        <f t="shared" si="1"/>
        <v>#N/A</v>
      </c>
      <c r="E115" s="11"/>
      <c r="F115" s="91"/>
      <c r="G115" s="12"/>
      <c r="H115" s="12"/>
      <c r="I115" s="12"/>
      <c r="J115" s="10"/>
      <c r="K115" s="10"/>
    </row>
    <row r="116" spans="1:11" s="4" customFormat="1" ht="30" customHeight="1" x14ac:dyDescent="0.25">
      <c r="A116" s="9"/>
      <c r="B116" s="13" t="e">
        <f>VLOOKUP(Table24[[#This Row],[Location 
(drop-down)]],'List source'!D$2:E$71,2,FALSE)</f>
        <v>#N/A</v>
      </c>
      <c r="C116" s="17" t="s">
        <v>303</v>
      </c>
      <c r="D116" s="21" t="e">
        <f t="shared" si="1"/>
        <v>#N/A</v>
      </c>
      <c r="E116" s="11"/>
      <c r="F116" s="91"/>
      <c r="G116" s="12"/>
      <c r="H116" s="12"/>
      <c r="I116" s="12"/>
      <c r="J116" s="10"/>
      <c r="K116" s="10"/>
    </row>
    <row r="117" spans="1:11" s="4" customFormat="1" ht="30" customHeight="1" x14ac:dyDescent="0.25">
      <c r="A117" s="9"/>
      <c r="B117" s="13" t="e">
        <f>VLOOKUP(Table24[[#This Row],[Location 
(drop-down)]],'List source'!D$2:E$71,2,FALSE)</f>
        <v>#N/A</v>
      </c>
      <c r="C117" s="17" t="s">
        <v>304</v>
      </c>
      <c r="D117" s="21" t="e">
        <f t="shared" si="1"/>
        <v>#N/A</v>
      </c>
      <c r="E117" s="11"/>
      <c r="F117" s="91"/>
      <c r="G117" s="12"/>
      <c r="H117" s="12"/>
      <c r="I117" s="12"/>
      <c r="J117" s="10"/>
      <c r="K117" s="10"/>
    </row>
    <row r="118" spans="1:11" s="4" customFormat="1" ht="30" customHeight="1" x14ac:dyDescent="0.25">
      <c r="A118" s="9"/>
      <c r="B118" s="13" t="e">
        <f>VLOOKUP(Table24[[#This Row],[Location 
(drop-down)]],'List source'!D$2:E$71,2,FALSE)</f>
        <v>#N/A</v>
      </c>
      <c r="C118" s="17" t="s">
        <v>305</v>
      </c>
      <c r="D118" s="21" t="e">
        <f t="shared" si="1"/>
        <v>#N/A</v>
      </c>
      <c r="E118" s="11"/>
      <c r="F118" s="91"/>
      <c r="G118" s="12"/>
      <c r="H118" s="12"/>
      <c r="I118" s="12"/>
      <c r="J118" s="10"/>
      <c r="K118" s="10"/>
    </row>
    <row r="119" spans="1:11" s="4" customFormat="1" ht="30" customHeight="1" x14ac:dyDescent="0.25">
      <c r="A119" s="9"/>
      <c r="B119" s="13" t="e">
        <f>VLOOKUP(Table24[[#This Row],[Location 
(drop-down)]],'List source'!D$2:E$71,2,FALSE)</f>
        <v>#N/A</v>
      </c>
      <c r="C119" s="17" t="s">
        <v>306</v>
      </c>
      <c r="D119" s="21" t="e">
        <f t="shared" si="1"/>
        <v>#N/A</v>
      </c>
      <c r="E119" s="11"/>
      <c r="F119" s="91"/>
      <c r="G119" s="12"/>
      <c r="H119" s="12"/>
      <c r="I119" s="12"/>
      <c r="J119" s="10"/>
      <c r="K119" s="10"/>
    </row>
    <row r="120" spans="1:11" s="4" customFormat="1" ht="30" customHeight="1" x14ac:dyDescent="0.25">
      <c r="A120" s="9"/>
      <c r="B120" s="13" t="e">
        <f>VLOOKUP(Table24[[#This Row],[Location 
(drop-down)]],'List source'!D$2:E$71,2,FALSE)</f>
        <v>#N/A</v>
      </c>
      <c r="C120" s="17" t="s">
        <v>307</v>
      </c>
      <c r="D120" s="21" t="e">
        <f t="shared" si="1"/>
        <v>#N/A</v>
      </c>
      <c r="E120" s="11"/>
      <c r="F120" s="91"/>
      <c r="G120" s="12"/>
      <c r="H120" s="12"/>
      <c r="I120" s="12"/>
      <c r="J120" s="10"/>
      <c r="K120" s="10"/>
    </row>
    <row r="121" spans="1:11" s="4" customFormat="1" ht="30" customHeight="1" x14ac:dyDescent="0.25">
      <c r="A121" s="9"/>
      <c r="B121" s="13" t="e">
        <f>VLOOKUP(Table24[[#This Row],[Location 
(drop-down)]],'List source'!D$2:E$71,2,FALSE)</f>
        <v>#N/A</v>
      </c>
      <c r="C121" s="17" t="s">
        <v>309</v>
      </c>
      <c r="D121" s="21" t="e">
        <f t="shared" si="1"/>
        <v>#N/A</v>
      </c>
      <c r="E121" s="11"/>
      <c r="F121" s="91"/>
      <c r="G121" s="12"/>
      <c r="H121" s="12"/>
      <c r="I121" s="12"/>
      <c r="J121" s="10"/>
      <c r="K121" s="10"/>
    </row>
    <row r="122" spans="1:11" s="4" customFormat="1" ht="30" customHeight="1" x14ac:dyDescent="0.25">
      <c r="A122" s="9"/>
      <c r="B122" s="13" t="e">
        <f>VLOOKUP(Table24[[#This Row],[Location 
(drop-down)]],'List source'!D$2:E$71,2,FALSE)</f>
        <v>#N/A</v>
      </c>
      <c r="C122" s="17" t="s">
        <v>311</v>
      </c>
      <c r="D122" s="21" t="e">
        <f t="shared" si="1"/>
        <v>#N/A</v>
      </c>
      <c r="E122" s="11"/>
      <c r="F122" s="91"/>
      <c r="G122" s="12"/>
      <c r="H122" s="12"/>
      <c r="I122" s="12"/>
      <c r="J122" s="10"/>
      <c r="K122" s="10"/>
    </row>
    <row r="123" spans="1:11" s="4" customFormat="1" ht="30" customHeight="1" x14ac:dyDescent="0.25">
      <c r="A123" s="9"/>
      <c r="B123" s="13" t="e">
        <f>VLOOKUP(Table24[[#This Row],[Location 
(drop-down)]],'List source'!D$2:E$71,2,FALSE)</f>
        <v>#N/A</v>
      </c>
      <c r="C123" s="17" t="s">
        <v>312</v>
      </c>
      <c r="D123" s="21" t="e">
        <f t="shared" si="1"/>
        <v>#N/A</v>
      </c>
      <c r="E123" s="11"/>
      <c r="F123" s="91"/>
      <c r="G123" s="12"/>
      <c r="H123" s="12"/>
      <c r="I123" s="12"/>
      <c r="J123" s="10"/>
      <c r="K123" s="10"/>
    </row>
    <row r="124" spans="1:11" s="4" customFormat="1" ht="30" customHeight="1" x14ac:dyDescent="0.25">
      <c r="A124" s="9"/>
      <c r="B124" s="13" t="e">
        <f>VLOOKUP(Table24[[#This Row],[Location 
(drop-down)]],'List source'!D$2:E$71,2,FALSE)</f>
        <v>#N/A</v>
      </c>
      <c r="C124" s="17" t="s">
        <v>314</v>
      </c>
      <c r="D124" s="21" t="e">
        <f t="shared" si="1"/>
        <v>#N/A</v>
      </c>
      <c r="E124" s="11"/>
      <c r="F124" s="91"/>
      <c r="G124" s="12"/>
      <c r="H124" s="12"/>
      <c r="I124" s="12"/>
      <c r="J124" s="10"/>
      <c r="K124" s="10"/>
    </row>
    <row r="125" spans="1:11" s="4" customFormat="1" ht="30" customHeight="1" x14ac:dyDescent="0.25">
      <c r="A125" s="9"/>
      <c r="B125" s="13" t="e">
        <f>VLOOKUP(Table24[[#This Row],[Location 
(drop-down)]],'List source'!D$2:E$71,2,FALSE)</f>
        <v>#N/A</v>
      </c>
      <c r="C125" s="17" t="s">
        <v>316</v>
      </c>
      <c r="D125" s="42" t="e">
        <f t="shared" si="1"/>
        <v>#N/A</v>
      </c>
      <c r="E125" s="11"/>
      <c r="F125" s="91"/>
      <c r="G125" s="12"/>
      <c r="H125" s="12"/>
      <c r="I125" s="12"/>
      <c r="J125" s="10"/>
      <c r="K125" s="10"/>
    </row>
    <row r="126" spans="1:11" s="4" customFormat="1" ht="30" customHeight="1" x14ac:dyDescent="0.25">
      <c r="A126" s="9"/>
      <c r="B126" s="13" t="e">
        <f>VLOOKUP(Table24[[#This Row],[Location 
(drop-down)]],'List source'!D$2:E$71,2,FALSE)</f>
        <v>#N/A</v>
      </c>
      <c r="C126" s="17" t="s">
        <v>318</v>
      </c>
      <c r="D126" s="21" t="e">
        <f t="shared" si="1"/>
        <v>#N/A</v>
      </c>
      <c r="E126" s="11"/>
      <c r="F126" s="91"/>
      <c r="G126" s="12"/>
      <c r="H126" s="12"/>
      <c r="I126" s="12"/>
      <c r="J126" s="10"/>
      <c r="K126" s="10"/>
    </row>
    <row r="127" spans="1:11" s="4" customFormat="1" ht="30" customHeight="1" x14ac:dyDescent="0.25">
      <c r="A127" s="9"/>
      <c r="B127" s="13" t="e">
        <f>VLOOKUP(Table24[[#This Row],[Location 
(drop-down)]],'List source'!D$2:E$71,2,FALSE)</f>
        <v>#N/A</v>
      </c>
      <c r="C127" s="17" t="s">
        <v>320</v>
      </c>
      <c r="D127" s="21" t="e">
        <f t="shared" si="1"/>
        <v>#N/A</v>
      </c>
      <c r="E127" s="11"/>
      <c r="F127" s="91"/>
      <c r="G127" s="12"/>
      <c r="H127" s="12"/>
      <c r="I127" s="12"/>
      <c r="J127" s="10"/>
      <c r="K127" s="10"/>
    </row>
    <row r="128" spans="1:11" s="4" customFormat="1" ht="30" customHeight="1" x14ac:dyDescent="0.25">
      <c r="A128" s="9"/>
      <c r="B128" s="13" t="e">
        <f>VLOOKUP(Table24[[#This Row],[Location 
(drop-down)]],'List source'!D$2:E$71,2,FALSE)</f>
        <v>#N/A</v>
      </c>
      <c r="C128" s="17" t="s">
        <v>321</v>
      </c>
      <c r="D128" s="21" t="e">
        <f t="shared" si="1"/>
        <v>#N/A</v>
      </c>
      <c r="E128" s="11"/>
      <c r="F128" s="91"/>
      <c r="G128" s="12"/>
      <c r="H128" s="12"/>
      <c r="I128" s="12"/>
      <c r="J128" s="10"/>
      <c r="K128" s="10"/>
    </row>
    <row r="129" spans="1:11" s="4" customFormat="1" ht="30" customHeight="1" x14ac:dyDescent="0.25">
      <c r="A129" s="9"/>
      <c r="B129" s="13" t="e">
        <f>VLOOKUP(Table24[[#This Row],[Location 
(drop-down)]],'List source'!D$2:E$71,2,FALSE)</f>
        <v>#N/A</v>
      </c>
      <c r="C129" s="17" t="s">
        <v>322</v>
      </c>
      <c r="D129" s="21" t="e">
        <f t="shared" si="1"/>
        <v>#N/A</v>
      </c>
      <c r="E129" s="11"/>
      <c r="F129" s="91"/>
      <c r="G129" s="12"/>
      <c r="H129" s="12"/>
      <c r="I129" s="12"/>
      <c r="J129" s="10"/>
      <c r="K129" s="10"/>
    </row>
    <row r="130" spans="1:11" s="4" customFormat="1" ht="30" customHeight="1" x14ac:dyDescent="0.25">
      <c r="A130" s="9"/>
      <c r="B130" s="13" t="e">
        <f>VLOOKUP(Table24[[#This Row],[Location 
(drop-down)]],'List source'!D$2:E$71,2,FALSE)</f>
        <v>#N/A</v>
      </c>
      <c r="C130" s="17" t="s">
        <v>324</v>
      </c>
      <c r="D130" s="21" t="e">
        <f t="shared" ref="D130:D193" si="2">"P" &amp; C130 &amp; "-" &amp; B130 &amp; "-" &amp; "25"</f>
        <v>#N/A</v>
      </c>
      <c r="E130" s="11"/>
      <c r="F130" s="91"/>
      <c r="G130" s="12"/>
      <c r="H130" s="12"/>
      <c r="I130" s="12"/>
      <c r="J130" s="10"/>
      <c r="K130" s="10"/>
    </row>
    <row r="131" spans="1:11" s="4" customFormat="1" ht="30" customHeight="1" x14ac:dyDescent="0.25">
      <c r="A131" s="9"/>
      <c r="B131" s="13" t="e">
        <f>VLOOKUP(Table24[[#This Row],[Location 
(drop-down)]],'List source'!D$2:E$71,2,FALSE)</f>
        <v>#N/A</v>
      </c>
      <c r="C131" s="17" t="s">
        <v>326</v>
      </c>
      <c r="D131" s="21" t="e">
        <f t="shared" si="2"/>
        <v>#N/A</v>
      </c>
      <c r="E131" s="11"/>
      <c r="F131" s="91"/>
      <c r="G131" s="12"/>
      <c r="H131" s="12"/>
      <c r="I131" s="12"/>
      <c r="J131" s="10"/>
      <c r="K131" s="10"/>
    </row>
    <row r="132" spans="1:11" s="4" customFormat="1" ht="30" customHeight="1" x14ac:dyDescent="0.25">
      <c r="A132" s="9"/>
      <c r="B132" s="13" t="e">
        <f>VLOOKUP(Table24[[#This Row],[Location 
(drop-down)]],'List source'!D$2:E$71,2,FALSE)</f>
        <v>#N/A</v>
      </c>
      <c r="C132" s="17" t="s">
        <v>327</v>
      </c>
      <c r="D132" s="21" t="e">
        <f t="shared" si="2"/>
        <v>#N/A</v>
      </c>
      <c r="E132" s="11"/>
      <c r="F132" s="91"/>
      <c r="G132" s="12"/>
      <c r="H132" s="12"/>
      <c r="I132" s="12"/>
      <c r="J132" s="10"/>
      <c r="K132" s="10"/>
    </row>
    <row r="133" spans="1:11" s="4" customFormat="1" ht="30" customHeight="1" x14ac:dyDescent="0.25">
      <c r="A133" s="9"/>
      <c r="B133" s="13" t="e">
        <f>VLOOKUP(Table24[[#This Row],[Location 
(drop-down)]],'List source'!D$2:E$71,2,FALSE)</f>
        <v>#N/A</v>
      </c>
      <c r="C133" s="17" t="s">
        <v>331</v>
      </c>
      <c r="D133" s="21" t="e">
        <f t="shared" si="2"/>
        <v>#N/A</v>
      </c>
      <c r="E133" s="11"/>
      <c r="F133" s="91"/>
      <c r="G133" s="12"/>
      <c r="H133" s="12"/>
      <c r="I133" s="12"/>
      <c r="J133" s="10"/>
      <c r="K133" s="10"/>
    </row>
    <row r="134" spans="1:11" s="4" customFormat="1" ht="30" customHeight="1" x14ac:dyDescent="0.25">
      <c r="A134" s="9"/>
      <c r="B134" s="13" t="e">
        <f>VLOOKUP(Table24[[#This Row],[Location 
(drop-down)]],'List source'!D$2:E$71,2,FALSE)</f>
        <v>#N/A</v>
      </c>
      <c r="C134" s="17" t="s">
        <v>335</v>
      </c>
      <c r="D134" s="21" t="e">
        <f t="shared" si="2"/>
        <v>#N/A</v>
      </c>
      <c r="E134" s="11"/>
      <c r="F134" s="91"/>
      <c r="G134" s="12"/>
      <c r="H134" s="12"/>
      <c r="I134" s="12"/>
      <c r="J134" s="10"/>
      <c r="K134" s="10"/>
    </row>
    <row r="135" spans="1:11" s="4" customFormat="1" ht="30" customHeight="1" x14ac:dyDescent="0.25">
      <c r="A135" s="9"/>
      <c r="B135" s="13" t="e">
        <f>VLOOKUP(Table24[[#This Row],[Location 
(drop-down)]],'List source'!D$2:E$71,2,FALSE)</f>
        <v>#N/A</v>
      </c>
      <c r="C135" s="17" t="s">
        <v>337</v>
      </c>
      <c r="D135" s="21" t="e">
        <f t="shared" si="2"/>
        <v>#N/A</v>
      </c>
      <c r="E135" s="11"/>
      <c r="F135" s="91"/>
      <c r="G135" s="12"/>
      <c r="H135" s="12"/>
      <c r="I135" s="12"/>
      <c r="J135" s="10"/>
      <c r="K135" s="10"/>
    </row>
    <row r="136" spans="1:11" s="4" customFormat="1" ht="30" customHeight="1" x14ac:dyDescent="0.25">
      <c r="A136" s="9"/>
      <c r="B136" s="13" t="e">
        <f>VLOOKUP(Table24[[#This Row],[Location 
(drop-down)]],'List source'!D$2:E$71,2,FALSE)</f>
        <v>#N/A</v>
      </c>
      <c r="C136" s="17" t="s">
        <v>339</v>
      </c>
      <c r="D136" s="21" t="e">
        <f t="shared" si="2"/>
        <v>#N/A</v>
      </c>
      <c r="E136" s="11"/>
      <c r="F136" s="91"/>
      <c r="G136" s="12"/>
      <c r="H136" s="12"/>
      <c r="I136" s="12"/>
      <c r="J136" s="10"/>
      <c r="K136" s="10"/>
    </row>
    <row r="137" spans="1:11" s="4" customFormat="1" ht="30" customHeight="1" x14ac:dyDescent="0.25">
      <c r="A137" s="9"/>
      <c r="B137" s="13" t="e">
        <f>VLOOKUP(Table24[[#This Row],[Location 
(drop-down)]],'List source'!D$2:E$71,2,FALSE)</f>
        <v>#N/A</v>
      </c>
      <c r="C137" s="17" t="s">
        <v>340</v>
      </c>
      <c r="D137" s="21" t="e">
        <f t="shared" si="2"/>
        <v>#N/A</v>
      </c>
      <c r="E137" s="11"/>
      <c r="F137" s="91"/>
      <c r="G137" s="12"/>
      <c r="H137" s="12"/>
      <c r="I137" s="12"/>
      <c r="J137" s="10"/>
      <c r="K137" s="10"/>
    </row>
    <row r="138" spans="1:11" s="4" customFormat="1" ht="30" customHeight="1" x14ac:dyDescent="0.25">
      <c r="A138" s="9"/>
      <c r="B138" s="13" t="e">
        <f>VLOOKUP(Table24[[#This Row],[Location 
(drop-down)]],'List source'!D$2:E$71,2,FALSE)</f>
        <v>#N/A</v>
      </c>
      <c r="C138" s="17" t="s">
        <v>342</v>
      </c>
      <c r="D138" s="21" t="e">
        <f t="shared" si="2"/>
        <v>#N/A</v>
      </c>
      <c r="E138" s="11"/>
      <c r="F138" s="91"/>
      <c r="G138" s="12"/>
      <c r="H138" s="12"/>
      <c r="I138" s="12"/>
      <c r="J138" s="10"/>
      <c r="K138" s="10"/>
    </row>
    <row r="139" spans="1:11" s="4" customFormat="1" ht="30" customHeight="1" x14ac:dyDescent="0.25">
      <c r="A139" s="9"/>
      <c r="B139" s="13" t="e">
        <f>VLOOKUP(Table24[[#This Row],[Location 
(drop-down)]],'List source'!D$2:E$71,2,FALSE)</f>
        <v>#N/A</v>
      </c>
      <c r="C139" s="17" t="s">
        <v>344</v>
      </c>
      <c r="D139" s="21" t="e">
        <f t="shared" si="2"/>
        <v>#N/A</v>
      </c>
      <c r="E139" s="11"/>
      <c r="F139" s="91"/>
      <c r="G139" s="12"/>
      <c r="H139" s="12"/>
      <c r="I139" s="12"/>
      <c r="J139" s="10"/>
      <c r="K139" s="10"/>
    </row>
    <row r="140" spans="1:11" s="4" customFormat="1" ht="30" customHeight="1" x14ac:dyDescent="0.25">
      <c r="A140" s="9"/>
      <c r="B140" s="13" t="e">
        <f>VLOOKUP(Table24[[#This Row],[Location 
(drop-down)]],'List source'!D$2:E$71,2,FALSE)</f>
        <v>#N/A</v>
      </c>
      <c r="C140" s="17" t="s">
        <v>348</v>
      </c>
      <c r="D140" s="21" t="e">
        <f t="shared" si="2"/>
        <v>#N/A</v>
      </c>
      <c r="E140" s="11"/>
      <c r="F140" s="91"/>
      <c r="G140" s="12"/>
      <c r="H140" s="12"/>
      <c r="I140" s="12"/>
      <c r="J140" s="10"/>
      <c r="K140" s="10"/>
    </row>
    <row r="141" spans="1:11" s="4" customFormat="1" ht="30" customHeight="1" x14ac:dyDescent="0.25">
      <c r="A141" s="9"/>
      <c r="B141" s="13" t="e">
        <f>VLOOKUP(Table24[[#This Row],[Location 
(drop-down)]],'List source'!D$2:E$71,2,FALSE)</f>
        <v>#N/A</v>
      </c>
      <c r="C141" s="17" t="s">
        <v>349</v>
      </c>
      <c r="D141" s="21" t="e">
        <f t="shared" si="2"/>
        <v>#N/A</v>
      </c>
      <c r="E141" s="11"/>
      <c r="F141" s="91"/>
      <c r="G141" s="12"/>
      <c r="H141" s="12"/>
      <c r="I141" s="12"/>
      <c r="J141" s="10"/>
      <c r="K141" s="10"/>
    </row>
    <row r="142" spans="1:11" s="4" customFormat="1" ht="30" customHeight="1" x14ac:dyDescent="0.25">
      <c r="A142" s="9"/>
      <c r="B142" s="13" t="e">
        <f>VLOOKUP(Table24[[#This Row],[Location 
(drop-down)]],'List source'!D$2:E$71,2,FALSE)</f>
        <v>#N/A</v>
      </c>
      <c r="C142" s="17" t="s">
        <v>352</v>
      </c>
      <c r="D142" s="21" t="e">
        <f t="shared" si="2"/>
        <v>#N/A</v>
      </c>
      <c r="E142" s="11"/>
      <c r="F142" s="91"/>
      <c r="G142" s="12"/>
      <c r="H142" s="12"/>
      <c r="I142" s="12"/>
      <c r="J142" s="10"/>
      <c r="K142" s="10"/>
    </row>
    <row r="143" spans="1:11" s="4" customFormat="1" ht="30" customHeight="1" x14ac:dyDescent="0.25">
      <c r="A143" s="9"/>
      <c r="B143" s="13" t="e">
        <f>VLOOKUP(Table24[[#This Row],[Location 
(drop-down)]],'List source'!D$2:E$71,2,FALSE)</f>
        <v>#N/A</v>
      </c>
      <c r="C143" s="17" t="s">
        <v>353</v>
      </c>
      <c r="D143" s="21" t="e">
        <f t="shared" si="2"/>
        <v>#N/A</v>
      </c>
      <c r="E143" s="11"/>
      <c r="F143" s="91"/>
      <c r="G143" s="12"/>
      <c r="H143" s="12"/>
      <c r="I143" s="12"/>
      <c r="J143" s="10"/>
      <c r="K143" s="10"/>
    </row>
    <row r="144" spans="1:11" s="4" customFormat="1" ht="30" customHeight="1" x14ac:dyDescent="0.25">
      <c r="A144" s="9"/>
      <c r="B144" s="13" t="e">
        <f>VLOOKUP(Table24[[#This Row],[Location 
(drop-down)]],'List source'!D$2:E$71,2,FALSE)</f>
        <v>#N/A</v>
      </c>
      <c r="C144" s="17" t="s">
        <v>354</v>
      </c>
      <c r="D144" s="21" t="e">
        <f t="shared" si="2"/>
        <v>#N/A</v>
      </c>
      <c r="E144" s="11"/>
      <c r="F144" s="91"/>
      <c r="G144" s="12"/>
      <c r="H144" s="12"/>
      <c r="I144" s="12"/>
      <c r="J144" s="10"/>
      <c r="K144" s="10"/>
    </row>
    <row r="145" spans="1:11" s="4" customFormat="1" ht="30" customHeight="1" x14ac:dyDescent="0.25">
      <c r="A145" s="9"/>
      <c r="B145" s="13" t="e">
        <f>VLOOKUP(Table24[[#This Row],[Location 
(drop-down)]],'List source'!D$2:E$71,2,FALSE)</f>
        <v>#N/A</v>
      </c>
      <c r="C145" s="17" t="s">
        <v>355</v>
      </c>
      <c r="D145" s="21" t="e">
        <f t="shared" si="2"/>
        <v>#N/A</v>
      </c>
      <c r="E145" s="11"/>
      <c r="F145" s="91"/>
      <c r="G145" s="12"/>
      <c r="H145" s="12"/>
      <c r="I145" s="12"/>
      <c r="J145" s="10"/>
      <c r="K145" s="10"/>
    </row>
    <row r="146" spans="1:11" s="4" customFormat="1" ht="30" customHeight="1" x14ac:dyDescent="0.25">
      <c r="A146" s="9"/>
      <c r="B146" s="13" t="e">
        <f>VLOOKUP(Table24[[#This Row],[Location 
(drop-down)]],'List source'!D$2:E$71,2,FALSE)</f>
        <v>#N/A</v>
      </c>
      <c r="C146" s="17" t="s">
        <v>358</v>
      </c>
      <c r="D146" s="21" t="e">
        <f t="shared" si="2"/>
        <v>#N/A</v>
      </c>
      <c r="E146" s="11"/>
      <c r="F146" s="91"/>
      <c r="G146" s="12"/>
      <c r="H146" s="12"/>
      <c r="I146" s="12"/>
      <c r="J146" s="10"/>
      <c r="K146" s="10"/>
    </row>
    <row r="147" spans="1:11" s="4" customFormat="1" ht="30" customHeight="1" x14ac:dyDescent="0.25">
      <c r="A147" s="9"/>
      <c r="B147" s="13" t="e">
        <f>VLOOKUP(Table24[[#This Row],[Location 
(drop-down)]],'List source'!D$2:E$71,2,FALSE)</f>
        <v>#N/A</v>
      </c>
      <c r="C147" s="17" t="s">
        <v>362</v>
      </c>
      <c r="D147" s="21" t="e">
        <f t="shared" si="2"/>
        <v>#N/A</v>
      </c>
      <c r="E147" s="11"/>
      <c r="F147" s="93"/>
      <c r="G147" s="12"/>
      <c r="H147" s="12"/>
      <c r="I147" s="16"/>
      <c r="J147" s="13"/>
      <c r="K147" s="10"/>
    </row>
    <row r="148" spans="1:11" s="4" customFormat="1" ht="30" customHeight="1" x14ac:dyDescent="0.25">
      <c r="A148" s="9"/>
      <c r="B148" s="13" t="e">
        <f>VLOOKUP(Table24[[#This Row],[Location 
(drop-down)]],'List source'!D$2:E$71,2,FALSE)</f>
        <v>#N/A</v>
      </c>
      <c r="C148" s="17" t="s">
        <v>363</v>
      </c>
      <c r="D148" s="21" t="e">
        <f t="shared" si="2"/>
        <v>#N/A</v>
      </c>
      <c r="E148" s="11"/>
      <c r="F148" s="94"/>
      <c r="G148" s="12"/>
      <c r="H148" s="12"/>
      <c r="I148" s="81"/>
      <c r="J148" s="82"/>
      <c r="K148" s="84"/>
    </row>
    <row r="149" spans="1:11" s="4" customFormat="1" ht="30" customHeight="1" x14ac:dyDescent="0.25">
      <c r="A149" s="9"/>
      <c r="B149" s="13" t="e">
        <f>VLOOKUP(Table24[[#This Row],[Location 
(drop-down)]],'List source'!D$2:E$71,2,FALSE)</f>
        <v>#N/A</v>
      </c>
      <c r="C149" s="17" t="s">
        <v>365</v>
      </c>
      <c r="D149" s="21" t="e">
        <f t="shared" si="2"/>
        <v>#N/A</v>
      </c>
      <c r="E149" s="11"/>
      <c r="F149" s="93"/>
      <c r="G149" s="12"/>
      <c r="H149" s="12"/>
      <c r="I149" s="16"/>
      <c r="J149" s="13"/>
      <c r="K149" s="10"/>
    </row>
    <row r="150" spans="1:11" s="4" customFormat="1" ht="30" customHeight="1" x14ac:dyDescent="0.25">
      <c r="A150" s="9"/>
      <c r="B150" s="13" t="e">
        <f>VLOOKUP(Table24[[#This Row],[Location 
(drop-down)]],'List source'!D$2:E$71,2,FALSE)</f>
        <v>#N/A</v>
      </c>
      <c r="C150" s="17" t="s">
        <v>366</v>
      </c>
      <c r="D150" s="21" t="e">
        <f t="shared" si="2"/>
        <v>#N/A</v>
      </c>
      <c r="E150" s="11"/>
      <c r="F150" s="94"/>
      <c r="G150" s="12"/>
      <c r="H150" s="12"/>
      <c r="I150" s="81"/>
      <c r="J150" s="82"/>
      <c r="K150" s="84"/>
    </row>
    <row r="151" spans="1:11" s="4" customFormat="1" ht="30" customHeight="1" x14ac:dyDescent="0.25">
      <c r="A151" s="9"/>
      <c r="B151" s="13" t="e">
        <f>VLOOKUP(Table24[[#This Row],[Location 
(drop-down)]],'List source'!D$2:E$71,2,FALSE)</f>
        <v>#N/A</v>
      </c>
      <c r="C151" s="17" t="s">
        <v>367</v>
      </c>
      <c r="D151" s="21" t="e">
        <f t="shared" si="2"/>
        <v>#N/A</v>
      </c>
      <c r="E151" s="11"/>
      <c r="F151" s="93"/>
      <c r="G151" s="12"/>
      <c r="H151" s="12"/>
      <c r="I151" s="16"/>
      <c r="J151" s="13"/>
      <c r="K151" s="10"/>
    </row>
    <row r="152" spans="1:11" s="4" customFormat="1" ht="30" customHeight="1" x14ac:dyDescent="0.25">
      <c r="A152" s="9"/>
      <c r="B152" s="13" t="e">
        <f>VLOOKUP(Table24[[#This Row],[Location 
(drop-down)]],'List source'!D$2:E$71,2,FALSE)</f>
        <v>#N/A</v>
      </c>
      <c r="C152" s="17" t="s">
        <v>368</v>
      </c>
      <c r="D152" s="21" t="e">
        <f t="shared" si="2"/>
        <v>#N/A</v>
      </c>
      <c r="E152" s="11"/>
      <c r="F152" s="94"/>
      <c r="G152" s="12"/>
      <c r="H152" s="12"/>
      <c r="I152" s="16"/>
      <c r="J152" s="82"/>
      <c r="K152" s="84"/>
    </row>
    <row r="153" spans="1:11" s="4" customFormat="1" ht="30" customHeight="1" x14ac:dyDescent="0.25">
      <c r="A153" s="9"/>
      <c r="B153" s="13" t="e">
        <f>VLOOKUP(Table24[[#This Row],[Location 
(drop-down)]],'List source'!D$2:E$71,2,FALSE)</f>
        <v>#N/A</v>
      </c>
      <c r="C153" s="17" t="s">
        <v>369</v>
      </c>
      <c r="D153" s="21" t="e">
        <f t="shared" si="2"/>
        <v>#N/A</v>
      </c>
      <c r="E153" s="11"/>
      <c r="F153" s="93"/>
      <c r="G153" s="12"/>
      <c r="H153" s="12"/>
      <c r="I153" s="16"/>
      <c r="J153" s="13"/>
      <c r="K153" s="10"/>
    </row>
    <row r="154" spans="1:11" s="4" customFormat="1" ht="30" customHeight="1" x14ac:dyDescent="0.25">
      <c r="A154" s="9"/>
      <c r="B154" s="13" t="e">
        <f>VLOOKUP(Table24[[#This Row],[Location 
(drop-down)]],'List source'!D$2:E$71,2,FALSE)</f>
        <v>#N/A</v>
      </c>
      <c r="C154" s="17" t="s">
        <v>370</v>
      </c>
      <c r="D154" s="21" t="e">
        <f t="shared" si="2"/>
        <v>#N/A</v>
      </c>
      <c r="E154" s="11"/>
      <c r="F154" s="94"/>
      <c r="G154" s="81"/>
      <c r="H154" s="85"/>
      <c r="I154" s="81"/>
      <c r="J154" s="10"/>
      <c r="K154" s="84"/>
    </row>
    <row r="155" spans="1:11" s="4" customFormat="1" ht="30" customHeight="1" x14ac:dyDescent="0.25">
      <c r="A155" s="9"/>
      <c r="B155" s="13" t="e">
        <f>VLOOKUP(Table24[[#This Row],[Location 
(drop-down)]],'List source'!D$2:E$71,2,FALSE)</f>
        <v>#N/A</v>
      </c>
      <c r="C155" s="17" t="s">
        <v>373</v>
      </c>
      <c r="D155" s="21" t="e">
        <f t="shared" si="2"/>
        <v>#N/A</v>
      </c>
      <c r="E155" s="11"/>
      <c r="F155" s="93"/>
      <c r="G155" s="16"/>
      <c r="H155" s="14"/>
      <c r="I155" s="16"/>
      <c r="J155" s="10"/>
      <c r="K155" s="10"/>
    </row>
    <row r="156" spans="1:11" s="4" customFormat="1" ht="30" customHeight="1" x14ac:dyDescent="0.25">
      <c r="A156" s="9"/>
      <c r="B156" s="13" t="e">
        <f>VLOOKUP(Table24[[#This Row],[Location 
(drop-down)]],'List source'!D$2:E$71,2,FALSE)</f>
        <v>#N/A</v>
      </c>
      <c r="C156" s="17" t="s">
        <v>374</v>
      </c>
      <c r="D156" s="21" t="e">
        <f t="shared" si="2"/>
        <v>#N/A</v>
      </c>
      <c r="E156" s="11"/>
      <c r="F156" s="94"/>
      <c r="G156" s="81"/>
      <c r="H156" s="85"/>
      <c r="I156" s="81"/>
      <c r="J156" s="10"/>
      <c r="K156" s="84"/>
    </row>
    <row r="157" spans="1:11" s="4" customFormat="1" ht="30" customHeight="1" x14ac:dyDescent="0.25">
      <c r="A157" s="9"/>
      <c r="B157" s="13" t="e">
        <f>VLOOKUP(Table24[[#This Row],[Location 
(drop-down)]],'List source'!D$2:E$71,2,FALSE)</f>
        <v>#N/A</v>
      </c>
      <c r="C157" s="17" t="s">
        <v>378</v>
      </c>
      <c r="D157" s="21" t="e">
        <f t="shared" si="2"/>
        <v>#N/A</v>
      </c>
      <c r="E157" s="11"/>
      <c r="F157" s="93"/>
      <c r="G157" s="16"/>
      <c r="H157" s="14"/>
      <c r="I157" s="16"/>
      <c r="J157" s="10"/>
      <c r="K157" s="10"/>
    </row>
    <row r="158" spans="1:11" s="4" customFormat="1" ht="30" customHeight="1" x14ac:dyDescent="0.25">
      <c r="A158" s="9"/>
      <c r="B158" s="13" t="e">
        <f>VLOOKUP(Table24[[#This Row],[Location 
(drop-down)]],'List source'!D$2:E$71,2,FALSE)</f>
        <v>#N/A</v>
      </c>
      <c r="C158" s="17" t="s">
        <v>379</v>
      </c>
      <c r="D158" s="21" t="e">
        <f t="shared" si="2"/>
        <v>#N/A</v>
      </c>
      <c r="E158" s="11"/>
      <c r="F158" s="94"/>
      <c r="G158" s="81"/>
      <c r="H158" s="86"/>
      <c r="I158" s="83"/>
      <c r="J158" s="82"/>
      <c r="K158" s="84"/>
    </row>
    <row r="159" spans="1:11" s="4" customFormat="1" ht="30" customHeight="1" x14ac:dyDescent="0.25">
      <c r="A159" s="9"/>
      <c r="B159" s="13" t="e">
        <f>VLOOKUP(Table24[[#This Row],[Location 
(drop-down)]],'List source'!D$2:E$71,2,FALSE)</f>
        <v>#N/A</v>
      </c>
      <c r="C159" s="17" t="s">
        <v>380</v>
      </c>
      <c r="D159" s="21" t="e">
        <f t="shared" si="2"/>
        <v>#N/A</v>
      </c>
      <c r="E159" s="11"/>
      <c r="F159" s="93"/>
      <c r="G159" s="16"/>
      <c r="H159" s="11"/>
      <c r="I159" s="16"/>
      <c r="J159" s="13"/>
      <c r="K159" s="10"/>
    </row>
    <row r="160" spans="1:11" s="4" customFormat="1" ht="30" customHeight="1" x14ac:dyDescent="0.25">
      <c r="A160" s="9"/>
      <c r="B160" s="13" t="e">
        <f>VLOOKUP(Table24[[#This Row],[Location 
(drop-down)]],'List source'!D$2:E$71,2,FALSE)</f>
        <v>#N/A</v>
      </c>
      <c r="C160" s="17" t="s">
        <v>382</v>
      </c>
      <c r="D160" s="21" t="e">
        <f t="shared" si="2"/>
        <v>#N/A</v>
      </c>
      <c r="E160" s="11"/>
      <c r="F160" s="94"/>
      <c r="G160" s="81"/>
      <c r="H160" s="86"/>
      <c r="I160" s="81"/>
      <c r="J160" s="82"/>
      <c r="K160" s="84"/>
    </row>
    <row r="161" spans="1:11" s="4" customFormat="1" ht="30" customHeight="1" x14ac:dyDescent="0.25">
      <c r="A161" s="9"/>
      <c r="B161" s="13" t="e">
        <f>VLOOKUP(Table24[[#This Row],[Location 
(drop-down)]],'List source'!D$2:E$71,2,FALSE)</f>
        <v>#N/A</v>
      </c>
      <c r="C161" s="17" t="s">
        <v>383</v>
      </c>
      <c r="D161" s="21" t="e">
        <f t="shared" si="2"/>
        <v>#N/A</v>
      </c>
      <c r="E161" s="11"/>
      <c r="F161" s="93"/>
      <c r="G161" s="16"/>
      <c r="H161" s="11"/>
      <c r="I161" s="16"/>
      <c r="J161" s="13"/>
      <c r="K161" s="10"/>
    </row>
    <row r="162" spans="1:11" s="4" customFormat="1" ht="30" customHeight="1" x14ac:dyDescent="0.25">
      <c r="A162" s="9"/>
      <c r="B162" s="13" t="e">
        <f>VLOOKUP(Table24[[#This Row],[Location 
(drop-down)]],'List source'!D$2:E$71,2,FALSE)</f>
        <v>#N/A</v>
      </c>
      <c r="C162" s="17" t="s">
        <v>386</v>
      </c>
      <c r="D162" s="21" t="e">
        <f t="shared" si="2"/>
        <v>#N/A</v>
      </c>
      <c r="E162" s="11"/>
      <c r="F162" s="94"/>
      <c r="G162" s="81"/>
      <c r="H162" s="86"/>
      <c r="I162" s="81"/>
      <c r="J162" s="82"/>
      <c r="K162" s="84"/>
    </row>
    <row r="163" spans="1:11" s="4" customFormat="1" ht="30" customHeight="1" x14ac:dyDescent="0.25">
      <c r="A163" s="9"/>
      <c r="B163" s="13" t="e">
        <f>VLOOKUP(Table24[[#This Row],[Location 
(drop-down)]],'List source'!D$2:E$71,2,FALSE)</f>
        <v>#N/A</v>
      </c>
      <c r="C163" s="17" t="s">
        <v>390</v>
      </c>
      <c r="D163" s="21" t="e">
        <f t="shared" si="2"/>
        <v>#N/A</v>
      </c>
      <c r="E163" s="11"/>
      <c r="F163" s="93"/>
      <c r="G163" s="16"/>
      <c r="H163" s="11"/>
      <c r="I163" s="16"/>
      <c r="J163" s="13"/>
      <c r="K163" s="10"/>
    </row>
    <row r="164" spans="1:11" s="4" customFormat="1" ht="30" customHeight="1" x14ac:dyDescent="0.25">
      <c r="A164" s="9"/>
      <c r="B164" s="13" t="e">
        <f>VLOOKUP(Table24[[#This Row],[Location 
(drop-down)]],'List source'!D$2:E$71,2,FALSE)</f>
        <v>#N/A</v>
      </c>
      <c r="C164" s="17" t="s">
        <v>392</v>
      </c>
      <c r="D164" s="21" t="e">
        <f t="shared" si="2"/>
        <v>#N/A</v>
      </c>
      <c r="E164" s="11"/>
      <c r="F164" s="94"/>
      <c r="G164" s="16"/>
      <c r="H164" s="86"/>
      <c r="I164" s="87"/>
      <c r="J164" s="82"/>
      <c r="K164" s="84"/>
    </row>
    <row r="165" spans="1:11" s="4" customFormat="1" ht="30" customHeight="1" x14ac:dyDescent="0.25">
      <c r="A165" s="9"/>
      <c r="B165" s="13" t="e">
        <f>VLOOKUP(Table24[[#This Row],[Location 
(drop-down)]],'List source'!D$2:E$71,2,FALSE)</f>
        <v>#N/A</v>
      </c>
      <c r="C165" s="17" t="s">
        <v>393</v>
      </c>
      <c r="D165" s="21" t="e">
        <f t="shared" si="2"/>
        <v>#N/A</v>
      </c>
      <c r="E165" s="11"/>
      <c r="F165" s="93"/>
      <c r="G165" s="12"/>
      <c r="H165" s="11"/>
      <c r="I165" s="12"/>
      <c r="J165" s="13"/>
      <c r="K165" s="10"/>
    </row>
    <row r="166" spans="1:11" s="4" customFormat="1" ht="30" customHeight="1" x14ac:dyDescent="0.25">
      <c r="A166" s="9"/>
      <c r="B166" s="13" t="e">
        <f>VLOOKUP(Table24[[#This Row],[Location 
(drop-down)]],'List source'!D$2:E$71,2,FALSE)</f>
        <v>#N/A</v>
      </c>
      <c r="C166" s="17" t="s">
        <v>395</v>
      </c>
      <c r="D166" s="21" t="e">
        <f t="shared" si="2"/>
        <v>#N/A</v>
      </c>
      <c r="E166" s="11"/>
      <c r="F166" s="94"/>
      <c r="G166" s="16"/>
      <c r="H166" s="86"/>
      <c r="I166" s="81"/>
      <c r="J166" s="82"/>
      <c r="K166" s="84"/>
    </row>
    <row r="167" spans="1:11" s="4" customFormat="1" ht="30" customHeight="1" x14ac:dyDescent="0.25">
      <c r="A167" s="9"/>
      <c r="B167" s="13" t="e">
        <f>VLOOKUP(Table24[[#This Row],[Location 
(drop-down)]],'List source'!D$2:E$71,2,FALSE)</f>
        <v>#N/A</v>
      </c>
      <c r="C167" s="17" t="s">
        <v>398</v>
      </c>
      <c r="D167" s="21" t="e">
        <f t="shared" si="2"/>
        <v>#N/A</v>
      </c>
      <c r="E167" s="11"/>
      <c r="F167" s="93"/>
      <c r="G167" s="16"/>
      <c r="H167" s="11"/>
      <c r="I167" s="13"/>
      <c r="J167" s="13"/>
      <c r="K167" s="10"/>
    </row>
    <row r="168" spans="1:11" s="4" customFormat="1" ht="30" customHeight="1" x14ac:dyDescent="0.25">
      <c r="A168" s="9"/>
      <c r="B168" s="13" t="e">
        <f>VLOOKUP(Table24[[#This Row],[Location 
(drop-down)]],'List source'!D$2:E$71,2,FALSE)</f>
        <v>#N/A</v>
      </c>
      <c r="C168" s="17" t="s">
        <v>401</v>
      </c>
      <c r="D168" s="21" t="e">
        <f t="shared" si="2"/>
        <v>#N/A</v>
      </c>
      <c r="E168" s="11"/>
      <c r="F168" s="94"/>
      <c r="G168" s="16"/>
      <c r="H168" s="86"/>
      <c r="I168" s="81"/>
      <c r="J168" s="82"/>
      <c r="K168" s="84"/>
    </row>
    <row r="169" spans="1:11" s="4" customFormat="1" ht="30" customHeight="1" x14ac:dyDescent="0.25">
      <c r="A169" s="9"/>
      <c r="B169" s="13" t="e">
        <f>VLOOKUP(Table24[[#This Row],[Location 
(drop-down)]],'List source'!D$2:E$71,2,FALSE)</f>
        <v>#N/A</v>
      </c>
      <c r="C169" s="17" t="s">
        <v>402</v>
      </c>
      <c r="D169" s="21" t="e">
        <f t="shared" si="2"/>
        <v>#N/A</v>
      </c>
      <c r="E169" s="11"/>
      <c r="F169" s="91"/>
      <c r="G169" s="16"/>
      <c r="H169" s="12"/>
      <c r="I169" s="12"/>
      <c r="J169" s="10"/>
      <c r="K169" s="10"/>
    </row>
    <row r="170" spans="1:11" s="4" customFormat="1" ht="30" customHeight="1" x14ac:dyDescent="0.25">
      <c r="A170" s="9"/>
      <c r="B170" s="13" t="e">
        <f>VLOOKUP(Table24[[#This Row],[Location 
(drop-down)]],'List source'!D$2:E$71,2,FALSE)</f>
        <v>#N/A</v>
      </c>
      <c r="C170" s="17" t="s">
        <v>403</v>
      </c>
      <c r="D170" s="21" t="e">
        <f t="shared" si="2"/>
        <v>#N/A</v>
      </c>
      <c r="E170" s="11"/>
      <c r="F170" s="91"/>
      <c r="G170" s="16"/>
      <c r="H170" s="12"/>
      <c r="I170" s="12"/>
      <c r="J170" s="10"/>
      <c r="K170" s="10"/>
    </row>
    <row r="171" spans="1:11" s="4" customFormat="1" ht="30" customHeight="1" x14ac:dyDescent="0.25">
      <c r="A171" s="9"/>
      <c r="B171" s="13" t="e">
        <f>VLOOKUP(Table24[[#This Row],[Location 
(drop-down)]],'List source'!D$2:E$71,2,FALSE)</f>
        <v>#N/A</v>
      </c>
      <c r="C171" s="17" t="s">
        <v>404</v>
      </c>
      <c r="D171" s="21" t="e">
        <f t="shared" si="2"/>
        <v>#N/A</v>
      </c>
      <c r="E171" s="11"/>
      <c r="F171" s="91"/>
      <c r="G171" s="16"/>
      <c r="H171" s="12"/>
      <c r="I171" s="12"/>
      <c r="J171" s="10"/>
      <c r="K171" s="10"/>
    </row>
    <row r="172" spans="1:11" s="4" customFormat="1" ht="30" customHeight="1" x14ac:dyDescent="0.25">
      <c r="A172" s="9"/>
      <c r="B172" s="13" t="e">
        <f>VLOOKUP(Table24[[#This Row],[Location 
(drop-down)]],'List source'!D$2:E$71,2,FALSE)</f>
        <v>#N/A</v>
      </c>
      <c r="C172" s="17" t="s">
        <v>405</v>
      </c>
      <c r="D172" s="21" t="e">
        <f t="shared" si="2"/>
        <v>#N/A</v>
      </c>
      <c r="E172" s="11"/>
      <c r="F172" s="91"/>
      <c r="G172" s="16"/>
      <c r="H172" s="12"/>
      <c r="I172" s="12"/>
      <c r="J172" s="10"/>
      <c r="K172" s="10"/>
    </row>
    <row r="173" spans="1:11" s="4" customFormat="1" ht="30" customHeight="1" x14ac:dyDescent="0.25">
      <c r="A173" s="9"/>
      <c r="B173" s="13" t="e">
        <f>VLOOKUP(Table24[[#This Row],[Location 
(drop-down)]],'List source'!D$2:E$71,2,FALSE)</f>
        <v>#N/A</v>
      </c>
      <c r="C173" s="17" t="s">
        <v>406</v>
      </c>
      <c r="D173" s="21" t="e">
        <f t="shared" si="2"/>
        <v>#N/A</v>
      </c>
      <c r="E173" s="11"/>
      <c r="F173" s="91"/>
      <c r="G173" s="16"/>
      <c r="H173" s="12"/>
      <c r="I173" s="12"/>
      <c r="J173" s="10"/>
      <c r="K173" s="10"/>
    </row>
    <row r="174" spans="1:11" s="4" customFormat="1" ht="30" customHeight="1" x14ac:dyDescent="0.25">
      <c r="A174" s="9"/>
      <c r="B174" s="13" t="e">
        <f>VLOOKUP(Table24[[#This Row],[Location 
(drop-down)]],'List source'!D$2:E$71,2,FALSE)</f>
        <v>#N/A</v>
      </c>
      <c r="C174" s="17" t="s">
        <v>407</v>
      </c>
      <c r="D174" s="21" t="e">
        <f t="shared" si="2"/>
        <v>#N/A</v>
      </c>
      <c r="E174" s="11"/>
      <c r="F174" s="91"/>
      <c r="G174" s="16"/>
      <c r="H174" s="12"/>
      <c r="I174" s="12"/>
      <c r="J174" s="10"/>
      <c r="K174" s="10"/>
    </row>
    <row r="175" spans="1:11" s="4" customFormat="1" ht="30" customHeight="1" x14ac:dyDescent="0.25">
      <c r="A175" s="9"/>
      <c r="B175" s="13" t="e">
        <f>VLOOKUP(Table24[[#This Row],[Location 
(drop-down)]],'List source'!D$2:E$71,2,FALSE)</f>
        <v>#N/A</v>
      </c>
      <c r="C175" s="17" t="s">
        <v>408</v>
      </c>
      <c r="D175" s="21" t="e">
        <f t="shared" si="2"/>
        <v>#N/A</v>
      </c>
      <c r="E175" s="11"/>
      <c r="F175" s="91"/>
      <c r="G175" s="16"/>
      <c r="H175" s="12"/>
      <c r="I175" s="12"/>
      <c r="J175" s="10"/>
      <c r="K175" s="10"/>
    </row>
    <row r="176" spans="1:11" s="4" customFormat="1" ht="30" customHeight="1" x14ac:dyDescent="0.25">
      <c r="A176" s="9"/>
      <c r="B176" s="13" t="e">
        <f>VLOOKUP(Table24[[#This Row],[Location 
(drop-down)]],'List source'!D$2:E$71,2,FALSE)</f>
        <v>#N/A</v>
      </c>
      <c r="C176" s="17" t="s">
        <v>409</v>
      </c>
      <c r="D176" s="21" t="e">
        <f t="shared" si="2"/>
        <v>#N/A</v>
      </c>
      <c r="E176" s="11"/>
      <c r="F176" s="91"/>
      <c r="G176" s="16"/>
      <c r="H176" s="12"/>
      <c r="I176" s="12"/>
      <c r="J176" s="10"/>
      <c r="K176" s="10"/>
    </row>
    <row r="177" spans="1:11" s="4" customFormat="1" ht="30" customHeight="1" x14ac:dyDescent="0.25">
      <c r="A177" s="9"/>
      <c r="B177" s="13" t="e">
        <f>VLOOKUP(Table24[[#This Row],[Location 
(drop-down)]],'List source'!D$2:E$71,2,FALSE)</f>
        <v>#N/A</v>
      </c>
      <c r="C177" s="17" t="s">
        <v>410</v>
      </c>
      <c r="D177" s="21" t="e">
        <f t="shared" si="2"/>
        <v>#N/A</v>
      </c>
      <c r="E177" s="11"/>
      <c r="F177" s="91"/>
      <c r="G177" s="16"/>
      <c r="H177" s="12"/>
      <c r="I177" s="12"/>
      <c r="J177" s="10"/>
      <c r="K177" s="10"/>
    </row>
    <row r="178" spans="1:11" s="4" customFormat="1" ht="30" customHeight="1" x14ac:dyDescent="0.25">
      <c r="A178" s="9"/>
      <c r="B178" s="13" t="e">
        <f>VLOOKUP(Table24[[#This Row],[Location 
(drop-down)]],'List source'!D$2:E$71,2,FALSE)</f>
        <v>#N/A</v>
      </c>
      <c r="C178" s="17" t="s">
        <v>411</v>
      </c>
      <c r="D178" s="21" t="e">
        <f t="shared" si="2"/>
        <v>#N/A</v>
      </c>
      <c r="E178" s="11"/>
      <c r="F178" s="91"/>
      <c r="G178" s="16"/>
      <c r="H178" s="12"/>
      <c r="I178" s="12"/>
      <c r="J178" s="10"/>
      <c r="K178" s="10"/>
    </row>
    <row r="179" spans="1:11" s="4" customFormat="1" ht="30" customHeight="1" x14ac:dyDescent="0.25">
      <c r="A179" s="9"/>
      <c r="B179" s="13" t="e">
        <f>VLOOKUP(Table24[[#This Row],[Location 
(drop-down)]],'List source'!D$2:E$71,2,FALSE)</f>
        <v>#N/A</v>
      </c>
      <c r="C179" s="17" t="s">
        <v>412</v>
      </c>
      <c r="D179" s="21" t="e">
        <f t="shared" si="2"/>
        <v>#N/A</v>
      </c>
      <c r="E179" s="11"/>
      <c r="F179" s="91"/>
      <c r="G179" s="16"/>
      <c r="H179" s="12"/>
      <c r="I179" s="12"/>
      <c r="J179" s="10"/>
      <c r="K179" s="10"/>
    </row>
    <row r="180" spans="1:11" s="4" customFormat="1" ht="30" customHeight="1" x14ac:dyDescent="0.25">
      <c r="A180" s="9"/>
      <c r="B180" s="13" t="e">
        <f>VLOOKUP(Table24[[#This Row],[Location 
(drop-down)]],'List source'!D$2:E$71,2,FALSE)</f>
        <v>#N/A</v>
      </c>
      <c r="C180" s="17" t="s">
        <v>413</v>
      </c>
      <c r="D180" s="21" t="e">
        <f t="shared" si="2"/>
        <v>#N/A</v>
      </c>
      <c r="E180" s="11"/>
      <c r="F180" s="91"/>
      <c r="G180" s="16"/>
      <c r="H180" s="12"/>
      <c r="I180" s="12"/>
      <c r="J180" s="10"/>
      <c r="K180" s="10"/>
    </row>
    <row r="181" spans="1:11" s="4" customFormat="1" ht="30" customHeight="1" x14ac:dyDescent="0.25">
      <c r="A181" s="9"/>
      <c r="B181" s="13" t="e">
        <f>VLOOKUP(Table24[[#This Row],[Location 
(drop-down)]],'List source'!D$2:E$71,2,FALSE)</f>
        <v>#N/A</v>
      </c>
      <c r="C181" s="17" t="s">
        <v>414</v>
      </c>
      <c r="D181" s="21" t="e">
        <f t="shared" si="2"/>
        <v>#N/A</v>
      </c>
      <c r="E181" s="11"/>
      <c r="F181" s="91"/>
      <c r="G181" s="16"/>
      <c r="H181" s="12"/>
      <c r="I181" s="12"/>
      <c r="J181" s="10"/>
      <c r="K181" s="10"/>
    </row>
    <row r="182" spans="1:11" s="4" customFormat="1" ht="30" customHeight="1" x14ac:dyDescent="0.25">
      <c r="A182" s="9"/>
      <c r="B182" s="13" t="e">
        <f>VLOOKUP(Table24[[#This Row],[Location 
(drop-down)]],'List source'!D$2:E$71,2,FALSE)</f>
        <v>#N/A</v>
      </c>
      <c r="C182" s="17" t="s">
        <v>415</v>
      </c>
      <c r="D182" s="21" t="e">
        <f t="shared" si="2"/>
        <v>#N/A</v>
      </c>
      <c r="E182" s="11"/>
      <c r="F182" s="91"/>
      <c r="G182" s="16"/>
      <c r="H182" s="12"/>
      <c r="I182" s="12"/>
      <c r="J182" s="10"/>
      <c r="K182" s="10"/>
    </row>
    <row r="183" spans="1:11" s="4" customFormat="1" ht="30" customHeight="1" x14ac:dyDescent="0.25">
      <c r="A183" s="9"/>
      <c r="B183" s="13" t="e">
        <f>VLOOKUP(Table24[[#This Row],[Location 
(drop-down)]],'List source'!D$2:E$71,2,FALSE)</f>
        <v>#N/A</v>
      </c>
      <c r="C183" s="17" t="s">
        <v>416</v>
      </c>
      <c r="D183" s="21" t="e">
        <f t="shared" si="2"/>
        <v>#N/A</v>
      </c>
      <c r="E183" s="11"/>
      <c r="F183" s="91"/>
      <c r="G183" s="16"/>
      <c r="H183" s="12"/>
      <c r="I183" s="12"/>
      <c r="J183" s="10"/>
      <c r="K183" s="10"/>
    </row>
    <row r="184" spans="1:11" s="4" customFormat="1" ht="30" customHeight="1" x14ac:dyDescent="0.25">
      <c r="A184" s="9"/>
      <c r="B184" s="13" t="e">
        <f>VLOOKUP(Table24[[#This Row],[Location 
(drop-down)]],'List source'!D$2:E$71,2,FALSE)</f>
        <v>#N/A</v>
      </c>
      <c r="C184" s="17" t="s">
        <v>417</v>
      </c>
      <c r="D184" s="21" t="e">
        <f t="shared" si="2"/>
        <v>#N/A</v>
      </c>
      <c r="E184" s="11"/>
      <c r="F184" s="91"/>
      <c r="G184" s="16"/>
      <c r="H184" s="12"/>
      <c r="I184" s="12"/>
      <c r="J184" s="10"/>
      <c r="K184" s="10"/>
    </row>
    <row r="185" spans="1:11" s="4" customFormat="1" ht="30" customHeight="1" x14ac:dyDescent="0.25">
      <c r="A185" s="9"/>
      <c r="B185" s="13" t="e">
        <f>VLOOKUP(Table24[[#This Row],[Location 
(drop-down)]],'List source'!D$2:E$71,2,FALSE)</f>
        <v>#N/A</v>
      </c>
      <c r="C185" s="17" t="s">
        <v>418</v>
      </c>
      <c r="D185" s="21" t="e">
        <f t="shared" si="2"/>
        <v>#N/A</v>
      </c>
      <c r="E185" s="11"/>
      <c r="F185" s="91"/>
      <c r="G185" s="16"/>
      <c r="H185" s="12"/>
      <c r="I185" s="12"/>
      <c r="J185" s="10"/>
      <c r="K185" s="10"/>
    </row>
    <row r="186" spans="1:11" s="4" customFormat="1" ht="30" customHeight="1" x14ac:dyDescent="0.25">
      <c r="A186" s="9"/>
      <c r="B186" s="13" t="e">
        <f>VLOOKUP(Table24[[#This Row],[Location 
(drop-down)]],'List source'!D$2:E$71,2,FALSE)</f>
        <v>#N/A</v>
      </c>
      <c r="C186" s="17" t="s">
        <v>419</v>
      </c>
      <c r="D186" s="21" t="e">
        <f t="shared" si="2"/>
        <v>#N/A</v>
      </c>
      <c r="E186" s="11"/>
      <c r="F186" s="91"/>
      <c r="G186" s="16"/>
      <c r="H186" s="12"/>
      <c r="I186" s="12"/>
      <c r="J186" s="10"/>
      <c r="K186" s="10"/>
    </row>
    <row r="187" spans="1:11" s="4" customFormat="1" ht="30" customHeight="1" x14ac:dyDescent="0.25">
      <c r="A187" s="9"/>
      <c r="B187" s="13" t="e">
        <f>VLOOKUP(Table24[[#This Row],[Location 
(drop-down)]],'List source'!D$2:E$71,2,FALSE)</f>
        <v>#N/A</v>
      </c>
      <c r="C187" s="17" t="s">
        <v>420</v>
      </c>
      <c r="D187" s="21" t="e">
        <f t="shared" si="2"/>
        <v>#N/A</v>
      </c>
      <c r="E187" s="11"/>
      <c r="F187" s="91"/>
      <c r="G187" s="16"/>
      <c r="H187" s="12"/>
      <c r="I187" s="12"/>
      <c r="J187" s="10"/>
      <c r="K187" s="10"/>
    </row>
    <row r="188" spans="1:11" s="4" customFormat="1" ht="30" customHeight="1" x14ac:dyDescent="0.25">
      <c r="A188" s="9"/>
      <c r="B188" s="13" t="e">
        <f>VLOOKUP(Table24[[#This Row],[Location 
(drop-down)]],'List source'!D$2:E$71,2,FALSE)</f>
        <v>#N/A</v>
      </c>
      <c r="C188" s="17" t="s">
        <v>421</v>
      </c>
      <c r="D188" s="21" t="e">
        <f t="shared" si="2"/>
        <v>#N/A</v>
      </c>
      <c r="E188" s="11"/>
      <c r="F188" s="91"/>
      <c r="G188" s="16"/>
      <c r="H188" s="12"/>
      <c r="I188" s="12"/>
      <c r="J188" s="10"/>
      <c r="K188" s="10"/>
    </row>
    <row r="189" spans="1:11" s="4" customFormat="1" ht="30" customHeight="1" x14ac:dyDescent="0.25">
      <c r="A189" s="9"/>
      <c r="B189" s="13" t="e">
        <f>VLOOKUP(Table24[[#This Row],[Location 
(drop-down)]],'List source'!D$2:E$71,2,FALSE)</f>
        <v>#N/A</v>
      </c>
      <c r="C189" s="17" t="s">
        <v>422</v>
      </c>
      <c r="D189" s="21" t="e">
        <f t="shared" si="2"/>
        <v>#N/A</v>
      </c>
      <c r="E189" s="11"/>
      <c r="F189" s="91"/>
      <c r="G189" s="16"/>
      <c r="H189" s="12"/>
      <c r="I189" s="12"/>
      <c r="J189" s="10"/>
      <c r="K189" s="10"/>
    </row>
    <row r="190" spans="1:11" s="4" customFormat="1" ht="30" customHeight="1" x14ac:dyDescent="0.25">
      <c r="A190" s="9"/>
      <c r="B190" s="13" t="e">
        <f>VLOOKUP(Table24[[#This Row],[Location 
(drop-down)]],'List source'!D$2:E$71,2,FALSE)</f>
        <v>#N/A</v>
      </c>
      <c r="C190" s="17" t="s">
        <v>423</v>
      </c>
      <c r="D190" s="21" t="e">
        <f t="shared" si="2"/>
        <v>#N/A</v>
      </c>
      <c r="E190" s="11"/>
      <c r="F190" s="91"/>
      <c r="G190" s="16"/>
      <c r="H190" s="12"/>
      <c r="I190" s="12"/>
      <c r="J190" s="10"/>
      <c r="K190" s="10"/>
    </row>
    <row r="191" spans="1:11" s="4" customFormat="1" ht="30" customHeight="1" x14ac:dyDescent="0.25">
      <c r="A191" s="9"/>
      <c r="B191" s="13" t="e">
        <f>VLOOKUP(Table24[[#This Row],[Location 
(drop-down)]],'List source'!D$2:E$71,2,FALSE)</f>
        <v>#N/A</v>
      </c>
      <c r="C191" s="17" t="s">
        <v>424</v>
      </c>
      <c r="D191" s="21" t="e">
        <f t="shared" si="2"/>
        <v>#N/A</v>
      </c>
      <c r="E191" s="11"/>
      <c r="F191" s="91"/>
      <c r="G191" s="16"/>
      <c r="H191" s="12"/>
      <c r="I191" s="12"/>
      <c r="J191" s="10"/>
      <c r="K191" s="10"/>
    </row>
    <row r="192" spans="1:11" s="4" customFormat="1" ht="30" customHeight="1" x14ac:dyDescent="0.25">
      <c r="A192" s="9"/>
      <c r="B192" s="13" t="e">
        <f>VLOOKUP(Table24[[#This Row],[Location 
(drop-down)]],'List source'!D$2:E$71,2,FALSE)</f>
        <v>#N/A</v>
      </c>
      <c r="C192" s="17" t="s">
        <v>425</v>
      </c>
      <c r="D192" s="21" t="e">
        <f t="shared" si="2"/>
        <v>#N/A</v>
      </c>
      <c r="E192" s="11"/>
      <c r="F192" s="91"/>
      <c r="G192" s="16"/>
      <c r="H192" s="12"/>
      <c r="I192" s="12"/>
      <c r="J192" s="10"/>
      <c r="K192" s="10"/>
    </row>
    <row r="193" spans="1:11" s="4" customFormat="1" ht="30" customHeight="1" x14ac:dyDescent="0.25">
      <c r="A193" s="9"/>
      <c r="B193" s="13" t="e">
        <f>VLOOKUP(Table24[[#This Row],[Location 
(drop-down)]],'List source'!D$2:E$71,2,FALSE)</f>
        <v>#N/A</v>
      </c>
      <c r="C193" s="17" t="s">
        <v>426</v>
      </c>
      <c r="D193" s="21" t="e">
        <f t="shared" si="2"/>
        <v>#N/A</v>
      </c>
      <c r="E193" s="11"/>
      <c r="F193" s="91"/>
      <c r="G193" s="16"/>
      <c r="H193" s="12"/>
      <c r="I193" s="12"/>
      <c r="J193" s="10"/>
      <c r="K193" s="10"/>
    </row>
    <row r="194" spans="1:11" s="4" customFormat="1" ht="30" customHeight="1" x14ac:dyDescent="0.25">
      <c r="A194" s="9"/>
      <c r="B194" s="13" t="e">
        <f>VLOOKUP(Table24[[#This Row],[Location 
(drop-down)]],'List source'!D$2:E$71,2,FALSE)</f>
        <v>#N/A</v>
      </c>
      <c r="C194" s="17" t="s">
        <v>427</v>
      </c>
      <c r="D194" s="21" t="e">
        <f t="shared" ref="D194:D257" si="3">"P" &amp; C194 &amp; "-" &amp; B194 &amp; "-" &amp; "25"</f>
        <v>#N/A</v>
      </c>
      <c r="E194" s="11"/>
      <c r="F194" s="91"/>
      <c r="G194" s="16"/>
      <c r="H194" s="12"/>
      <c r="I194" s="12"/>
      <c r="J194" s="10"/>
      <c r="K194" s="10"/>
    </row>
    <row r="195" spans="1:11" s="4" customFormat="1" ht="30" customHeight="1" x14ac:dyDescent="0.25">
      <c r="A195" s="9"/>
      <c r="B195" s="13" t="e">
        <f>VLOOKUP(Table24[[#This Row],[Location 
(drop-down)]],'List source'!D$2:E$71,2,FALSE)</f>
        <v>#N/A</v>
      </c>
      <c r="C195" s="17" t="s">
        <v>428</v>
      </c>
      <c r="D195" s="21" t="e">
        <f t="shared" si="3"/>
        <v>#N/A</v>
      </c>
      <c r="E195" s="11"/>
      <c r="F195" s="91"/>
      <c r="G195" s="16"/>
      <c r="H195" s="12"/>
      <c r="I195" s="12"/>
      <c r="J195" s="10"/>
      <c r="K195" s="10"/>
    </row>
    <row r="196" spans="1:11" s="4" customFormat="1" ht="30" customHeight="1" x14ac:dyDescent="0.25">
      <c r="A196" s="9"/>
      <c r="B196" s="13" t="e">
        <f>VLOOKUP(Table24[[#This Row],[Location 
(drop-down)]],'List source'!D$2:E$71,2,FALSE)</f>
        <v>#N/A</v>
      </c>
      <c r="C196" s="17" t="s">
        <v>429</v>
      </c>
      <c r="D196" s="21" t="e">
        <f t="shared" si="3"/>
        <v>#N/A</v>
      </c>
      <c r="E196" s="11"/>
      <c r="F196" s="91"/>
      <c r="G196" s="16"/>
      <c r="H196" s="12"/>
      <c r="I196" s="12"/>
      <c r="J196" s="10"/>
      <c r="K196" s="10"/>
    </row>
    <row r="197" spans="1:11" s="4" customFormat="1" ht="30" customHeight="1" x14ac:dyDescent="0.25">
      <c r="A197" s="9"/>
      <c r="B197" s="13" t="e">
        <f>VLOOKUP(Table24[[#This Row],[Location 
(drop-down)]],'List source'!D$2:E$71,2,FALSE)</f>
        <v>#N/A</v>
      </c>
      <c r="C197" s="17" t="s">
        <v>430</v>
      </c>
      <c r="D197" s="21" t="e">
        <f t="shared" si="3"/>
        <v>#N/A</v>
      </c>
      <c r="E197" s="11"/>
      <c r="F197" s="91"/>
      <c r="G197" s="16"/>
      <c r="H197" s="12"/>
      <c r="I197" s="12"/>
      <c r="J197" s="10"/>
      <c r="K197" s="10"/>
    </row>
    <row r="198" spans="1:11" s="4" customFormat="1" ht="30" customHeight="1" x14ac:dyDescent="0.25">
      <c r="A198" s="9"/>
      <c r="B198" s="13" t="e">
        <f>VLOOKUP(Table24[[#This Row],[Location 
(drop-down)]],'List source'!D$2:E$71,2,FALSE)</f>
        <v>#N/A</v>
      </c>
      <c r="C198" s="17" t="s">
        <v>431</v>
      </c>
      <c r="D198" s="21" t="e">
        <f t="shared" si="3"/>
        <v>#N/A</v>
      </c>
      <c r="E198" s="11"/>
      <c r="F198" s="91"/>
      <c r="G198" s="16"/>
      <c r="H198" s="12"/>
      <c r="I198" s="12"/>
      <c r="J198" s="10"/>
      <c r="K198" s="10"/>
    </row>
    <row r="199" spans="1:11" s="4" customFormat="1" ht="30" customHeight="1" x14ac:dyDescent="0.25">
      <c r="A199" s="9"/>
      <c r="B199" s="13" t="e">
        <f>VLOOKUP(Table24[[#This Row],[Location 
(drop-down)]],'List source'!D$2:E$71,2,FALSE)</f>
        <v>#N/A</v>
      </c>
      <c r="C199" s="17" t="s">
        <v>432</v>
      </c>
      <c r="D199" s="21" t="e">
        <f t="shared" si="3"/>
        <v>#N/A</v>
      </c>
      <c r="E199" s="11"/>
      <c r="F199" s="91"/>
      <c r="G199" s="16"/>
      <c r="H199" s="12"/>
      <c r="I199" s="12"/>
      <c r="J199" s="10"/>
      <c r="K199" s="10"/>
    </row>
    <row r="200" spans="1:11" s="4" customFormat="1" ht="30" customHeight="1" x14ac:dyDescent="0.25">
      <c r="A200" s="9"/>
      <c r="B200" s="13" t="e">
        <f>VLOOKUP(Table24[[#This Row],[Location 
(drop-down)]],'List source'!D$2:E$71,2,FALSE)</f>
        <v>#N/A</v>
      </c>
      <c r="C200" s="17" t="s">
        <v>433</v>
      </c>
      <c r="D200" s="21" t="e">
        <f t="shared" si="3"/>
        <v>#N/A</v>
      </c>
      <c r="E200" s="11"/>
      <c r="F200" s="91"/>
      <c r="G200" s="16"/>
      <c r="H200" s="12"/>
      <c r="I200" s="12"/>
      <c r="J200" s="10"/>
      <c r="K200" s="10"/>
    </row>
    <row r="201" spans="1:11" s="4" customFormat="1" ht="30" customHeight="1" x14ac:dyDescent="0.25">
      <c r="A201" s="9"/>
      <c r="B201" s="13" t="e">
        <f>VLOOKUP(Table24[[#This Row],[Location 
(drop-down)]],'List source'!D$2:E$71,2,FALSE)</f>
        <v>#N/A</v>
      </c>
      <c r="C201" s="17" t="s">
        <v>434</v>
      </c>
      <c r="D201" s="21" t="e">
        <f t="shared" si="3"/>
        <v>#N/A</v>
      </c>
      <c r="E201" s="11"/>
      <c r="F201" s="91"/>
      <c r="G201" s="16"/>
      <c r="H201" s="12"/>
      <c r="I201" s="12"/>
      <c r="J201" s="10"/>
      <c r="K201" s="10"/>
    </row>
    <row r="202" spans="1:11" s="4" customFormat="1" ht="30" customHeight="1" x14ac:dyDescent="0.25">
      <c r="A202" s="9"/>
      <c r="B202" s="13" t="e">
        <f>VLOOKUP(Table24[[#This Row],[Location 
(drop-down)]],'List source'!D$2:E$71,2,FALSE)</f>
        <v>#N/A</v>
      </c>
      <c r="C202" s="17" t="s">
        <v>672</v>
      </c>
      <c r="D202" s="21" t="e">
        <f t="shared" si="3"/>
        <v>#N/A</v>
      </c>
      <c r="E202" s="11"/>
      <c r="F202" s="91"/>
      <c r="G202" s="16"/>
      <c r="H202" s="12"/>
      <c r="I202" s="12"/>
      <c r="J202" s="10"/>
      <c r="K202" s="10"/>
    </row>
    <row r="203" spans="1:11" s="4" customFormat="1" ht="30" customHeight="1" x14ac:dyDescent="0.25">
      <c r="A203" s="9"/>
      <c r="B203" s="13" t="e">
        <f>VLOOKUP(Table24[[#This Row],[Location 
(drop-down)]],'List source'!D$2:E$71,2,FALSE)</f>
        <v>#N/A</v>
      </c>
      <c r="C203" s="17" t="s">
        <v>674</v>
      </c>
      <c r="D203" s="21" t="e">
        <f t="shared" si="3"/>
        <v>#N/A</v>
      </c>
      <c r="E203" s="11"/>
      <c r="F203" s="91"/>
      <c r="G203" s="16"/>
      <c r="H203" s="12"/>
      <c r="I203" s="12"/>
      <c r="J203" s="10"/>
      <c r="K203" s="10"/>
    </row>
    <row r="204" spans="1:11" s="4" customFormat="1" ht="30" customHeight="1" x14ac:dyDescent="0.25">
      <c r="A204" s="9"/>
      <c r="B204" s="13" t="e">
        <f>VLOOKUP(Table24[[#This Row],[Location 
(drop-down)]],'List source'!D$2:E$71,2,FALSE)</f>
        <v>#N/A</v>
      </c>
      <c r="C204" s="17" t="s">
        <v>676</v>
      </c>
      <c r="D204" s="21" t="e">
        <f t="shared" si="3"/>
        <v>#N/A</v>
      </c>
      <c r="E204" s="11"/>
      <c r="F204" s="91"/>
      <c r="G204" s="14"/>
      <c r="H204" s="12"/>
      <c r="I204" s="12"/>
      <c r="J204" s="10"/>
      <c r="K204" s="10"/>
    </row>
    <row r="205" spans="1:11" s="4" customFormat="1" ht="30" customHeight="1" x14ac:dyDescent="0.25">
      <c r="A205" s="9"/>
      <c r="B205" s="13" t="e">
        <f>VLOOKUP(Table24[[#This Row],[Location 
(drop-down)]],'List source'!D$2:E$71,2,FALSE)</f>
        <v>#N/A</v>
      </c>
      <c r="C205" s="17" t="s">
        <v>679</v>
      </c>
      <c r="D205" s="21" t="e">
        <f t="shared" si="3"/>
        <v>#N/A</v>
      </c>
      <c r="E205" s="11"/>
      <c r="F205" s="91"/>
      <c r="G205" s="16"/>
      <c r="H205" s="12"/>
      <c r="I205" s="12"/>
      <c r="J205" s="10"/>
      <c r="K205" s="10"/>
    </row>
    <row r="206" spans="1:11" s="4" customFormat="1" ht="30" customHeight="1" x14ac:dyDescent="0.25">
      <c r="A206" s="9"/>
      <c r="B206" s="13" t="e">
        <f>VLOOKUP(Table24[[#This Row],[Location 
(drop-down)]],'List source'!D$2:E$71,2,FALSE)</f>
        <v>#N/A</v>
      </c>
      <c r="C206" s="17" t="s">
        <v>681</v>
      </c>
      <c r="D206" s="21" t="e">
        <f t="shared" si="3"/>
        <v>#N/A</v>
      </c>
      <c r="E206" s="11"/>
      <c r="F206" s="91"/>
      <c r="G206" s="16"/>
      <c r="H206" s="12"/>
      <c r="I206" s="12"/>
      <c r="J206" s="10"/>
      <c r="K206" s="10"/>
    </row>
    <row r="207" spans="1:11" s="4" customFormat="1" ht="30" customHeight="1" x14ac:dyDescent="0.25">
      <c r="A207" s="9"/>
      <c r="B207" s="13" t="e">
        <f>VLOOKUP(Table24[[#This Row],[Location 
(drop-down)]],'List source'!D$2:E$71,2,FALSE)</f>
        <v>#N/A</v>
      </c>
      <c r="C207" s="17" t="s">
        <v>683</v>
      </c>
      <c r="D207" s="21" t="e">
        <f t="shared" si="3"/>
        <v>#N/A</v>
      </c>
      <c r="E207" s="11"/>
      <c r="F207" s="91"/>
      <c r="G207" s="16"/>
      <c r="H207" s="12"/>
      <c r="I207" s="12"/>
      <c r="J207" s="10"/>
      <c r="K207" s="10"/>
    </row>
    <row r="208" spans="1:11" s="4" customFormat="1" ht="30" customHeight="1" x14ac:dyDescent="0.25">
      <c r="A208" s="9"/>
      <c r="B208" s="13" t="e">
        <f>VLOOKUP(Table24[[#This Row],[Location 
(drop-down)]],'List source'!D$2:E$71,2,FALSE)</f>
        <v>#N/A</v>
      </c>
      <c r="C208" s="17" t="s">
        <v>685</v>
      </c>
      <c r="D208" s="21" t="e">
        <f t="shared" si="3"/>
        <v>#N/A</v>
      </c>
      <c r="E208" s="11"/>
      <c r="F208" s="91"/>
      <c r="G208" s="12"/>
      <c r="H208" s="12"/>
      <c r="I208" s="12"/>
      <c r="J208" s="10"/>
      <c r="K208" s="10"/>
    </row>
    <row r="209" spans="1:11" s="4" customFormat="1" ht="30" customHeight="1" x14ac:dyDescent="0.25">
      <c r="A209" s="9"/>
      <c r="B209" s="13" t="e">
        <f>VLOOKUP(Table24[[#This Row],[Location 
(drop-down)]],'List source'!D$2:E$71,2,FALSE)</f>
        <v>#N/A</v>
      </c>
      <c r="C209" s="17" t="s">
        <v>687</v>
      </c>
      <c r="D209" s="21" t="e">
        <f t="shared" si="3"/>
        <v>#N/A</v>
      </c>
      <c r="E209" s="11"/>
      <c r="F209" s="91"/>
      <c r="G209" s="12"/>
      <c r="H209" s="12"/>
      <c r="I209" s="12"/>
      <c r="J209" s="10"/>
      <c r="K209" s="10"/>
    </row>
    <row r="210" spans="1:11" s="4" customFormat="1" ht="30" customHeight="1" x14ac:dyDescent="0.25">
      <c r="A210" s="9"/>
      <c r="B210" s="13" t="e">
        <f>VLOOKUP(Table24[[#This Row],[Location 
(drop-down)]],'List source'!D$2:E$71,2,FALSE)</f>
        <v>#N/A</v>
      </c>
      <c r="C210" s="17" t="s">
        <v>688</v>
      </c>
      <c r="D210" s="21" t="e">
        <f t="shared" si="3"/>
        <v>#N/A</v>
      </c>
      <c r="E210" s="11"/>
      <c r="F210" s="91"/>
      <c r="G210" s="16"/>
      <c r="H210" s="12"/>
      <c r="I210" s="12"/>
      <c r="J210" s="10"/>
      <c r="K210" s="10"/>
    </row>
    <row r="211" spans="1:11" s="4" customFormat="1" ht="30" customHeight="1" x14ac:dyDescent="0.25">
      <c r="A211" s="9"/>
      <c r="B211" s="13" t="e">
        <f>VLOOKUP(Table24[[#This Row],[Location 
(drop-down)]],'List source'!D$2:E$71,2,FALSE)</f>
        <v>#N/A</v>
      </c>
      <c r="C211" s="17" t="s">
        <v>689</v>
      </c>
      <c r="D211" s="21" t="e">
        <f t="shared" si="3"/>
        <v>#N/A</v>
      </c>
      <c r="E211" s="11"/>
      <c r="F211" s="91"/>
      <c r="G211" s="16"/>
      <c r="H211" s="12"/>
      <c r="I211" s="12"/>
      <c r="J211" s="10"/>
      <c r="K211" s="10"/>
    </row>
    <row r="212" spans="1:11" s="4" customFormat="1" ht="30" customHeight="1" x14ac:dyDescent="0.25">
      <c r="A212" s="9"/>
      <c r="B212" s="13" t="e">
        <f>VLOOKUP(Table24[[#This Row],[Location 
(drop-down)]],'List source'!D$2:E$71,2,FALSE)</f>
        <v>#N/A</v>
      </c>
      <c r="C212" s="17" t="s">
        <v>690</v>
      </c>
      <c r="D212" s="21" t="e">
        <f t="shared" si="3"/>
        <v>#N/A</v>
      </c>
      <c r="E212" s="11"/>
      <c r="F212" s="91"/>
      <c r="G212" s="16"/>
      <c r="H212" s="12"/>
      <c r="I212" s="12"/>
      <c r="J212" s="10"/>
      <c r="K212" s="10"/>
    </row>
    <row r="213" spans="1:11" s="4" customFormat="1" ht="30" customHeight="1" x14ac:dyDescent="0.25">
      <c r="A213" s="9"/>
      <c r="B213" s="13" t="e">
        <f>VLOOKUP(Table24[[#This Row],[Location 
(drop-down)]],'List source'!D$2:E$71,2,FALSE)</f>
        <v>#N/A</v>
      </c>
      <c r="C213" s="17" t="s">
        <v>691</v>
      </c>
      <c r="D213" s="21" t="e">
        <f t="shared" si="3"/>
        <v>#N/A</v>
      </c>
      <c r="E213" s="11"/>
      <c r="F213" s="91"/>
      <c r="G213" s="16"/>
      <c r="H213" s="12"/>
      <c r="I213" s="12"/>
      <c r="J213" s="10"/>
      <c r="K213" s="10"/>
    </row>
    <row r="214" spans="1:11" s="4" customFormat="1" ht="30" customHeight="1" x14ac:dyDescent="0.25">
      <c r="A214" s="9"/>
      <c r="B214" s="13" t="e">
        <f>VLOOKUP(Table24[[#This Row],[Location 
(drop-down)]],'List source'!D$2:E$71,2,FALSE)</f>
        <v>#N/A</v>
      </c>
      <c r="C214" s="17" t="s">
        <v>693</v>
      </c>
      <c r="D214" s="21" t="e">
        <f t="shared" si="3"/>
        <v>#N/A</v>
      </c>
      <c r="E214" s="11"/>
      <c r="F214" s="91"/>
      <c r="G214" s="16"/>
      <c r="H214" s="12"/>
      <c r="I214" s="12"/>
      <c r="J214" s="10"/>
      <c r="K214" s="10"/>
    </row>
    <row r="215" spans="1:11" s="4" customFormat="1" ht="30" customHeight="1" x14ac:dyDescent="0.25">
      <c r="A215" s="9"/>
      <c r="B215" s="13" t="e">
        <f>VLOOKUP(Table24[[#This Row],[Location 
(drop-down)]],'List source'!D$2:E$71,2,FALSE)</f>
        <v>#N/A</v>
      </c>
      <c r="C215" s="17" t="s">
        <v>694</v>
      </c>
      <c r="D215" s="21" t="e">
        <f t="shared" si="3"/>
        <v>#N/A</v>
      </c>
      <c r="E215" s="11"/>
      <c r="F215" s="91"/>
      <c r="G215" s="16"/>
      <c r="H215" s="12"/>
      <c r="I215" s="12"/>
      <c r="J215" s="10"/>
      <c r="K215" s="10"/>
    </row>
    <row r="216" spans="1:11" s="4" customFormat="1" ht="30" customHeight="1" x14ac:dyDescent="0.25">
      <c r="A216" s="9"/>
      <c r="B216" s="13" t="e">
        <f>VLOOKUP(Table24[[#This Row],[Location 
(drop-down)]],'List source'!D$2:E$71,2,FALSE)</f>
        <v>#N/A</v>
      </c>
      <c r="C216" s="17" t="s">
        <v>696</v>
      </c>
      <c r="D216" s="21" t="e">
        <f t="shared" si="3"/>
        <v>#N/A</v>
      </c>
      <c r="E216" s="11"/>
      <c r="F216" s="91"/>
      <c r="G216" s="16"/>
      <c r="H216" s="12"/>
      <c r="I216" s="12"/>
      <c r="J216" s="10"/>
      <c r="K216" s="10"/>
    </row>
    <row r="217" spans="1:11" s="4" customFormat="1" ht="30" customHeight="1" x14ac:dyDescent="0.25">
      <c r="A217" s="9"/>
      <c r="B217" s="13" t="e">
        <f>VLOOKUP(Table24[[#This Row],[Location 
(drop-down)]],'List source'!D$2:E$71,2,FALSE)</f>
        <v>#N/A</v>
      </c>
      <c r="C217" s="17" t="s">
        <v>697</v>
      </c>
      <c r="D217" s="21" t="e">
        <f t="shared" si="3"/>
        <v>#N/A</v>
      </c>
      <c r="E217" s="11"/>
      <c r="F217" s="91"/>
      <c r="G217" s="16"/>
      <c r="H217" s="12"/>
      <c r="I217" s="12"/>
      <c r="J217" s="10"/>
      <c r="K217" s="10"/>
    </row>
    <row r="218" spans="1:11" s="4" customFormat="1" ht="30" customHeight="1" x14ac:dyDescent="0.25">
      <c r="A218" s="9"/>
      <c r="B218" s="13" t="e">
        <f>VLOOKUP(Table24[[#This Row],[Location 
(drop-down)]],'List source'!D$2:E$71,2,FALSE)</f>
        <v>#N/A</v>
      </c>
      <c r="C218" s="17" t="s">
        <v>699</v>
      </c>
      <c r="D218" s="21" t="e">
        <f t="shared" si="3"/>
        <v>#N/A</v>
      </c>
      <c r="E218" s="11"/>
      <c r="F218" s="91"/>
      <c r="G218" s="16"/>
      <c r="H218" s="12"/>
      <c r="I218" s="12"/>
      <c r="J218" s="10"/>
      <c r="K218" s="10"/>
    </row>
    <row r="219" spans="1:11" s="4" customFormat="1" ht="30" customHeight="1" x14ac:dyDescent="0.25">
      <c r="A219" s="9"/>
      <c r="B219" s="13" t="e">
        <f>VLOOKUP(Table24[[#This Row],[Location 
(drop-down)]],'List source'!D$2:E$71,2,FALSE)</f>
        <v>#N/A</v>
      </c>
      <c r="C219" s="17" t="s">
        <v>701</v>
      </c>
      <c r="D219" s="21" t="e">
        <f t="shared" si="3"/>
        <v>#N/A</v>
      </c>
      <c r="E219" s="11"/>
      <c r="F219" s="91"/>
      <c r="G219" s="16"/>
      <c r="H219" s="12"/>
      <c r="I219" s="12"/>
      <c r="J219" s="10"/>
      <c r="K219" s="10"/>
    </row>
    <row r="220" spans="1:11" s="4" customFormat="1" ht="30" customHeight="1" x14ac:dyDescent="0.25">
      <c r="A220" s="9"/>
      <c r="B220" s="13" t="e">
        <f>VLOOKUP(Table24[[#This Row],[Location 
(drop-down)]],'List source'!D$2:E$71,2,FALSE)</f>
        <v>#N/A</v>
      </c>
      <c r="C220" s="17" t="s">
        <v>702</v>
      </c>
      <c r="D220" s="21" t="e">
        <f t="shared" si="3"/>
        <v>#N/A</v>
      </c>
      <c r="E220" s="11"/>
      <c r="G220" s="16"/>
      <c r="H220" s="12"/>
      <c r="I220" s="12"/>
      <c r="J220" s="10"/>
      <c r="K220" s="10"/>
    </row>
    <row r="221" spans="1:11" s="4" customFormat="1" ht="30" customHeight="1" x14ac:dyDescent="0.25">
      <c r="A221" s="9"/>
      <c r="B221" s="13" t="e">
        <f>VLOOKUP(Table24[[#This Row],[Location 
(drop-down)]],'List source'!D$2:E$71,2,FALSE)</f>
        <v>#N/A</v>
      </c>
      <c r="C221" s="17" t="s">
        <v>704</v>
      </c>
      <c r="D221" s="21" t="e">
        <f t="shared" si="3"/>
        <v>#N/A</v>
      </c>
      <c r="E221" s="11"/>
      <c r="F221" s="91"/>
      <c r="G221" s="16"/>
      <c r="H221" s="12"/>
      <c r="I221" s="12"/>
      <c r="J221" s="10"/>
      <c r="K221" s="10"/>
    </row>
    <row r="222" spans="1:11" s="4" customFormat="1" ht="30" customHeight="1" x14ac:dyDescent="0.25">
      <c r="A222" s="9"/>
      <c r="B222" s="13" t="e">
        <f>VLOOKUP(Table24[[#This Row],[Location 
(drop-down)]],'List source'!D$2:E$71,2,FALSE)</f>
        <v>#N/A</v>
      </c>
      <c r="C222" s="17" t="s">
        <v>706</v>
      </c>
      <c r="D222" s="21" t="e">
        <f t="shared" si="3"/>
        <v>#N/A</v>
      </c>
      <c r="E222" s="11"/>
      <c r="F222" s="91"/>
      <c r="G222" s="16"/>
      <c r="H222" s="12"/>
      <c r="I222" s="12"/>
      <c r="J222" s="10"/>
      <c r="K222" s="10"/>
    </row>
    <row r="223" spans="1:11" s="4" customFormat="1" ht="30" customHeight="1" x14ac:dyDescent="0.25">
      <c r="A223" s="9"/>
      <c r="B223" s="13" t="e">
        <f>VLOOKUP(Table24[[#This Row],[Location 
(drop-down)]],'List source'!D$2:E$71,2,FALSE)</f>
        <v>#N/A</v>
      </c>
      <c r="C223" s="17" t="s">
        <v>708</v>
      </c>
      <c r="D223" s="21" t="e">
        <f t="shared" si="3"/>
        <v>#N/A</v>
      </c>
      <c r="E223" s="11"/>
      <c r="F223" s="91"/>
      <c r="G223" s="16"/>
      <c r="H223" s="12"/>
      <c r="I223" s="12"/>
      <c r="J223" s="10"/>
      <c r="K223" s="10"/>
    </row>
    <row r="224" spans="1:11" s="4" customFormat="1" ht="30" customHeight="1" x14ac:dyDescent="0.25">
      <c r="A224" s="9"/>
      <c r="B224" s="13" t="e">
        <f>VLOOKUP(Table24[[#This Row],[Location 
(drop-down)]],'List source'!D$2:E$71,2,FALSE)</f>
        <v>#N/A</v>
      </c>
      <c r="C224" s="17" t="s">
        <v>710</v>
      </c>
      <c r="D224" s="21" t="e">
        <f t="shared" si="3"/>
        <v>#N/A</v>
      </c>
      <c r="E224" s="11"/>
      <c r="F224" s="91"/>
      <c r="G224" s="16"/>
      <c r="H224" s="12"/>
      <c r="I224" s="12"/>
      <c r="J224" s="10"/>
      <c r="K224" s="10"/>
    </row>
    <row r="225" spans="1:11" s="4" customFormat="1" ht="30" customHeight="1" x14ac:dyDescent="0.25">
      <c r="A225" s="9"/>
      <c r="B225" s="13" t="e">
        <f>VLOOKUP(Table24[[#This Row],[Location 
(drop-down)]],'List source'!D$2:E$71,2,FALSE)</f>
        <v>#N/A</v>
      </c>
      <c r="C225" s="17" t="s">
        <v>713</v>
      </c>
      <c r="D225" s="21" t="e">
        <f t="shared" si="3"/>
        <v>#N/A</v>
      </c>
      <c r="E225" s="11"/>
      <c r="F225" s="91"/>
      <c r="G225" s="16"/>
      <c r="H225" s="12"/>
      <c r="I225" s="12"/>
      <c r="J225" s="10"/>
      <c r="K225" s="10"/>
    </row>
    <row r="226" spans="1:11" s="4" customFormat="1" ht="30" customHeight="1" x14ac:dyDescent="0.25">
      <c r="A226" s="9"/>
      <c r="B226" s="13" t="e">
        <f>VLOOKUP(Table24[[#This Row],[Location 
(drop-down)]],'List source'!D$2:E$71,2,FALSE)</f>
        <v>#N/A</v>
      </c>
      <c r="C226" s="17" t="s">
        <v>715</v>
      </c>
      <c r="D226" s="21" t="e">
        <f t="shared" si="3"/>
        <v>#N/A</v>
      </c>
      <c r="E226" s="11"/>
      <c r="F226" s="91"/>
      <c r="G226" s="16"/>
      <c r="H226" s="12"/>
      <c r="I226" s="12"/>
      <c r="J226" s="10"/>
      <c r="K226" s="10"/>
    </row>
    <row r="227" spans="1:11" s="4" customFormat="1" ht="30" customHeight="1" x14ac:dyDescent="0.25">
      <c r="A227" s="9"/>
      <c r="B227" s="13" t="e">
        <f>VLOOKUP(Table24[[#This Row],[Location 
(drop-down)]],'List source'!D$2:E$71,2,FALSE)</f>
        <v>#N/A</v>
      </c>
      <c r="C227" s="17" t="s">
        <v>718</v>
      </c>
      <c r="D227" s="21" t="e">
        <f t="shared" si="3"/>
        <v>#N/A</v>
      </c>
      <c r="E227" s="11"/>
      <c r="F227" s="91"/>
      <c r="G227" s="16"/>
      <c r="H227" s="12"/>
      <c r="I227" s="12"/>
      <c r="J227" s="10"/>
      <c r="K227" s="10"/>
    </row>
    <row r="228" spans="1:11" s="4" customFormat="1" ht="30" customHeight="1" x14ac:dyDescent="0.25">
      <c r="A228" s="9"/>
      <c r="B228" s="13" t="e">
        <f>VLOOKUP(Table24[[#This Row],[Location 
(drop-down)]],'List source'!D$2:E$71,2,FALSE)</f>
        <v>#N/A</v>
      </c>
      <c r="C228" s="17" t="s">
        <v>720</v>
      </c>
      <c r="D228" s="21" t="e">
        <f t="shared" si="3"/>
        <v>#N/A</v>
      </c>
      <c r="E228" s="11"/>
      <c r="F228" s="91"/>
      <c r="G228" s="16"/>
      <c r="H228" s="12"/>
      <c r="I228" s="12"/>
      <c r="J228" s="10"/>
      <c r="K228" s="10"/>
    </row>
    <row r="229" spans="1:11" s="4" customFormat="1" ht="30" customHeight="1" x14ac:dyDescent="0.25">
      <c r="A229" s="9"/>
      <c r="B229" s="13" t="e">
        <f>VLOOKUP(Table24[[#This Row],[Location 
(drop-down)]],'List source'!D$2:E$71,2,FALSE)</f>
        <v>#N/A</v>
      </c>
      <c r="C229" s="17" t="s">
        <v>721</v>
      </c>
      <c r="D229" s="21" t="e">
        <f t="shared" si="3"/>
        <v>#N/A</v>
      </c>
      <c r="E229" s="11"/>
      <c r="F229" s="91"/>
      <c r="G229" s="16"/>
      <c r="H229" s="12"/>
      <c r="I229" s="12"/>
      <c r="J229" s="10"/>
      <c r="K229" s="10"/>
    </row>
    <row r="230" spans="1:11" s="4" customFormat="1" ht="30" customHeight="1" x14ac:dyDescent="0.25">
      <c r="A230" s="9"/>
      <c r="B230" s="13" t="e">
        <f>VLOOKUP(Table24[[#This Row],[Location 
(drop-down)]],'List source'!D$2:E$71,2,FALSE)</f>
        <v>#N/A</v>
      </c>
      <c r="C230" s="17" t="s">
        <v>723</v>
      </c>
      <c r="D230" s="21" t="e">
        <f t="shared" si="3"/>
        <v>#N/A</v>
      </c>
      <c r="E230" s="11"/>
      <c r="F230" s="91"/>
      <c r="G230" s="16"/>
      <c r="H230" s="12"/>
      <c r="I230" s="12"/>
      <c r="J230" s="10"/>
      <c r="K230" s="10"/>
    </row>
    <row r="231" spans="1:11" s="4" customFormat="1" ht="30" customHeight="1" x14ac:dyDescent="0.25">
      <c r="A231" s="9"/>
      <c r="B231" s="13" t="e">
        <f>VLOOKUP(Table24[[#This Row],[Location 
(drop-down)]],'List source'!D$2:E$71,2,FALSE)</f>
        <v>#N/A</v>
      </c>
      <c r="C231" s="17" t="s">
        <v>725</v>
      </c>
      <c r="D231" s="21" t="e">
        <f t="shared" si="3"/>
        <v>#N/A</v>
      </c>
      <c r="E231" s="11"/>
      <c r="F231" s="91"/>
      <c r="G231" s="16"/>
      <c r="H231" s="12"/>
      <c r="I231" s="12"/>
      <c r="J231" s="10"/>
      <c r="K231" s="10"/>
    </row>
    <row r="232" spans="1:11" s="4" customFormat="1" ht="30" customHeight="1" x14ac:dyDescent="0.25">
      <c r="A232" s="9"/>
      <c r="B232" s="13" t="e">
        <f>VLOOKUP(Table24[[#This Row],[Location 
(drop-down)]],'List source'!D$2:E$71,2,FALSE)</f>
        <v>#N/A</v>
      </c>
      <c r="C232" s="17" t="s">
        <v>727</v>
      </c>
      <c r="D232" s="21" t="e">
        <f t="shared" si="3"/>
        <v>#N/A</v>
      </c>
      <c r="E232" s="11"/>
      <c r="F232" s="91"/>
      <c r="G232" s="16"/>
      <c r="H232" s="12"/>
      <c r="I232" s="12"/>
      <c r="J232" s="10"/>
      <c r="K232" s="10"/>
    </row>
    <row r="233" spans="1:11" s="4" customFormat="1" ht="30" customHeight="1" x14ac:dyDescent="0.25">
      <c r="A233" s="9"/>
      <c r="B233" s="13" t="e">
        <f>VLOOKUP(Table24[[#This Row],[Location 
(drop-down)]],'List source'!D$2:E$71,2,FALSE)</f>
        <v>#N/A</v>
      </c>
      <c r="C233" s="17" t="s">
        <v>730</v>
      </c>
      <c r="D233" s="21" t="e">
        <f t="shared" si="3"/>
        <v>#N/A</v>
      </c>
      <c r="E233" s="11"/>
      <c r="F233" s="91"/>
      <c r="G233" s="16"/>
      <c r="H233" s="12"/>
      <c r="I233" s="12"/>
      <c r="J233" s="10"/>
      <c r="K233" s="10"/>
    </row>
    <row r="234" spans="1:11" s="4" customFormat="1" ht="30" customHeight="1" x14ac:dyDescent="0.25">
      <c r="A234" s="9"/>
      <c r="B234" s="13" t="e">
        <f>VLOOKUP(Table24[[#This Row],[Location 
(drop-down)]],'List source'!D$2:E$71,2,FALSE)</f>
        <v>#N/A</v>
      </c>
      <c r="C234" s="17" t="s">
        <v>732</v>
      </c>
      <c r="D234" s="21" t="e">
        <f t="shared" si="3"/>
        <v>#N/A</v>
      </c>
      <c r="E234" s="11"/>
      <c r="F234" s="91"/>
      <c r="G234" s="16"/>
      <c r="H234" s="12"/>
      <c r="I234" s="12"/>
      <c r="J234" s="10"/>
      <c r="K234" s="10"/>
    </row>
    <row r="235" spans="1:11" s="4" customFormat="1" ht="30" customHeight="1" x14ac:dyDescent="0.25">
      <c r="A235" s="9"/>
      <c r="B235" s="13" t="e">
        <f>VLOOKUP(Table24[[#This Row],[Location 
(drop-down)]],'List source'!D$2:E$71,2,FALSE)</f>
        <v>#N/A</v>
      </c>
      <c r="C235" s="17" t="s">
        <v>734</v>
      </c>
      <c r="D235" s="21" t="e">
        <f t="shared" si="3"/>
        <v>#N/A</v>
      </c>
      <c r="E235" s="11"/>
      <c r="F235" s="91"/>
      <c r="G235" s="16"/>
      <c r="H235" s="12"/>
      <c r="I235" s="12"/>
      <c r="J235" s="10"/>
      <c r="K235" s="10"/>
    </row>
    <row r="236" spans="1:11" s="4" customFormat="1" ht="30" customHeight="1" x14ac:dyDescent="0.25">
      <c r="A236" s="9"/>
      <c r="B236" s="13" t="e">
        <f>VLOOKUP(Table24[[#This Row],[Location 
(drop-down)]],'List source'!D$2:E$71,2,FALSE)</f>
        <v>#N/A</v>
      </c>
      <c r="C236" s="17" t="s">
        <v>736</v>
      </c>
      <c r="D236" s="21" t="e">
        <f t="shared" si="3"/>
        <v>#N/A</v>
      </c>
      <c r="E236" s="11"/>
      <c r="F236" s="91"/>
      <c r="G236" s="16"/>
      <c r="H236" s="12"/>
      <c r="I236" s="12"/>
      <c r="J236" s="10"/>
      <c r="K236" s="10"/>
    </row>
    <row r="237" spans="1:11" s="4" customFormat="1" ht="30" customHeight="1" x14ac:dyDescent="0.25">
      <c r="A237" s="9"/>
      <c r="B237" s="13" t="e">
        <f>VLOOKUP(Table24[[#This Row],[Location 
(drop-down)]],'List source'!D$2:E$71,2,FALSE)</f>
        <v>#N/A</v>
      </c>
      <c r="C237" s="17" t="s">
        <v>738</v>
      </c>
      <c r="D237" s="21" t="e">
        <f t="shared" si="3"/>
        <v>#N/A</v>
      </c>
      <c r="E237" s="11"/>
      <c r="F237" s="91"/>
      <c r="G237" s="12"/>
      <c r="H237" s="12"/>
      <c r="I237" s="12"/>
      <c r="J237" s="10"/>
      <c r="K237" s="10"/>
    </row>
    <row r="238" spans="1:11" s="4" customFormat="1" ht="30" customHeight="1" x14ac:dyDescent="0.25">
      <c r="A238" s="9"/>
      <c r="B238" s="13" t="e">
        <f>VLOOKUP(Table24[[#This Row],[Location 
(drop-down)]],'List source'!D$2:E$71,2,FALSE)</f>
        <v>#N/A</v>
      </c>
      <c r="C238" s="17" t="s">
        <v>740</v>
      </c>
      <c r="D238" s="21" t="e">
        <f t="shared" si="3"/>
        <v>#N/A</v>
      </c>
      <c r="E238" s="11"/>
      <c r="F238" s="91"/>
      <c r="G238" s="12"/>
      <c r="H238" s="12"/>
      <c r="I238" s="12"/>
      <c r="J238" s="10"/>
      <c r="K238" s="10"/>
    </row>
    <row r="239" spans="1:11" s="4" customFormat="1" ht="30" customHeight="1" x14ac:dyDescent="0.25">
      <c r="A239" s="9"/>
      <c r="B239" s="13" t="e">
        <f>VLOOKUP(Table24[[#This Row],[Location 
(drop-down)]],'List source'!D$2:E$71,2,FALSE)</f>
        <v>#N/A</v>
      </c>
      <c r="C239" s="17" t="s">
        <v>741</v>
      </c>
      <c r="D239" s="21" t="e">
        <f t="shared" si="3"/>
        <v>#N/A</v>
      </c>
      <c r="E239" s="11"/>
      <c r="F239" s="91"/>
      <c r="G239" s="12"/>
      <c r="H239" s="12"/>
      <c r="I239" s="12"/>
      <c r="J239" s="10"/>
      <c r="K239" s="10"/>
    </row>
    <row r="240" spans="1:11" s="4" customFormat="1" ht="30" customHeight="1" x14ac:dyDescent="0.25">
      <c r="A240" s="9"/>
      <c r="B240" s="13" t="e">
        <f>VLOOKUP(Table24[[#This Row],[Location 
(drop-down)]],'List source'!D$2:E$71,2,FALSE)</f>
        <v>#N/A</v>
      </c>
      <c r="C240" s="17" t="s">
        <v>742</v>
      </c>
      <c r="D240" s="21" t="e">
        <f t="shared" si="3"/>
        <v>#N/A</v>
      </c>
      <c r="E240" s="11"/>
      <c r="F240" s="91"/>
      <c r="G240" s="12"/>
      <c r="H240" s="12"/>
      <c r="I240" s="12"/>
      <c r="J240" s="10"/>
      <c r="K240" s="10"/>
    </row>
    <row r="241" spans="1:11" s="4" customFormat="1" ht="30" customHeight="1" x14ac:dyDescent="0.25">
      <c r="A241" s="9"/>
      <c r="B241" s="13" t="e">
        <f>VLOOKUP(Table24[[#This Row],[Location 
(drop-down)]],'List source'!D$2:E$71,2,FALSE)</f>
        <v>#N/A</v>
      </c>
      <c r="C241" s="17" t="s">
        <v>744</v>
      </c>
      <c r="D241" s="21" t="e">
        <f t="shared" si="3"/>
        <v>#N/A</v>
      </c>
      <c r="E241" s="11"/>
      <c r="F241" s="91"/>
      <c r="G241" s="12"/>
      <c r="H241" s="12"/>
      <c r="I241" s="12"/>
      <c r="J241" s="10"/>
      <c r="K241" s="10"/>
    </row>
    <row r="242" spans="1:11" s="4" customFormat="1" ht="30" customHeight="1" x14ac:dyDescent="0.25">
      <c r="A242" s="9"/>
      <c r="B242" s="13" t="e">
        <f>VLOOKUP(Table24[[#This Row],[Location 
(drop-down)]],'List source'!D$2:E$71,2,FALSE)</f>
        <v>#N/A</v>
      </c>
      <c r="C242" s="17" t="s">
        <v>746</v>
      </c>
      <c r="D242" s="21" t="e">
        <f t="shared" si="3"/>
        <v>#N/A</v>
      </c>
      <c r="E242" s="11"/>
      <c r="F242" s="91"/>
      <c r="G242" s="12"/>
      <c r="H242" s="12"/>
      <c r="I242" s="12"/>
      <c r="J242" s="10"/>
      <c r="K242" s="10"/>
    </row>
    <row r="243" spans="1:11" s="4" customFormat="1" ht="30" customHeight="1" x14ac:dyDescent="0.25">
      <c r="A243" s="9"/>
      <c r="B243" s="13" t="e">
        <f>VLOOKUP(Table24[[#This Row],[Location 
(drop-down)]],'List source'!D$2:E$71,2,FALSE)</f>
        <v>#N/A</v>
      </c>
      <c r="C243" s="17" t="s">
        <v>749</v>
      </c>
      <c r="D243" s="21" t="e">
        <f t="shared" si="3"/>
        <v>#N/A</v>
      </c>
      <c r="E243" s="11"/>
      <c r="F243" s="91"/>
      <c r="G243" s="12"/>
      <c r="H243" s="12"/>
      <c r="I243" s="12"/>
      <c r="J243" s="10"/>
      <c r="K243" s="10"/>
    </row>
    <row r="244" spans="1:11" s="4" customFormat="1" ht="30" customHeight="1" x14ac:dyDescent="0.25">
      <c r="A244" s="9"/>
      <c r="B244" s="13" t="e">
        <f>VLOOKUP(Table24[[#This Row],[Location 
(drop-down)]],'List source'!D$2:E$71,2,FALSE)</f>
        <v>#N/A</v>
      </c>
      <c r="C244" s="17" t="s">
        <v>750</v>
      </c>
      <c r="D244" s="21" t="e">
        <f t="shared" si="3"/>
        <v>#N/A</v>
      </c>
      <c r="E244" s="11"/>
      <c r="F244" s="91"/>
      <c r="G244" s="12"/>
      <c r="H244" s="12"/>
      <c r="I244" s="12"/>
      <c r="J244" s="10"/>
      <c r="K244" s="10"/>
    </row>
    <row r="245" spans="1:11" s="4" customFormat="1" ht="30" customHeight="1" x14ac:dyDescent="0.25">
      <c r="A245" s="9"/>
      <c r="B245" s="13" t="e">
        <f>VLOOKUP(Table24[[#This Row],[Location 
(drop-down)]],'List source'!D$2:E$71,2,FALSE)</f>
        <v>#N/A</v>
      </c>
      <c r="C245" s="17" t="s">
        <v>752</v>
      </c>
      <c r="D245" s="21" t="e">
        <f t="shared" si="3"/>
        <v>#N/A</v>
      </c>
      <c r="E245" s="11"/>
      <c r="F245" s="91"/>
      <c r="G245" s="12"/>
      <c r="H245" s="12"/>
      <c r="I245" s="12"/>
      <c r="J245" s="10"/>
      <c r="K245" s="10"/>
    </row>
    <row r="246" spans="1:11" s="4" customFormat="1" ht="30" customHeight="1" x14ac:dyDescent="0.25">
      <c r="A246" s="9"/>
      <c r="B246" s="13" t="e">
        <f>VLOOKUP(Table24[[#This Row],[Location 
(drop-down)]],'List source'!D$2:E$71,2,FALSE)</f>
        <v>#N/A</v>
      </c>
      <c r="C246" s="17" t="s">
        <v>754</v>
      </c>
      <c r="D246" s="21" t="e">
        <f t="shared" si="3"/>
        <v>#N/A</v>
      </c>
      <c r="E246" s="11"/>
      <c r="F246" s="91"/>
      <c r="G246" s="12"/>
      <c r="H246" s="12"/>
      <c r="I246" s="12"/>
      <c r="J246" s="10"/>
      <c r="K246" s="10"/>
    </row>
    <row r="247" spans="1:11" s="4" customFormat="1" ht="30" customHeight="1" x14ac:dyDescent="0.25">
      <c r="A247" s="9"/>
      <c r="B247" s="13" t="e">
        <f>VLOOKUP(Table24[[#This Row],[Location 
(drop-down)]],'List source'!D$2:E$71,2,FALSE)</f>
        <v>#N/A</v>
      </c>
      <c r="C247" s="17" t="s">
        <v>756</v>
      </c>
      <c r="D247" s="21" t="e">
        <f t="shared" si="3"/>
        <v>#N/A</v>
      </c>
      <c r="E247" s="11"/>
      <c r="F247" s="91"/>
      <c r="G247" s="12"/>
      <c r="H247" s="12"/>
      <c r="I247" s="12"/>
      <c r="J247" s="10"/>
      <c r="K247" s="10"/>
    </row>
    <row r="248" spans="1:11" s="4" customFormat="1" ht="30" customHeight="1" x14ac:dyDescent="0.25">
      <c r="A248" s="9"/>
      <c r="B248" s="13" t="e">
        <f>VLOOKUP(Table24[[#This Row],[Location 
(drop-down)]],'List source'!D$2:E$71,2,FALSE)</f>
        <v>#N/A</v>
      </c>
      <c r="C248" s="17" t="s">
        <v>758</v>
      </c>
      <c r="D248" s="21" t="e">
        <f t="shared" si="3"/>
        <v>#N/A</v>
      </c>
      <c r="E248" s="11"/>
      <c r="F248" s="91"/>
      <c r="G248" s="12"/>
      <c r="H248" s="12"/>
      <c r="I248" s="12"/>
      <c r="J248" s="10"/>
      <c r="K248" s="10"/>
    </row>
    <row r="249" spans="1:11" s="4" customFormat="1" ht="30" customHeight="1" x14ac:dyDescent="0.25">
      <c r="A249" s="9"/>
      <c r="B249" s="13" t="e">
        <f>VLOOKUP(Table24[[#This Row],[Location 
(drop-down)]],'List source'!D$2:E$71,2,FALSE)</f>
        <v>#N/A</v>
      </c>
      <c r="C249" s="17" t="s">
        <v>760</v>
      </c>
      <c r="D249" s="21" t="e">
        <f t="shared" si="3"/>
        <v>#N/A</v>
      </c>
      <c r="E249" s="11"/>
      <c r="F249" s="91"/>
      <c r="G249" s="12"/>
      <c r="H249" s="12"/>
      <c r="I249" s="12"/>
      <c r="J249" s="10"/>
      <c r="K249" s="10"/>
    </row>
    <row r="250" spans="1:11" s="4" customFormat="1" ht="30" customHeight="1" x14ac:dyDescent="0.25">
      <c r="A250" s="9"/>
      <c r="B250" s="13" t="e">
        <f>VLOOKUP(Table24[[#This Row],[Location 
(drop-down)]],'List source'!D$2:E$71,2,FALSE)</f>
        <v>#N/A</v>
      </c>
      <c r="C250" s="17" t="s">
        <v>762</v>
      </c>
      <c r="D250" s="21" t="e">
        <f t="shared" si="3"/>
        <v>#N/A</v>
      </c>
      <c r="E250" s="11"/>
      <c r="F250" s="91"/>
      <c r="G250" s="12"/>
      <c r="H250" s="12"/>
      <c r="I250" s="12"/>
      <c r="J250" s="10"/>
      <c r="K250" s="10"/>
    </row>
    <row r="251" spans="1:11" s="4" customFormat="1" ht="30" customHeight="1" x14ac:dyDescent="0.25">
      <c r="A251" s="9"/>
      <c r="B251" s="13" t="e">
        <f>VLOOKUP(Table24[[#This Row],[Location 
(drop-down)]],'List source'!D$2:E$71,2,FALSE)</f>
        <v>#N/A</v>
      </c>
      <c r="C251" s="17" t="s">
        <v>764</v>
      </c>
      <c r="D251" s="21" t="e">
        <f t="shared" si="3"/>
        <v>#N/A</v>
      </c>
      <c r="E251" s="11"/>
      <c r="F251" s="91"/>
      <c r="G251" s="12"/>
      <c r="H251" s="12"/>
      <c r="I251" s="12"/>
      <c r="J251" s="10"/>
      <c r="K251" s="10"/>
    </row>
    <row r="252" spans="1:11" s="4" customFormat="1" ht="30" customHeight="1" x14ac:dyDescent="0.25">
      <c r="A252" s="9"/>
      <c r="B252" s="13" t="e">
        <f>VLOOKUP(Table24[[#This Row],[Location 
(drop-down)]],'List source'!D$2:E$71,2,FALSE)</f>
        <v>#N/A</v>
      </c>
      <c r="C252" s="17" t="s">
        <v>766</v>
      </c>
      <c r="D252" s="21" t="e">
        <f t="shared" si="3"/>
        <v>#N/A</v>
      </c>
      <c r="E252" s="11"/>
      <c r="F252" s="91"/>
      <c r="G252" s="12"/>
      <c r="H252" s="12"/>
      <c r="I252" s="12"/>
      <c r="J252" s="10"/>
      <c r="K252" s="10"/>
    </row>
    <row r="253" spans="1:11" s="4" customFormat="1" ht="30" customHeight="1" x14ac:dyDescent="0.25">
      <c r="A253" s="9"/>
      <c r="B253" s="13" t="e">
        <f>VLOOKUP(Table24[[#This Row],[Location 
(drop-down)]],'List source'!D$2:E$71,2,FALSE)</f>
        <v>#N/A</v>
      </c>
      <c r="C253" s="17" t="s">
        <v>768</v>
      </c>
      <c r="D253" s="21" t="e">
        <f t="shared" si="3"/>
        <v>#N/A</v>
      </c>
      <c r="E253" s="11"/>
      <c r="F253" s="91"/>
      <c r="G253" s="12"/>
      <c r="H253" s="12"/>
      <c r="I253" s="12"/>
      <c r="J253" s="10"/>
      <c r="K253" s="10"/>
    </row>
    <row r="254" spans="1:11" s="4" customFormat="1" ht="30" customHeight="1" x14ac:dyDescent="0.25">
      <c r="A254" s="9"/>
      <c r="B254" s="13" t="e">
        <f>VLOOKUP(Table24[[#This Row],[Location 
(drop-down)]],'List source'!D$2:E$71,2,FALSE)</f>
        <v>#N/A</v>
      </c>
      <c r="C254" s="17" t="s">
        <v>770</v>
      </c>
      <c r="D254" s="21" t="e">
        <f t="shared" si="3"/>
        <v>#N/A</v>
      </c>
      <c r="E254" s="11"/>
      <c r="F254" s="91"/>
      <c r="G254" s="12"/>
      <c r="H254" s="12"/>
      <c r="I254" s="12"/>
      <c r="J254" s="10"/>
      <c r="K254" s="10"/>
    </row>
    <row r="255" spans="1:11" s="4" customFormat="1" ht="30" customHeight="1" x14ac:dyDescent="0.25">
      <c r="A255" s="9"/>
      <c r="B255" s="13" t="e">
        <f>VLOOKUP(Table24[[#This Row],[Location 
(drop-down)]],'List source'!D$2:E$71,2,FALSE)</f>
        <v>#N/A</v>
      </c>
      <c r="C255" s="17" t="s">
        <v>773</v>
      </c>
      <c r="D255" s="21" t="e">
        <f t="shared" si="3"/>
        <v>#N/A</v>
      </c>
      <c r="E255" s="11"/>
      <c r="F255" s="91"/>
      <c r="G255" s="12"/>
      <c r="H255" s="12"/>
      <c r="I255" s="12"/>
      <c r="J255" s="10"/>
      <c r="K255" s="10"/>
    </row>
    <row r="256" spans="1:11" s="4" customFormat="1" ht="30" customHeight="1" x14ac:dyDescent="0.25">
      <c r="A256" s="9"/>
      <c r="B256" s="13" t="e">
        <f>VLOOKUP(Table24[[#This Row],[Location 
(drop-down)]],'List source'!D$2:E$71,2,FALSE)</f>
        <v>#N/A</v>
      </c>
      <c r="C256" s="17" t="s">
        <v>775</v>
      </c>
      <c r="D256" s="21" t="e">
        <f t="shared" si="3"/>
        <v>#N/A</v>
      </c>
      <c r="E256" s="11"/>
      <c r="F256" s="91"/>
      <c r="G256" s="12"/>
      <c r="H256" s="12"/>
      <c r="I256" s="12"/>
      <c r="J256" s="10"/>
      <c r="K256" s="10"/>
    </row>
    <row r="257" spans="1:11" s="4" customFormat="1" ht="30" customHeight="1" x14ac:dyDescent="0.25">
      <c r="A257" s="9"/>
      <c r="B257" s="13" t="e">
        <f>VLOOKUP(Table24[[#This Row],[Location 
(drop-down)]],'List source'!D$2:E$71,2,FALSE)</f>
        <v>#N/A</v>
      </c>
      <c r="C257" s="17" t="s">
        <v>778</v>
      </c>
      <c r="D257" s="21" t="e">
        <f t="shared" si="3"/>
        <v>#N/A</v>
      </c>
      <c r="E257" s="11"/>
      <c r="F257" s="91"/>
      <c r="G257" s="12"/>
      <c r="H257" s="12"/>
      <c r="I257" s="12"/>
      <c r="J257" s="10"/>
      <c r="K257" s="10"/>
    </row>
    <row r="258" spans="1:11" s="4" customFormat="1" ht="30" customHeight="1" x14ac:dyDescent="0.25">
      <c r="A258" s="9"/>
      <c r="B258" s="13" t="e">
        <f>VLOOKUP(Table24[[#This Row],[Location 
(drop-down)]],'List source'!D$2:E$71,2,FALSE)</f>
        <v>#N/A</v>
      </c>
      <c r="C258" s="17" t="s">
        <v>781</v>
      </c>
      <c r="D258" s="21" t="e">
        <f t="shared" ref="D258:D321" si="4">"P" &amp; C258 &amp; "-" &amp; B258 &amp; "-" &amp; "25"</f>
        <v>#N/A</v>
      </c>
      <c r="E258" s="11"/>
      <c r="F258" s="91"/>
      <c r="G258" s="12"/>
      <c r="H258" s="12"/>
      <c r="I258" s="12"/>
      <c r="J258" s="10"/>
      <c r="K258" s="10"/>
    </row>
    <row r="259" spans="1:11" s="4" customFormat="1" ht="30" customHeight="1" x14ac:dyDescent="0.25">
      <c r="A259" s="9"/>
      <c r="B259" s="13" t="e">
        <f>VLOOKUP(Table24[[#This Row],[Location 
(drop-down)]],'List source'!D$2:E$71,2,FALSE)</f>
        <v>#N/A</v>
      </c>
      <c r="C259" s="17" t="s">
        <v>783</v>
      </c>
      <c r="D259" s="21" t="e">
        <f t="shared" si="4"/>
        <v>#N/A</v>
      </c>
      <c r="E259" s="11"/>
      <c r="F259" s="91"/>
      <c r="G259" s="12"/>
      <c r="H259" s="12"/>
      <c r="I259" s="12"/>
      <c r="J259" s="10"/>
      <c r="K259" s="10"/>
    </row>
    <row r="260" spans="1:11" s="4" customFormat="1" ht="30" customHeight="1" x14ac:dyDescent="0.25">
      <c r="A260" s="9"/>
      <c r="B260" s="13" t="e">
        <f>VLOOKUP(Table24[[#This Row],[Location 
(drop-down)]],'List source'!D$2:E$71,2,FALSE)</f>
        <v>#N/A</v>
      </c>
      <c r="C260" s="17" t="s">
        <v>785</v>
      </c>
      <c r="D260" s="21" t="e">
        <f t="shared" si="4"/>
        <v>#N/A</v>
      </c>
      <c r="E260" s="11"/>
      <c r="F260" s="91"/>
      <c r="G260" s="12"/>
      <c r="H260" s="12"/>
      <c r="I260" s="12"/>
      <c r="J260" s="10"/>
      <c r="K260" s="10"/>
    </row>
    <row r="261" spans="1:11" s="4" customFormat="1" ht="30" customHeight="1" x14ac:dyDescent="0.25">
      <c r="A261" s="9"/>
      <c r="B261" s="13" t="e">
        <f>VLOOKUP(Table24[[#This Row],[Location 
(drop-down)]],'List source'!D$2:E$71,2,FALSE)</f>
        <v>#N/A</v>
      </c>
      <c r="C261" s="17" t="s">
        <v>786</v>
      </c>
      <c r="D261" s="21" t="e">
        <f t="shared" si="4"/>
        <v>#N/A</v>
      </c>
      <c r="E261" s="11"/>
      <c r="F261" s="91"/>
      <c r="G261" s="12"/>
      <c r="H261" s="12"/>
      <c r="I261" s="12"/>
      <c r="J261" s="10"/>
      <c r="K261" s="10"/>
    </row>
    <row r="262" spans="1:11" s="4" customFormat="1" ht="30" customHeight="1" x14ac:dyDescent="0.25">
      <c r="A262" s="9"/>
      <c r="B262" s="13" t="e">
        <f>VLOOKUP(Table24[[#This Row],[Location 
(drop-down)]],'List source'!D$2:E$71,2,FALSE)</f>
        <v>#N/A</v>
      </c>
      <c r="C262" s="17" t="s">
        <v>789</v>
      </c>
      <c r="D262" s="21" t="e">
        <f t="shared" si="4"/>
        <v>#N/A</v>
      </c>
      <c r="E262" s="11"/>
      <c r="F262" s="91"/>
      <c r="G262" s="12"/>
      <c r="H262" s="12"/>
      <c r="I262" s="12"/>
      <c r="J262" s="10"/>
      <c r="K262" s="10"/>
    </row>
    <row r="263" spans="1:11" s="4" customFormat="1" ht="30" customHeight="1" x14ac:dyDescent="0.25">
      <c r="A263" s="9"/>
      <c r="B263" s="13" t="e">
        <f>VLOOKUP(Table24[[#This Row],[Location 
(drop-down)]],'List source'!D$2:E$71,2,FALSE)</f>
        <v>#N/A</v>
      </c>
      <c r="C263" s="17" t="s">
        <v>791</v>
      </c>
      <c r="D263" s="21" t="e">
        <f t="shared" si="4"/>
        <v>#N/A</v>
      </c>
      <c r="E263" s="11"/>
      <c r="F263" s="91"/>
      <c r="G263" s="12"/>
      <c r="H263" s="12"/>
      <c r="I263" s="12"/>
      <c r="J263" s="10"/>
      <c r="K263" s="10"/>
    </row>
    <row r="264" spans="1:11" s="4" customFormat="1" ht="30" customHeight="1" x14ac:dyDescent="0.25">
      <c r="A264" s="9"/>
      <c r="B264" s="13" t="e">
        <f>VLOOKUP(Table24[[#This Row],[Location 
(drop-down)]],'List source'!D$2:E$71,2,FALSE)</f>
        <v>#N/A</v>
      </c>
      <c r="C264" s="17" t="s">
        <v>793</v>
      </c>
      <c r="D264" s="21" t="e">
        <f t="shared" si="4"/>
        <v>#N/A</v>
      </c>
      <c r="E264" s="11"/>
      <c r="F264" s="91"/>
      <c r="G264" s="12"/>
      <c r="H264" s="12"/>
      <c r="I264" s="12"/>
      <c r="J264" s="10"/>
      <c r="K264" s="10"/>
    </row>
    <row r="265" spans="1:11" s="4" customFormat="1" ht="30" customHeight="1" x14ac:dyDescent="0.25">
      <c r="A265" s="9"/>
      <c r="B265" s="13" t="e">
        <f>VLOOKUP(Table24[[#This Row],[Location 
(drop-down)]],'List source'!D$2:E$71,2,FALSE)</f>
        <v>#N/A</v>
      </c>
      <c r="C265" s="17" t="s">
        <v>796</v>
      </c>
      <c r="D265" s="21" t="e">
        <f t="shared" si="4"/>
        <v>#N/A</v>
      </c>
      <c r="E265" s="11"/>
      <c r="F265" s="91"/>
      <c r="G265" s="12"/>
      <c r="H265" s="12"/>
      <c r="I265" s="12"/>
      <c r="J265" s="10"/>
      <c r="K265" s="10"/>
    </row>
    <row r="266" spans="1:11" s="4" customFormat="1" ht="30" customHeight="1" x14ac:dyDescent="0.25">
      <c r="A266" s="9"/>
      <c r="B266" s="13" t="e">
        <f>VLOOKUP(Table24[[#This Row],[Location 
(drop-down)]],'List source'!D$2:E$71,2,FALSE)</f>
        <v>#N/A</v>
      </c>
      <c r="C266" s="17" t="s">
        <v>799</v>
      </c>
      <c r="D266" s="21" t="e">
        <f t="shared" si="4"/>
        <v>#N/A</v>
      </c>
      <c r="E266" s="11"/>
      <c r="F266" s="91"/>
      <c r="G266" s="12"/>
      <c r="H266" s="12"/>
      <c r="I266" s="12"/>
      <c r="J266" s="10"/>
      <c r="K266" s="10"/>
    </row>
    <row r="267" spans="1:11" s="4" customFormat="1" ht="30" customHeight="1" x14ac:dyDescent="0.25">
      <c r="A267" s="9"/>
      <c r="B267" s="13" t="e">
        <f>VLOOKUP(Table24[[#This Row],[Location 
(drop-down)]],'List source'!D$2:E$71,2,FALSE)</f>
        <v>#N/A</v>
      </c>
      <c r="C267" s="17" t="s">
        <v>801</v>
      </c>
      <c r="D267" s="21" t="e">
        <f t="shared" si="4"/>
        <v>#N/A</v>
      </c>
      <c r="E267" s="11"/>
      <c r="F267" s="91"/>
      <c r="G267" s="12"/>
      <c r="H267" s="12"/>
      <c r="I267" s="12"/>
      <c r="J267" s="10"/>
      <c r="K267" s="10"/>
    </row>
    <row r="268" spans="1:11" s="4" customFormat="1" ht="30" customHeight="1" x14ac:dyDescent="0.25">
      <c r="A268" s="9"/>
      <c r="B268" s="13" t="e">
        <f>VLOOKUP(Table24[[#This Row],[Location 
(drop-down)]],'List source'!D$2:E$71,2,FALSE)</f>
        <v>#N/A</v>
      </c>
      <c r="C268" s="17" t="s">
        <v>803</v>
      </c>
      <c r="D268" s="21" t="e">
        <f t="shared" si="4"/>
        <v>#N/A</v>
      </c>
      <c r="E268" s="11"/>
      <c r="F268" s="91"/>
      <c r="G268" s="12"/>
      <c r="H268" s="12"/>
      <c r="I268" s="12"/>
      <c r="J268" s="10"/>
      <c r="K268" s="10"/>
    </row>
    <row r="269" spans="1:11" s="4" customFormat="1" ht="30" customHeight="1" x14ac:dyDescent="0.25">
      <c r="A269" s="9"/>
      <c r="B269" s="13" t="e">
        <f>VLOOKUP(Table24[[#This Row],[Location 
(drop-down)]],'List source'!D$2:E$71,2,FALSE)</f>
        <v>#N/A</v>
      </c>
      <c r="C269" s="17" t="s">
        <v>805</v>
      </c>
      <c r="D269" s="21" t="e">
        <f t="shared" si="4"/>
        <v>#N/A</v>
      </c>
      <c r="E269" s="11"/>
      <c r="F269" s="91"/>
      <c r="G269" s="12"/>
      <c r="H269" s="12"/>
      <c r="I269" s="12"/>
      <c r="J269" s="10"/>
      <c r="K269" s="10"/>
    </row>
    <row r="270" spans="1:11" s="4" customFormat="1" ht="30" customHeight="1" x14ac:dyDescent="0.25">
      <c r="A270" s="9"/>
      <c r="B270" s="13" t="e">
        <f>VLOOKUP(Table24[[#This Row],[Location 
(drop-down)]],'List source'!D$2:E$71,2,FALSE)</f>
        <v>#N/A</v>
      </c>
      <c r="C270" s="17" t="s">
        <v>807</v>
      </c>
      <c r="D270" s="21" t="e">
        <f t="shared" si="4"/>
        <v>#N/A</v>
      </c>
      <c r="E270" s="11"/>
      <c r="F270" s="91"/>
      <c r="G270" s="12"/>
      <c r="H270" s="12"/>
      <c r="I270" s="12"/>
      <c r="J270" s="10"/>
      <c r="K270" s="10"/>
    </row>
    <row r="271" spans="1:11" s="4" customFormat="1" ht="30" customHeight="1" x14ac:dyDescent="0.25">
      <c r="A271" s="9"/>
      <c r="B271" s="13" t="e">
        <f>VLOOKUP(Table24[[#This Row],[Location 
(drop-down)]],'List source'!D$2:E$71,2,FALSE)</f>
        <v>#N/A</v>
      </c>
      <c r="C271" s="17" t="s">
        <v>811</v>
      </c>
      <c r="D271" s="21" t="e">
        <f t="shared" si="4"/>
        <v>#N/A</v>
      </c>
      <c r="E271" s="11"/>
      <c r="F271" s="91"/>
      <c r="G271" s="12"/>
      <c r="H271" s="12"/>
      <c r="I271" s="12"/>
      <c r="J271" s="10"/>
      <c r="K271" s="10"/>
    </row>
    <row r="272" spans="1:11" s="4" customFormat="1" ht="30" customHeight="1" x14ac:dyDescent="0.25">
      <c r="A272" s="9"/>
      <c r="B272" s="13" t="e">
        <f>VLOOKUP(Table24[[#This Row],[Location 
(drop-down)]],'List source'!D$2:E$71,2,FALSE)</f>
        <v>#N/A</v>
      </c>
      <c r="C272" s="17" t="s">
        <v>813</v>
      </c>
      <c r="D272" s="21" t="e">
        <f t="shared" si="4"/>
        <v>#N/A</v>
      </c>
      <c r="E272" s="11"/>
      <c r="F272" s="91"/>
      <c r="G272" s="12"/>
      <c r="H272" s="12"/>
      <c r="I272" s="12"/>
      <c r="J272" s="10"/>
      <c r="K272" s="10"/>
    </row>
    <row r="273" spans="1:11" s="4" customFormat="1" ht="30" customHeight="1" x14ac:dyDescent="0.25">
      <c r="A273" s="9"/>
      <c r="B273" s="13" t="e">
        <f>VLOOKUP(Table24[[#This Row],[Location 
(drop-down)]],'List source'!D$2:E$71,2,FALSE)</f>
        <v>#N/A</v>
      </c>
      <c r="C273" s="17" t="s">
        <v>815</v>
      </c>
      <c r="D273" s="21" t="e">
        <f t="shared" si="4"/>
        <v>#N/A</v>
      </c>
      <c r="E273" s="11"/>
      <c r="F273" s="91"/>
      <c r="G273" s="12"/>
      <c r="H273" s="12"/>
      <c r="I273" s="12"/>
      <c r="J273" s="10"/>
      <c r="K273" s="10"/>
    </row>
    <row r="274" spans="1:11" s="4" customFormat="1" ht="30" customHeight="1" x14ac:dyDescent="0.25">
      <c r="A274" s="9"/>
      <c r="B274" s="13" t="e">
        <f>VLOOKUP(Table24[[#This Row],[Location 
(drop-down)]],'List source'!D$2:E$71,2,FALSE)</f>
        <v>#N/A</v>
      </c>
      <c r="C274" s="17" t="s">
        <v>817</v>
      </c>
      <c r="D274" s="21" t="e">
        <f t="shared" si="4"/>
        <v>#N/A</v>
      </c>
      <c r="E274" s="11"/>
      <c r="F274" s="91"/>
      <c r="G274" s="12"/>
      <c r="H274" s="12"/>
      <c r="I274" s="12"/>
      <c r="J274" s="10"/>
      <c r="K274" s="10"/>
    </row>
    <row r="275" spans="1:11" s="4" customFormat="1" ht="30" customHeight="1" x14ac:dyDescent="0.25">
      <c r="A275" s="9"/>
      <c r="B275" s="13" t="e">
        <f>VLOOKUP(Table24[[#This Row],[Location 
(drop-down)]],'List source'!D$2:E$71,2,FALSE)</f>
        <v>#N/A</v>
      </c>
      <c r="C275" s="17" t="s">
        <v>818</v>
      </c>
      <c r="D275" s="21" t="e">
        <f t="shared" si="4"/>
        <v>#N/A</v>
      </c>
      <c r="E275" s="11"/>
      <c r="F275" s="91"/>
      <c r="G275" s="12"/>
      <c r="H275" s="12"/>
      <c r="I275" s="12"/>
      <c r="J275" s="10"/>
      <c r="K275" s="10"/>
    </row>
    <row r="276" spans="1:11" s="4" customFormat="1" ht="30" customHeight="1" x14ac:dyDescent="0.25">
      <c r="A276" s="9"/>
      <c r="B276" s="13" t="e">
        <f>VLOOKUP(Table24[[#This Row],[Location 
(drop-down)]],'List source'!D$2:E$71,2,FALSE)</f>
        <v>#N/A</v>
      </c>
      <c r="C276" s="17" t="s">
        <v>820</v>
      </c>
      <c r="D276" s="21" t="e">
        <f t="shared" si="4"/>
        <v>#N/A</v>
      </c>
      <c r="E276" s="11"/>
      <c r="F276" s="91"/>
      <c r="G276" s="12"/>
      <c r="H276" s="12"/>
      <c r="I276" s="12"/>
      <c r="J276" s="10"/>
      <c r="K276" s="10"/>
    </row>
    <row r="277" spans="1:11" s="4" customFormat="1" ht="30" customHeight="1" x14ac:dyDescent="0.25">
      <c r="A277" s="9"/>
      <c r="B277" s="13" t="e">
        <f>VLOOKUP(Table24[[#This Row],[Location 
(drop-down)]],'List source'!D$2:E$71,2,FALSE)</f>
        <v>#N/A</v>
      </c>
      <c r="C277" s="17" t="s">
        <v>822</v>
      </c>
      <c r="D277" s="21" t="e">
        <f t="shared" si="4"/>
        <v>#N/A</v>
      </c>
      <c r="E277" s="11"/>
      <c r="F277" s="91"/>
      <c r="G277" s="12"/>
      <c r="H277" s="12"/>
      <c r="I277" s="12"/>
      <c r="J277" s="10"/>
      <c r="K277" s="10"/>
    </row>
    <row r="278" spans="1:11" s="4" customFormat="1" ht="30" customHeight="1" x14ac:dyDescent="0.25">
      <c r="A278" s="9"/>
      <c r="B278" s="13" t="e">
        <f>VLOOKUP(Table24[[#This Row],[Location 
(drop-down)]],'List source'!D$2:E$71,2,FALSE)</f>
        <v>#N/A</v>
      </c>
      <c r="C278" s="17" t="s">
        <v>824</v>
      </c>
      <c r="D278" s="21" t="e">
        <f t="shared" si="4"/>
        <v>#N/A</v>
      </c>
      <c r="E278" s="11"/>
      <c r="F278" s="91"/>
      <c r="G278" s="12"/>
      <c r="H278" s="12"/>
      <c r="I278" s="12"/>
      <c r="J278" s="10"/>
      <c r="K278" s="10"/>
    </row>
    <row r="279" spans="1:11" s="4" customFormat="1" ht="30" customHeight="1" x14ac:dyDescent="0.25">
      <c r="A279" s="9"/>
      <c r="B279" s="13" t="e">
        <f>VLOOKUP(Table24[[#This Row],[Location 
(drop-down)]],'List source'!D$2:E$71,2,FALSE)</f>
        <v>#N/A</v>
      </c>
      <c r="C279" s="17" t="s">
        <v>826</v>
      </c>
      <c r="D279" s="21" t="e">
        <f t="shared" si="4"/>
        <v>#N/A</v>
      </c>
      <c r="E279" s="11"/>
      <c r="F279" s="91"/>
      <c r="G279" s="12"/>
      <c r="H279" s="12"/>
      <c r="I279" s="12"/>
      <c r="J279" s="10"/>
      <c r="K279" s="10"/>
    </row>
    <row r="280" spans="1:11" s="4" customFormat="1" ht="30" customHeight="1" x14ac:dyDescent="0.25">
      <c r="A280" s="9"/>
      <c r="B280" s="13" t="e">
        <f>VLOOKUP(Table24[[#This Row],[Location 
(drop-down)]],'List source'!D$2:E$71,2,FALSE)</f>
        <v>#N/A</v>
      </c>
      <c r="C280" s="17" t="s">
        <v>828</v>
      </c>
      <c r="D280" s="21" t="e">
        <f t="shared" si="4"/>
        <v>#N/A</v>
      </c>
      <c r="E280" s="11"/>
      <c r="F280" s="91"/>
      <c r="G280" s="12"/>
      <c r="H280" s="12"/>
      <c r="I280" s="12"/>
      <c r="J280" s="10"/>
      <c r="K280" s="10"/>
    </row>
    <row r="281" spans="1:11" s="4" customFormat="1" ht="30" customHeight="1" x14ac:dyDescent="0.25">
      <c r="A281" s="9"/>
      <c r="B281" s="13" t="e">
        <f>VLOOKUP(Table24[[#This Row],[Location 
(drop-down)]],'List source'!D$2:E$71,2,FALSE)</f>
        <v>#N/A</v>
      </c>
      <c r="C281" s="17" t="s">
        <v>830</v>
      </c>
      <c r="D281" s="21" t="e">
        <f t="shared" si="4"/>
        <v>#N/A</v>
      </c>
      <c r="E281" s="11"/>
      <c r="F281" s="91"/>
      <c r="G281" s="12"/>
      <c r="H281" s="12"/>
      <c r="I281" s="12"/>
      <c r="J281" s="10"/>
      <c r="K281" s="10"/>
    </row>
    <row r="282" spans="1:11" s="4" customFormat="1" ht="30" customHeight="1" x14ac:dyDescent="0.25">
      <c r="A282" s="9"/>
      <c r="B282" s="13" t="e">
        <f>VLOOKUP(Table24[[#This Row],[Location 
(drop-down)]],'List source'!D$2:E$71,2,FALSE)</f>
        <v>#N/A</v>
      </c>
      <c r="C282" s="17" t="s">
        <v>832</v>
      </c>
      <c r="D282" s="21" t="e">
        <f t="shared" si="4"/>
        <v>#N/A</v>
      </c>
      <c r="E282" s="11"/>
      <c r="F282" s="91"/>
      <c r="G282" s="12"/>
      <c r="H282" s="12"/>
      <c r="I282" s="12"/>
      <c r="J282" s="10"/>
      <c r="K282" s="10"/>
    </row>
    <row r="283" spans="1:11" s="4" customFormat="1" ht="30" customHeight="1" x14ac:dyDescent="0.25">
      <c r="A283" s="9"/>
      <c r="B283" s="13" t="e">
        <f>VLOOKUP(Table24[[#This Row],[Location 
(drop-down)]],'List source'!D$2:E$71,2,FALSE)</f>
        <v>#N/A</v>
      </c>
      <c r="C283" s="17" t="s">
        <v>834</v>
      </c>
      <c r="D283" s="21" t="e">
        <f t="shared" si="4"/>
        <v>#N/A</v>
      </c>
      <c r="E283" s="11"/>
      <c r="F283" s="91"/>
      <c r="G283" s="12"/>
      <c r="H283" s="12"/>
      <c r="I283" s="12"/>
      <c r="J283" s="10"/>
      <c r="K283" s="10"/>
    </row>
    <row r="284" spans="1:11" s="4" customFormat="1" ht="30" customHeight="1" x14ac:dyDescent="0.25">
      <c r="A284" s="9"/>
      <c r="B284" s="13" t="e">
        <f>VLOOKUP(Table24[[#This Row],[Location 
(drop-down)]],'List source'!D$2:E$71,2,FALSE)</f>
        <v>#N/A</v>
      </c>
      <c r="C284" s="17" t="s">
        <v>835</v>
      </c>
      <c r="D284" s="21" t="e">
        <f t="shared" si="4"/>
        <v>#N/A</v>
      </c>
      <c r="E284" s="11"/>
      <c r="F284" s="91"/>
      <c r="G284" s="12"/>
      <c r="H284" s="12"/>
      <c r="I284" s="12"/>
      <c r="J284" s="10"/>
      <c r="K284" s="10"/>
    </row>
    <row r="285" spans="1:11" s="4" customFormat="1" ht="30" customHeight="1" x14ac:dyDescent="0.25">
      <c r="A285" s="9"/>
      <c r="B285" s="13" t="e">
        <f>VLOOKUP(Table24[[#This Row],[Location 
(drop-down)]],'List source'!D$2:E$71,2,FALSE)</f>
        <v>#N/A</v>
      </c>
      <c r="C285" s="17" t="s">
        <v>836</v>
      </c>
      <c r="D285" s="21" t="e">
        <f t="shared" si="4"/>
        <v>#N/A</v>
      </c>
      <c r="E285" s="11"/>
      <c r="F285" s="91"/>
      <c r="G285" s="12"/>
      <c r="H285" s="12"/>
      <c r="I285" s="12"/>
      <c r="J285" s="10"/>
      <c r="K285" s="10"/>
    </row>
    <row r="286" spans="1:11" s="4" customFormat="1" ht="30" customHeight="1" x14ac:dyDescent="0.25">
      <c r="A286" s="9"/>
      <c r="B286" s="13" t="e">
        <f>VLOOKUP(Table24[[#This Row],[Location 
(drop-down)]],'List source'!D$2:E$71,2,FALSE)</f>
        <v>#N/A</v>
      </c>
      <c r="C286" s="17" t="s">
        <v>839</v>
      </c>
      <c r="D286" s="21" t="e">
        <f t="shared" si="4"/>
        <v>#N/A</v>
      </c>
      <c r="E286" s="11"/>
      <c r="F286" s="91"/>
      <c r="G286" s="12"/>
      <c r="H286" s="12"/>
      <c r="I286" s="12"/>
      <c r="J286" s="10"/>
      <c r="K286" s="10"/>
    </row>
    <row r="287" spans="1:11" s="4" customFormat="1" ht="30" customHeight="1" x14ac:dyDescent="0.25">
      <c r="A287" s="9"/>
      <c r="B287" s="13" t="e">
        <f>VLOOKUP(Table24[[#This Row],[Location 
(drop-down)]],'List source'!D$2:E$71,2,FALSE)</f>
        <v>#N/A</v>
      </c>
      <c r="C287" s="17" t="s">
        <v>841</v>
      </c>
      <c r="D287" s="21" t="e">
        <f t="shared" si="4"/>
        <v>#N/A</v>
      </c>
      <c r="E287" s="11"/>
      <c r="F287" s="91"/>
      <c r="G287" s="12"/>
      <c r="H287" s="12"/>
      <c r="I287" s="12"/>
      <c r="J287" s="10"/>
      <c r="K287" s="10"/>
    </row>
    <row r="288" spans="1:11" s="4" customFormat="1" ht="30" customHeight="1" x14ac:dyDescent="0.25">
      <c r="A288" s="9"/>
      <c r="B288" s="13" t="e">
        <f>VLOOKUP(Table24[[#This Row],[Location 
(drop-down)]],'List source'!D$2:E$71,2,FALSE)</f>
        <v>#N/A</v>
      </c>
      <c r="C288" s="17" t="s">
        <v>844</v>
      </c>
      <c r="D288" s="21" t="e">
        <f t="shared" si="4"/>
        <v>#N/A</v>
      </c>
      <c r="E288" s="11"/>
      <c r="F288" s="91"/>
      <c r="G288" s="12"/>
      <c r="H288" s="12"/>
      <c r="I288" s="12"/>
      <c r="J288" s="10"/>
      <c r="K288" s="10"/>
    </row>
    <row r="289" spans="1:11" s="4" customFormat="1" ht="30" customHeight="1" x14ac:dyDescent="0.25">
      <c r="A289" s="9"/>
      <c r="B289" s="13" t="e">
        <f>VLOOKUP(Table24[[#This Row],[Location 
(drop-down)]],'List source'!D$2:E$71,2,FALSE)</f>
        <v>#N/A</v>
      </c>
      <c r="C289" s="17" t="s">
        <v>846</v>
      </c>
      <c r="D289" s="21" t="e">
        <f t="shared" si="4"/>
        <v>#N/A</v>
      </c>
      <c r="E289" s="11"/>
      <c r="F289" s="91"/>
      <c r="G289" s="12"/>
      <c r="H289" s="12"/>
      <c r="I289" s="12"/>
      <c r="J289" s="10"/>
      <c r="K289" s="10"/>
    </row>
    <row r="290" spans="1:11" s="4" customFormat="1" ht="30" customHeight="1" x14ac:dyDescent="0.25">
      <c r="A290" s="9"/>
      <c r="B290" s="13" t="e">
        <f>VLOOKUP(Table24[[#This Row],[Location 
(drop-down)]],'List source'!D$2:E$71,2,FALSE)</f>
        <v>#N/A</v>
      </c>
      <c r="C290" s="17" t="s">
        <v>848</v>
      </c>
      <c r="D290" s="21" t="e">
        <f t="shared" si="4"/>
        <v>#N/A</v>
      </c>
      <c r="E290" s="11"/>
      <c r="F290" s="91"/>
      <c r="G290" s="12"/>
      <c r="H290" s="12"/>
      <c r="I290" s="12"/>
      <c r="J290" s="10"/>
      <c r="K290" s="10"/>
    </row>
    <row r="291" spans="1:11" s="4" customFormat="1" ht="30" customHeight="1" x14ac:dyDescent="0.25">
      <c r="A291" s="9"/>
      <c r="B291" s="13" t="e">
        <f>VLOOKUP(Table24[[#This Row],[Location 
(drop-down)]],'List source'!D$2:E$71,2,FALSE)</f>
        <v>#N/A</v>
      </c>
      <c r="C291" s="17" t="s">
        <v>850</v>
      </c>
      <c r="D291" s="21" t="e">
        <f t="shared" si="4"/>
        <v>#N/A</v>
      </c>
      <c r="E291" s="11"/>
      <c r="F291" s="91"/>
      <c r="G291" s="12"/>
      <c r="H291" s="12"/>
      <c r="I291" s="12"/>
      <c r="J291" s="10"/>
      <c r="K291" s="10"/>
    </row>
    <row r="292" spans="1:11" s="4" customFormat="1" ht="30" customHeight="1" x14ac:dyDescent="0.25">
      <c r="A292" s="9"/>
      <c r="B292" s="13" t="e">
        <f>VLOOKUP(Table24[[#This Row],[Location 
(drop-down)]],'List source'!D$2:E$71,2,FALSE)</f>
        <v>#N/A</v>
      </c>
      <c r="C292" s="17" t="s">
        <v>851</v>
      </c>
      <c r="D292" s="21" t="e">
        <f t="shared" si="4"/>
        <v>#N/A</v>
      </c>
      <c r="E292" s="11"/>
      <c r="F292" s="91"/>
      <c r="G292" s="12"/>
      <c r="H292" s="12"/>
      <c r="I292" s="12"/>
      <c r="J292" s="10"/>
      <c r="K292" s="10"/>
    </row>
    <row r="293" spans="1:11" s="4" customFormat="1" ht="30" customHeight="1" x14ac:dyDescent="0.25">
      <c r="A293" s="9"/>
      <c r="B293" s="13" t="e">
        <f>VLOOKUP(Table24[[#This Row],[Location 
(drop-down)]],'List source'!D$2:E$71,2,FALSE)</f>
        <v>#N/A</v>
      </c>
      <c r="C293" s="17" t="s">
        <v>852</v>
      </c>
      <c r="D293" s="21" t="e">
        <f t="shared" si="4"/>
        <v>#N/A</v>
      </c>
      <c r="E293" s="11"/>
      <c r="F293" s="91"/>
      <c r="G293" s="12"/>
      <c r="H293" s="12"/>
      <c r="I293" s="12"/>
      <c r="J293" s="10"/>
      <c r="K293" s="10"/>
    </row>
    <row r="294" spans="1:11" s="4" customFormat="1" ht="30" customHeight="1" x14ac:dyDescent="0.25">
      <c r="A294" s="9"/>
      <c r="B294" s="13" t="e">
        <f>VLOOKUP(Table24[[#This Row],[Location 
(drop-down)]],'List source'!D$2:E$71,2,FALSE)</f>
        <v>#N/A</v>
      </c>
      <c r="C294" s="17" t="s">
        <v>854</v>
      </c>
      <c r="D294" s="21" t="e">
        <f t="shared" si="4"/>
        <v>#N/A</v>
      </c>
      <c r="E294" s="11"/>
      <c r="F294" s="91"/>
      <c r="G294" s="12"/>
      <c r="H294" s="12"/>
      <c r="I294" s="12"/>
      <c r="J294" s="10"/>
      <c r="K294" s="10"/>
    </row>
    <row r="295" spans="1:11" s="4" customFormat="1" ht="30" customHeight="1" x14ac:dyDescent="0.25">
      <c r="A295" s="9"/>
      <c r="B295" s="13" t="e">
        <f>VLOOKUP(Table24[[#This Row],[Location 
(drop-down)]],'List source'!D$2:E$71,2,FALSE)</f>
        <v>#N/A</v>
      </c>
      <c r="C295" s="17" t="s">
        <v>856</v>
      </c>
      <c r="D295" s="21" t="e">
        <f t="shared" si="4"/>
        <v>#N/A</v>
      </c>
      <c r="E295" s="11"/>
      <c r="F295" s="91"/>
      <c r="G295" s="12"/>
      <c r="H295" s="12"/>
      <c r="I295" s="12"/>
      <c r="J295" s="10"/>
      <c r="K295" s="10"/>
    </row>
    <row r="296" spans="1:11" s="4" customFormat="1" ht="30" customHeight="1" x14ac:dyDescent="0.25">
      <c r="A296" s="9"/>
      <c r="B296" s="13" t="e">
        <f>VLOOKUP(Table24[[#This Row],[Location 
(drop-down)]],'List source'!D$2:E$71,2,FALSE)</f>
        <v>#N/A</v>
      </c>
      <c r="C296" s="17" t="s">
        <v>858</v>
      </c>
      <c r="D296" s="21" t="e">
        <f t="shared" si="4"/>
        <v>#N/A</v>
      </c>
      <c r="E296" s="11"/>
      <c r="F296" s="91"/>
      <c r="G296" s="12"/>
      <c r="H296" s="12"/>
      <c r="I296" s="12"/>
      <c r="J296" s="10"/>
      <c r="K296" s="10"/>
    </row>
    <row r="297" spans="1:11" s="4" customFormat="1" ht="30" customHeight="1" x14ac:dyDescent="0.25">
      <c r="A297" s="9"/>
      <c r="B297" s="13" t="e">
        <f>VLOOKUP(Table24[[#This Row],[Location 
(drop-down)]],'List source'!D$2:E$71,2,FALSE)</f>
        <v>#N/A</v>
      </c>
      <c r="C297" s="17" t="s">
        <v>860</v>
      </c>
      <c r="D297" s="21" t="e">
        <f t="shared" si="4"/>
        <v>#N/A</v>
      </c>
      <c r="E297" s="11"/>
      <c r="F297" s="91"/>
      <c r="G297" s="12"/>
      <c r="H297" s="12"/>
      <c r="I297" s="12"/>
      <c r="J297" s="10"/>
      <c r="K297" s="10"/>
    </row>
    <row r="298" spans="1:11" s="4" customFormat="1" ht="30" customHeight="1" x14ac:dyDescent="0.25">
      <c r="A298" s="9"/>
      <c r="B298" s="13" t="e">
        <f>VLOOKUP(Table24[[#This Row],[Location 
(drop-down)]],'List source'!D$2:E$71,2,FALSE)</f>
        <v>#N/A</v>
      </c>
      <c r="C298" s="17" t="s">
        <v>861</v>
      </c>
      <c r="D298" s="21" t="e">
        <f t="shared" si="4"/>
        <v>#N/A</v>
      </c>
      <c r="E298" s="11"/>
      <c r="F298" s="91"/>
      <c r="G298" s="12"/>
      <c r="H298" s="12"/>
      <c r="I298" s="12"/>
      <c r="J298" s="10"/>
      <c r="K298" s="10"/>
    </row>
    <row r="299" spans="1:11" s="4" customFormat="1" ht="30" customHeight="1" x14ac:dyDescent="0.25">
      <c r="A299" s="9"/>
      <c r="B299" s="13" t="e">
        <f>VLOOKUP(Table24[[#This Row],[Location 
(drop-down)]],'List source'!D$2:E$71,2,FALSE)</f>
        <v>#N/A</v>
      </c>
      <c r="C299" s="17" t="s">
        <v>863</v>
      </c>
      <c r="D299" s="21" t="e">
        <f t="shared" si="4"/>
        <v>#N/A</v>
      </c>
      <c r="E299" s="11"/>
      <c r="F299" s="91"/>
      <c r="G299" s="12"/>
      <c r="H299" s="12"/>
      <c r="I299" s="12"/>
      <c r="J299" s="10"/>
      <c r="K299" s="10"/>
    </row>
    <row r="300" spans="1:11" s="4" customFormat="1" ht="30" customHeight="1" x14ac:dyDescent="0.25">
      <c r="A300" s="9"/>
      <c r="B300" s="13" t="e">
        <f>VLOOKUP(Table24[[#This Row],[Location 
(drop-down)]],'List source'!D$2:E$71,2,FALSE)</f>
        <v>#N/A</v>
      </c>
      <c r="C300" s="17" t="s">
        <v>865</v>
      </c>
      <c r="D300" s="21" t="e">
        <f t="shared" si="4"/>
        <v>#N/A</v>
      </c>
      <c r="E300" s="11"/>
      <c r="F300" s="91"/>
      <c r="G300" s="12"/>
      <c r="H300" s="12"/>
      <c r="I300" s="12"/>
      <c r="J300" s="10"/>
      <c r="K300" s="10"/>
    </row>
    <row r="301" spans="1:11" s="4" customFormat="1" ht="30" customHeight="1" x14ac:dyDescent="0.25">
      <c r="A301" s="9"/>
      <c r="B301" s="13" t="e">
        <f>VLOOKUP(Table24[[#This Row],[Location 
(drop-down)]],'List source'!D$2:E$71,2,FALSE)</f>
        <v>#N/A</v>
      </c>
      <c r="C301" s="17" t="s">
        <v>867</v>
      </c>
      <c r="D301" s="21" t="e">
        <f t="shared" si="4"/>
        <v>#N/A</v>
      </c>
      <c r="E301" s="11"/>
      <c r="F301" s="91"/>
      <c r="G301" s="12"/>
      <c r="H301" s="12"/>
      <c r="I301" s="12"/>
      <c r="J301" s="10"/>
      <c r="K301" s="10"/>
    </row>
    <row r="302" spans="1:11" s="4" customFormat="1" ht="30" customHeight="1" x14ac:dyDescent="0.25">
      <c r="A302" s="9"/>
      <c r="B302" s="13" t="e">
        <f>VLOOKUP(Table24[[#This Row],[Location 
(drop-down)]],'List source'!D$2:E$71,2,FALSE)</f>
        <v>#N/A</v>
      </c>
      <c r="C302" s="17" t="s">
        <v>869</v>
      </c>
      <c r="D302" s="21" t="e">
        <f t="shared" si="4"/>
        <v>#N/A</v>
      </c>
      <c r="E302" s="11"/>
      <c r="F302" s="91"/>
      <c r="G302" s="12"/>
      <c r="H302" s="12"/>
      <c r="I302" s="12"/>
      <c r="J302" s="10"/>
      <c r="K302" s="10"/>
    </row>
    <row r="303" spans="1:11" s="4" customFormat="1" ht="30" customHeight="1" x14ac:dyDescent="0.25">
      <c r="A303" s="9"/>
      <c r="B303" s="13" t="e">
        <f>VLOOKUP(Table24[[#This Row],[Location 
(drop-down)]],'List source'!D$2:E$71,2,FALSE)</f>
        <v>#N/A</v>
      </c>
      <c r="C303" s="17" t="s">
        <v>871</v>
      </c>
      <c r="D303" s="21" t="e">
        <f t="shared" si="4"/>
        <v>#N/A</v>
      </c>
      <c r="E303" s="11"/>
      <c r="F303" s="91"/>
      <c r="G303" s="12"/>
      <c r="H303" s="12"/>
      <c r="I303" s="12"/>
      <c r="J303" s="10"/>
      <c r="K303" s="10"/>
    </row>
    <row r="304" spans="1:11" s="4" customFormat="1" ht="30" customHeight="1" x14ac:dyDescent="0.25">
      <c r="A304" s="9"/>
      <c r="B304" s="13" t="e">
        <f>VLOOKUP(Table24[[#This Row],[Location 
(drop-down)]],'List source'!D$2:E$71,2,FALSE)</f>
        <v>#N/A</v>
      </c>
      <c r="C304" s="17" t="s">
        <v>873</v>
      </c>
      <c r="D304" s="21" t="e">
        <f t="shared" si="4"/>
        <v>#N/A</v>
      </c>
      <c r="E304" s="11"/>
      <c r="F304" s="91"/>
      <c r="G304" s="12"/>
      <c r="H304" s="12"/>
      <c r="I304" s="12"/>
      <c r="J304" s="10"/>
      <c r="K304" s="10"/>
    </row>
    <row r="305" spans="1:11" s="4" customFormat="1" ht="30" customHeight="1" x14ac:dyDescent="0.25">
      <c r="A305" s="9"/>
      <c r="B305" s="13" t="e">
        <f>VLOOKUP(Table24[[#This Row],[Location 
(drop-down)]],'List source'!D$2:E$71,2,FALSE)</f>
        <v>#N/A</v>
      </c>
      <c r="C305" s="17" t="s">
        <v>874</v>
      </c>
      <c r="D305" s="21" t="e">
        <f t="shared" si="4"/>
        <v>#N/A</v>
      </c>
      <c r="E305" s="11"/>
      <c r="F305" s="91"/>
      <c r="G305" s="12"/>
      <c r="H305" s="12"/>
      <c r="I305" s="12"/>
      <c r="J305" s="10"/>
      <c r="K305" s="10"/>
    </row>
    <row r="306" spans="1:11" s="4" customFormat="1" ht="30" customHeight="1" x14ac:dyDescent="0.25">
      <c r="A306" s="9"/>
      <c r="B306" s="13" t="e">
        <f>VLOOKUP(Table24[[#This Row],[Location 
(drop-down)]],'List source'!D$2:E$71,2,FALSE)</f>
        <v>#N/A</v>
      </c>
      <c r="C306" s="17" t="s">
        <v>875</v>
      </c>
      <c r="D306" s="21" t="e">
        <f t="shared" si="4"/>
        <v>#N/A</v>
      </c>
      <c r="E306" s="11"/>
      <c r="F306" s="91"/>
      <c r="G306" s="12"/>
      <c r="H306" s="12"/>
      <c r="I306" s="12"/>
      <c r="J306" s="10"/>
      <c r="K306" s="10"/>
    </row>
    <row r="307" spans="1:11" s="4" customFormat="1" ht="30" customHeight="1" x14ac:dyDescent="0.25">
      <c r="A307" s="9"/>
      <c r="B307" s="13" t="e">
        <f>VLOOKUP(Table24[[#This Row],[Location 
(drop-down)]],'List source'!D$2:E$71,2,FALSE)</f>
        <v>#N/A</v>
      </c>
      <c r="C307" s="17" t="s">
        <v>876</v>
      </c>
      <c r="D307" s="21" t="e">
        <f t="shared" si="4"/>
        <v>#N/A</v>
      </c>
      <c r="E307" s="11"/>
      <c r="F307" s="91"/>
      <c r="G307" s="12"/>
      <c r="H307" s="12"/>
      <c r="I307" s="12"/>
      <c r="J307" s="10"/>
      <c r="K307" s="10"/>
    </row>
    <row r="308" spans="1:11" s="4" customFormat="1" ht="30" customHeight="1" x14ac:dyDescent="0.25">
      <c r="A308" s="9"/>
      <c r="B308" s="13" t="e">
        <f>VLOOKUP(Table24[[#This Row],[Location 
(drop-down)]],'List source'!D$2:E$71,2,FALSE)</f>
        <v>#N/A</v>
      </c>
      <c r="C308" s="17" t="s">
        <v>878</v>
      </c>
      <c r="D308" s="21" t="e">
        <f t="shared" si="4"/>
        <v>#N/A</v>
      </c>
      <c r="E308" s="11"/>
      <c r="F308" s="91"/>
      <c r="G308" s="12"/>
      <c r="H308" s="12"/>
      <c r="I308" s="12"/>
      <c r="J308" s="10"/>
      <c r="K308" s="10"/>
    </row>
    <row r="309" spans="1:11" s="4" customFormat="1" ht="30" customHeight="1" x14ac:dyDescent="0.25">
      <c r="A309" s="9"/>
      <c r="B309" s="13" t="e">
        <f>VLOOKUP(Table24[[#This Row],[Location 
(drop-down)]],'List source'!D$2:E$71,2,FALSE)</f>
        <v>#N/A</v>
      </c>
      <c r="C309" s="17" t="s">
        <v>881</v>
      </c>
      <c r="D309" s="21" t="e">
        <f t="shared" si="4"/>
        <v>#N/A</v>
      </c>
      <c r="E309" s="11"/>
      <c r="F309" s="91"/>
      <c r="G309" s="12"/>
      <c r="H309" s="12"/>
      <c r="I309" s="12"/>
      <c r="J309" s="10"/>
      <c r="K309" s="10"/>
    </row>
    <row r="310" spans="1:11" s="4" customFormat="1" ht="30" customHeight="1" x14ac:dyDescent="0.25">
      <c r="A310" s="9"/>
      <c r="B310" s="13" t="e">
        <f>VLOOKUP(Table24[[#This Row],[Location 
(drop-down)]],'List source'!D$2:E$71,2,FALSE)</f>
        <v>#N/A</v>
      </c>
      <c r="C310" s="17" t="s">
        <v>883</v>
      </c>
      <c r="D310" s="21" t="e">
        <f t="shared" si="4"/>
        <v>#N/A</v>
      </c>
      <c r="E310" s="11"/>
      <c r="F310" s="91"/>
      <c r="G310" s="12"/>
      <c r="H310" s="12"/>
      <c r="I310" s="12"/>
      <c r="J310" s="10"/>
      <c r="K310" s="10"/>
    </row>
    <row r="311" spans="1:11" s="4" customFormat="1" ht="30" customHeight="1" x14ac:dyDescent="0.25">
      <c r="A311" s="9"/>
      <c r="B311" s="13" t="e">
        <f>VLOOKUP(Table24[[#This Row],[Location 
(drop-down)]],'List source'!D$2:E$71,2,FALSE)</f>
        <v>#N/A</v>
      </c>
      <c r="C311" s="17" t="s">
        <v>884</v>
      </c>
      <c r="D311" s="21" t="e">
        <f t="shared" si="4"/>
        <v>#N/A</v>
      </c>
      <c r="E311" s="11"/>
      <c r="F311" s="91"/>
      <c r="G311" s="12"/>
      <c r="H311" s="12"/>
      <c r="I311" s="12"/>
      <c r="J311" s="10"/>
      <c r="K311" s="10"/>
    </row>
    <row r="312" spans="1:11" s="4" customFormat="1" ht="30" customHeight="1" x14ac:dyDescent="0.25">
      <c r="A312" s="9"/>
      <c r="B312" s="13" t="e">
        <f>VLOOKUP(Table24[[#This Row],[Location 
(drop-down)]],'List source'!D$2:E$71,2,FALSE)</f>
        <v>#N/A</v>
      </c>
      <c r="C312" s="17" t="s">
        <v>886</v>
      </c>
      <c r="D312" s="21" t="e">
        <f t="shared" si="4"/>
        <v>#N/A</v>
      </c>
      <c r="E312" s="11"/>
      <c r="F312" s="91"/>
      <c r="G312" s="12"/>
      <c r="H312" s="12"/>
      <c r="I312" s="12"/>
      <c r="J312" s="10"/>
      <c r="K312" s="10"/>
    </row>
    <row r="313" spans="1:11" s="4" customFormat="1" ht="30" customHeight="1" x14ac:dyDescent="0.25">
      <c r="A313" s="9"/>
      <c r="B313" s="13" t="e">
        <f>VLOOKUP(Table24[[#This Row],[Location 
(drop-down)]],'List source'!D$2:E$71,2,FALSE)</f>
        <v>#N/A</v>
      </c>
      <c r="C313" s="17" t="s">
        <v>888</v>
      </c>
      <c r="D313" s="21" t="e">
        <f t="shared" si="4"/>
        <v>#N/A</v>
      </c>
      <c r="E313" s="11"/>
      <c r="F313" s="91"/>
      <c r="G313" s="12"/>
      <c r="H313" s="12"/>
      <c r="I313" s="12"/>
      <c r="J313" s="10"/>
      <c r="K313" s="10"/>
    </row>
    <row r="314" spans="1:11" s="4" customFormat="1" ht="30" customHeight="1" x14ac:dyDescent="0.25">
      <c r="A314" s="9"/>
      <c r="B314" s="13" t="e">
        <f>VLOOKUP(Table24[[#This Row],[Location 
(drop-down)]],'List source'!D$2:E$71,2,FALSE)</f>
        <v>#N/A</v>
      </c>
      <c r="C314" s="17" t="s">
        <v>891</v>
      </c>
      <c r="D314" s="21" t="e">
        <f t="shared" si="4"/>
        <v>#N/A</v>
      </c>
      <c r="E314" s="11"/>
      <c r="F314" s="91"/>
      <c r="G314" s="12"/>
      <c r="H314" s="12"/>
      <c r="I314" s="12"/>
      <c r="J314" s="10"/>
      <c r="K314" s="10"/>
    </row>
    <row r="315" spans="1:11" s="4" customFormat="1" ht="30" customHeight="1" x14ac:dyDescent="0.25">
      <c r="A315" s="9"/>
      <c r="B315" s="13" t="e">
        <f>VLOOKUP(Table24[[#This Row],[Location 
(drop-down)]],'List source'!D$2:E$71,2,FALSE)</f>
        <v>#N/A</v>
      </c>
      <c r="C315" s="17" t="s">
        <v>893</v>
      </c>
      <c r="D315" s="21" t="e">
        <f t="shared" si="4"/>
        <v>#N/A</v>
      </c>
      <c r="E315" s="11"/>
      <c r="F315" s="91"/>
      <c r="G315" s="12"/>
      <c r="H315" s="12"/>
      <c r="I315" s="12"/>
      <c r="J315" s="10"/>
      <c r="K315" s="10"/>
    </row>
    <row r="316" spans="1:11" s="4" customFormat="1" ht="30" customHeight="1" x14ac:dyDescent="0.25">
      <c r="A316" s="9"/>
      <c r="B316" s="13" t="e">
        <f>VLOOKUP(Table24[[#This Row],[Location 
(drop-down)]],'List source'!D$2:E$71,2,FALSE)</f>
        <v>#N/A</v>
      </c>
      <c r="C316" s="17" t="s">
        <v>895</v>
      </c>
      <c r="D316" s="21" t="e">
        <f t="shared" si="4"/>
        <v>#N/A</v>
      </c>
      <c r="E316" s="11"/>
      <c r="F316" s="91"/>
      <c r="G316" s="12"/>
      <c r="H316" s="12"/>
      <c r="I316" s="12"/>
      <c r="J316" s="10"/>
      <c r="K316" s="10"/>
    </row>
    <row r="317" spans="1:11" s="4" customFormat="1" ht="30" customHeight="1" x14ac:dyDescent="0.25">
      <c r="A317" s="9"/>
      <c r="B317" s="13" t="e">
        <f>VLOOKUP(Table24[[#This Row],[Location 
(drop-down)]],'List source'!D$2:E$71,2,FALSE)</f>
        <v>#N/A</v>
      </c>
      <c r="C317" s="17" t="s">
        <v>899</v>
      </c>
      <c r="D317" s="21" t="e">
        <f t="shared" si="4"/>
        <v>#N/A</v>
      </c>
      <c r="E317" s="11"/>
      <c r="F317" s="91"/>
      <c r="G317" s="12"/>
      <c r="H317" s="12"/>
      <c r="I317" s="12"/>
      <c r="J317" s="10"/>
      <c r="K317" s="10"/>
    </row>
    <row r="318" spans="1:11" s="4" customFormat="1" ht="30" customHeight="1" x14ac:dyDescent="0.25">
      <c r="A318" s="9"/>
      <c r="B318" s="13" t="e">
        <f>VLOOKUP(Table24[[#This Row],[Location 
(drop-down)]],'List source'!D$2:E$71,2,FALSE)</f>
        <v>#N/A</v>
      </c>
      <c r="C318" s="17" t="s">
        <v>902</v>
      </c>
      <c r="D318" s="21" t="e">
        <f t="shared" si="4"/>
        <v>#N/A</v>
      </c>
      <c r="E318" s="11"/>
      <c r="F318" s="91"/>
      <c r="G318" s="12"/>
      <c r="H318" s="12"/>
      <c r="I318" s="12"/>
      <c r="J318" s="10"/>
      <c r="K318" s="10"/>
    </row>
    <row r="319" spans="1:11" s="4" customFormat="1" ht="30" customHeight="1" x14ac:dyDescent="0.25">
      <c r="A319" s="9"/>
      <c r="B319" s="13" t="e">
        <f>VLOOKUP(Table24[[#This Row],[Location 
(drop-down)]],'List source'!D$2:E$71,2,FALSE)</f>
        <v>#N/A</v>
      </c>
      <c r="C319" s="17" t="s">
        <v>904</v>
      </c>
      <c r="D319" s="21" t="e">
        <f t="shared" si="4"/>
        <v>#N/A</v>
      </c>
      <c r="E319" s="11"/>
      <c r="F319" s="91"/>
      <c r="G319" s="12"/>
      <c r="H319" s="12"/>
      <c r="I319" s="12"/>
      <c r="J319" s="10"/>
      <c r="K319" s="10"/>
    </row>
    <row r="320" spans="1:11" s="4" customFormat="1" ht="30" customHeight="1" x14ac:dyDescent="0.25">
      <c r="A320" s="9"/>
      <c r="B320" s="13" t="e">
        <f>VLOOKUP(Table24[[#This Row],[Location 
(drop-down)]],'List source'!D$2:E$71,2,FALSE)</f>
        <v>#N/A</v>
      </c>
      <c r="C320" s="17" t="s">
        <v>906</v>
      </c>
      <c r="D320" s="21" t="e">
        <f t="shared" si="4"/>
        <v>#N/A</v>
      </c>
      <c r="E320" s="11"/>
      <c r="F320" s="91"/>
      <c r="G320" s="12"/>
      <c r="H320" s="12"/>
      <c r="I320" s="12"/>
      <c r="J320" s="10"/>
      <c r="K320" s="10"/>
    </row>
    <row r="321" spans="1:11" s="4" customFormat="1" ht="30" customHeight="1" x14ac:dyDescent="0.25">
      <c r="A321" s="9"/>
      <c r="B321" s="13" t="e">
        <f>VLOOKUP(Table24[[#This Row],[Location 
(drop-down)]],'List source'!D$2:E$71,2,FALSE)</f>
        <v>#N/A</v>
      </c>
      <c r="C321" s="17" t="s">
        <v>908</v>
      </c>
      <c r="D321" s="21" t="e">
        <f t="shared" si="4"/>
        <v>#N/A</v>
      </c>
      <c r="E321" s="11"/>
      <c r="F321" s="91"/>
      <c r="G321" s="12"/>
      <c r="H321" s="12"/>
      <c r="I321" s="12"/>
      <c r="J321" s="10"/>
      <c r="K321" s="10"/>
    </row>
    <row r="322" spans="1:11" s="4" customFormat="1" ht="30" customHeight="1" x14ac:dyDescent="0.25">
      <c r="A322" s="9"/>
      <c r="B322" s="13" t="e">
        <f>VLOOKUP(Table24[[#This Row],[Location 
(drop-down)]],'List source'!D$2:E$71,2,FALSE)</f>
        <v>#N/A</v>
      </c>
      <c r="C322" s="17" t="s">
        <v>910</v>
      </c>
      <c r="D322" s="21" t="e">
        <f t="shared" ref="D322:D385" si="5">"P" &amp; C322 &amp; "-" &amp; B322 &amp; "-" &amp; "25"</f>
        <v>#N/A</v>
      </c>
      <c r="E322" s="11"/>
      <c r="F322" s="91"/>
      <c r="G322" s="12"/>
      <c r="H322" s="12"/>
      <c r="I322" s="12"/>
      <c r="J322" s="10"/>
      <c r="K322" s="10"/>
    </row>
    <row r="323" spans="1:11" s="4" customFormat="1" ht="30" customHeight="1" x14ac:dyDescent="0.25">
      <c r="A323" s="9"/>
      <c r="B323" s="13" t="e">
        <f>VLOOKUP(Table24[[#This Row],[Location 
(drop-down)]],'List source'!D$2:E$71,2,FALSE)</f>
        <v>#N/A</v>
      </c>
      <c r="C323" s="17" t="s">
        <v>912</v>
      </c>
      <c r="D323" s="21" t="e">
        <f t="shared" si="5"/>
        <v>#N/A</v>
      </c>
      <c r="E323" s="11"/>
      <c r="F323" s="91"/>
      <c r="G323" s="12"/>
      <c r="H323" s="12"/>
      <c r="I323" s="12"/>
      <c r="J323" s="10"/>
      <c r="K323" s="10"/>
    </row>
    <row r="324" spans="1:11" s="4" customFormat="1" ht="30" customHeight="1" x14ac:dyDescent="0.25">
      <c r="A324" s="9"/>
      <c r="B324" s="13" t="e">
        <f>VLOOKUP(Table24[[#This Row],[Location 
(drop-down)]],'List source'!D$2:E$71,2,FALSE)</f>
        <v>#N/A</v>
      </c>
      <c r="C324" s="17" t="s">
        <v>914</v>
      </c>
      <c r="D324" s="21" t="e">
        <f t="shared" si="5"/>
        <v>#N/A</v>
      </c>
      <c r="E324" s="11"/>
      <c r="F324" s="91"/>
      <c r="G324" s="12"/>
      <c r="H324" s="12"/>
      <c r="I324" s="12"/>
      <c r="J324" s="10"/>
      <c r="K324" s="10"/>
    </row>
    <row r="325" spans="1:11" s="4" customFormat="1" ht="30" customHeight="1" x14ac:dyDescent="0.25">
      <c r="A325" s="9"/>
      <c r="B325" s="13" t="e">
        <f>VLOOKUP(Table24[[#This Row],[Location 
(drop-down)]],'List source'!D$2:E$71,2,FALSE)</f>
        <v>#N/A</v>
      </c>
      <c r="C325" s="17" t="s">
        <v>916</v>
      </c>
      <c r="D325" s="21" t="e">
        <f t="shared" si="5"/>
        <v>#N/A</v>
      </c>
      <c r="E325" s="11"/>
      <c r="F325" s="91"/>
      <c r="G325" s="12"/>
      <c r="H325" s="12"/>
      <c r="I325" s="12"/>
      <c r="J325" s="10"/>
      <c r="K325" s="10"/>
    </row>
    <row r="326" spans="1:11" s="4" customFormat="1" ht="30" customHeight="1" x14ac:dyDescent="0.25">
      <c r="A326" s="9"/>
      <c r="B326" s="13" t="e">
        <f>VLOOKUP(Table24[[#This Row],[Location 
(drop-down)]],'List source'!D$2:E$71,2,FALSE)</f>
        <v>#N/A</v>
      </c>
      <c r="C326" s="17" t="s">
        <v>920</v>
      </c>
      <c r="D326" s="21" t="e">
        <f t="shared" si="5"/>
        <v>#N/A</v>
      </c>
      <c r="E326" s="11"/>
      <c r="F326" s="91"/>
      <c r="G326" s="12"/>
      <c r="H326" s="12"/>
      <c r="I326" s="12"/>
      <c r="J326" s="10"/>
      <c r="K326" s="10"/>
    </row>
    <row r="327" spans="1:11" s="4" customFormat="1" ht="30" customHeight="1" x14ac:dyDescent="0.25">
      <c r="A327" s="9"/>
      <c r="B327" s="13" t="e">
        <f>VLOOKUP(Table24[[#This Row],[Location 
(drop-down)]],'List source'!D$2:E$71,2,FALSE)</f>
        <v>#N/A</v>
      </c>
      <c r="C327" s="17" t="s">
        <v>922</v>
      </c>
      <c r="D327" s="21" t="e">
        <f t="shared" si="5"/>
        <v>#N/A</v>
      </c>
      <c r="E327" s="11"/>
      <c r="F327" s="91"/>
      <c r="G327" s="12"/>
      <c r="H327" s="12"/>
      <c r="I327" s="12"/>
      <c r="J327" s="10"/>
      <c r="K327" s="10"/>
    </row>
    <row r="328" spans="1:11" s="4" customFormat="1" ht="30" customHeight="1" x14ac:dyDescent="0.25">
      <c r="A328" s="9"/>
      <c r="B328" s="13" t="e">
        <f>VLOOKUP(Table24[[#This Row],[Location 
(drop-down)]],'List source'!D$2:E$71,2,FALSE)</f>
        <v>#N/A</v>
      </c>
      <c r="C328" s="17" t="s">
        <v>925</v>
      </c>
      <c r="D328" s="21" t="e">
        <f t="shared" si="5"/>
        <v>#N/A</v>
      </c>
      <c r="E328" s="11"/>
      <c r="F328" s="91"/>
      <c r="G328" s="12"/>
      <c r="H328" s="12"/>
      <c r="I328" s="12"/>
      <c r="J328" s="10"/>
      <c r="K328" s="10"/>
    </row>
    <row r="329" spans="1:11" s="4" customFormat="1" ht="30" customHeight="1" x14ac:dyDescent="0.25">
      <c r="A329" s="9"/>
      <c r="B329" s="13" t="e">
        <f>VLOOKUP(Table24[[#This Row],[Location 
(drop-down)]],'List source'!D$2:E$71,2,FALSE)</f>
        <v>#N/A</v>
      </c>
      <c r="C329" s="17" t="s">
        <v>927</v>
      </c>
      <c r="D329" s="21" t="e">
        <f t="shared" si="5"/>
        <v>#N/A</v>
      </c>
      <c r="E329" s="11"/>
      <c r="F329" s="91"/>
      <c r="G329" s="12"/>
      <c r="H329" s="12"/>
      <c r="I329" s="12"/>
      <c r="J329" s="10"/>
      <c r="K329" s="10"/>
    </row>
    <row r="330" spans="1:11" s="4" customFormat="1" ht="30" customHeight="1" x14ac:dyDescent="0.25">
      <c r="A330" s="9"/>
      <c r="B330" s="13" t="e">
        <f>VLOOKUP(Table24[[#This Row],[Location 
(drop-down)]],'List source'!D$2:E$71,2,FALSE)</f>
        <v>#N/A</v>
      </c>
      <c r="C330" s="17" t="s">
        <v>928</v>
      </c>
      <c r="D330" s="21" t="e">
        <f t="shared" si="5"/>
        <v>#N/A</v>
      </c>
      <c r="E330" s="11"/>
      <c r="F330" s="91"/>
      <c r="G330" s="12"/>
      <c r="H330" s="12"/>
      <c r="I330" s="12"/>
      <c r="J330" s="10"/>
      <c r="K330" s="10"/>
    </row>
    <row r="331" spans="1:11" s="4" customFormat="1" ht="30" customHeight="1" x14ac:dyDescent="0.25">
      <c r="A331" s="9"/>
      <c r="B331" s="13" t="e">
        <f>VLOOKUP(Table24[[#This Row],[Location 
(drop-down)]],'List source'!D$2:E$71,2,FALSE)</f>
        <v>#N/A</v>
      </c>
      <c r="C331" s="17" t="s">
        <v>929</v>
      </c>
      <c r="D331" s="21" t="e">
        <f t="shared" si="5"/>
        <v>#N/A</v>
      </c>
      <c r="E331" s="11"/>
      <c r="F331" s="91"/>
      <c r="G331" s="12"/>
      <c r="H331" s="12"/>
      <c r="I331" s="12"/>
      <c r="J331" s="10"/>
      <c r="K331" s="10"/>
    </row>
    <row r="332" spans="1:11" s="4" customFormat="1" ht="30" customHeight="1" x14ac:dyDescent="0.25">
      <c r="A332" s="9"/>
      <c r="B332" s="13" t="e">
        <f>VLOOKUP(Table24[[#This Row],[Location 
(drop-down)]],'List source'!D$2:E$71,2,FALSE)</f>
        <v>#N/A</v>
      </c>
      <c r="C332" s="17" t="s">
        <v>930</v>
      </c>
      <c r="D332" s="21" t="e">
        <f t="shared" si="5"/>
        <v>#N/A</v>
      </c>
      <c r="E332" s="11"/>
      <c r="F332" s="91"/>
      <c r="G332" s="12"/>
      <c r="H332" s="12"/>
      <c r="I332" s="12"/>
      <c r="J332" s="10"/>
      <c r="K332" s="10"/>
    </row>
    <row r="333" spans="1:11" s="4" customFormat="1" ht="30" customHeight="1" x14ac:dyDescent="0.25">
      <c r="A333" s="9"/>
      <c r="B333" s="13" t="e">
        <f>VLOOKUP(Table24[[#This Row],[Location 
(drop-down)]],'List source'!D$2:E$71,2,FALSE)</f>
        <v>#N/A</v>
      </c>
      <c r="C333" s="17" t="s">
        <v>931</v>
      </c>
      <c r="D333" s="21" t="e">
        <f t="shared" si="5"/>
        <v>#N/A</v>
      </c>
      <c r="E333" s="11"/>
      <c r="F333" s="91"/>
      <c r="G333" s="12"/>
      <c r="H333" s="12"/>
      <c r="I333" s="12"/>
      <c r="J333" s="10"/>
      <c r="K333" s="10"/>
    </row>
    <row r="334" spans="1:11" s="4" customFormat="1" ht="30" customHeight="1" x14ac:dyDescent="0.25">
      <c r="A334" s="9"/>
      <c r="B334" s="13" t="e">
        <f>VLOOKUP(Table24[[#This Row],[Location 
(drop-down)]],'List source'!D$2:E$71,2,FALSE)</f>
        <v>#N/A</v>
      </c>
      <c r="C334" s="17" t="s">
        <v>933</v>
      </c>
      <c r="D334" s="21" t="e">
        <f t="shared" si="5"/>
        <v>#N/A</v>
      </c>
      <c r="E334" s="11"/>
      <c r="F334" s="91"/>
      <c r="G334" s="12"/>
      <c r="H334" s="12"/>
      <c r="I334" s="12"/>
      <c r="J334" s="10"/>
      <c r="K334" s="10"/>
    </row>
    <row r="335" spans="1:11" s="4" customFormat="1" ht="30" customHeight="1" x14ac:dyDescent="0.25">
      <c r="A335" s="9"/>
      <c r="B335" s="13" t="e">
        <f>VLOOKUP(Table24[[#This Row],[Location 
(drop-down)]],'List source'!D$2:E$71,2,FALSE)</f>
        <v>#N/A</v>
      </c>
      <c r="C335" s="17" t="s">
        <v>935</v>
      </c>
      <c r="D335" s="21" t="e">
        <f t="shared" si="5"/>
        <v>#N/A</v>
      </c>
      <c r="E335" s="11"/>
      <c r="F335" s="91"/>
      <c r="G335" s="12"/>
      <c r="H335" s="12"/>
      <c r="I335" s="12"/>
      <c r="J335" s="10"/>
      <c r="K335" s="10"/>
    </row>
    <row r="336" spans="1:11" s="4" customFormat="1" ht="30" customHeight="1" x14ac:dyDescent="0.25">
      <c r="A336" s="9"/>
      <c r="B336" s="13" t="e">
        <f>VLOOKUP(Table24[[#This Row],[Location 
(drop-down)]],'List source'!D$2:E$71,2,FALSE)</f>
        <v>#N/A</v>
      </c>
      <c r="C336" s="17" t="s">
        <v>937</v>
      </c>
      <c r="D336" s="21" t="e">
        <f t="shared" si="5"/>
        <v>#N/A</v>
      </c>
      <c r="E336" s="11"/>
      <c r="F336" s="91"/>
      <c r="G336" s="12"/>
      <c r="H336" s="12"/>
      <c r="I336" s="12"/>
      <c r="J336" s="10"/>
      <c r="K336" s="10"/>
    </row>
    <row r="337" spans="1:11" s="4" customFormat="1" ht="30" customHeight="1" x14ac:dyDescent="0.25">
      <c r="A337" s="9"/>
      <c r="B337" s="13" t="e">
        <f>VLOOKUP(Table24[[#This Row],[Location 
(drop-down)]],'List source'!D$2:E$71,2,FALSE)</f>
        <v>#N/A</v>
      </c>
      <c r="C337" s="17" t="s">
        <v>939</v>
      </c>
      <c r="D337" s="21" t="e">
        <f t="shared" si="5"/>
        <v>#N/A</v>
      </c>
      <c r="E337" s="11"/>
      <c r="F337" s="91"/>
      <c r="G337" s="12"/>
      <c r="H337" s="12"/>
      <c r="I337" s="12"/>
      <c r="J337" s="10"/>
      <c r="K337" s="10"/>
    </row>
    <row r="338" spans="1:11" s="4" customFormat="1" ht="30" customHeight="1" x14ac:dyDescent="0.25">
      <c r="A338" s="9"/>
      <c r="B338" s="13" t="e">
        <f>VLOOKUP(Table24[[#This Row],[Location 
(drop-down)]],'List source'!D$2:E$71,2,FALSE)</f>
        <v>#N/A</v>
      </c>
      <c r="C338" s="17" t="s">
        <v>941</v>
      </c>
      <c r="D338" s="21" t="e">
        <f t="shared" si="5"/>
        <v>#N/A</v>
      </c>
      <c r="E338" s="11"/>
      <c r="F338" s="91"/>
      <c r="G338" s="12"/>
      <c r="H338" s="12"/>
      <c r="I338" s="12"/>
      <c r="J338" s="10"/>
      <c r="K338" s="10"/>
    </row>
    <row r="339" spans="1:11" s="4" customFormat="1" ht="30" customHeight="1" x14ac:dyDescent="0.25">
      <c r="A339" s="9"/>
      <c r="B339" s="13" t="e">
        <f>VLOOKUP(Table24[[#This Row],[Location 
(drop-down)]],'List source'!D$2:E$71,2,FALSE)</f>
        <v>#N/A</v>
      </c>
      <c r="C339" s="17" t="s">
        <v>943</v>
      </c>
      <c r="D339" s="21" t="e">
        <f t="shared" si="5"/>
        <v>#N/A</v>
      </c>
      <c r="E339" s="11"/>
      <c r="F339" s="91"/>
      <c r="G339" s="12"/>
      <c r="H339" s="12"/>
      <c r="I339" s="12"/>
      <c r="J339" s="10"/>
      <c r="K339" s="10"/>
    </row>
    <row r="340" spans="1:11" s="4" customFormat="1" ht="30" customHeight="1" x14ac:dyDescent="0.25">
      <c r="A340" s="9"/>
      <c r="B340" s="13" t="e">
        <f>VLOOKUP(Table24[[#This Row],[Location 
(drop-down)]],'List source'!D$2:E$71,2,FALSE)</f>
        <v>#N/A</v>
      </c>
      <c r="C340" s="17" t="s">
        <v>945</v>
      </c>
      <c r="D340" s="21" t="e">
        <f t="shared" si="5"/>
        <v>#N/A</v>
      </c>
      <c r="E340" s="11"/>
      <c r="F340" s="91"/>
      <c r="G340" s="12"/>
      <c r="H340" s="12"/>
      <c r="I340" s="12"/>
      <c r="J340" s="10"/>
      <c r="K340" s="10"/>
    </row>
    <row r="341" spans="1:11" s="4" customFormat="1" ht="30" customHeight="1" x14ac:dyDescent="0.25">
      <c r="A341" s="9"/>
      <c r="B341" s="13" t="e">
        <f>VLOOKUP(Table24[[#This Row],[Location 
(drop-down)]],'List source'!D$2:E$71,2,FALSE)</f>
        <v>#N/A</v>
      </c>
      <c r="C341" s="17" t="s">
        <v>947</v>
      </c>
      <c r="D341" s="21" t="e">
        <f t="shared" si="5"/>
        <v>#N/A</v>
      </c>
      <c r="E341" s="11"/>
      <c r="F341" s="91"/>
      <c r="G341" s="12"/>
      <c r="H341" s="12"/>
      <c r="I341" s="12"/>
      <c r="J341" s="10"/>
      <c r="K341" s="10"/>
    </row>
    <row r="342" spans="1:11" s="4" customFormat="1" ht="30" customHeight="1" x14ac:dyDescent="0.25">
      <c r="A342" s="9"/>
      <c r="B342" s="13" t="e">
        <f>VLOOKUP(Table24[[#This Row],[Location 
(drop-down)]],'List source'!D$2:E$71,2,FALSE)</f>
        <v>#N/A</v>
      </c>
      <c r="C342" s="17" t="s">
        <v>949</v>
      </c>
      <c r="D342" s="21" t="e">
        <f t="shared" si="5"/>
        <v>#N/A</v>
      </c>
      <c r="E342" s="11"/>
      <c r="F342" s="91"/>
      <c r="G342" s="12"/>
      <c r="H342" s="12"/>
      <c r="I342" s="12"/>
      <c r="J342" s="10"/>
      <c r="K342" s="10"/>
    </row>
    <row r="343" spans="1:11" s="4" customFormat="1" ht="30" customHeight="1" x14ac:dyDescent="0.25">
      <c r="A343" s="9"/>
      <c r="B343" s="13" t="e">
        <f>VLOOKUP(Table24[[#This Row],[Location 
(drop-down)]],'List source'!D$2:E$71,2,FALSE)</f>
        <v>#N/A</v>
      </c>
      <c r="C343" s="17" t="s">
        <v>951</v>
      </c>
      <c r="D343" s="21" t="e">
        <f t="shared" si="5"/>
        <v>#N/A</v>
      </c>
      <c r="E343" s="11"/>
      <c r="F343" s="91"/>
      <c r="G343" s="12"/>
      <c r="H343" s="12"/>
      <c r="I343" s="12"/>
      <c r="J343" s="10"/>
      <c r="K343" s="10"/>
    </row>
    <row r="344" spans="1:11" s="4" customFormat="1" ht="30" customHeight="1" x14ac:dyDescent="0.25">
      <c r="A344" s="9"/>
      <c r="B344" s="13" t="e">
        <f>VLOOKUP(Table24[[#This Row],[Location 
(drop-down)]],'List source'!D$2:E$71,2,FALSE)</f>
        <v>#N/A</v>
      </c>
      <c r="C344" s="17" t="s">
        <v>952</v>
      </c>
      <c r="D344" s="21" t="e">
        <f t="shared" si="5"/>
        <v>#N/A</v>
      </c>
      <c r="E344" s="11"/>
      <c r="F344" s="91"/>
      <c r="G344" s="12"/>
      <c r="H344" s="12"/>
      <c r="I344" s="12"/>
      <c r="J344" s="10"/>
      <c r="K344" s="10"/>
    </row>
    <row r="345" spans="1:11" s="4" customFormat="1" ht="30" customHeight="1" x14ac:dyDescent="0.25">
      <c r="A345" s="9"/>
      <c r="B345" s="13" t="e">
        <f>VLOOKUP(Table24[[#This Row],[Location 
(drop-down)]],'List source'!D$2:E$71,2,FALSE)</f>
        <v>#N/A</v>
      </c>
      <c r="C345" s="17" t="s">
        <v>955</v>
      </c>
      <c r="D345" s="21" t="e">
        <f t="shared" si="5"/>
        <v>#N/A</v>
      </c>
      <c r="E345" s="11"/>
      <c r="F345" s="91"/>
      <c r="G345" s="12"/>
      <c r="H345" s="12"/>
      <c r="I345" s="12"/>
      <c r="J345" s="10"/>
      <c r="K345" s="10"/>
    </row>
    <row r="346" spans="1:11" s="4" customFormat="1" ht="30" customHeight="1" x14ac:dyDescent="0.25">
      <c r="A346" s="9"/>
      <c r="B346" s="13" t="e">
        <f>VLOOKUP(Table24[[#This Row],[Location 
(drop-down)]],'List source'!D$2:E$71,2,FALSE)</f>
        <v>#N/A</v>
      </c>
      <c r="C346" s="17" t="s">
        <v>957</v>
      </c>
      <c r="D346" s="21" t="e">
        <f t="shared" si="5"/>
        <v>#N/A</v>
      </c>
      <c r="E346" s="11"/>
      <c r="F346" s="91"/>
      <c r="G346" s="12"/>
      <c r="H346" s="12"/>
      <c r="I346" s="12"/>
      <c r="J346" s="10"/>
      <c r="K346" s="10"/>
    </row>
    <row r="347" spans="1:11" s="4" customFormat="1" ht="30" customHeight="1" x14ac:dyDescent="0.25">
      <c r="A347" s="9"/>
      <c r="B347" s="13" t="e">
        <f>VLOOKUP(Table24[[#This Row],[Location 
(drop-down)]],'List source'!D$2:E$71,2,FALSE)</f>
        <v>#N/A</v>
      </c>
      <c r="C347" s="17" t="s">
        <v>961</v>
      </c>
      <c r="D347" s="21" t="e">
        <f t="shared" si="5"/>
        <v>#N/A</v>
      </c>
      <c r="E347" s="11"/>
      <c r="F347" s="91"/>
      <c r="G347" s="12"/>
      <c r="H347" s="12"/>
      <c r="I347" s="12"/>
      <c r="J347" s="10"/>
      <c r="K347" s="10"/>
    </row>
    <row r="348" spans="1:11" s="4" customFormat="1" ht="30" customHeight="1" x14ac:dyDescent="0.25">
      <c r="A348" s="9"/>
      <c r="B348" s="13" t="e">
        <f>VLOOKUP(Table24[[#This Row],[Location 
(drop-down)]],'List source'!D$2:E$71,2,FALSE)</f>
        <v>#N/A</v>
      </c>
      <c r="C348" s="17" t="s">
        <v>965</v>
      </c>
      <c r="D348" s="21" t="e">
        <f t="shared" si="5"/>
        <v>#N/A</v>
      </c>
      <c r="E348" s="11"/>
      <c r="F348" s="91"/>
      <c r="G348" s="12"/>
      <c r="H348" s="12"/>
      <c r="I348" s="12"/>
      <c r="J348" s="10"/>
      <c r="K348" s="10"/>
    </row>
    <row r="349" spans="1:11" s="4" customFormat="1" ht="30" customHeight="1" x14ac:dyDescent="0.25">
      <c r="A349" s="9"/>
      <c r="B349" s="13" t="e">
        <f>VLOOKUP(Table24[[#This Row],[Location 
(drop-down)]],'List source'!D$2:E$71,2,FALSE)</f>
        <v>#N/A</v>
      </c>
      <c r="C349" s="17" t="s">
        <v>968</v>
      </c>
      <c r="D349" s="21" t="e">
        <f t="shared" si="5"/>
        <v>#N/A</v>
      </c>
      <c r="E349" s="11"/>
      <c r="F349" s="91"/>
      <c r="G349" s="12"/>
      <c r="H349" s="12"/>
      <c r="I349" s="12"/>
      <c r="J349" s="10"/>
      <c r="K349" s="10"/>
    </row>
    <row r="350" spans="1:11" s="4" customFormat="1" ht="30" customHeight="1" x14ac:dyDescent="0.25">
      <c r="A350" s="9"/>
      <c r="B350" s="13" t="e">
        <f>VLOOKUP(Table24[[#This Row],[Location 
(drop-down)]],'List source'!D$2:E$71,2,FALSE)</f>
        <v>#N/A</v>
      </c>
      <c r="C350" s="17" t="s">
        <v>971</v>
      </c>
      <c r="D350" s="21" t="e">
        <f t="shared" si="5"/>
        <v>#N/A</v>
      </c>
      <c r="E350" s="11"/>
      <c r="F350" s="91"/>
      <c r="G350" s="12"/>
      <c r="H350" s="12"/>
      <c r="I350" s="12"/>
      <c r="J350" s="10"/>
      <c r="K350" s="10"/>
    </row>
    <row r="351" spans="1:11" s="4" customFormat="1" ht="30" customHeight="1" x14ac:dyDescent="0.25">
      <c r="A351" s="9"/>
      <c r="B351" s="13" t="e">
        <f>VLOOKUP(Table24[[#This Row],[Location 
(drop-down)]],'List source'!D$2:E$71,2,FALSE)</f>
        <v>#N/A</v>
      </c>
      <c r="C351" s="17" t="s">
        <v>974</v>
      </c>
      <c r="D351" s="21" t="e">
        <f t="shared" si="5"/>
        <v>#N/A</v>
      </c>
      <c r="E351" s="11"/>
      <c r="F351" s="91"/>
      <c r="G351" s="12"/>
      <c r="H351" s="12"/>
      <c r="I351" s="12"/>
      <c r="J351" s="10"/>
      <c r="K351" s="10"/>
    </row>
    <row r="352" spans="1:11" s="4" customFormat="1" ht="30" customHeight="1" x14ac:dyDescent="0.25">
      <c r="A352" s="9"/>
      <c r="B352" s="13" t="e">
        <f>VLOOKUP(Table24[[#This Row],[Location 
(drop-down)]],'List source'!D$2:E$71,2,FALSE)</f>
        <v>#N/A</v>
      </c>
      <c r="C352" s="17" t="s">
        <v>977</v>
      </c>
      <c r="D352" s="21" t="e">
        <f t="shared" si="5"/>
        <v>#N/A</v>
      </c>
      <c r="E352" s="11"/>
      <c r="F352" s="91"/>
      <c r="G352" s="12"/>
      <c r="H352" s="12"/>
      <c r="I352" s="12"/>
      <c r="J352" s="10"/>
      <c r="K352" s="10"/>
    </row>
    <row r="353" spans="1:11" s="4" customFormat="1" ht="30" customHeight="1" x14ac:dyDescent="0.25">
      <c r="A353" s="9"/>
      <c r="B353" s="13" t="e">
        <f>VLOOKUP(Table24[[#This Row],[Location 
(drop-down)]],'List source'!D$2:E$71,2,FALSE)</f>
        <v>#N/A</v>
      </c>
      <c r="C353" s="17" t="s">
        <v>980</v>
      </c>
      <c r="D353" s="21" t="e">
        <f t="shared" si="5"/>
        <v>#N/A</v>
      </c>
      <c r="E353" s="11"/>
      <c r="F353" s="91"/>
      <c r="G353" s="12"/>
      <c r="H353" s="12"/>
      <c r="I353" s="12"/>
      <c r="J353" s="10"/>
      <c r="K353" s="10"/>
    </row>
    <row r="354" spans="1:11" s="4" customFormat="1" ht="30" customHeight="1" x14ac:dyDescent="0.25">
      <c r="A354" s="9"/>
      <c r="B354" s="13" t="e">
        <f>VLOOKUP(Table24[[#This Row],[Location 
(drop-down)]],'List source'!D$2:E$71,2,FALSE)</f>
        <v>#N/A</v>
      </c>
      <c r="C354" s="17" t="s">
        <v>982</v>
      </c>
      <c r="D354" s="21" t="e">
        <f t="shared" si="5"/>
        <v>#N/A</v>
      </c>
      <c r="E354" s="11"/>
      <c r="F354" s="91"/>
      <c r="G354" s="12"/>
      <c r="H354" s="12"/>
      <c r="I354" s="12"/>
      <c r="J354" s="10"/>
      <c r="K354" s="10"/>
    </row>
    <row r="355" spans="1:11" s="4" customFormat="1" ht="30" customHeight="1" x14ac:dyDescent="0.25">
      <c r="A355" s="9"/>
      <c r="B355" s="13" t="e">
        <f>VLOOKUP(Table24[[#This Row],[Location 
(drop-down)]],'List source'!D$2:E$71,2,FALSE)</f>
        <v>#N/A</v>
      </c>
      <c r="C355" s="17" t="s">
        <v>984</v>
      </c>
      <c r="D355" s="21" t="e">
        <f t="shared" si="5"/>
        <v>#N/A</v>
      </c>
      <c r="E355" s="11"/>
      <c r="F355" s="91"/>
      <c r="G355" s="12"/>
      <c r="H355" s="12"/>
      <c r="I355" s="12"/>
      <c r="J355" s="10"/>
      <c r="K355" s="10"/>
    </row>
    <row r="356" spans="1:11" s="4" customFormat="1" ht="30" customHeight="1" x14ac:dyDescent="0.25">
      <c r="A356" s="9"/>
      <c r="B356" s="13" t="e">
        <f>VLOOKUP(Table24[[#This Row],[Location 
(drop-down)]],'List source'!D$2:E$71,2,FALSE)</f>
        <v>#N/A</v>
      </c>
      <c r="C356" s="17" t="s">
        <v>988</v>
      </c>
      <c r="D356" s="21" t="e">
        <f t="shared" si="5"/>
        <v>#N/A</v>
      </c>
      <c r="E356" s="11"/>
      <c r="F356" s="91"/>
      <c r="G356" s="12"/>
      <c r="H356" s="12"/>
      <c r="I356" s="12"/>
      <c r="J356" s="10"/>
      <c r="K356" s="10"/>
    </row>
    <row r="357" spans="1:11" s="4" customFormat="1" ht="30" customHeight="1" x14ac:dyDescent="0.25">
      <c r="A357" s="9"/>
      <c r="B357" s="13" t="e">
        <f>VLOOKUP(Table24[[#This Row],[Location 
(drop-down)]],'List source'!D$2:E$71,2,FALSE)</f>
        <v>#N/A</v>
      </c>
      <c r="C357" s="17" t="s">
        <v>991</v>
      </c>
      <c r="D357" s="21" t="e">
        <f t="shared" si="5"/>
        <v>#N/A</v>
      </c>
      <c r="E357" s="11"/>
      <c r="F357" s="91"/>
      <c r="G357" s="12"/>
      <c r="H357" s="12"/>
      <c r="I357" s="12"/>
      <c r="J357" s="10"/>
      <c r="K357" s="10"/>
    </row>
    <row r="358" spans="1:11" s="4" customFormat="1" ht="30" customHeight="1" x14ac:dyDescent="0.25">
      <c r="A358" s="9"/>
      <c r="B358" s="13" t="e">
        <f>VLOOKUP(Table24[[#This Row],[Location 
(drop-down)]],'List source'!D$2:E$71,2,FALSE)</f>
        <v>#N/A</v>
      </c>
      <c r="C358" s="17" t="s">
        <v>993</v>
      </c>
      <c r="D358" s="21" t="e">
        <f t="shared" si="5"/>
        <v>#N/A</v>
      </c>
      <c r="E358" s="11"/>
      <c r="F358" s="91"/>
      <c r="G358" s="12"/>
      <c r="H358" s="12"/>
      <c r="I358" s="12"/>
      <c r="J358" s="10"/>
      <c r="K358" s="10"/>
    </row>
    <row r="359" spans="1:11" s="4" customFormat="1" ht="30" customHeight="1" x14ac:dyDescent="0.25">
      <c r="A359" s="9"/>
      <c r="B359" s="13" t="e">
        <f>VLOOKUP(Table24[[#This Row],[Location 
(drop-down)]],'List source'!D$2:E$71,2,FALSE)</f>
        <v>#N/A</v>
      </c>
      <c r="C359" s="17" t="s">
        <v>995</v>
      </c>
      <c r="D359" s="21" t="e">
        <f t="shared" si="5"/>
        <v>#N/A</v>
      </c>
      <c r="E359" s="11"/>
      <c r="F359" s="91"/>
      <c r="G359" s="12"/>
      <c r="H359" s="12"/>
      <c r="I359" s="12"/>
      <c r="J359" s="10"/>
      <c r="K359" s="10"/>
    </row>
    <row r="360" spans="1:11" s="4" customFormat="1" ht="30" customHeight="1" x14ac:dyDescent="0.25">
      <c r="A360" s="9"/>
      <c r="B360" s="13" t="e">
        <f>VLOOKUP(Table24[[#This Row],[Location 
(drop-down)]],'List source'!D$2:E$71,2,FALSE)</f>
        <v>#N/A</v>
      </c>
      <c r="C360" s="17" t="s">
        <v>997</v>
      </c>
      <c r="D360" s="21" t="e">
        <f t="shared" si="5"/>
        <v>#N/A</v>
      </c>
      <c r="E360" s="11"/>
      <c r="F360" s="91"/>
      <c r="G360" s="12"/>
      <c r="H360" s="12"/>
      <c r="I360" s="12"/>
      <c r="J360" s="10"/>
      <c r="K360" s="10"/>
    </row>
    <row r="361" spans="1:11" s="4" customFormat="1" ht="30" customHeight="1" x14ac:dyDescent="0.25">
      <c r="A361" s="9"/>
      <c r="B361" s="13" t="e">
        <f>VLOOKUP(Table24[[#This Row],[Location 
(drop-down)]],'List source'!D$2:E$71,2,FALSE)</f>
        <v>#N/A</v>
      </c>
      <c r="C361" s="17" t="s">
        <v>998</v>
      </c>
      <c r="D361" s="21" t="e">
        <f t="shared" si="5"/>
        <v>#N/A</v>
      </c>
      <c r="E361" s="11"/>
      <c r="F361" s="91"/>
      <c r="G361" s="12"/>
      <c r="H361" s="12"/>
      <c r="I361" s="12"/>
      <c r="J361" s="10"/>
      <c r="K361" s="10"/>
    </row>
    <row r="362" spans="1:11" s="4" customFormat="1" ht="30" customHeight="1" x14ac:dyDescent="0.25">
      <c r="A362" s="9"/>
      <c r="B362" s="13" t="e">
        <f>VLOOKUP(Table24[[#This Row],[Location 
(drop-down)]],'List source'!D$2:E$71,2,FALSE)</f>
        <v>#N/A</v>
      </c>
      <c r="C362" s="17" t="s">
        <v>999</v>
      </c>
      <c r="D362" s="21" t="e">
        <f t="shared" si="5"/>
        <v>#N/A</v>
      </c>
      <c r="E362" s="11"/>
      <c r="F362" s="91"/>
      <c r="G362" s="12"/>
      <c r="H362" s="12"/>
      <c r="I362" s="12"/>
      <c r="J362" s="10"/>
      <c r="K362" s="10"/>
    </row>
    <row r="363" spans="1:11" s="4" customFormat="1" ht="30" customHeight="1" x14ac:dyDescent="0.25">
      <c r="A363" s="9"/>
      <c r="B363" s="13" t="e">
        <f>VLOOKUP(Table24[[#This Row],[Location 
(drop-down)]],'List source'!D$2:E$71,2,FALSE)</f>
        <v>#N/A</v>
      </c>
      <c r="C363" s="17" t="s">
        <v>1001</v>
      </c>
      <c r="D363" s="21" t="e">
        <f t="shared" si="5"/>
        <v>#N/A</v>
      </c>
      <c r="E363" s="11"/>
      <c r="F363" s="91"/>
      <c r="G363" s="12"/>
      <c r="H363" s="12"/>
      <c r="I363" s="12"/>
      <c r="J363" s="10"/>
      <c r="K363" s="10"/>
    </row>
    <row r="364" spans="1:11" s="4" customFormat="1" ht="30" customHeight="1" x14ac:dyDescent="0.25">
      <c r="A364" s="9"/>
      <c r="B364" s="13" t="e">
        <f>VLOOKUP(Table24[[#This Row],[Location 
(drop-down)]],'List source'!D$2:E$71,2,FALSE)</f>
        <v>#N/A</v>
      </c>
      <c r="C364" s="17" t="s">
        <v>1002</v>
      </c>
      <c r="D364" s="21" t="e">
        <f t="shared" si="5"/>
        <v>#N/A</v>
      </c>
      <c r="E364" s="11"/>
      <c r="F364" s="91"/>
      <c r="G364" s="12"/>
      <c r="H364" s="12"/>
      <c r="I364" s="12"/>
      <c r="J364" s="10"/>
      <c r="K364" s="10"/>
    </row>
    <row r="365" spans="1:11" s="4" customFormat="1" ht="30" customHeight="1" x14ac:dyDescent="0.25">
      <c r="A365" s="9"/>
      <c r="B365" s="13" t="e">
        <f>VLOOKUP(Table24[[#This Row],[Location 
(drop-down)]],'List source'!D$2:E$71,2,FALSE)</f>
        <v>#N/A</v>
      </c>
      <c r="C365" s="17" t="s">
        <v>1004</v>
      </c>
      <c r="D365" s="21" t="e">
        <f t="shared" si="5"/>
        <v>#N/A</v>
      </c>
      <c r="E365" s="11"/>
      <c r="F365" s="91"/>
      <c r="G365" s="12"/>
      <c r="H365" s="12"/>
      <c r="I365" s="12"/>
      <c r="J365" s="10"/>
      <c r="K365" s="10"/>
    </row>
    <row r="366" spans="1:11" s="4" customFormat="1" ht="30" customHeight="1" x14ac:dyDescent="0.25">
      <c r="A366" s="9"/>
      <c r="B366" s="13" t="e">
        <f>VLOOKUP(Table24[[#This Row],[Location 
(drop-down)]],'List source'!D$2:E$71,2,FALSE)</f>
        <v>#N/A</v>
      </c>
      <c r="C366" s="17" t="s">
        <v>1005</v>
      </c>
      <c r="D366" s="21" t="e">
        <f t="shared" si="5"/>
        <v>#N/A</v>
      </c>
      <c r="E366" s="11"/>
      <c r="F366" s="91"/>
      <c r="G366" s="12"/>
      <c r="H366" s="12"/>
      <c r="I366" s="12"/>
      <c r="J366" s="10"/>
      <c r="K366" s="10"/>
    </row>
    <row r="367" spans="1:11" s="4" customFormat="1" ht="30" customHeight="1" x14ac:dyDescent="0.25">
      <c r="A367" s="9"/>
      <c r="B367" s="13" t="e">
        <f>VLOOKUP(Table24[[#This Row],[Location 
(drop-down)]],'List source'!D$2:E$71,2,FALSE)</f>
        <v>#N/A</v>
      </c>
      <c r="C367" s="17" t="s">
        <v>1007</v>
      </c>
      <c r="D367" s="21" t="e">
        <f t="shared" si="5"/>
        <v>#N/A</v>
      </c>
      <c r="E367" s="11"/>
      <c r="F367" s="91"/>
      <c r="G367" s="12"/>
      <c r="H367" s="12"/>
      <c r="I367" s="12"/>
      <c r="J367" s="10"/>
      <c r="K367" s="10"/>
    </row>
    <row r="368" spans="1:11" s="4" customFormat="1" ht="30" customHeight="1" x14ac:dyDescent="0.25">
      <c r="A368" s="9"/>
      <c r="B368" s="13" t="e">
        <f>VLOOKUP(Table24[[#This Row],[Location 
(drop-down)]],'List source'!D$2:E$71,2,FALSE)</f>
        <v>#N/A</v>
      </c>
      <c r="C368" s="17" t="s">
        <v>1009</v>
      </c>
      <c r="D368" s="21" t="e">
        <f t="shared" si="5"/>
        <v>#N/A</v>
      </c>
      <c r="E368" s="11"/>
      <c r="F368" s="91"/>
      <c r="G368" s="12"/>
      <c r="H368" s="12"/>
      <c r="I368" s="12"/>
      <c r="J368" s="10"/>
      <c r="K368" s="10"/>
    </row>
    <row r="369" spans="1:11" s="4" customFormat="1" ht="30" customHeight="1" x14ac:dyDescent="0.25">
      <c r="A369" s="9"/>
      <c r="B369" s="13" t="e">
        <f>VLOOKUP(Table24[[#This Row],[Location 
(drop-down)]],'List source'!D$2:E$71,2,FALSE)</f>
        <v>#N/A</v>
      </c>
      <c r="C369" s="17" t="s">
        <v>1010</v>
      </c>
      <c r="D369" s="21" t="e">
        <f t="shared" si="5"/>
        <v>#N/A</v>
      </c>
      <c r="E369" s="11"/>
      <c r="F369" s="91"/>
      <c r="G369" s="12"/>
      <c r="H369" s="12"/>
      <c r="I369" s="12"/>
      <c r="J369" s="10"/>
      <c r="K369" s="10"/>
    </row>
    <row r="370" spans="1:11" s="4" customFormat="1" ht="30" customHeight="1" x14ac:dyDescent="0.25">
      <c r="A370" s="9"/>
      <c r="B370" s="13" t="e">
        <f>VLOOKUP(Table24[[#This Row],[Location 
(drop-down)]],'List source'!D$2:E$71,2,FALSE)</f>
        <v>#N/A</v>
      </c>
      <c r="C370" s="17" t="s">
        <v>1012</v>
      </c>
      <c r="D370" s="21" t="e">
        <f t="shared" si="5"/>
        <v>#N/A</v>
      </c>
      <c r="E370" s="11"/>
      <c r="F370" s="91"/>
      <c r="G370" s="12"/>
      <c r="H370" s="12"/>
      <c r="I370" s="12"/>
      <c r="J370" s="10"/>
      <c r="K370" s="10"/>
    </row>
    <row r="371" spans="1:11" s="4" customFormat="1" ht="30" customHeight="1" x14ac:dyDescent="0.25">
      <c r="A371" s="9"/>
      <c r="B371" s="13" t="e">
        <f>VLOOKUP(Table24[[#This Row],[Location 
(drop-down)]],'List source'!D$2:E$71,2,FALSE)</f>
        <v>#N/A</v>
      </c>
      <c r="C371" s="17" t="s">
        <v>1014</v>
      </c>
      <c r="D371" s="21" t="e">
        <f t="shared" si="5"/>
        <v>#N/A</v>
      </c>
      <c r="E371" s="11"/>
      <c r="F371" s="91"/>
      <c r="G371" s="12"/>
      <c r="H371" s="12"/>
      <c r="I371" s="12"/>
      <c r="J371" s="10"/>
      <c r="K371" s="10"/>
    </row>
    <row r="372" spans="1:11" s="4" customFormat="1" ht="30" customHeight="1" x14ac:dyDescent="0.25">
      <c r="A372" s="9"/>
      <c r="B372" s="13" t="e">
        <f>VLOOKUP(Table24[[#This Row],[Location 
(drop-down)]],'List source'!D$2:E$71,2,FALSE)</f>
        <v>#N/A</v>
      </c>
      <c r="C372" s="17" t="s">
        <v>1016</v>
      </c>
      <c r="D372" s="21" t="e">
        <f t="shared" si="5"/>
        <v>#N/A</v>
      </c>
      <c r="E372" s="11"/>
      <c r="F372" s="91"/>
      <c r="G372" s="12"/>
      <c r="H372" s="12"/>
      <c r="I372" s="12"/>
      <c r="J372" s="10"/>
      <c r="K372" s="10"/>
    </row>
    <row r="373" spans="1:11" s="4" customFormat="1" ht="30" customHeight="1" x14ac:dyDescent="0.25">
      <c r="A373" s="9"/>
      <c r="B373" s="13" t="e">
        <f>VLOOKUP(Table24[[#This Row],[Location 
(drop-down)]],'List source'!D$2:E$71,2,FALSE)</f>
        <v>#N/A</v>
      </c>
      <c r="C373" s="17" t="s">
        <v>1018</v>
      </c>
      <c r="D373" s="21" t="e">
        <f t="shared" si="5"/>
        <v>#N/A</v>
      </c>
      <c r="E373" s="11"/>
      <c r="F373" s="91"/>
      <c r="G373" s="12"/>
      <c r="H373" s="12"/>
      <c r="I373" s="12"/>
      <c r="J373" s="10"/>
      <c r="K373" s="10"/>
    </row>
    <row r="374" spans="1:11" s="4" customFormat="1" ht="30" customHeight="1" x14ac:dyDescent="0.25">
      <c r="A374" s="9"/>
      <c r="B374" s="13" t="e">
        <f>VLOOKUP(Table24[[#This Row],[Location 
(drop-down)]],'List source'!D$2:E$71,2,FALSE)</f>
        <v>#N/A</v>
      </c>
      <c r="C374" s="17" t="s">
        <v>1020</v>
      </c>
      <c r="D374" s="21" t="e">
        <f t="shared" si="5"/>
        <v>#N/A</v>
      </c>
      <c r="E374" s="11"/>
      <c r="F374" s="91"/>
      <c r="G374" s="12"/>
      <c r="H374" s="12"/>
      <c r="I374" s="12"/>
      <c r="J374" s="10"/>
      <c r="K374" s="10"/>
    </row>
    <row r="375" spans="1:11" s="4" customFormat="1" ht="30" customHeight="1" x14ac:dyDescent="0.25">
      <c r="A375" s="9"/>
      <c r="B375" s="13" t="e">
        <f>VLOOKUP(Table24[[#This Row],[Location 
(drop-down)]],'List source'!D$2:E$71,2,FALSE)</f>
        <v>#N/A</v>
      </c>
      <c r="C375" s="17" t="s">
        <v>1022</v>
      </c>
      <c r="D375" s="21" t="e">
        <f t="shared" si="5"/>
        <v>#N/A</v>
      </c>
      <c r="E375" s="11"/>
      <c r="F375" s="91"/>
      <c r="G375" s="12"/>
      <c r="H375" s="12"/>
      <c r="I375" s="12"/>
      <c r="J375" s="10"/>
      <c r="K375" s="10"/>
    </row>
    <row r="376" spans="1:11" s="4" customFormat="1" ht="30" customHeight="1" x14ac:dyDescent="0.25">
      <c r="A376" s="9"/>
      <c r="B376" s="13" t="e">
        <f>VLOOKUP(Table24[[#This Row],[Location 
(drop-down)]],'List source'!D$2:E$71,2,FALSE)</f>
        <v>#N/A</v>
      </c>
      <c r="C376" s="17" t="s">
        <v>1025</v>
      </c>
      <c r="D376" s="21" t="e">
        <f t="shared" si="5"/>
        <v>#N/A</v>
      </c>
      <c r="E376" s="11"/>
      <c r="F376" s="91"/>
      <c r="G376" s="12"/>
      <c r="H376" s="12"/>
      <c r="I376" s="12"/>
      <c r="J376" s="10"/>
      <c r="K376" s="10"/>
    </row>
    <row r="377" spans="1:11" s="4" customFormat="1" ht="30" customHeight="1" x14ac:dyDescent="0.25">
      <c r="A377" s="9"/>
      <c r="B377" s="13" t="e">
        <f>VLOOKUP(Table24[[#This Row],[Location 
(drop-down)]],'List source'!D$2:E$71,2,FALSE)</f>
        <v>#N/A</v>
      </c>
      <c r="C377" s="17" t="s">
        <v>1028</v>
      </c>
      <c r="D377" s="21" t="e">
        <f t="shared" si="5"/>
        <v>#N/A</v>
      </c>
      <c r="E377" s="11"/>
      <c r="F377" s="91"/>
      <c r="G377" s="12"/>
      <c r="H377" s="12"/>
      <c r="I377" s="12"/>
      <c r="J377" s="10"/>
      <c r="K377" s="10"/>
    </row>
    <row r="378" spans="1:11" s="4" customFormat="1" ht="30" customHeight="1" x14ac:dyDescent="0.25">
      <c r="A378" s="9"/>
      <c r="B378" s="13" t="e">
        <f>VLOOKUP(Table24[[#This Row],[Location 
(drop-down)]],'List source'!D$2:E$71,2,FALSE)</f>
        <v>#N/A</v>
      </c>
      <c r="C378" s="17" t="s">
        <v>1030</v>
      </c>
      <c r="D378" s="21" t="e">
        <f t="shared" si="5"/>
        <v>#N/A</v>
      </c>
      <c r="E378" s="11"/>
      <c r="F378" s="91"/>
      <c r="G378" s="12"/>
      <c r="H378" s="12"/>
      <c r="I378" s="12"/>
      <c r="J378" s="10"/>
      <c r="K378" s="10"/>
    </row>
    <row r="379" spans="1:11" s="4" customFormat="1" ht="30" customHeight="1" x14ac:dyDescent="0.25">
      <c r="A379" s="9"/>
      <c r="B379" s="13" t="e">
        <f>VLOOKUP(Table24[[#This Row],[Location 
(drop-down)]],'List source'!D$2:E$71,2,FALSE)</f>
        <v>#N/A</v>
      </c>
      <c r="C379" s="17" t="s">
        <v>1032</v>
      </c>
      <c r="D379" s="21" t="e">
        <f t="shared" si="5"/>
        <v>#N/A</v>
      </c>
      <c r="E379" s="11"/>
      <c r="F379" s="91"/>
      <c r="G379" s="12"/>
      <c r="H379" s="12"/>
      <c r="I379" s="12"/>
      <c r="J379" s="10"/>
      <c r="K379" s="10"/>
    </row>
    <row r="380" spans="1:11" s="4" customFormat="1" ht="30" customHeight="1" x14ac:dyDescent="0.25">
      <c r="A380" s="9"/>
      <c r="B380" s="13" t="e">
        <f>VLOOKUP(Table24[[#This Row],[Location 
(drop-down)]],'List source'!D$2:E$71,2,FALSE)</f>
        <v>#N/A</v>
      </c>
      <c r="C380" s="17" t="s">
        <v>1035</v>
      </c>
      <c r="D380" s="21" t="e">
        <f t="shared" si="5"/>
        <v>#N/A</v>
      </c>
      <c r="E380" s="11"/>
      <c r="F380" s="91"/>
      <c r="G380" s="12"/>
      <c r="H380" s="12"/>
      <c r="I380" s="12"/>
      <c r="J380" s="10"/>
      <c r="K380" s="10"/>
    </row>
    <row r="381" spans="1:11" s="4" customFormat="1" ht="30" customHeight="1" x14ac:dyDescent="0.25">
      <c r="A381" s="9"/>
      <c r="B381" s="13" t="e">
        <f>VLOOKUP(Table24[[#This Row],[Location 
(drop-down)]],'List source'!D$2:E$71,2,FALSE)</f>
        <v>#N/A</v>
      </c>
      <c r="C381" s="17" t="s">
        <v>1039</v>
      </c>
      <c r="D381" s="21" t="e">
        <f t="shared" si="5"/>
        <v>#N/A</v>
      </c>
      <c r="E381" s="11"/>
      <c r="F381" s="91"/>
      <c r="G381" s="12"/>
      <c r="H381" s="12"/>
      <c r="I381" s="12"/>
      <c r="J381" s="10"/>
      <c r="K381" s="10"/>
    </row>
    <row r="382" spans="1:11" s="4" customFormat="1" ht="30" customHeight="1" x14ac:dyDescent="0.25">
      <c r="A382" s="9"/>
      <c r="B382" s="13" t="e">
        <f>VLOOKUP(Table24[[#This Row],[Location 
(drop-down)]],'List source'!D$2:E$71,2,FALSE)</f>
        <v>#N/A</v>
      </c>
      <c r="C382" s="17" t="s">
        <v>1042</v>
      </c>
      <c r="D382" s="21" t="e">
        <f t="shared" si="5"/>
        <v>#N/A</v>
      </c>
      <c r="E382" s="11"/>
      <c r="F382" s="91"/>
      <c r="G382" s="12"/>
      <c r="H382" s="12"/>
      <c r="I382" s="12"/>
      <c r="J382" s="10"/>
      <c r="K382" s="10"/>
    </row>
    <row r="383" spans="1:11" s="4" customFormat="1" ht="30" customHeight="1" x14ac:dyDescent="0.25">
      <c r="A383" s="9"/>
      <c r="B383" s="13" t="e">
        <f>VLOOKUP(Table24[[#This Row],[Location 
(drop-down)]],'List source'!D$2:E$71,2,FALSE)</f>
        <v>#N/A</v>
      </c>
      <c r="C383" s="17" t="s">
        <v>1044</v>
      </c>
      <c r="D383" s="21" t="e">
        <f t="shared" si="5"/>
        <v>#N/A</v>
      </c>
      <c r="E383" s="11"/>
      <c r="F383" s="91"/>
      <c r="G383" s="12"/>
      <c r="H383" s="12"/>
      <c r="I383" s="12"/>
      <c r="J383" s="10"/>
      <c r="K383" s="10"/>
    </row>
    <row r="384" spans="1:11" s="4" customFormat="1" ht="30" customHeight="1" x14ac:dyDescent="0.25">
      <c r="A384" s="9"/>
      <c r="B384" s="13" t="e">
        <f>VLOOKUP(Table24[[#This Row],[Location 
(drop-down)]],'List source'!D$2:E$71,2,FALSE)</f>
        <v>#N/A</v>
      </c>
      <c r="C384" s="17" t="s">
        <v>1047</v>
      </c>
      <c r="D384" s="21" t="e">
        <f t="shared" si="5"/>
        <v>#N/A</v>
      </c>
      <c r="E384" s="11"/>
      <c r="F384" s="91"/>
      <c r="G384" s="12"/>
      <c r="H384" s="12"/>
      <c r="I384" s="12"/>
      <c r="J384" s="10"/>
      <c r="K384" s="10"/>
    </row>
    <row r="385" spans="1:11" s="4" customFormat="1" ht="30" customHeight="1" x14ac:dyDescent="0.25">
      <c r="A385" s="9"/>
      <c r="B385" s="13" t="e">
        <f>VLOOKUP(Table24[[#This Row],[Location 
(drop-down)]],'List source'!D$2:E$71,2,FALSE)</f>
        <v>#N/A</v>
      </c>
      <c r="C385" s="17" t="s">
        <v>1049</v>
      </c>
      <c r="D385" s="21" t="e">
        <f t="shared" si="5"/>
        <v>#N/A</v>
      </c>
      <c r="E385" s="11"/>
      <c r="F385" s="91"/>
      <c r="G385" s="12"/>
      <c r="H385" s="12"/>
      <c r="I385" s="12"/>
      <c r="J385" s="10"/>
      <c r="K385" s="10"/>
    </row>
    <row r="386" spans="1:11" s="4" customFormat="1" ht="30" customHeight="1" x14ac:dyDescent="0.25">
      <c r="A386" s="9"/>
      <c r="B386" s="13" t="e">
        <f>VLOOKUP(Table24[[#This Row],[Location 
(drop-down)]],'List source'!D$2:E$71,2,FALSE)</f>
        <v>#N/A</v>
      </c>
      <c r="C386" s="17" t="s">
        <v>1051</v>
      </c>
      <c r="D386" s="21" t="e">
        <f t="shared" ref="D386:D449" si="6">"P" &amp; C386 &amp; "-" &amp; B386 &amp; "-" &amp; "25"</f>
        <v>#N/A</v>
      </c>
      <c r="E386" s="11"/>
      <c r="F386" s="91"/>
      <c r="G386" s="12"/>
      <c r="H386" s="12"/>
      <c r="I386" s="12"/>
      <c r="J386" s="10"/>
      <c r="K386" s="10"/>
    </row>
    <row r="387" spans="1:11" s="4" customFormat="1" ht="30" customHeight="1" x14ac:dyDescent="0.25">
      <c r="A387" s="9"/>
      <c r="B387" s="13" t="e">
        <f>VLOOKUP(Table24[[#This Row],[Location 
(drop-down)]],'List source'!D$2:E$71,2,FALSE)</f>
        <v>#N/A</v>
      </c>
      <c r="C387" s="17" t="s">
        <v>1053</v>
      </c>
      <c r="D387" s="21" t="e">
        <f t="shared" si="6"/>
        <v>#N/A</v>
      </c>
      <c r="E387" s="11"/>
      <c r="F387" s="91"/>
      <c r="G387" s="12"/>
      <c r="H387" s="12"/>
      <c r="I387" s="12"/>
      <c r="J387" s="10"/>
      <c r="K387" s="10"/>
    </row>
    <row r="388" spans="1:11" s="4" customFormat="1" ht="30" customHeight="1" x14ac:dyDescent="0.25">
      <c r="A388" s="9"/>
      <c r="B388" s="13" t="e">
        <f>VLOOKUP(Table24[[#This Row],[Location 
(drop-down)]],'List source'!D$2:E$71,2,FALSE)</f>
        <v>#N/A</v>
      </c>
      <c r="C388" s="17" t="s">
        <v>1055</v>
      </c>
      <c r="D388" s="21" t="e">
        <f t="shared" si="6"/>
        <v>#N/A</v>
      </c>
      <c r="E388" s="11"/>
      <c r="F388" s="91"/>
      <c r="G388" s="12"/>
      <c r="H388" s="12"/>
      <c r="I388" s="12"/>
      <c r="J388" s="10"/>
      <c r="K388" s="10"/>
    </row>
    <row r="389" spans="1:11" s="4" customFormat="1" ht="30" customHeight="1" x14ac:dyDescent="0.25">
      <c r="A389" s="9"/>
      <c r="B389" s="13" t="e">
        <f>VLOOKUP(Table24[[#This Row],[Location 
(drop-down)]],'List source'!D$2:E$71,2,FALSE)</f>
        <v>#N/A</v>
      </c>
      <c r="C389" s="17" t="s">
        <v>1057</v>
      </c>
      <c r="D389" s="21" t="e">
        <f t="shared" si="6"/>
        <v>#N/A</v>
      </c>
      <c r="E389" s="11"/>
      <c r="F389" s="91"/>
      <c r="G389" s="12"/>
      <c r="H389" s="12"/>
      <c r="I389" s="12"/>
      <c r="J389" s="10"/>
      <c r="K389" s="10"/>
    </row>
    <row r="390" spans="1:11" s="4" customFormat="1" ht="30" customHeight="1" x14ac:dyDescent="0.25">
      <c r="A390" s="9"/>
      <c r="B390" s="13" t="e">
        <f>VLOOKUP(Table24[[#This Row],[Location 
(drop-down)]],'List source'!D$2:E$71,2,FALSE)</f>
        <v>#N/A</v>
      </c>
      <c r="C390" s="17" t="s">
        <v>1059</v>
      </c>
      <c r="D390" s="21" t="e">
        <f t="shared" si="6"/>
        <v>#N/A</v>
      </c>
      <c r="E390" s="11"/>
      <c r="F390" s="91"/>
      <c r="G390" s="12"/>
      <c r="H390" s="12"/>
      <c r="I390" s="12"/>
      <c r="J390" s="10"/>
      <c r="K390" s="10"/>
    </row>
    <row r="391" spans="1:11" s="4" customFormat="1" ht="30" customHeight="1" x14ac:dyDescent="0.25">
      <c r="A391" s="9"/>
      <c r="B391" s="13" t="e">
        <f>VLOOKUP(Table24[[#This Row],[Location 
(drop-down)]],'List source'!D$2:E$71,2,FALSE)</f>
        <v>#N/A</v>
      </c>
      <c r="C391" s="17" t="s">
        <v>1062</v>
      </c>
      <c r="D391" s="21" t="e">
        <f t="shared" si="6"/>
        <v>#N/A</v>
      </c>
      <c r="E391" s="11"/>
      <c r="F391" s="91"/>
      <c r="G391" s="12"/>
      <c r="H391" s="12"/>
      <c r="I391" s="12"/>
      <c r="J391" s="10"/>
      <c r="K391" s="10"/>
    </row>
    <row r="392" spans="1:11" s="4" customFormat="1" ht="30" customHeight="1" x14ac:dyDescent="0.25">
      <c r="A392" s="9"/>
      <c r="B392" s="13" t="e">
        <f>VLOOKUP(Table24[[#This Row],[Location 
(drop-down)]],'List source'!D$2:E$71,2,FALSE)</f>
        <v>#N/A</v>
      </c>
      <c r="C392" s="17" t="s">
        <v>1064</v>
      </c>
      <c r="D392" s="21" t="e">
        <f t="shared" si="6"/>
        <v>#N/A</v>
      </c>
      <c r="E392" s="11"/>
      <c r="F392" s="91"/>
      <c r="G392" s="12"/>
      <c r="H392" s="12"/>
      <c r="I392" s="12"/>
      <c r="J392" s="10"/>
      <c r="K392" s="10"/>
    </row>
    <row r="393" spans="1:11" s="4" customFormat="1" ht="30" customHeight="1" x14ac:dyDescent="0.25">
      <c r="A393" s="9"/>
      <c r="B393" s="13" t="e">
        <f>VLOOKUP(Table24[[#This Row],[Location 
(drop-down)]],'List source'!D$2:E$71,2,FALSE)</f>
        <v>#N/A</v>
      </c>
      <c r="C393" s="17" t="s">
        <v>1067</v>
      </c>
      <c r="D393" s="21" t="e">
        <f t="shared" si="6"/>
        <v>#N/A</v>
      </c>
      <c r="E393" s="11"/>
      <c r="F393" s="91"/>
      <c r="G393" s="12"/>
      <c r="H393" s="12"/>
      <c r="I393" s="12"/>
      <c r="J393" s="10"/>
      <c r="K393" s="10"/>
    </row>
    <row r="394" spans="1:11" s="4" customFormat="1" ht="30" customHeight="1" x14ac:dyDescent="0.25">
      <c r="A394" s="9"/>
      <c r="B394" s="13" t="e">
        <f>VLOOKUP(Table24[[#This Row],[Location 
(drop-down)]],'List source'!D$2:E$71,2,FALSE)</f>
        <v>#N/A</v>
      </c>
      <c r="C394" s="17" t="s">
        <v>1069</v>
      </c>
      <c r="D394" s="21" t="e">
        <f t="shared" si="6"/>
        <v>#N/A</v>
      </c>
      <c r="E394" s="11"/>
      <c r="F394" s="91"/>
      <c r="G394" s="12"/>
      <c r="H394" s="12"/>
      <c r="I394" s="12"/>
      <c r="J394" s="10"/>
      <c r="K394" s="10"/>
    </row>
    <row r="395" spans="1:11" s="4" customFormat="1" ht="30" customHeight="1" x14ac:dyDescent="0.25">
      <c r="A395" s="9"/>
      <c r="B395" s="13" t="e">
        <f>VLOOKUP(Table24[[#This Row],[Location 
(drop-down)]],'List source'!D$2:E$71,2,FALSE)</f>
        <v>#N/A</v>
      </c>
      <c r="C395" s="17" t="s">
        <v>1071</v>
      </c>
      <c r="D395" s="21" t="e">
        <f t="shared" si="6"/>
        <v>#N/A</v>
      </c>
      <c r="E395" s="11"/>
      <c r="F395" s="91"/>
      <c r="G395" s="12"/>
      <c r="H395" s="12"/>
      <c r="I395" s="12"/>
      <c r="J395" s="10"/>
      <c r="K395" s="10"/>
    </row>
    <row r="396" spans="1:11" s="4" customFormat="1" ht="30" customHeight="1" x14ac:dyDescent="0.25">
      <c r="A396" s="9"/>
      <c r="B396" s="13" t="e">
        <f>VLOOKUP(Table24[[#This Row],[Location 
(drop-down)]],'List source'!D$2:E$71,2,FALSE)</f>
        <v>#N/A</v>
      </c>
      <c r="C396" s="17" t="s">
        <v>1073</v>
      </c>
      <c r="D396" s="21" t="e">
        <f t="shared" si="6"/>
        <v>#N/A</v>
      </c>
      <c r="E396" s="11"/>
      <c r="F396" s="91"/>
      <c r="G396" s="12"/>
      <c r="H396" s="12"/>
      <c r="I396" s="12"/>
      <c r="J396" s="10"/>
      <c r="K396" s="10"/>
    </row>
    <row r="397" spans="1:11" s="4" customFormat="1" ht="30" customHeight="1" x14ac:dyDescent="0.25">
      <c r="A397" s="9"/>
      <c r="B397" s="13" t="e">
        <f>VLOOKUP(Table24[[#This Row],[Location 
(drop-down)]],'List source'!D$2:E$71,2,FALSE)</f>
        <v>#N/A</v>
      </c>
      <c r="C397" s="17" t="s">
        <v>1074</v>
      </c>
      <c r="D397" s="21" t="e">
        <f t="shared" si="6"/>
        <v>#N/A</v>
      </c>
      <c r="E397" s="11"/>
      <c r="F397" s="91"/>
      <c r="G397" s="12"/>
      <c r="H397" s="12"/>
      <c r="I397" s="12"/>
      <c r="J397" s="10"/>
      <c r="K397" s="10"/>
    </row>
    <row r="398" spans="1:11" s="4" customFormat="1" ht="30" customHeight="1" x14ac:dyDescent="0.25">
      <c r="A398" s="9"/>
      <c r="B398" s="13" t="e">
        <f>VLOOKUP(Table24[[#This Row],[Location 
(drop-down)]],'List source'!D$2:E$71,2,FALSE)</f>
        <v>#N/A</v>
      </c>
      <c r="C398" s="17" t="s">
        <v>1076</v>
      </c>
      <c r="D398" s="21" t="e">
        <f t="shared" si="6"/>
        <v>#N/A</v>
      </c>
      <c r="E398" s="11"/>
      <c r="F398" s="91"/>
      <c r="G398" s="12"/>
      <c r="H398" s="12"/>
      <c r="I398" s="12"/>
      <c r="J398" s="10"/>
      <c r="K398" s="10"/>
    </row>
    <row r="399" spans="1:11" s="4" customFormat="1" ht="30" customHeight="1" x14ac:dyDescent="0.25">
      <c r="A399" s="9"/>
      <c r="B399" s="13" t="e">
        <f>VLOOKUP(Table24[[#This Row],[Location 
(drop-down)]],'List source'!D$2:E$71,2,FALSE)</f>
        <v>#N/A</v>
      </c>
      <c r="C399" s="17" t="s">
        <v>1078</v>
      </c>
      <c r="D399" s="21" t="e">
        <f t="shared" si="6"/>
        <v>#N/A</v>
      </c>
      <c r="E399" s="11"/>
      <c r="F399" s="91"/>
      <c r="G399" s="12"/>
      <c r="H399" s="12"/>
      <c r="I399" s="12"/>
      <c r="J399" s="10"/>
      <c r="K399" s="10"/>
    </row>
    <row r="400" spans="1:11" s="4" customFormat="1" ht="30" customHeight="1" x14ac:dyDescent="0.25">
      <c r="A400" s="9"/>
      <c r="B400" s="13" t="e">
        <f>VLOOKUP(Table24[[#This Row],[Location 
(drop-down)]],'List source'!D$2:E$71,2,FALSE)</f>
        <v>#N/A</v>
      </c>
      <c r="C400" s="17" t="s">
        <v>1080</v>
      </c>
      <c r="D400" s="21" t="e">
        <f t="shared" si="6"/>
        <v>#N/A</v>
      </c>
      <c r="E400" s="11"/>
      <c r="F400" s="91"/>
      <c r="G400" s="12"/>
      <c r="H400" s="12"/>
      <c r="I400" s="12"/>
      <c r="J400" s="10"/>
      <c r="K400" s="10"/>
    </row>
    <row r="401" spans="1:11" s="4" customFormat="1" ht="30" customHeight="1" x14ac:dyDescent="0.25">
      <c r="A401" s="9"/>
      <c r="B401" s="13" t="e">
        <f>VLOOKUP(Table24[[#This Row],[Location 
(drop-down)]],'List source'!D$2:E$71,2,FALSE)</f>
        <v>#N/A</v>
      </c>
      <c r="C401" s="17" t="s">
        <v>1083</v>
      </c>
      <c r="D401" s="21" t="e">
        <f t="shared" si="6"/>
        <v>#N/A</v>
      </c>
      <c r="E401" s="11"/>
      <c r="F401" s="91"/>
      <c r="G401" s="12"/>
      <c r="H401" s="12"/>
      <c r="I401" s="12"/>
      <c r="J401" s="10"/>
      <c r="K401" s="10"/>
    </row>
    <row r="402" spans="1:11" s="4" customFormat="1" ht="30" customHeight="1" x14ac:dyDescent="0.25">
      <c r="A402" s="9"/>
      <c r="B402" s="13" t="e">
        <f>VLOOKUP(Table24[[#This Row],[Location 
(drop-down)]],'List source'!D$2:E$71,2,FALSE)</f>
        <v>#N/A</v>
      </c>
      <c r="C402" s="17" t="s">
        <v>1086</v>
      </c>
      <c r="D402" s="21" t="e">
        <f t="shared" si="6"/>
        <v>#N/A</v>
      </c>
      <c r="E402" s="11"/>
      <c r="F402" s="91"/>
      <c r="G402" s="12"/>
      <c r="H402" s="12"/>
      <c r="I402" s="12"/>
      <c r="J402" s="10"/>
      <c r="K402" s="10"/>
    </row>
    <row r="403" spans="1:11" s="4" customFormat="1" ht="30" customHeight="1" x14ac:dyDescent="0.25">
      <c r="A403" s="9"/>
      <c r="B403" s="13" t="e">
        <f>VLOOKUP(Table24[[#This Row],[Location 
(drop-down)]],'List source'!D$2:E$71,2,FALSE)</f>
        <v>#N/A</v>
      </c>
      <c r="C403" s="17" t="s">
        <v>1088</v>
      </c>
      <c r="D403" s="21" t="e">
        <f t="shared" si="6"/>
        <v>#N/A</v>
      </c>
      <c r="E403" s="11"/>
      <c r="F403" s="91"/>
      <c r="G403" s="12"/>
      <c r="H403" s="12"/>
      <c r="I403" s="12"/>
      <c r="J403" s="10"/>
      <c r="K403" s="10"/>
    </row>
    <row r="404" spans="1:11" s="4" customFormat="1" ht="30" customHeight="1" x14ac:dyDescent="0.25">
      <c r="A404" s="9"/>
      <c r="B404" s="13" t="e">
        <f>VLOOKUP(Table24[[#This Row],[Location 
(drop-down)]],'List source'!D$2:E$71,2,FALSE)</f>
        <v>#N/A</v>
      </c>
      <c r="C404" s="17" t="s">
        <v>1090</v>
      </c>
      <c r="D404" s="21" t="e">
        <f t="shared" si="6"/>
        <v>#N/A</v>
      </c>
      <c r="E404" s="11"/>
      <c r="F404" s="91"/>
      <c r="G404" s="12"/>
      <c r="H404" s="12"/>
      <c r="I404" s="12"/>
      <c r="J404" s="10"/>
      <c r="K404" s="10"/>
    </row>
    <row r="405" spans="1:11" s="4" customFormat="1" ht="30" customHeight="1" x14ac:dyDescent="0.25">
      <c r="A405" s="9"/>
      <c r="B405" s="13" t="e">
        <f>VLOOKUP(Table24[[#This Row],[Location 
(drop-down)]],'List source'!D$2:E$71,2,FALSE)</f>
        <v>#N/A</v>
      </c>
      <c r="C405" s="17" t="s">
        <v>1094</v>
      </c>
      <c r="D405" s="21" t="e">
        <f t="shared" si="6"/>
        <v>#N/A</v>
      </c>
      <c r="E405" s="11"/>
      <c r="F405" s="91"/>
      <c r="G405" s="12"/>
      <c r="H405" s="12"/>
      <c r="I405" s="12"/>
      <c r="J405" s="10"/>
      <c r="K405" s="10"/>
    </row>
    <row r="406" spans="1:11" s="4" customFormat="1" ht="30" customHeight="1" x14ac:dyDescent="0.25">
      <c r="A406" s="9"/>
      <c r="B406" s="13" t="e">
        <f>VLOOKUP(Table24[[#This Row],[Location 
(drop-down)]],'List source'!D$2:E$71,2,FALSE)</f>
        <v>#N/A</v>
      </c>
      <c r="C406" s="17" t="s">
        <v>1097</v>
      </c>
      <c r="D406" s="21" t="e">
        <f t="shared" si="6"/>
        <v>#N/A</v>
      </c>
      <c r="E406" s="11"/>
      <c r="F406" s="91"/>
      <c r="G406" s="12"/>
      <c r="H406" s="12"/>
      <c r="I406" s="12"/>
      <c r="J406" s="10"/>
      <c r="K406" s="10"/>
    </row>
    <row r="407" spans="1:11" s="4" customFormat="1" ht="30" customHeight="1" x14ac:dyDescent="0.25">
      <c r="A407" s="9"/>
      <c r="B407" s="13" t="e">
        <f>VLOOKUP(Table24[[#This Row],[Location 
(drop-down)]],'List source'!D$2:E$71,2,FALSE)</f>
        <v>#N/A</v>
      </c>
      <c r="C407" s="17" t="s">
        <v>1100</v>
      </c>
      <c r="D407" s="21" t="e">
        <f t="shared" si="6"/>
        <v>#N/A</v>
      </c>
      <c r="E407" s="11"/>
      <c r="F407" s="91"/>
      <c r="G407" s="12"/>
      <c r="H407" s="12"/>
      <c r="I407" s="12"/>
      <c r="J407" s="10"/>
      <c r="K407" s="10"/>
    </row>
    <row r="408" spans="1:11" s="4" customFormat="1" ht="30" customHeight="1" x14ac:dyDescent="0.25">
      <c r="A408" s="9"/>
      <c r="B408" s="13" t="e">
        <f>VLOOKUP(Table24[[#This Row],[Location 
(drop-down)]],'List source'!D$2:E$71,2,FALSE)</f>
        <v>#N/A</v>
      </c>
      <c r="C408" s="17" t="s">
        <v>1102</v>
      </c>
      <c r="D408" s="21" t="e">
        <f t="shared" si="6"/>
        <v>#N/A</v>
      </c>
      <c r="E408" s="11"/>
      <c r="F408" s="91"/>
      <c r="G408" s="12"/>
      <c r="H408" s="12"/>
      <c r="I408" s="12"/>
      <c r="J408" s="10"/>
      <c r="K408" s="10"/>
    </row>
    <row r="409" spans="1:11" s="4" customFormat="1" ht="30" customHeight="1" x14ac:dyDescent="0.25">
      <c r="A409" s="9"/>
      <c r="B409" s="13" t="e">
        <f>VLOOKUP(Table24[[#This Row],[Location 
(drop-down)]],'List source'!D$2:E$71,2,FALSE)</f>
        <v>#N/A</v>
      </c>
      <c r="C409" s="17" t="s">
        <v>1105</v>
      </c>
      <c r="D409" s="21" t="e">
        <f t="shared" si="6"/>
        <v>#N/A</v>
      </c>
      <c r="E409" s="11"/>
      <c r="F409" s="91"/>
      <c r="G409" s="12"/>
      <c r="H409" s="12"/>
      <c r="I409" s="12"/>
      <c r="J409" s="10"/>
      <c r="K409" s="10"/>
    </row>
    <row r="410" spans="1:11" s="4" customFormat="1" ht="30" customHeight="1" x14ac:dyDescent="0.25">
      <c r="A410" s="9"/>
      <c r="B410" s="13" t="e">
        <f>VLOOKUP(Table24[[#This Row],[Location 
(drop-down)]],'List source'!D$2:E$71,2,FALSE)</f>
        <v>#N/A</v>
      </c>
      <c r="C410" s="17" t="s">
        <v>1107</v>
      </c>
      <c r="D410" s="21" t="e">
        <f t="shared" si="6"/>
        <v>#N/A</v>
      </c>
      <c r="E410" s="11"/>
      <c r="F410" s="91"/>
      <c r="G410" s="12"/>
      <c r="H410" s="12"/>
      <c r="I410" s="12"/>
      <c r="J410" s="10"/>
      <c r="K410" s="10"/>
    </row>
    <row r="411" spans="1:11" s="4" customFormat="1" ht="30" customHeight="1" x14ac:dyDescent="0.25">
      <c r="A411" s="9"/>
      <c r="B411" s="13" t="e">
        <f>VLOOKUP(Table24[[#This Row],[Location 
(drop-down)]],'List source'!D$2:E$71,2,FALSE)</f>
        <v>#N/A</v>
      </c>
      <c r="C411" s="17" t="s">
        <v>1109</v>
      </c>
      <c r="D411" s="21" t="e">
        <f t="shared" si="6"/>
        <v>#N/A</v>
      </c>
      <c r="E411" s="11"/>
      <c r="F411" s="91"/>
      <c r="G411" s="12"/>
      <c r="H411" s="12"/>
      <c r="I411" s="12"/>
      <c r="J411" s="10"/>
      <c r="K411" s="10"/>
    </row>
    <row r="412" spans="1:11" s="4" customFormat="1" ht="30" customHeight="1" x14ac:dyDescent="0.25">
      <c r="A412" s="9"/>
      <c r="B412" s="13" t="e">
        <f>VLOOKUP(Table24[[#This Row],[Location 
(drop-down)]],'List source'!D$2:E$71,2,FALSE)</f>
        <v>#N/A</v>
      </c>
      <c r="C412" s="17" t="s">
        <v>1111</v>
      </c>
      <c r="D412" s="21" t="e">
        <f t="shared" si="6"/>
        <v>#N/A</v>
      </c>
      <c r="E412" s="11"/>
      <c r="F412" s="91"/>
      <c r="G412" s="12"/>
      <c r="H412" s="12"/>
      <c r="I412" s="12"/>
      <c r="J412" s="10"/>
      <c r="K412" s="10"/>
    </row>
    <row r="413" spans="1:11" s="4" customFormat="1" ht="30" customHeight="1" x14ac:dyDescent="0.25">
      <c r="A413" s="9"/>
      <c r="B413" s="13" t="e">
        <f>VLOOKUP(Table24[[#This Row],[Location 
(drop-down)]],'List source'!D$2:E$71,2,FALSE)</f>
        <v>#N/A</v>
      </c>
      <c r="C413" s="17" t="s">
        <v>1115</v>
      </c>
      <c r="D413" s="21" t="e">
        <f t="shared" si="6"/>
        <v>#N/A</v>
      </c>
      <c r="E413" s="11"/>
      <c r="F413" s="91"/>
      <c r="G413" s="12"/>
      <c r="H413" s="12"/>
      <c r="I413" s="12"/>
      <c r="J413" s="10"/>
      <c r="K413" s="10"/>
    </row>
    <row r="414" spans="1:11" s="4" customFormat="1" ht="30" customHeight="1" x14ac:dyDescent="0.25">
      <c r="A414" s="9"/>
      <c r="B414" s="13" t="e">
        <f>VLOOKUP(Table24[[#This Row],[Location 
(drop-down)]],'List source'!D$2:E$71,2,FALSE)</f>
        <v>#N/A</v>
      </c>
      <c r="C414" s="17" t="s">
        <v>1117</v>
      </c>
      <c r="D414" s="21" t="e">
        <f t="shared" si="6"/>
        <v>#N/A</v>
      </c>
      <c r="E414" s="11"/>
      <c r="F414" s="91"/>
      <c r="G414" s="12"/>
      <c r="H414" s="12"/>
      <c r="I414" s="12"/>
      <c r="J414" s="10"/>
      <c r="K414" s="10"/>
    </row>
    <row r="415" spans="1:11" s="4" customFormat="1" ht="30" customHeight="1" x14ac:dyDescent="0.25">
      <c r="A415" s="9"/>
      <c r="B415" s="13" t="e">
        <f>VLOOKUP(Table24[[#This Row],[Location 
(drop-down)]],'List source'!D$2:E$71,2,FALSE)</f>
        <v>#N/A</v>
      </c>
      <c r="C415" s="17" t="s">
        <v>1119</v>
      </c>
      <c r="D415" s="21" t="e">
        <f t="shared" si="6"/>
        <v>#N/A</v>
      </c>
      <c r="E415" s="11"/>
      <c r="F415" s="91"/>
      <c r="G415" s="12"/>
      <c r="H415" s="12"/>
      <c r="I415" s="12"/>
      <c r="J415" s="10"/>
      <c r="K415" s="10"/>
    </row>
    <row r="416" spans="1:11" s="4" customFormat="1" ht="30" customHeight="1" x14ac:dyDescent="0.25">
      <c r="A416" s="9"/>
      <c r="B416" s="13" t="e">
        <f>VLOOKUP(Table24[[#This Row],[Location 
(drop-down)]],'List source'!D$2:E$71,2,FALSE)</f>
        <v>#N/A</v>
      </c>
      <c r="C416" s="17" t="s">
        <v>1121</v>
      </c>
      <c r="D416" s="21" t="e">
        <f t="shared" si="6"/>
        <v>#N/A</v>
      </c>
      <c r="E416" s="11"/>
      <c r="F416" s="91"/>
      <c r="G416" s="12"/>
      <c r="H416" s="12"/>
      <c r="I416" s="12"/>
      <c r="J416" s="10"/>
      <c r="K416" s="10"/>
    </row>
    <row r="417" spans="1:11" s="4" customFormat="1" ht="30" customHeight="1" x14ac:dyDescent="0.25">
      <c r="A417" s="9"/>
      <c r="B417" s="13" t="e">
        <f>VLOOKUP(Table24[[#This Row],[Location 
(drop-down)]],'List source'!D$2:E$71,2,FALSE)</f>
        <v>#N/A</v>
      </c>
      <c r="C417" s="17" t="s">
        <v>1123</v>
      </c>
      <c r="D417" s="21" t="e">
        <f t="shared" si="6"/>
        <v>#N/A</v>
      </c>
      <c r="E417" s="11"/>
      <c r="F417" s="91"/>
      <c r="G417" s="12"/>
      <c r="H417" s="12"/>
      <c r="I417" s="12"/>
      <c r="J417" s="10"/>
      <c r="K417" s="10"/>
    </row>
    <row r="418" spans="1:11" s="4" customFormat="1" ht="30" customHeight="1" x14ac:dyDescent="0.25">
      <c r="A418" s="9"/>
      <c r="B418" s="13" t="e">
        <f>VLOOKUP(Table24[[#This Row],[Location 
(drop-down)]],'List source'!D$2:E$71,2,FALSE)</f>
        <v>#N/A</v>
      </c>
      <c r="C418" s="17" t="s">
        <v>1125</v>
      </c>
      <c r="D418" s="21" t="e">
        <f t="shared" si="6"/>
        <v>#N/A</v>
      </c>
      <c r="E418" s="11"/>
      <c r="F418" s="91"/>
      <c r="G418" s="12"/>
      <c r="H418" s="12"/>
      <c r="I418" s="12"/>
      <c r="J418" s="10"/>
      <c r="K418" s="10"/>
    </row>
    <row r="419" spans="1:11" s="4" customFormat="1" ht="30" customHeight="1" x14ac:dyDescent="0.25">
      <c r="A419" s="9"/>
      <c r="B419" s="13" t="e">
        <f>VLOOKUP(Table24[[#This Row],[Location 
(drop-down)]],'List source'!D$2:E$71,2,FALSE)</f>
        <v>#N/A</v>
      </c>
      <c r="C419" s="17" t="s">
        <v>1127</v>
      </c>
      <c r="D419" s="21" t="e">
        <f t="shared" si="6"/>
        <v>#N/A</v>
      </c>
      <c r="E419" s="11"/>
      <c r="F419" s="91"/>
      <c r="G419" s="12"/>
      <c r="H419" s="12"/>
      <c r="I419" s="12"/>
      <c r="J419" s="10"/>
      <c r="K419" s="10"/>
    </row>
    <row r="420" spans="1:11" s="4" customFormat="1" ht="30" customHeight="1" x14ac:dyDescent="0.25">
      <c r="A420" s="9"/>
      <c r="B420" s="13" t="e">
        <f>VLOOKUP(Table24[[#This Row],[Location 
(drop-down)]],'List source'!D$2:E$71,2,FALSE)</f>
        <v>#N/A</v>
      </c>
      <c r="C420" s="17" t="s">
        <v>1129</v>
      </c>
      <c r="D420" s="21" t="e">
        <f t="shared" si="6"/>
        <v>#N/A</v>
      </c>
      <c r="E420" s="11"/>
      <c r="F420" s="91"/>
      <c r="G420" s="12"/>
      <c r="H420" s="12"/>
      <c r="I420" s="12"/>
      <c r="J420" s="10"/>
      <c r="K420" s="10"/>
    </row>
    <row r="421" spans="1:11" s="4" customFormat="1" ht="30" customHeight="1" x14ac:dyDescent="0.25">
      <c r="A421" s="9"/>
      <c r="B421" s="13" t="e">
        <f>VLOOKUP(Table24[[#This Row],[Location 
(drop-down)]],'List source'!D$2:E$71,2,FALSE)</f>
        <v>#N/A</v>
      </c>
      <c r="C421" s="17" t="s">
        <v>1131</v>
      </c>
      <c r="D421" s="21" t="e">
        <f t="shared" si="6"/>
        <v>#N/A</v>
      </c>
      <c r="E421" s="11"/>
      <c r="F421" s="91"/>
      <c r="G421" s="12"/>
      <c r="H421" s="12"/>
      <c r="I421" s="12"/>
      <c r="J421" s="10"/>
      <c r="K421" s="10"/>
    </row>
    <row r="422" spans="1:11" s="4" customFormat="1" ht="30" customHeight="1" x14ac:dyDescent="0.25">
      <c r="A422" s="9"/>
      <c r="B422" s="13" t="e">
        <f>VLOOKUP(Table24[[#This Row],[Location 
(drop-down)]],'List source'!D$2:E$71,2,FALSE)</f>
        <v>#N/A</v>
      </c>
      <c r="C422" s="17" t="s">
        <v>1133</v>
      </c>
      <c r="D422" s="21" t="e">
        <f t="shared" si="6"/>
        <v>#N/A</v>
      </c>
      <c r="E422" s="11"/>
      <c r="F422" s="91"/>
      <c r="G422" s="12"/>
      <c r="H422" s="12"/>
      <c r="I422" s="12"/>
      <c r="J422" s="10"/>
      <c r="K422" s="10"/>
    </row>
    <row r="423" spans="1:11" s="4" customFormat="1" ht="30" customHeight="1" x14ac:dyDescent="0.25">
      <c r="A423" s="9"/>
      <c r="B423" s="13" t="e">
        <f>VLOOKUP(Table24[[#This Row],[Location 
(drop-down)]],'List source'!D$2:E$71,2,FALSE)</f>
        <v>#N/A</v>
      </c>
      <c r="C423" s="17" t="s">
        <v>1134</v>
      </c>
      <c r="D423" s="21" t="e">
        <f t="shared" si="6"/>
        <v>#N/A</v>
      </c>
      <c r="E423" s="11"/>
      <c r="F423" s="91"/>
      <c r="G423" s="12"/>
      <c r="H423" s="12"/>
      <c r="I423" s="12"/>
      <c r="J423" s="10"/>
      <c r="K423" s="10"/>
    </row>
    <row r="424" spans="1:11" s="4" customFormat="1" ht="30" customHeight="1" x14ac:dyDescent="0.25">
      <c r="A424" s="9"/>
      <c r="B424" s="13" t="e">
        <f>VLOOKUP(Table24[[#This Row],[Location 
(drop-down)]],'List source'!D$2:E$71,2,FALSE)</f>
        <v>#N/A</v>
      </c>
      <c r="C424" s="17" t="s">
        <v>1137</v>
      </c>
      <c r="D424" s="21" t="e">
        <f t="shared" si="6"/>
        <v>#N/A</v>
      </c>
      <c r="E424" s="11"/>
      <c r="F424" s="91"/>
      <c r="G424" s="12"/>
      <c r="H424" s="12"/>
      <c r="I424" s="12"/>
      <c r="J424" s="10"/>
      <c r="K424" s="10"/>
    </row>
    <row r="425" spans="1:11" s="4" customFormat="1" ht="30" customHeight="1" x14ac:dyDescent="0.25">
      <c r="A425" s="9"/>
      <c r="B425" s="13" t="e">
        <f>VLOOKUP(Table24[[#This Row],[Location 
(drop-down)]],'List source'!D$2:E$71,2,FALSE)</f>
        <v>#N/A</v>
      </c>
      <c r="C425" s="17" t="s">
        <v>1139</v>
      </c>
      <c r="D425" s="21" t="e">
        <f t="shared" si="6"/>
        <v>#N/A</v>
      </c>
      <c r="E425" s="11"/>
      <c r="F425" s="91"/>
      <c r="G425" s="12"/>
      <c r="H425" s="12"/>
      <c r="I425" s="12"/>
      <c r="J425" s="10"/>
      <c r="K425" s="10"/>
    </row>
    <row r="426" spans="1:11" s="4" customFormat="1" ht="30" customHeight="1" x14ac:dyDescent="0.25">
      <c r="A426" s="9"/>
      <c r="B426" s="13" t="e">
        <f>VLOOKUP(Table24[[#This Row],[Location 
(drop-down)]],'List source'!D$2:E$71,2,FALSE)</f>
        <v>#N/A</v>
      </c>
      <c r="C426" s="17" t="s">
        <v>1142</v>
      </c>
      <c r="D426" s="21" t="e">
        <f t="shared" si="6"/>
        <v>#N/A</v>
      </c>
      <c r="E426" s="11"/>
      <c r="F426" s="91"/>
      <c r="G426" s="12"/>
      <c r="H426" s="12"/>
      <c r="I426" s="12"/>
      <c r="J426" s="10"/>
      <c r="K426" s="10"/>
    </row>
    <row r="427" spans="1:11" s="4" customFormat="1" ht="30" customHeight="1" x14ac:dyDescent="0.25">
      <c r="A427" s="9"/>
      <c r="B427" s="13" t="e">
        <f>VLOOKUP(Table24[[#This Row],[Location 
(drop-down)]],'List source'!D$2:E$71,2,FALSE)</f>
        <v>#N/A</v>
      </c>
      <c r="C427" s="17" t="s">
        <v>1144</v>
      </c>
      <c r="D427" s="21" t="e">
        <f t="shared" si="6"/>
        <v>#N/A</v>
      </c>
      <c r="E427" s="11"/>
      <c r="F427" s="91"/>
      <c r="G427" s="12"/>
      <c r="H427" s="12"/>
      <c r="I427" s="12"/>
      <c r="J427" s="10"/>
      <c r="K427" s="10"/>
    </row>
    <row r="428" spans="1:11" s="4" customFormat="1" ht="30" customHeight="1" x14ac:dyDescent="0.25">
      <c r="A428" s="9"/>
      <c r="B428" s="13" t="e">
        <f>VLOOKUP(Table24[[#This Row],[Location 
(drop-down)]],'List source'!D$2:E$71,2,FALSE)</f>
        <v>#N/A</v>
      </c>
      <c r="C428" s="17" t="s">
        <v>1147</v>
      </c>
      <c r="D428" s="21" t="e">
        <f t="shared" si="6"/>
        <v>#N/A</v>
      </c>
      <c r="E428" s="11"/>
      <c r="F428" s="91"/>
      <c r="G428" s="12"/>
      <c r="H428" s="12"/>
      <c r="I428" s="12"/>
      <c r="J428" s="10"/>
      <c r="K428" s="10"/>
    </row>
    <row r="429" spans="1:11" s="4" customFormat="1" ht="30" customHeight="1" x14ac:dyDescent="0.25">
      <c r="A429" s="9"/>
      <c r="B429" s="13" t="e">
        <f>VLOOKUP(Table24[[#This Row],[Location 
(drop-down)]],'List source'!D$2:E$71,2,FALSE)</f>
        <v>#N/A</v>
      </c>
      <c r="C429" s="17" t="s">
        <v>1150</v>
      </c>
      <c r="D429" s="21" t="e">
        <f t="shared" si="6"/>
        <v>#N/A</v>
      </c>
      <c r="E429" s="11"/>
      <c r="F429" s="91"/>
      <c r="G429" s="12"/>
      <c r="H429" s="12"/>
      <c r="I429" s="12"/>
      <c r="J429" s="10"/>
      <c r="K429" s="10"/>
    </row>
    <row r="430" spans="1:11" s="4" customFormat="1" ht="30" customHeight="1" x14ac:dyDescent="0.25">
      <c r="A430" s="9"/>
      <c r="B430" s="13" t="e">
        <f>VLOOKUP(Table24[[#This Row],[Location 
(drop-down)]],'List source'!D$2:E$71,2,FALSE)</f>
        <v>#N/A</v>
      </c>
      <c r="C430" s="17" t="s">
        <v>1153</v>
      </c>
      <c r="D430" s="21" t="e">
        <f t="shared" si="6"/>
        <v>#N/A</v>
      </c>
      <c r="E430" s="11"/>
      <c r="F430" s="91"/>
      <c r="G430" s="12"/>
      <c r="H430" s="12"/>
      <c r="I430" s="12"/>
      <c r="J430" s="10"/>
      <c r="K430" s="10"/>
    </row>
    <row r="431" spans="1:11" s="4" customFormat="1" ht="30" customHeight="1" x14ac:dyDescent="0.25">
      <c r="A431" s="9"/>
      <c r="B431" s="13" t="e">
        <f>VLOOKUP(Table24[[#This Row],[Location 
(drop-down)]],'List source'!D$2:E$71,2,FALSE)</f>
        <v>#N/A</v>
      </c>
      <c r="C431" s="17" t="s">
        <v>1155</v>
      </c>
      <c r="D431" s="21" t="e">
        <f t="shared" si="6"/>
        <v>#N/A</v>
      </c>
      <c r="E431" s="11"/>
      <c r="F431" s="91"/>
      <c r="G431" s="12"/>
      <c r="H431" s="12"/>
      <c r="I431" s="12"/>
      <c r="J431" s="10"/>
      <c r="K431" s="10"/>
    </row>
    <row r="432" spans="1:11" s="4" customFormat="1" ht="30" customHeight="1" x14ac:dyDescent="0.25">
      <c r="A432" s="9"/>
      <c r="B432" s="13" t="e">
        <f>VLOOKUP(Table24[[#This Row],[Location 
(drop-down)]],'List source'!D$2:E$71,2,FALSE)</f>
        <v>#N/A</v>
      </c>
      <c r="C432" s="17" t="s">
        <v>1157</v>
      </c>
      <c r="D432" s="21" t="e">
        <f t="shared" si="6"/>
        <v>#N/A</v>
      </c>
      <c r="E432" s="11"/>
      <c r="F432" s="91"/>
      <c r="G432" s="12"/>
      <c r="H432" s="12"/>
      <c r="I432" s="12"/>
      <c r="J432" s="10"/>
      <c r="K432" s="10"/>
    </row>
    <row r="433" spans="1:11" s="4" customFormat="1" ht="30" customHeight="1" x14ac:dyDescent="0.25">
      <c r="A433" s="9"/>
      <c r="B433" s="13" t="e">
        <f>VLOOKUP(Table24[[#This Row],[Location 
(drop-down)]],'List source'!D$2:E$71,2,FALSE)</f>
        <v>#N/A</v>
      </c>
      <c r="C433" s="17" t="s">
        <v>1159</v>
      </c>
      <c r="D433" s="21" t="e">
        <f t="shared" si="6"/>
        <v>#N/A</v>
      </c>
      <c r="E433" s="11"/>
      <c r="F433" s="91"/>
      <c r="G433" s="12"/>
      <c r="H433" s="12"/>
      <c r="I433" s="12"/>
      <c r="J433" s="10"/>
      <c r="K433" s="10"/>
    </row>
    <row r="434" spans="1:11" s="4" customFormat="1" ht="30" customHeight="1" x14ac:dyDescent="0.25">
      <c r="A434" s="9"/>
      <c r="B434" s="13" t="e">
        <f>VLOOKUP(Table24[[#This Row],[Location 
(drop-down)]],'List source'!D$2:E$71,2,FALSE)</f>
        <v>#N/A</v>
      </c>
      <c r="C434" s="17" t="s">
        <v>1161</v>
      </c>
      <c r="D434" s="21" t="e">
        <f t="shared" si="6"/>
        <v>#N/A</v>
      </c>
      <c r="E434" s="11"/>
      <c r="F434" s="91"/>
      <c r="G434" s="12"/>
      <c r="H434" s="12"/>
      <c r="I434" s="12"/>
      <c r="J434" s="10"/>
      <c r="K434" s="10"/>
    </row>
    <row r="435" spans="1:11" s="4" customFormat="1" ht="30" customHeight="1" x14ac:dyDescent="0.25">
      <c r="A435" s="9"/>
      <c r="B435" s="13" t="e">
        <f>VLOOKUP(Table24[[#This Row],[Location 
(drop-down)]],'List source'!D$2:E$71,2,FALSE)</f>
        <v>#N/A</v>
      </c>
      <c r="C435" s="17" t="s">
        <v>1165</v>
      </c>
      <c r="D435" s="21" t="e">
        <f t="shared" si="6"/>
        <v>#N/A</v>
      </c>
      <c r="E435" s="11"/>
      <c r="F435" s="91"/>
      <c r="G435" s="12"/>
      <c r="H435" s="12"/>
      <c r="I435" s="12"/>
      <c r="J435" s="10"/>
      <c r="K435" s="10"/>
    </row>
    <row r="436" spans="1:11" s="4" customFormat="1" ht="30" customHeight="1" x14ac:dyDescent="0.25">
      <c r="A436" s="9"/>
      <c r="B436" s="13" t="e">
        <f>VLOOKUP(Table24[[#This Row],[Location 
(drop-down)]],'List source'!D$2:E$71,2,FALSE)</f>
        <v>#N/A</v>
      </c>
      <c r="C436" s="17" t="s">
        <v>1168</v>
      </c>
      <c r="D436" s="21" t="e">
        <f t="shared" si="6"/>
        <v>#N/A</v>
      </c>
      <c r="E436" s="11"/>
      <c r="F436" s="91"/>
      <c r="G436" s="12"/>
      <c r="H436" s="12"/>
      <c r="I436" s="12"/>
      <c r="J436" s="10"/>
      <c r="K436" s="10"/>
    </row>
    <row r="437" spans="1:11" s="4" customFormat="1" ht="30" customHeight="1" x14ac:dyDescent="0.25">
      <c r="A437" s="9"/>
      <c r="B437" s="13" t="e">
        <f>VLOOKUP(Table24[[#This Row],[Location 
(drop-down)]],'List source'!D$2:E$71,2,FALSE)</f>
        <v>#N/A</v>
      </c>
      <c r="C437" s="17" t="s">
        <v>1171</v>
      </c>
      <c r="D437" s="21" t="e">
        <f t="shared" si="6"/>
        <v>#N/A</v>
      </c>
      <c r="E437" s="11"/>
      <c r="F437" s="91"/>
      <c r="G437" s="12"/>
      <c r="H437" s="12"/>
      <c r="I437" s="12"/>
      <c r="J437" s="10"/>
      <c r="K437" s="10"/>
    </row>
    <row r="438" spans="1:11" s="4" customFormat="1" ht="30" customHeight="1" x14ac:dyDescent="0.25">
      <c r="A438" s="9"/>
      <c r="B438" s="13" t="e">
        <f>VLOOKUP(Table24[[#This Row],[Location 
(drop-down)]],'List source'!D$2:E$71,2,FALSE)</f>
        <v>#N/A</v>
      </c>
      <c r="C438" s="17" t="s">
        <v>1173</v>
      </c>
      <c r="D438" s="21" t="e">
        <f t="shared" si="6"/>
        <v>#N/A</v>
      </c>
      <c r="E438" s="11"/>
      <c r="F438" s="91"/>
      <c r="G438" s="12"/>
      <c r="H438" s="12"/>
      <c r="I438" s="12"/>
      <c r="J438" s="10"/>
      <c r="K438" s="10"/>
    </row>
    <row r="439" spans="1:11" s="4" customFormat="1" ht="30" customHeight="1" x14ac:dyDescent="0.25">
      <c r="A439" s="9"/>
      <c r="B439" s="13" t="e">
        <f>VLOOKUP(Table24[[#This Row],[Location 
(drop-down)]],'List source'!D$2:E$71,2,FALSE)</f>
        <v>#N/A</v>
      </c>
      <c r="C439" s="17" t="s">
        <v>1175</v>
      </c>
      <c r="D439" s="21" t="e">
        <f t="shared" si="6"/>
        <v>#N/A</v>
      </c>
      <c r="E439" s="11"/>
      <c r="F439" s="91"/>
      <c r="G439" s="12"/>
      <c r="H439" s="12"/>
      <c r="I439" s="12"/>
      <c r="J439" s="10"/>
      <c r="K439" s="10"/>
    </row>
    <row r="440" spans="1:11" s="4" customFormat="1" ht="30" customHeight="1" x14ac:dyDescent="0.25">
      <c r="A440" s="9"/>
      <c r="B440" s="13" t="e">
        <f>VLOOKUP(Table24[[#This Row],[Location 
(drop-down)]],'List source'!D$2:E$71,2,FALSE)</f>
        <v>#N/A</v>
      </c>
      <c r="C440" s="17" t="s">
        <v>1177</v>
      </c>
      <c r="D440" s="21" t="e">
        <f t="shared" si="6"/>
        <v>#N/A</v>
      </c>
      <c r="E440" s="11"/>
      <c r="F440" s="91"/>
      <c r="G440" s="12"/>
      <c r="H440" s="12"/>
      <c r="I440" s="12"/>
      <c r="J440" s="10"/>
      <c r="K440" s="10"/>
    </row>
    <row r="441" spans="1:11" s="4" customFormat="1" ht="30" customHeight="1" x14ac:dyDescent="0.25">
      <c r="A441" s="9"/>
      <c r="B441" s="13" t="e">
        <f>VLOOKUP(Table24[[#This Row],[Location 
(drop-down)]],'List source'!D$2:E$71,2,FALSE)</f>
        <v>#N/A</v>
      </c>
      <c r="C441" s="17" t="s">
        <v>1179</v>
      </c>
      <c r="D441" s="21" t="e">
        <f t="shared" si="6"/>
        <v>#N/A</v>
      </c>
      <c r="E441" s="11"/>
      <c r="F441" s="91"/>
      <c r="G441" s="12"/>
      <c r="H441" s="12"/>
      <c r="I441" s="12"/>
      <c r="J441" s="10"/>
      <c r="K441" s="10"/>
    </row>
    <row r="442" spans="1:11" s="4" customFormat="1" ht="30" customHeight="1" x14ac:dyDescent="0.25">
      <c r="A442" s="9"/>
      <c r="B442" s="13" t="e">
        <f>VLOOKUP(Table24[[#This Row],[Location 
(drop-down)]],'List source'!D$2:E$71,2,FALSE)</f>
        <v>#N/A</v>
      </c>
      <c r="C442" s="17" t="s">
        <v>1181</v>
      </c>
      <c r="D442" s="21" t="e">
        <f t="shared" si="6"/>
        <v>#N/A</v>
      </c>
      <c r="E442" s="11"/>
      <c r="F442" s="91"/>
      <c r="G442" s="12"/>
      <c r="H442" s="12"/>
      <c r="I442" s="12"/>
      <c r="J442" s="10"/>
      <c r="K442" s="10"/>
    </row>
    <row r="443" spans="1:11" s="4" customFormat="1" ht="30" customHeight="1" x14ac:dyDescent="0.25">
      <c r="A443" s="9"/>
      <c r="B443" s="13" t="e">
        <f>VLOOKUP(Table24[[#This Row],[Location 
(drop-down)]],'List source'!D$2:E$71,2,FALSE)</f>
        <v>#N/A</v>
      </c>
      <c r="C443" s="17" t="s">
        <v>1182</v>
      </c>
      <c r="D443" s="21" t="e">
        <f t="shared" si="6"/>
        <v>#N/A</v>
      </c>
      <c r="E443" s="11"/>
      <c r="F443" s="91"/>
      <c r="G443" s="12"/>
      <c r="H443" s="12"/>
      <c r="I443" s="12"/>
      <c r="J443" s="10"/>
      <c r="K443" s="10"/>
    </row>
    <row r="444" spans="1:11" s="4" customFormat="1" ht="30" customHeight="1" x14ac:dyDescent="0.25">
      <c r="A444" s="9"/>
      <c r="B444" s="13" t="e">
        <f>VLOOKUP(Table24[[#This Row],[Location 
(drop-down)]],'List source'!D$2:E$71,2,FALSE)</f>
        <v>#N/A</v>
      </c>
      <c r="C444" s="17" t="s">
        <v>1184</v>
      </c>
      <c r="D444" s="21" t="e">
        <f t="shared" si="6"/>
        <v>#N/A</v>
      </c>
      <c r="E444" s="11"/>
      <c r="F444" s="91"/>
      <c r="G444" s="12"/>
      <c r="H444" s="12"/>
      <c r="I444" s="12"/>
      <c r="J444" s="10"/>
      <c r="K444" s="10"/>
    </row>
    <row r="445" spans="1:11" s="4" customFormat="1" ht="30" customHeight="1" x14ac:dyDescent="0.25">
      <c r="A445" s="9"/>
      <c r="B445" s="13" t="e">
        <f>VLOOKUP(Table24[[#This Row],[Location 
(drop-down)]],'List source'!D$2:E$71,2,FALSE)</f>
        <v>#N/A</v>
      </c>
      <c r="C445" s="17" t="s">
        <v>1185</v>
      </c>
      <c r="D445" s="21" t="e">
        <f t="shared" si="6"/>
        <v>#N/A</v>
      </c>
      <c r="E445" s="11"/>
      <c r="F445" s="91"/>
      <c r="G445" s="12"/>
      <c r="H445" s="12"/>
      <c r="I445" s="12"/>
      <c r="J445" s="10"/>
      <c r="K445" s="10"/>
    </row>
    <row r="446" spans="1:11" s="4" customFormat="1" ht="30" customHeight="1" x14ac:dyDescent="0.25">
      <c r="A446" s="9"/>
      <c r="B446" s="13" t="e">
        <f>VLOOKUP(Table24[[#This Row],[Location 
(drop-down)]],'List source'!D$2:E$71,2,FALSE)</f>
        <v>#N/A</v>
      </c>
      <c r="C446" s="17" t="s">
        <v>1187</v>
      </c>
      <c r="D446" s="21" t="e">
        <f t="shared" si="6"/>
        <v>#N/A</v>
      </c>
      <c r="E446" s="11"/>
      <c r="F446" s="91"/>
      <c r="G446" s="12"/>
      <c r="H446" s="12"/>
      <c r="I446" s="12"/>
      <c r="J446" s="10"/>
      <c r="K446" s="10"/>
    </row>
    <row r="447" spans="1:11" s="4" customFormat="1" ht="30" customHeight="1" x14ac:dyDescent="0.25">
      <c r="A447" s="9"/>
      <c r="B447" s="13" t="e">
        <f>VLOOKUP(Table24[[#This Row],[Location 
(drop-down)]],'List source'!D$2:E$71,2,FALSE)</f>
        <v>#N/A</v>
      </c>
      <c r="C447" s="17" t="s">
        <v>1189</v>
      </c>
      <c r="D447" s="21" t="e">
        <f t="shared" si="6"/>
        <v>#N/A</v>
      </c>
      <c r="E447" s="11"/>
      <c r="F447" s="91"/>
      <c r="G447" s="12"/>
      <c r="H447" s="12"/>
      <c r="I447" s="12"/>
      <c r="J447" s="10"/>
      <c r="K447" s="10"/>
    </row>
    <row r="448" spans="1:11" s="4" customFormat="1" ht="30" customHeight="1" x14ac:dyDescent="0.25">
      <c r="A448" s="9"/>
      <c r="B448" s="13" t="e">
        <f>VLOOKUP(Table24[[#This Row],[Location 
(drop-down)]],'List source'!D$2:E$71,2,FALSE)</f>
        <v>#N/A</v>
      </c>
      <c r="C448" s="17" t="s">
        <v>1191</v>
      </c>
      <c r="D448" s="21" t="e">
        <f t="shared" si="6"/>
        <v>#N/A</v>
      </c>
      <c r="E448" s="11"/>
      <c r="F448" s="91"/>
      <c r="G448" s="12"/>
      <c r="H448" s="12"/>
      <c r="I448" s="12"/>
      <c r="J448" s="10"/>
      <c r="K448" s="10"/>
    </row>
    <row r="449" spans="1:11" s="4" customFormat="1" ht="30" customHeight="1" x14ac:dyDescent="0.25">
      <c r="A449" s="9"/>
      <c r="B449" s="13" t="e">
        <f>VLOOKUP(Table24[[#This Row],[Location 
(drop-down)]],'List source'!D$2:E$71,2,FALSE)</f>
        <v>#N/A</v>
      </c>
      <c r="C449" s="17" t="s">
        <v>1193</v>
      </c>
      <c r="D449" s="21" t="e">
        <f t="shared" si="6"/>
        <v>#N/A</v>
      </c>
      <c r="E449" s="11"/>
      <c r="F449" s="91"/>
      <c r="G449" s="12"/>
      <c r="H449" s="12"/>
      <c r="I449" s="12"/>
      <c r="J449" s="10"/>
      <c r="K449" s="10"/>
    </row>
    <row r="450" spans="1:11" s="4" customFormat="1" ht="30" customHeight="1" x14ac:dyDescent="0.25">
      <c r="A450" s="9"/>
      <c r="B450" s="13" t="e">
        <f>VLOOKUP(Table24[[#This Row],[Location 
(drop-down)]],'List source'!D$2:E$71,2,FALSE)</f>
        <v>#N/A</v>
      </c>
      <c r="C450" s="17" t="s">
        <v>1195</v>
      </c>
      <c r="D450" s="21" t="e">
        <f t="shared" ref="D450:D501" si="7">"P" &amp; C450 &amp; "-" &amp; B450 &amp; "-" &amp; "25"</f>
        <v>#N/A</v>
      </c>
      <c r="E450" s="11"/>
      <c r="F450" s="91"/>
      <c r="G450" s="12"/>
      <c r="H450" s="12"/>
      <c r="I450" s="12"/>
      <c r="J450" s="10"/>
      <c r="K450" s="10"/>
    </row>
    <row r="451" spans="1:11" s="4" customFormat="1" ht="30" customHeight="1" x14ac:dyDescent="0.25">
      <c r="A451" s="9"/>
      <c r="B451" s="13" t="e">
        <f>VLOOKUP(Table24[[#This Row],[Location 
(drop-down)]],'List source'!D$2:E$71,2,FALSE)</f>
        <v>#N/A</v>
      </c>
      <c r="C451" s="17" t="s">
        <v>1197</v>
      </c>
      <c r="D451" s="21" t="e">
        <f t="shared" si="7"/>
        <v>#N/A</v>
      </c>
      <c r="E451" s="11"/>
      <c r="F451" s="91"/>
      <c r="G451" s="12"/>
      <c r="H451" s="12"/>
      <c r="I451" s="12"/>
      <c r="J451" s="10"/>
      <c r="K451" s="10"/>
    </row>
    <row r="452" spans="1:11" s="4" customFormat="1" ht="30" customHeight="1" x14ac:dyDescent="0.25">
      <c r="A452" s="9"/>
      <c r="B452" s="13" t="e">
        <f>VLOOKUP(Table24[[#This Row],[Location 
(drop-down)]],'List source'!D$2:E$71,2,FALSE)</f>
        <v>#N/A</v>
      </c>
      <c r="C452" s="17" t="s">
        <v>1198</v>
      </c>
      <c r="D452" s="21" t="e">
        <f t="shared" si="7"/>
        <v>#N/A</v>
      </c>
      <c r="E452" s="11"/>
      <c r="F452" s="91"/>
      <c r="G452" s="12"/>
      <c r="H452" s="12"/>
      <c r="I452" s="12"/>
      <c r="J452" s="10"/>
      <c r="K452" s="10"/>
    </row>
    <row r="453" spans="1:11" s="4" customFormat="1" ht="30" customHeight="1" x14ac:dyDescent="0.25">
      <c r="A453" s="9"/>
      <c r="B453" s="13" t="e">
        <f>VLOOKUP(Table24[[#This Row],[Location 
(drop-down)]],'List source'!D$2:E$71,2,FALSE)</f>
        <v>#N/A</v>
      </c>
      <c r="C453" s="17" t="s">
        <v>1201</v>
      </c>
      <c r="D453" s="21" t="e">
        <f t="shared" si="7"/>
        <v>#N/A</v>
      </c>
      <c r="E453" s="11"/>
      <c r="F453" s="91"/>
      <c r="G453" s="12"/>
      <c r="H453" s="12"/>
      <c r="I453" s="12"/>
      <c r="J453" s="10"/>
      <c r="K453" s="10"/>
    </row>
    <row r="454" spans="1:11" s="4" customFormat="1" ht="30" customHeight="1" x14ac:dyDescent="0.25">
      <c r="A454" s="9"/>
      <c r="B454" s="13" t="e">
        <f>VLOOKUP(Table24[[#This Row],[Location 
(drop-down)]],'List source'!D$2:E$71,2,FALSE)</f>
        <v>#N/A</v>
      </c>
      <c r="C454" s="17" t="s">
        <v>1202</v>
      </c>
      <c r="D454" s="21" t="e">
        <f t="shared" si="7"/>
        <v>#N/A</v>
      </c>
      <c r="E454" s="11"/>
      <c r="F454" s="91"/>
      <c r="G454" s="12"/>
      <c r="H454" s="12"/>
      <c r="I454" s="12"/>
      <c r="J454" s="10"/>
      <c r="K454" s="10"/>
    </row>
    <row r="455" spans="1:11" s="4" customFormat="1" ht="30" customHeight="1" x14ac:dyDescent="0.25">
      <c r="A455" s="9"/>
      <c r="B455" s="13" t="e">
        <f>VLOOKUP(Table24[[#This Row],[Location 
(drop-down)]],'List source'!D$2:E$71,2,FALSE)</f>
        <v>#N/A</v>
      </c>
      <c r="C455" s="17" t="s">
        <v>1203</v>
      </c>
      <c r="D455" s="21" t="e">
        <f t="shared" si="7"/>
        <v>#N/A</v>
      </c>
      <c r="E455" s="11"/>
      <c r="F455" s="91"/>
      <c r="G455" s="12"/>
      <c r="H455" s="12"/>
      <c r="I455" s="12"/>
      <c r="J455" s="10"/>
      <c r="K455" s="10"/>
    </row>
    <row r="456" spans="1:11" s="4" customFormat="1" ht="30" customHeight="1" x14ac:dyDescent="0.25">
      <c r="A456" s="9"/>
      <c r="B456" s="13" t="e">
        <f>VLOOKUP(Table24[[#This Row],[Location 
(drop-down)]],'List source'!D$2:E$71,2,FALSE)</f>
        <v>#N/A</v>
      </c>
      <c r="C456" s="17" t="s">
        <v>1205</v>
      </c>
      <c r="D456" s="21" t="e">
        <f t="shared" si="7"/>
        <v>#N/A</v>
      </c>
      <c r="E456" s="11"/>
      <c r="F456" s="91"/>
      <c r="G456" s="12"/>
      <c r="H456" s="12"/>
      <c r="I456" s="12"/>
      <c r="J456" s="10"/>
      <c r="K456" s="10"/>
    </row>
    <row r="457" spans="1:11" s="4" customFormat="1" ht="30" customHeight="1" x14ac:dyDescent="0.25">
      <c r="A457" s="9"/>
      <c r="B457" s="13" t="e">
        <f>VLOOKUP(Table24[[#This Row],[Location 
(drop-down)]],'List source'!D$2:E$71,2,FALSE)</f>
        <v>#N/A</v>
      </c>
      <c r="C457" s="17" t="s">
        <v>1207</v>
      </c>
      <c r="D457" s="21" t="e">
        <f t="shared" si="7"/>
        <v>#N/A</v>
      </c>
      <c r="E457" s="11"/>
      <c r="F457" s="91"/>
      <c r="G457" s="12"/>
      <c r="H457" s="12"/>
      <c r="I457" s="12"/>
      <c r="J457" s="10"/>
      <c r="K457" s="10"/>
    </row>
    <row r="458" spans="1:11" s="4" customFormat="1" ht="30" customHeight="1" x14ac:dyDescent="0.25">
      <c r="A458" s="9"/>
      <c r="B458" s="13" t="e">
        <f>VLOOKUP(Table24[[#This Row],[Location 
(drop-down)]],'List source'!D$2:E$71,2,FALSE)</f>
        <v>#N/A</v>
      </c>
      <c r="C458" s="17" t="s">
        <v>1210</v>
      </c>
      <c r="D458" s="21" t="e">
        <f t="shared" si="7"/>
        <v>#N/A</v>
      </c>
      <c r="E458" s="11"/>
      <c r="F458" s="91"/>
      <c r="G458" s="12"/>
      <c r="H458" s="12"/>
      <c r="I458" s="12"/>
      <c r="J458" s="10"/>
      <c r="K458" s="10"/>
    </row>
    <row r="459" spans="1:11" s="4" customFormat="1" ht="30" customHeight="1" x14ac:dyDescent="0.25">
      <c r="A459" s="9"/>
      <c r="B459" s="13" t="e">
        <f>VLOOKUP(Table24[[#This Row],[Location 
(drop-down)]],'List source'!D$2:E$71,2,FALSE)</f>
        <v>#N/A</v>
      </c>
      <c r="C459" s="17" t="s">
        <v>1213</v>
      </c>
      <c r="D459" s="21" t="e">
        <f t="shared" si="7"/>
        <v>#N/A</v>
      </c>
      <c r="E459" s="11"/>
      <c r="F459" s="91"/>
      <c r="G459" s="12"/>
      <c r="H459" s="12"/>
      <c r="I459" s="12"/>
      <c r="J459" s="10"/>
      <c r="K459" s="10"/>
    </row>
    <row r="460" spans="1:11" s="4" customFormat="1" ht="30" customHeight="1" x14ac:dyDescent="0.25">
      <c r="A460" s="9"/>
      <c r="B460" s="13" t="e">
        <f>VLOOKUP(Table24[[#This Row],[Location 
(drop-down)]],'List source'!D$2:E$71,2,FALSE)</f>
        <v>#N/A</v>
      </c>
      <c r="C460" s="17" t="s">
        <v>1214</v>
      </c>
      <c r="D460" s="21" t="e">
        <f t="shared" si="7"/>
        <v>#N/A</v>
      </c>
      <c r="E460" s="11"/>
      <c r="F460" s="91"/>
      <c r="G460" s="12"/>
      <c r="H460" s="12"/>
      <c r="I460" s="12"/>
      <c r="J460" s="10"/>
      <c r="K460" s="10"/>
    </row>
    <row r="461" spans="1:11" s="4" customFormat="1" ht="30" customHeight="1" x14ac:dyDescent="0.25">
      <c r="A461" s="9"/>
      <c r="B461" s="13" t="e">
        <f>VLOOKUP(Table24[[#This Row],[Location 
(drop-down)]],'List source'!D$2:E$71,2,FALSE)</f>
        <v>#N/A</v>
      </c>
      <c r="C461" s="17" t="s">
        <v>1216</v>
      </c>
      <c r="D461" s="21" t="e">
        <f t="shared" si="7"/>
        <v>#N/A</v>
      </c>
      <c r="E461" s="11"/>
      <c r="F461" s="91"/>
      <c r="G461" s="12"/>
      <c r="H461" s="12"/>
      <c r="I461" s="12"/>
      <c r="J461" s="10"/>
      <c r="K461" s="10"/>
    </row>
    <row r="462" spans="1:11" s="4" customFormat="1" ht="30" customHeight="1" x14ac:dyDescent="0.25">
      <c r="A462" s="9"/>
      <c r="B462" s="13" t="e">
        <f>VLOOKUP(Table24[[#This Row],[Location 
(drop-down)]],'List source'!D$2:E$71,2,FALSE)</f>
        <v>#N/A</v>
      </c>
      <c r="C462" s="17" t="s">
        <v>1218</v>
      </c>
      <c r="D462" s="21" t="e">
        <f t="shared" si="7"/>
        <v>#N/A</v>
      </c>
      <c r="E462" s="11"/>
      <c r="F462" s="91"/>
      <c r="G462" s="12"/>
      <c r="H462" s="12"/>
      <c r="I462" s="12"/>
      <c r="J462" s="10"/>
      <c r="K462" s="10"/>
    </row>
    <row r="463" spans="1:11" s="4" customFormat="1" ht="30" customHeight="1" x14ac:dyDescent="0.25">
      <c r="A463" s="9"/>
      <c r="B463" s="13" t="e">
        <f>VLOOKUP(Table24[[#This Row],[Location 
(drop-down)]],'List source'!D$2:E$71,2,FALSE)</f>
        <v>#N/A</v>
      </c>
      <c r="C463" s="17" t="s">
        <v>1219</v>
      </c>
      <c r="D463" s="21" t="e">
        <f t="shared" si="7"/>
        <v>#N/A</v>
      </c>
      <c r="E463" s="11"/>
      <c r="F463" s="91"/>
      <c r="G463" s="12"/>
      <c r="H463" s="12"/>
      <c r="I463" s="12"/>
      <c r="J463" s="10"/>
      <c r="K463" s="10"/>
    </row>
    <row r="464" spans="1:11" s="4" customFormat="1" ht="30" customHeight="1" x14ac:dyDescent="0.25">
      <c r="A464" s="9"/>
      <c r="B464" s="13" t="e">
        <f>VLOOKUP(Table24[[#This Row],[Location 
(drop-down)]],'List source'!D$2:E$71,2,FALSE)</f>
        <v>#N/A</v>
      </c>
      <c r="C464" s="17" t="s">
        <v>1221</v>
      </c>
      <c r="D464" s="21" t="e">
        <f t="shared" si="7"/>
        <v>#N/A</v>
      </c>
      <c r="E464" s="11"/>
      <c r="F464" s="91"/>
      <c r="G464" s="12"/>
      <c r="H464" s="12"/>
      <c r="I464" s="12"/>
      <c r="J464" s="10"/>
      <c r="K464" s="10"/>
    </row>
    <row r="465" spans="1:11" s="4" customFormat="1" ht="30" customHeight="1" x14ac:dyDescent="0.25">
      <c r="A465" s="9"/>
      <c r="B465" s="13" t="e">
        <f>VLOOKUP(Table24[[#This Row],[Location 
(drop-down)]],'List source'!D$2:E$71,2,FALSE)</f>
        <v>#N/A</v>
      </c>
      <c r="C465" s="17" t="s">
        <v>1224</v>
      </c>
      <c r="D465" s="21" t="e">
        <f t="shared" si="7"/>
        <v>#N/A</v>
      </c>
      <c r="E465" s="11"/>
      <c r="F465" s="91"/>
      <c r="G465" s="12"/>
      <c r="H465" s="12"/>
      <c r="I465" s="12"/>
      <c r="J465" s="10"/>
      <c r="K465" s="10"/>
    </row>
    <row r="466" spans="1:11" s="4" customFormat="1" ht="30" customHeight="1" x14ac:dyDescent="0.25">
      <c r="A466" s="9"/>
      <c r="B466" s="13" t="e">
        <f>VLOOKUP(Table24[[#This Row],[Location 
(drop-down)]],'List source'!D$2:E$71,2,FALSE)</f>
        <v>#N/A</v>
      </c>
      <c r="C466" s="17" t="s">
        <v>1226</v>
      </c>
      <c r="D466" s="21" t="e">
        <f t="shared" si="7"/>
        <v>#N/A</v>
      </c>
      <c r="E466" s="11"/>
      <c r="F466" s="91"/>
      <c r="G466" s="12"/>
      <c r="H466" s="12"/>
      <c r="I466" s="12"/>
      <c r="J466" s="10"/>
      <c r="K466" s="10"/>
    </row>
    <row r="467" spans="1:11" s="4" customFormat="1" ht="30" customHeight="1" x14ac:dyDescent="0.25">
      <c r="A467" s="9"/>
      <c r="B467" s="13" t="e">
        <f>VLOOKUP(Table24[[#This Row],[Location 
(drop-down)]],'List source'!D$2:E$71,2,FALSE)</f>
        <v>#N/A</v>
      </c>
      <c r="C467" s="17" t="s">
        <v>1228</v>
      </c>
      <c r="D467" s="21" t="e">
        <f t="shared" si="7"/>
        <v>#N/A</v>
      </c>
      <c r="E467" s="11"/>
      <c r="F467" s="91"/>
      <c r="G467" s="12"/>
      <c r="H467" s="12"/>
      <c r="I467" s="12"/>
      <c r="J467" s="10"/>
      <c r="K467" s="10"/>
    </row>
    <row r="468" spans="1:11" s="4" customFormat="1" ht="30" customHeight="1" x14ac:dyDescent="0.25">
      <c r="A468" s="9"/>
      <c r="B468" s="13" t="e">
        <f>VLOOKUP(Table24[[#This Row],[Location 
(drop-down)]],'List source'!D$2:E$71,2,FALSE)</f>
        <v>#N/A</v>
      </c>
      <c r="C468" s="17" t="s">
        <v>1230</v>
      </c>
      <c r="D468" s="21" t="e">
        <f t="shared" si="7"/>
        <v>#N/A</v>
      </c>
      <c r="E468" s="11"/>
      <c r="F468" s="91"/>
      <c r="G468" s="12"/>
      <c r="H468" s="12"/>
      <c r="I468" s="12"/>
      <c r="J468" s="10"/>
      <c r="K468" s="10"/>
    </row>
    <row r="469" spans="1:11" s="4" customFormat="1" ht="30" customHeight="1" x14ac:dyDescent="0.25">
      <c r="A469" s="9"/>
      <c r="B469" s="13" t="e">
        <f>VLOOKUP(Table24[[#This Row],[Location 
(drop-down)]],'List source'!D$2:E$71,2,FALSE)</f>
        <v>#N/A</v>
      </c>
      <c r="C469" s="17" t="s">
        <v>1232</v>
      </c>
      <c r="D469" s="21" t="e">
        <f t="shared" si="7"/>
        <v>#N/A</v>
      </c>
      <c r="E469" s="11"/>
      <c r="F469" s="91"/>
      <c r="G469" s="12"/>
      <c r="H469" s="12"/>
      <c r="I469" s="12"/>
      <c r="J469" s="10"/>
      <c r="K469" s="10"/>
    </row>
    <row r="470" spans="1:11" s="4" customFormat="1" ht="30" customHeight="1" x14ac:dyDescent="0.25">
      <c r="A470" s="9"/>
      <c r="B470" s="13" t="e">
        <f>VLOOKUP(Table24[[#This Row],[Location 
(drop-down)]],'List source'!D$2:E$71,2,FALSE)</f>
        <v>#N/A</v>
      </c>
      <c r="C470" s="17" t="s">
        <v>1235</v>
      </c>
      <c r="D470" s="21" t="e">
        <f t="shared" si="7"/>
        <v>#N/A</v>
      </c>
      <c r="E470" s="11"/>
      <c r="F470" s="91"/>
      <c r="G470" s="12"/>
      <c r="H470" s="12"/>
      <c r="I470" s="12"/>
      <c r="J470" s="10"/>
      <c r="K470" s="10"/>
    </row>
    <row r="471" spans="1:11" s="4" customFormat="1" ht="30" customHeight="1" x14ac:dyDescent="0.25">
      <c r="A471" s="9"/>
      <c r="B471" s="13" t="e">
        <f>VLOOKUP(Table24[[#This Row],[Location 
(drop-down)]],'List source'!D$2:E$71,2,FALSE)</f>
        <v>#N/A</v>
      </c>
      <c r="C471" s="17" t="s">
        <v>1237</v>
      </c>
      <c r="D471" s="21" t="e">
        <f t="shared" si="7"/>
        <v>#N/A</v>
      </c>
      <c r="E471" s="11"/>
      <c r="F471" s="91"/>
      <c r="G471" s="12"/>
      <c r="H471" s="12"/>
      <c r="I471" s="12"/>
      <c r="J471" s="10"/>
      <c r="K471" s="10"/>
    </row>
    <row r="472" spans="1:11" s="4" customFormat="1" ht="30" customHeight="1" x14ac:dyDescent="0.25">
      <c r="A472" s="9"/>
      <c r="B472" s="13" t="e">
        <f>VLOOKUP(Table24[[#This Row],[Location 
(drop-down)]],'List source'!D$2:E$71,2,FALSE)</f>
        <v>#N/A</v>
      </c>
      <c r="C472" s="17" t="s">
        <v>1240</v>
      </c>
      <c r="D472" s="21" t="e">
        <f t="shared" si="7"/>
        <v>#N/A</v>
      </c>
      <c r="E472" s="11"/>
      <c r="F472" s="91"/>
      <c r="G472" s="12"/>
      <c r="H472" s="12"/>
      <c r="I472" s="12"/>
      <c r="J472" s="10"/>
      <c r="K472" s="10"/>
    </row>
    <row r="473" spans="1:11" s="4" customFormat="1" ht="30" customHeight="1" x14ac:dyDescent="0.25">
      <c r="A473" s="9"/>
      <c r="B473" s="13" t="e">
        <f>VLOOKUP(Table24[[#This Row],[Location 
(drop-down)]],'List source'!D$2:E$71,2,FALSE)</f>
        <v>#N/A</v>
      </c>
      <c r="C473" s="17" t="s">
        <v>1243</v>
      </c>
      <c r="D473" s="21" t="e">
        <f t="shared" si="7"/>
        <v>#N/A</v>
      </c>
      <c r="E473" s="11"/>
      <c r="F473" s="91"/>
      <c r="G473" s="12"/>
      <c r="H473" s="12"/>
      <c r="I473" s="12"/>
      <c r="J473" s="10"/>
      <c r="K473" s="10"/>
    </row>
    <row r="474" spans="1:11" s="4" customFormat="1" ht="30" customHeight="1" x14ac:dyDescent="0.25">
      <c r="A474" s="9"/>
      <c r="B474" s="13" t="e">
        <f>VLOOKUP(Table24[[#This Row],[Location 
(drop-down)]],'List source'!D$2:E$71,2,FALSE)</f>
        <v>#N/A</v>
      </c>
      <c r="C474" s="17" t="s">
        <v>1245</v>
      </c>
      <c r="D474" s="21" t="e">
        <f t="shared" si="7"/>
        <v>#N/A</v>
      </c>
      <c r="E474" s="11"/>
      <c r="F474" s="91"/>
      <c r="G474" s="12"/>
      <c r="H474" s="12"/>
      <c r="I474" s="12"/>
      <c r="J474" s="10"/>
      <c r="K474" s="10"/>
    </row>
    <row r="475" spans="1:11" s="4" customFormat="1" ht="30" customHeight="1" x14ac:dyDescent="0.25">
      <c r="A475" s="9"/>
      <c r="B475" s="13" t="e">
        <f>VLOOKUP(Table24[[#This Row],[Location 
(drop-down)]],'List source'!D$2:E$71,2,FALSE)</f>
        <v>#N/A</v>
      </c>
      <c r="C475" s="17" t="s">
        <v>1247</v>
      </c>
      <c r="D475" s="21" t="e">
        <f t="shared" si="7"/>
        <v>#N/A</v>
      </c>
      <c r="E475" s="11"/>
      <c r="F475" s="91"/>
      <c r="G475" s="12"/>
      <c r="H475" s="12"/>
      <c r="I475" s="12"/>
      <c r="J475" s="10"/>
      <c r="K475" s="10"/>
    </row>
    <row r="476" spans="1:11" s="4" customFormat="1" ht="30" customHeight="1" x14ac:dyDescent="0.25">
      <c r="A476" s="9"/>
      <c r="B476" s="13" t="e">
        <f>VLOOKUP(Table24[[#This Row],[Location 
(drop-down)]],'List source'!D$2:E$71,2,FALSE)</f>
        <v>#N/A</v>
      </c>
      <c r="C476" s="17" t="s">
        <v>1249</v>
      </c>
      <c r="D476" s="21" t="e">
        <f t="shared" si="7"/>
        <v>#N/A</v>
      </c>
      <c r="E476" s="11"/>
      <c r="F476" s="91"/>
      <c r="G476" s="12"/>
      <c r="H476" s="12"/>
      <c r="I476" s="12"/>
      <c r="J476" s="10"/>
      <c r="K476" s="10"/>
    </row>
    <row r="477" spans="1:11" s="4" customFormat="1" ht="30" customHeight="1" x14ac:dyDescent="0.25">
      <c r="A477" s="9"/>
      <c r="B477" s="13" t="e">
        <f>VLOOKUP(Table24[[#This Row],[Location 
(drop-down)]],'List source'!D$2:E$71,2,FALSE)</f>
        <v>#N/A</v>
      </c>
      <c r="C477" s="17" t="s">
        <v>1251</v>
      </c>
      <c r="D477" s="21" t="e">
        <f t="shared" si="7"/>
        <v>#N/A</v>
      </c>
      <c r="E477" s="11"/>
      <c r="F477" s="91"/>
      <c r="G477" s="12"/>
      <c r="H477" s="12"/>
      <c r="I477" s="12"/>
      <c r="J477" s="10"/>
      <c r="K477" s="10"/>
    </row>
    <row r="478" spans="1:11" s="4" customFormat="1" ht="30" customHeight="1" x14ac:dyDescent="0.25">
      <c r="A478" s="9"/>
      <c r="B478" s="13" t="e">
        <f>VLOOKUP(Table24[[#This Row],[Location 
(drop-down)]],'List source'!D$2:E$71,2,FALSE)</f>
        <v>#N/A</v>
      </c>
      <c r="C478" s="17" t="s">
        <v>1254</v>
      </c>
      <c r="D478" s="21" t="e">
        <f t="shared" si="7"/>
        <v>#N/A</v>
      </c>
      <c r="E478" s="11"/>
      <c r="F478" s="91"/>
      <c r="G478" s="12"/>
      <c r="H478" s="12"/>
      <c r="I478" s="12"/>
      <c r="J478" s="10"/>
      <c r="K478" s="10"/>
    </row>
    <row r="479" spans="1:11" s="4" customFormat="1" ht="30" customHeight="1" x14ac:dyDescent="0.25">
      <c r="A479" s="9"/>
      <c r="B479" s="13" t="e">
        <f>VLOOKUP(Table24[[#This Row],[Location 
(drop-down)]],'List source'!D$2:E$71,2,FALSE)</f>
        <v>#N/A</v>
      </c>
      <c r="C479" s="17" t="s">
        <v>1257</v>
      </c>
      <c r="D479" s="21" t="e">
        <f t="shared" si="7"/>
        <v>#N/A</v>
      </c>
      <c r="E479" s="11"/>
      <c r="F479" s="91"/>
      <c r="G479" s="12"/>
      <c r="H479" s="12"/>
      <c r="I479" s="12"/>
      <c r="J479" s="10"/>
      <c r="K479" s="10"/>
    </row>
    <row r="480" spans="1:11" s="4" customFormat="1" ht="30" customHeight="1" x14ac:dyDescent="0.25">
      <c r="A480" s="9"/>
      <c r="B480" s="13" t="e">
        <f>VLOOKUP(Table24[[#This Row],[Location 
(drop-down)]],'List source'!D$2:E$71,2,FALSE)</f>
        <v>#N/A</v>
      </c>
      <c r="C480" s="17" t="s">
        <v>1260</v>
      </c>
      <c r="D480" s="21" t="e">
        <f t="shared" si="7"/>
        <v>#N/A</v>
      </c>
      <c r="E480" s="11"/>
      <c r="F480" s="91"/>
      <c r="G480" s="12"/>
      <c r="H480" s="12"/>
      <c r="I480" s="12"/>
      <c r="J480" s="10"/>
      <c r="K480" s="10"/>
    </row>
    <row r="481" spans="1:11" s="4" customFormat="1" ht="30" customHeight="1" x14ac:dyDescent="0.25">
      <c r="A481" s="9"/>
      <c r="B481" s="13" t="e">
        <f>VLOOKUP(Table24[[#This Row],[Location 
(drop-down)]],'List source'!D$2:E$71,2,FALSE)</f>
        <v>#N/A</v>
      </c>
      <c r="C481" s="17" t="s">
        <v>1262</v>
      </c>
      <c r="D481" s="21" t="e">
        <f t="shared" si="7"/>
        <v>#N/A</v>
      </c>
      <c r="E481" s="11"/>
      <c r="F481" s="91"/>
      <c r="G481" s="12"/>
      <c r="H481" s="12"/>
      <c r="I481" s="12"/>
      <c r="J481" s="10"/>
      <c r="K481" s="10"/>
    </row>
    <row r="482" spans="1:11" s="4" customFormat="1" ht="30" customHeight="1" x14ac:dyDescent="0.25">
      <c r="A482" s="9"/>
      <c r="B482" s="13" t="e">
        <f>VLOOKUP(Table24[[#This Row],[Location 
(drop-down)]],'List source'!D$2:E$71,2,FALSE)</f>
        <v>#N/A</v>
      </c>
      <c r="C482" s="17" t="s">
        <v>1264</v>
      </c>
      <c r="D482" s="21" t="e">
        <f t="shared" si="7"/>
        <v>#N/A</v>
      </c>
      <c r="E482" s="11"/>
      <c r="F482" s="91"/>
      <c r="G482" s="12"/>
      <c r="H482" s="12"/>
      <c r="I482" s="12"/>
      <c r="J482" s="10"/>
      <c r="K482" s="10"/>
    </row>
    <row r="483" spans="1:11" s="4" customFormat="1" ht="30" customHeight="1" x14ac:dyDescent="0.25">
      <c r="A483" s="9"/>
      <c r="B483" s="13" t="e">
        <f>VLOOKUP(Table24[[#This Row],[Location 
(drop-down)]],'List source'!D$2:E$71,2,FALSE)</f>
        <v>#N/A</v>
      </c>
      <c r="C483" s="17" t="s">
        <v>1266</v>
      </c>
      <c r="D483" s="21" t="e">
        <f t="shared" si="7"/>
        <v>#N/A</v>
      </c>
      <c r="E483" s="11"/>
      <c r="F483" s="91"/>
      <c r="G483" s="12"/>
      <c r="H483" s="12"/>
      <c r="I483" s="12"/>
      <c r="J483" s="10"/>
      <c r="K483" s="10"/>
    </row>
    <row r="484" spans="1:11" s="4" customFormat="1" ht="30" customHeight="1" x14ac:dyDescent="0.25">
      <c r="A484" s="9"/>
      <c r="B484" s="13" t="e">
        <f>VLOOKUP(Table24[[#This Row],[Location 
(drop-down)]],'List source'!D$2:E$71,2,FALSE)</f>
        <v>#N/A</v>
      </c>
      <c r="C484" s="17" t="s">
        <v>1268</v>
      </c>
      <c r="D484" s="21" t="e">
        <f t="shared" si="7"/>
        <v>#N/A</v>
      </c>
      <c r="E484" s="11"/>
      <c r="F484" s="91"/>
      <c r="G484" s="12"/>
      <c r="H484" s="12"/>
      <c r="I484" s="12"/>
      <c r="J484" s="10"/>
      <c r="K484" s="10"/>
    </row>
    <row r="485" spans="1:11" s="4" customFormat="1" ht="30" customHeight="1" x14ac:dyDescent="0.25">
      <c r="A485" s="9"/>
      <c r="B485" s="13" t="e">
        <f>VLOOKUP(Table24[[#This Row],[Location 
(drop-down)]],'List source'!D$2:E$71,2,FALSE)</f>
        <v>#N/A</v>
      </c>
      <c r="C485" s="17" t="s">
        <v>1270</v>
      </c>
      <c r="D485" s="21" t="e">
        <f t="shared" si="7"/>
        <v>#N/A</v>
      </c>
      <c r="E485" s="11"/>
      <c r="F485" s="91"/>
      <c r="G485" s="12"/>
      <c r="H485" s="12"/>
      <c r="I485" s="12"/>
      <c r="J485" s="10"/>
      <c r="K485" s="10"/>
    </row>
    <row r="486" spans="1:11" s="4" customFormat="1" ht="30" customHeight="1" x14ac:dyDescent="0.25">
      <c r="A486" s="9"/>
      <c r="B486" s="13" t="e">
        <f>VLOOKUP(Table24[[#This Row],[Location 
(drop-down)]],'List source'!D$2:E$71,2,FALSE)</f>
        <v>#N/A</v>
      </c>
      <c r="C486" s="17" t="s">
        <v>1272</v>
      </c>
      <c r="D486" s="21" t="e">
        <f t="shared" si="7"/>
        <v>#N/A</v>
      </c>
      <c r="E486" s="11"/>
      <c r="F486" s="91"/>
      <c r="G486" s="12"/>
      <c r="H486" s="12"/>
      <c r="I486" s="12"/>
      <c r="J486" s="10"/>
      <c r="K486" s="10"/>
    </row>
    <row r="487" spans="1:11" s="4" customFormat="1" ht="30" customHeight="1" x14ac:dyDescent="0.25">
      <c r="A487" s="9"/>
      <c r="B487" s="13" t="e">
        <f>VLOOKUP(Table24[[#This Row],[Location 
(drop-down)]],'List source'!D$2:E$71,2,FALSE)</f>
        <v>#N/A</v>
      </c>
      <c r="C487" s="17" t="s">
        <v>1274</v>
      </c>
      <c r="D487" s="21" t="e">
        <f t="shared" si="7"/>
        <v>#N/A</v>
      </c>
      <c r="E487" s="11"/>
      <c r="F487" s="91"/>
      <c r="G487" s="12"/>
      <c r="H487" s="12"/>
      <c r="I487" s="12"/>
      <c r="J487" s="10"/>
      <c r="K487" s="10"/>
    </row>
    <row r="488" spans="1:11" s="4" customFormat="1" ht="30" customHeight="1" x14ac:dyDescent="0.25">
      <c r="A488" s="9"/>
      <c r="B488" s="13" t="e">
        <f>VLOOKUP(Table24[[#This Row],[Location 
(drop-down)]],'List source'!D$2:E$71,2,FALSE)</f>
        <v>#N/A</v>
      </c>
      <c r="C488" s="17" t="s">
        <v>1276</v>
      </c>
      <c r="D488" s="21" t="e">
        <f t="shared" si="7"/>
        <v>#N/A</v>
      </c>
      <c r="E488" s="11"/>
      <c r="F488" s="91"/>
      <c r="G488" s="12"/>
      <c r="H488" s="12"/>
      <c r="I488" s="12"/>
      <c r="J488" s="10"/>
      <c r="K488" s="10"/>
    </row>
    <row r="489" spans="1:11" s="4" customFormat="1" ht="30" customHeight="1" x14ac:dyDescent="0.25">
      <c r="A489" s="9"/>
      <c r="B489" s="13" t="e">
        <f>VLOOKUP(Table24[[#This Row],[Location 
(drop-down)]],'List source'!D$2:E$71,2,FALSE)</f>
        <v>#N/A</v>
      </c>
      <c r="C489" s="17" t="s">
        <v>1278</v>
      </c>
      <c r="D489" s="21" t="e">
        <f t="shared" si="7"/>
        <v>#N/A</v>
      </c>
      <c r="E489" s="11"/>
      <c r="F489" s="91"/>
      <c r="G489" s="12"/>
      <c r="H489" s="12"/>
      <c r="I489" s="12"/>
      <c r="J489" s="10"/>
      <c r="K489" s="10"/>
    </row>
    <row r="490" spans="1:11" s="4" customFormat="1" ht="30" customHeight="1" x14ac:dyDescent="0.25">
      <c r="A490" s="9"/>
      <c r="B490" s="13" t="e">
        <f>VLOOKUP(Table24[[#This Row],[Location 
(drop-down)]],'List source'!D$2:E$71,2,FALSE)</f>
        <v>#N/A</v>
      </c>
      <c r="C490" s="17" t="s">
        <v>1280</v>
      </c>
      <c r="D490" s="21" t="e">
        <f t="shared" si="7"/>
        <v>#N/A</v>
      </c>
      <c r="E490" s="11"/>
      <c r="F490" s="91"/>
      <c r="G490" s="12"/>
      <c r="H490" s="12"/>
      <c r="I490" s="12"/>
      <c r="J490" s="10"/>
      <c r="K490" s="10"/>
    </row>
    <row r="491" spans="1:11" s="4" customFormat="1" ht="30" customHeight="1" x14ac:dyDescent="0.25">
      <c r="A491" s="9"/>
      <c r="B491" s="13" t="e">
        <f>VLOOKUP(Table24[[#This Row],[Location 
(drop-down)]],'List source'!D$2:E$71,2,FALSE)</f>
        <v>#N/A</v>
      </c>
      <c r="C491" s="17" t="s">
        <v>1282</v>
      </c>
      <c r="D491" s="21" t="e">
        <f t="shared" si="7"/>
        <v>#N/A</v>
      </c>
      <c r="E491" s="11"/>
      <c r="F491" s="91"/>
      <c r="G491" s="12"/>
      <c r="H491" s="12"/>
      <c r="I491" s="12"/>
      <c r="J491" s="10"/>
      <c r="K491" s="10"/>
    </row>
    <row r="492" spans="1:11" s="4" customFormat="1" ht="30" customHeight="1" x14ac:dyDescent="0.25">
      <c r="A492" s="9"/>
      <c r="B492" s="13" t="e">
        <f>VLOOKUP(Table24[[#This Row],[Location 
(drop-down)]],'List source'!D$2:E$71,2,FALSE)</f>
        <v>#N/A</v>
      </c>
      <c r="C492" s="17" t="s">
        <v>1284</v>
      </c>
      <c r="D492" s="21" t="e">
        <f t="shared" si="7"/>
        <v>#N/A</v>
      </c>
      <c r="E492" s="11"/>
      <c r="F492" s="91"/>
      <c r="G492" s="12"/>
      <c r="H492" s="12"/>
      <c r="I492" s="12"/>
      <c r="J492" s="10"/>
      <c r="K492" s="10"/>
    </row>
    <row r="493" spans="1:11" s="4" customFormat="1" ht="30" customHeight="1" x14ac:dyDescent="0.25">
      <c r="A493" s="9"/>
      <c r="B493" s="13" t="e">
        <f>VLOOKUP(Table24[[#This Row],[Location 
(drop-down)]],'List source'!D$2:E$71,2,FALSE)</f>
        <v>#N/A</v>
      </c>
      <c r="C493" s="17" t="s">
        <v>1285</v>
      </c>
      <c r="D493" s="21" t="e">
        <f t="shared" si="7"/>
        <v>#N/A</v>
      </c>
      <c r="E493" s="11"/>
      <c r="F493" s="91"/>
      <c r="G493" s="12"/>
      <c r="H493" s="12"/>
      <c r="I493" s="12"/>
      <c r="J493" s="10"/>
      <c r="K493" s="10"/>
    </row>
    <row r="494" spans="1:11" s="4" customFormat="1" ht="30" customHeight="1" x14ac:dyDescent="0.25">
      <c r="A494" s="9"/>
      <c r="B494" s="13" t="e">
        <f>VLOOKUP(Table24[[#This Row],[Location 
(drop-down)]],'List source'!D$2:E$71,2,FALSE)</f>
        <v>#N/A</v>
      </c>
      <c r="C494" s="17" t="s">
        <v>1287</v>
      </c>
      <c r="D494" s="21" t="e">
        <f t="shared" si="7"/>
        <v>#N/A</v>
      </c>
      <c r="E494" s="11"/>
      <c r="F494" s="91"/>
      <c r="G494" s="12"/>
      <c r="H494" s="12"/>
      <c r="I494" s="12"/>
      <c r="J494" s="10"/>
      <c r="K494" s="10"/>
    </row>
    <row r="495" spans="1:11" s="4" customFormat="1" ht="30" customHeight="1" x14ac:dyDescent="0.25">
      <c r="A495" s="9"/>
      <c r="B495" s="13" t="e">
        <f>VLOOKUP(Table24[[#This Row],[Location 
(drop-down)]],'List source'!D$2:E$71,2,FALSE)</f>
        <v>#N/A</v>
      </c>
      <c r="C495" s="17" t="s">
        <v>1289</v>
      </c>
      <c r="D495" s="21" t="e">
        <f t="shared" si="7"/>
        <v>#N/A</v>
      </c>
      <c r="E495" s="11"/>
      <c r="F495" s="91"/>
      <c r="G495" s="12"/>
      <c r="H495" s="12"/>
      <c r="I495" s="12"/>
      <c r="J495" s="10"/>
      <c r="K495" s="10"/>
    </row>
    <row r="496" spans="1:11" s="4" customFormat="1" ht="30" customHeight="1" x14ac:dyDescent="0.25">
      <c r="A496" s="9"/>
      <c r="B496" s="13" t="e">
        <f>VLOOKUP(Table24[[#This Row],[Location 
(drop-down)]],'List source'!D$2:E$71,2,FALSE)</f>
        <v>#N/A</v>
      </c>
      <c r="C496" s="17" t="s">
        <v>1291</v>
      </c>
      <c r="D496" s="21" t="e">
        <f t="shared" si="7"/>
        <v>#N/A</v>
      </c>
      <c r="E496" s="11"/>
      <c r="F496" s="91"/>
      <c r="G496" s="12"/>
      <c r="H496" s="12"/>
      <c r="I496" s="12"/>
      <c r="J496" s="10"/>
      <c r="K496" s="10"/>
    </row>
    <row r="497" spans="1:11" s="4" customFormat="1" ht="30" customHeight="1" x14ac:dyDescent="0.25">
      <c r="A497" s="9"/>
      <c r="B497" s="13" t="e">
        <f>VLOOKUP(Table24[[#This Row],[Location 
(drop-down)]],'List source'!D$2:E$71,2,FALSE)</f>
        <v>#N/A</v>
      </c>
      <c r="C497" s="17" t="s">
        <v>1293</v>
      </c>
      <c r="D497" s="21" t="e">
        <f t="shared" si="7"/>
        <v>#N/A</v>
      </c>
      <c r="E497" s="11"/>
      <c r="F497" s="91"/>
      <c r="G497" s="12"/>
      <c r="H497" s="12"/>
      <c r="I497" s="12"/>
      <c r="J497" s="10"/>
      <c r="K497" s="10"/>
    </row>
    <row r="498" spans="1:11" s="4" customFormat="1" ht="30" customHeight="1" x14ac:dyDescent="0.25">
      <c r="A498" s="9"/>
      <c r="B498" s="13" t="e">
        <f>VLOOKUP(Table24[[#This Row],[Location 
(drop-down)]],'List source'!D$2:E$71,2,FALSE)</f>
        <v>#N/A</v>
      </c>
      <c r="C498" s="17" t="s">
        <v>1295</v>
      </c>
      <c r="D498" s="21" t="e">
        <f t="shared" si="7"/>
        <v>#N/A</v>
      </c>
      <c r="E498" s="11"/>
      <c r="F498" s="91"/>
      <c r="G498" s="12"/>
      <c r="H498" s="12"/>
      <c r="I498" s="12"/>
      <c r="J498" s="10"/>
      <c r="K498" s="10"/>
    </row>
    <row r="499" spans="1:11" s="4" customFormat="1" ht="30" customHeight="1" x14ac:dyDescent="0.25">
      <c r="A499" s="9"/>
      <c r="B499" s="13" t="e">
        <f>VLOOKUP(Table24[[#This Row],[Location 
(drop-down)]],'List source'!D$2:E$71,2,FALSE)</f>
        <v>#N/A</v>
      </c>
      <c r="C499" s="17" t="s">
        <v>1297</v>
      </c>
      <c r="D499" s="21" t="e">
        <f t="shared" si="7"/>
        <v>#N/A</v>
      </c>
      <c r="E499" s="11"/>
      <c r="F499" s="91"/>
      <c r="G499" s="12"/>
      <c r="H499" s="12"/>
      <c r="I499" s="12"/>
      <c r="J499" s="10"/>
      <c r="K499" s="10"/>
    </row>
    <row r="500" spans="1:11" s="4" customFormat="1" ht="30" customHeight="1" x14ac:dyDescent="0.25">
      <c r="A500" s="9"/>
      <c r="B500" s="13" t="e">
        <f>VLOOKUP(Table24[[#This Row],[Location 
(drop-down)]],'List source'!D$2:E$71,2,FALSE)</f>
        <v>#N/A</v>
      </c>
      <c r="C500" s="17" t="s">
        <v>1299</v>
      </c>
      <c r="D500" s="21" t="e">
        <f t="shared" si="7"/>
        <v>#N/A</v>
      </c>
      <c r="E500" s="11"/>
      <c r="F500" s="91"/>
      <c r="G500" s="12"/>
      <c r="H500" s="12"/>
      <c r="I500" s="12"/>
      <c r="J500" s="10"/>
      <c r="K500" s="10"/>
    </row>
    <row r="501" spans="1:11" s="4" customFormat="1" ht="14.85" customHeight="1" x14ac:dyDescent="0.25">
      <c r="A501" s="9"/>
      <c r="B501" s="13" t="e">
        <f>VLOOKUP(Table24[[#This Row],[Location 
(drop-down)]],'List source'!D$2:E$71,2,FALSE)</f>
        <v>#N/A</v>
      </c>
      <c r="C501" s="17" t="s">
        <v>1301</v>
      </c>
      <c r="D501" s="21" t="e">
        <f t="shared" si="7"/>
        <v>#N/A</v>
      </c>
      <c r="E501" s="11"/>
      <c r="F501" s="91"/>
      <c r="G501" s="12"/>
      <c r="H501" s="12"/>
      <c r="I501" s="12"/>
      <c r="J501" s="10"/>
      <c r="K501" s="10"/>
    </row>
  </sheetData>
  <phoneticPr fontId="4" type="noConversion"/>
  <pageMargins left="0.7" right="0.7" top="0.75" bottom="0.75" header="0.3" footer="0.3"/>
  <pageSetup scale="46" fitToHeight="0" orientation="landscape"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'List source'!$C$2:$C$6</xm:f>
          </x14:formula1>
          <xm:sqref>J2:J501</xm:sqref>
        </x14:dataValidation>
        <x14:dataValidation type="list" allowBlank="1" showInputMessage="1" showErrorMessage="1" xr:uid="{00000000-0002-0000-0100-000002000000}">
          <x14:formula1>
            <xm:f>'List source'!$A$14:$A$19</xm:f>
          </x14:formula1>
          <xm:sqref>E2:E501</xm:sqref>
        </x14:dataValidation>
        <x14:dataValidation type="list" allowBlank="1" showInputMessage="1" showErrorMessage="1" xr:uid="{73D26F42-133A-4BDB-9AA2-10074D2F186C}">
          <x14:formula1>
            <xm:f>'List source'!$D$6:$D$71</xm:f>
          </x14:formula1>
          <xm:sqref>A1 A502:A1048576</xm:sqref>
        </x14:dataValidation>
        <x14:dataValidation type="list" allowBlank="1" showInputMessage="1" showErrorMessage="1" xr:uid="{AFAA9877-5479-49DD-A07B-BB121BE6C4A0}">
          <x14:formula1>
            <xm:f>'List source'!$D$2:$D$71</xm:f>
          </x14:formula1>
          <xm:sqref>A2:A501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I83"/>
  <sheetViews>
    <sheetView zoomScaleNormal="100" workbookViewId="0">
      <pane ySplit="1" topLeftCell="A11" activePane="bottomLeft" state="frozen"/>
      <selection activeCell="C1" sqref="C1"/>
      <selection pane="bottomLeft" activeCell="D19" sqref="D19"/>
    </sheetView>
  </sheetViews>
  <sheetFormatPr defaultRowHeight="15" x14ac:dyDescent="0.25"/>
  <cols>
    <col min="1" max="1" width="67.5703125" customWidth="1"/>
    <col min="2" max="2" width="36.42578125" customWidth="1"/>
    <col min="3" max="3" width="18.42578125" customWidth="1"/>
    <col min="4" max="4" width="30.5703125" bestFit="1" customWidth="1"/>
    <col min="5" max="5" width="13.42578125" style="1" customWidth="1"/>
    <col min="6" max="6" width="23" customWidth="1"/>
  </cols>
  <sheetData>
    <row r="1" spans="1:9" ht="15.75" thickBot="1" x14ac:dyDescent="0.3">
      <c r="A1" s="109" t="s">
        <v>1901</v>
      </c>
      <c r="B1" s="110" t="s">
        <v>1902</v>
      </c>
      <c r="C1" s="34" t="s">
        <v>1903</v>
      </c>
      <c r="D1" s="35" t="s">
        <v>1904</v>
      </c>
      <c r="E1" s="36" t="s">
        <v>1</v>
      </c>
      <c r="F1" s="35" t="s">
        <v>1905</v>
      </c>
    </row>
    <row r="2" spans="1:9" x14ac:dyDescent="0.25">
      <c r="A2" s="111" t="s">
        <v>1906</v>
      </c>
      <c r="B2" s="112" t="s">
        <v>1907</v>
      </c>
      <c r="C2" s="31" t="s">
        <v>455</v>
      </c>
      <c r="D2" s="32" t="s">
        <v>334</v>
      </c>
      <c r="E2" s="33" t="s">
        <v>1908</v>
      </c>
      <c r="F2" s="43"/>
      <c r="I2" t="s">
        <v>503</v>
      </c>
    </row>
    <row r="3" spans="1:9" x14ac:dyDescent="0.25">
      <c r="A3" s="113" t="s">
        <v>1909</v>
      </c>
      <c r="B3" s="114" t="s">
        <v>1910</v>
      </c>
      <c r="C3" s="22" t="s">
        <v>458</v>
      </c>
      <c r="D3" s="32" t="s">
        <v>336</v>
      </c>
      <c r="E3" s="33" t="s">
        <v>1911</v>
      </c>
      <c r="F3" s="43"/>
      <c r="I3" t="s">
        <v>506</v>
      </c>
    </row>
    <row r="4" spans="1:9" x14ac:dyDescent="0.25">
      <c r="A4" s="113" t="s">
        <v>1912</v>
      </c>
      <c r="B4" s="114" t="s">
        <v>1913</v>
      </c>
      <c r="C4" s="22" t="s">
        <v>494</v>
      </c>
      <c r="D4" s="32" t="s">
        <v>330</v>
      </c>
      <c r="E4" s="33" t="s">
        <v>1914</v>
      </c>
      <c r="F4" s="43"/>
    </row>
    <row r="5" spans="1:9" x14ac:dyDescent="0.25">
      <c r="A5" s="113" t="s">
        <v>1915</v>
      </c>
      <c r="B5" s="114" t="s">
        <v>1916</v>
      </c>
      <c r="C5" s="22" t="s">
        <v>638</v>
      </c>
      <c r="D5" s="32" t="s">
        <v>364</v>
      </c>
      <c r="E5" s="33" t="s">
        <v>1917</v>
      </c>
      <c r="F5" s="43"/>
    </row>
    <row r="6" spans="1:9" x14ac:dyDescent="0.25">
      <c r="A6" s="113" t="s">
        <v>1918</v>
      </c>
      <c r="B6" s="115" t="s">
        <v>1919</v>
      </c>
      <c r="C6" s="22" t="s">
        <v>657</v>
      </c>
      <c r="D6" s="32" t="s">
        <v>139</v>
      </c>
      <c r="E6" s="33">
        <v>119</v>
      </c>
      <c r="F6" s="43" t="s">
        <v>1920</v>
      </c>
    </row>
    <row r="7" spans="1:9" x14ac:dyDescent="0.25">
      <c r="A7" s="113" t="s">
        <v>1921</v>
      </c>
      <c r="B7" s="114" t="s">
        <v>1922</v>
      </c>
      <c r="C7" s="118"/>
      <c r="D7" s="25" t="s">
        <v>64</v>
      </c>
      <c r="E7" s="24">
        <v>111</v>
      </c>
      <c r="F7" s="43" t="s">
        <v>1923</v>
      </c>
    </row>
    <row r="8" spans="1:9" x14ac:dyDescent="0.25">
      <c r="A8" s="113" t="s">
        <v>1924</v>
      </c>
      <c r="B8" s="114" t="s">
        <v>1925</v>
      </c>
      <c r="C8" s="117"/>
      <c r="D8" s="23" t="s">
        <v>153</v>
      </c>
      <c r="E8" s="24">
        <v>110</v>
      </c>
      <c r="F8" s="43" t="s">
        <v>1923</v>
      </c>
    </row>
    <row r="9" spans="1:9" x14ac:dyDescent="0.25">
      <c r="A9" s="113" t="s">
        <v>657</v>
      </c>
      <c r="B9" s="116" t="s">
        <v>657</v>
      </c>
      <c r="C9" s="107"/>
      <c r="D9" s="23" t="s">
        <v>105</v>
      </c>
      <c r="E9" s="24">
        <v>215</v>
      </c>
      <c r="F9" s="43" t="s">
        <v>1926</v>
      </c>
    </row>
    <row r="10" spans="1:9" x14ac:dyDescent="0.25">
      <c r="C10" s="108"/>
      <c r="D10" s="26" t="s">
        <v>351</v>
      </c>
      <c r="E10" s="24">
        <v>195</v>
      </c>
      <c r="F10" s="43" t="s">
        <v>1926</v>
      </c>
    </row>
    <row r="11" spans="1:9" x14ac:dyDescent="0.25">
      <c r="B11" s="3" t="s">
        <v>1927</v>
      </c>
      <c r="C11" s="108"/>
      <c r="D11" s="26" t="s">
        <v>91</v>
      </c>
      <c r="E11" s="24">
        <v>190</v>
      </c>
      <c r="F11" s="43" t="s">
        <v>1926</v>
      </c>
    </row>
    <row r="12" spans="1:9" ht="30" x14ac:dyDescent="0.25">
      <c r="B12" s="232" t="s">
        <v>467</v>
      </c>
      <c r="C12" s="108"/>
      <c r="D12" s="26" t="s">
        <v>389</v>
      </c>
      <c r="E12" s="24">
        <v>161</v>
      </c>
      <c r="F12" s="43" t="s">
        <v>1920</v>
      </c>
    </row>
    <row r="13" spans="1:9" ht="45" x14ac:dyDescent="0.25">
      <c r="A13" s="39" t="s">
        <v>437</v>
      </c>
      <c r="B13" s="232" t="s">
        <v>471</v>
      </c>
      <c r="C13" s="108"/>
      <c r="D13" s="23" t="s">
        <v>361</v>
      </c>
      <c r="E13" s="24">
        <v>116</v>
      </c>
      <c r="F13" s="43" t="s">
        <v>1926</v>
      </c>
    </row>
    <row r="14" spans="1:9" ht="30" x14ac:dyDescent="0.25">
      <c r="A14" s="40" t="s">
        <v>452</v>
      </c>
      <c r="B14" s="232" t="s">
        <v>530</v>
      </c>
      <c r="C14" s="108"/>
      <c r="D14" s="26" t="s">
        <v>211</v>
      </c>
      <c r="E14" s="24">
        <v>132</v>
      </c>
      <c r="F14" s="43" t="s">
        <v>1928</v>
      </c>
    </row>
    <row r="15" spans="1:9" ht="30" x14ac:dyDescent="0.25">
      <c r="A15" s="40" t="s">
        <v>465</v>
      </c>
      <c r="B15" s="232" t="s">
        <v>484</v>
      </c>
      <c r="C15" s="3"/>
      <c r="D15" s="23" t="s">
        <v>268</v>
      </c>
      <c r="E15" s="24">
        <v>124</v>
      </c>
      <c r="F15" s="43" t="s">
        <v>1920</v>
      </c>
    </row>
    <row r="16" spans="1:9" ht="30" x14ac:dyDescent="0.25">
      <c r="A16" s="40" t="s">
        <v>519</v>
      </c>
      <c r="B16" s="233" t="s">
        <v>1929</v>
      </c>
      <c r="D16" s="23" t="s">
        <v>69</v>
      </c>
      <c r="E16" s="24">
        <v>141</v>
      </c>
      <c r="F16" s="43" t="s">
        <v>1923</v>
      </c>
    </row>
    <row r="17" spans="1:6" x14ac:dyDescent="0.25">
      <c r="A17" s="40" t="s">
        <v>472</v>
      </c>
      <c r="C17" s="56" t="s">
        <v>1930</v>
      </c>
      <c r="D17" s="23" t="s">
        <v>25</v>
      </c>
      <c r="E17" s="24">
        <v>158</v>
      </c>
      <c r="F17" s="43" t="s">
        <v>1920</v>
      </c>
    </row>
    <row r="18" spans="1:6" ht="15.75" x14ac:dyDescent="0.3">
      <c r="A18" s="41" t="s">
        <v>460</v>
      </c>
      <c r="C18" s="57" t="s">
        <v>455</v>
      </c>
      <c r="D18" s="26" t="s">
        <v>71</v>
      </c>
      <c r="E18" s="24">
        <v>127</v>
      </c>
      <c r="F18" s="43" t="s">
        <v>1926</v>
      </c>
    </row>
    <row r="19" spans="1:6" x14ac:dyDescent="0.25">
      <c r="A19" s="40" t="s">
        <v>657</v>
      </c>
      <c r="C19" s="57" t="s">
        <v>1931</v>
      </c>
      <c r="D19" s="23" t="s">
        <v>186</v>
      </c>
      <c r="E19" s="24">
        <v>136</v>
      </c>
      <c r="F19" s="43" t="s">
        <v>1926</v>
      </c>
    </row>
    <row r="20" spans="1:6" x14ac:dyDescent="0.25">
      <c r="C20" s="57" t="s">
        <v>494</v>
      </c>
      <c r="D20" s="26" t="s">
        <v>67</v>
      </c>
      <c r="E20" s="24">
        <v>138</v>
      </c>
      <c r="F20" s="43" t="s">
        <v>1926</v>
      </c>
    </row>
    <row r="21" spans="1:6" x14ac:dyDescent="0.25">
      <c r="B21" s="105" t="s">
        <v>1932</v>
      </c>
      <c r="C21" s="57" t="s">
        <v>1933</v>
      </c>
      <c r="D21" s="26" t="s">
        <v>151</v>
      </c>
      <c r="E21" s="24">
        <v>115</v>
      </c>
      <c r="F21" s="43" t="s">
        <v>1926</v>
      </c>
    </row>
    <row r="22" spans="1:6" x14ac:dyDescent="0.25">
      <c r="B22" s="60" t="s">
        <v>66</v>
      </c>
      <c r="C22" s="57" t="s">
        <v>1934</v>
      </c>
      <c r="D22" s="23" t="s">
        <v>476</v>
      </c>
      <c r="E22" s="24">
        <v>101</v>
      </c>
      <c r="F22" s="43" t="s">
        <v>1935</v>
      </c>
    </row>
    <row r="23" spans="1:6" x14ac:dyDescent="0.25">
      <c r="B23" s="60" t="s">
        <v>31</v>
      </c>
      <c r="C23" s="57" t="s">
        <v>657</v>
      </c>
      <c r="D23" s="26" t="s">
        <v>46</v>
      </c>
      <c r="E23" s="24">
        <v>155</v>
      </c>
      <c r="F23" s="43" t="s">
        <v>1920</v>
      </c>
    </row>
    <row r="24" spans="1:6" x14ac:dyDescent="0.25">
      <c r="A24" s="58" t="s">
        <v>1936</v>
      </c>
      <c r="B24" s="60" t="s">
        <v>17</v>
      </c>
      <c r="D24" s="26" t="s">
        <v>1937</v>
      </c>
      <c r="E24" s="24">
        <v>154</v>
      </c>
      <c r="F24" s="43" t="s">
        <v>1920</v>
      </c>
    </row>
    <row r="25" spans="1:6" x14ac:dyDescent="0.25">
      <c r="A25" s="59" t="s">
        <v>16</v>
      </c>
      <c r="B25" s="60" t="s">
        <v>657</v>
      </c>
      <c r="D25" s="26" t="s">
        <v>0</v>
      </c>
      <c r="E25" s="24">
        <v>159</v>
      </c>
      <c r="F25" s="43" t="s">
        <v>1920</v>
      </c>
    </row>
    <row r="26" spans="1:6" x14ac:dyDescent="0.25">
      <c r="A26" s="59" t="s">
        <v>81</v>
      </c>
      <c r="D26" s="26" t="s">
        <v>310</v>
      </c>
      <c r="E26" s="24">
        <v>147</v>
      </c>
      <c r="F26" s="43" t="s">
        <v>1926</v>
      </c>
    </row>
    <row r="27" spans="1:6" x14ac:dyDescent="0.25">
      <c r="A27" s="59" t="s">
        <v>39</v>
      </c>
      <c r="D27" s="26" t="s">
        <v>76</v>
      </c>
      <c r="E27" s="24">
        <v>157</v>
      </c>
      <c r="F27" s="43" t="s">
        <v>1920</v>
      </c>
    </row>
    <row r="28" spans="1:6" x14ac:dyDescent="0.25">
      <c r="A28" s="59" t="s">
        <v>127</v>
      </c>
      <c r="D28" s="23" t="s">
        <v>117</v>
      </c>
      <c r="E28" s="24">
        <v>125</v>
      </c>
      <c r="F28" s="43" t="s">
        <v>1926</v>
      </c>
    </row>
    <row r="29" spans="1:6" x14ac:dyDescent="0.25">
      <c r="A29" s="59" t="s">
        <v>657</v>
      </c>
      <c r="D29" s="25" t="s">
        <v>99</v>
      </c>
      <c r="E29" s="24">
        <v>198</v>
      </c>
      <c r="F29" s="43" t="s">
        <v>1923</v>
      </c>
    </row>
    <row r="30" spans="1:6" x14ac:dyDescent="0.25">
      <c r="D30" s="25" t="s">
        <v>179</v>
      </c>
      <c r="E30" s="24">
        <v>189</v>
      </c>
      <c r="F30" s="43" t="s">
        <v>1923</v>
      </c>
    </row>
    <row r="31" spans="1:6" x14ac:dyDescent="0.25">
      <c r="A31" s="62" t="s">
        <v>1938</v>
      </c>
      <c r="D31" s="25" t="s">
        <v>54</v>
      </c>
      <c r="E31" s="24">
        <v>128</v>
      </c>
      <c r="F31" s="43" t="s">
        <v>1920</v>
      </c>
    </row>
    <row r="32" spans="1:6" x14ac:dyDescent="0.25">
      <c r="A32" s="61" t="s">
        <v>127</v>
      </c>
      <c r="D32" s="23" t="s">
        <v>94</v>
      </c>
      <c r="E32" s="24">
        <v>120</v>
      </c>
      <c r="F32" s="43" t="s">
        <v>1920</v>
      </c>
    </row>
    <row r="33" spans="1:6" x14ac:dyDescent="0.25">
      <c r="A33" s="61" t="s">
        <v>39</v>
      </c>
      <c r="D33" s="23" t="s">
        <v>278</v>
      </c>
      <c r="E33" s="24" t="s">
        <v>1939</v>
      </c>
      <c r="F33" s="257" t="s">
        <v>1940</v>
      </c>
    </row>
    <row r="34" spans="1:6" x14ac:dyDescent="0.25">
      <c r="A34" s="61" t="s">
        <v>181</v>
      </c>
      <c r="D34" s="23" t="s">
        <v>325</v>
      </c>
      <c r="E34" s="24" t="s">
        <v>1941</v>
      </c>
      <c r="F34" s="257" t="s">
        <v>1920</v>
      </c>
    </row>
    <row r="35" spans="1:6" x14ac:dyDescent="0.25">
      <c r="A35" s="61" t="s">
        <v>657</v>
      </c>
      <c r="D35" s="26" t="s">
        <v>254</v>
      </c>
      <c r="E35" s="24">
        <v>133</v>
      </c>
      <c r="F35" s="43" t="s">
        <v>1928</v>
      </c>
    </row>
    <row r="36" spans="1:6" x14ac:dyDescent="0.25">
      <c r="D36" s="23" t="s">
        <v>141</v>
      </c>
      <c r="E36" s="24">
        <v>165</v>
      </c>
      <c r="F36" s="43" t="s">
        <v>1920</v>
      </c>
    </row>
    <row r="37" spans="1:6" x14ac:dyDescent="0.25">
      <c r="D37" s="23" t="s">
        <v>133</v>
      </c>
      <c r="E37" s="24">
        <v>194</v>
      </c>
      <c r="F37" s="43" t="s">
        <v>1923</v>
      </c>
    </row>
    <row r="38" spans="1:6" x14ac:dyDescent="0.25">
      <c r="D38" s="23" t="s">
        <v>156</v>
      </c>
      <c r="E38" s="24">
        <v>130</v>
      </c>
      <c r="F38" s="43" t="s">
        <v>1928</v>
      </c>
    </row>
    <row r="39" spans="1:6" x14ac:dyDescent="0.25">
      <c r="D39" s="23" t="s">
        <v>381</v>
      </c>
      <c r="E39" s="24">
        <v>179</v>
      </c>
      <c r="F39" s="43" t="s">
        <v>1926</v>
      </c>
    </row>
    <row r="40" spans="1:6" x14ac:dyDescent="0.25">
      <c r="D40" s="26" t="s">
        <v>338</v>
      </c>
      <c r="E40" s="24">
        <v>191</v>
      </c>
      <c r="F40" s="43" t="s">
        <v>1926</v>
      </c>
    </row>
    <row r="41" spans="1:6" x14ac:dyDescent="0.25">
      <c r="D41" s="25" t="s">
        <v>287</v>
      </c>
      <c r="E41" s="24">
        <v>180</v>
      </c>
      <c r="F41" s="43" t="s">
        <v>1926</v>
      </c>
    </row>
    <row r="42" spans="1:6" x14ac:dyDescent="0.25">
      <c r="D42" s="23" t="s">
        <v>1942</v>
      </c>
      <c r="E42" s="24">
        <v>163</v>
      </c>
      <c r="F42" s="43" t="s">
        <v>1920</v>
      </c>
    </row>
    <row r="43" spans="1:6" x14ac:dyDescent="0.25">
      <c r="D43" s="23" t="s">
        <v>341</v>
      </c>
      <c r="E43" s="24">
        <v>135</v>
      </c>
      <c r="F43" s="43" t="s">
        <v>1920</v>
      </c>
    </row>
    <row r="44" spans="1:6" x14ac:dyDescent="0.25">
      <c r="D44" s="23" t="s">
        <v>58</v>
      </c>
      <c r="E44" s="24">
        <v>146</v>
      </c>
      <c r="F44" s="43" t="s">
        <v>1926</v>
      </c>
    </row>
    <row r="45" spans="1:6" x14ac:dyDescent="0.25">
      <c r="D45" s="27" t="s">
        <v>33</v>
      </c>
      <c r="E45" s="28" t="s">
        <v>1943</v>
      </c>
      <c r="F45" s="43" t="s">
        <v>1920</v>
      </c>
    </row>
    <row r="46" spans="1:6" x14ac:dyDescent="0.25">
      <c r="D46" s="23" t="s">
        <v>220</v>
      </c>
      <c r="E46" s="24">
        <v>197</v>
      </c>
      <c r="F46" s="43" t="s">
        <v>1923</v>
      </c>
    </row>
    <row r="47" spans="1:6" x14ac:dyDescent="0.25">
      <c r="D47" s="23" t="s">
        <v>131</v>
      </c>
      <c r="E47" s="24">
        <v>145</v>
      </c>
      <c r="F47" s="43" t="s">
        <v>1923</v>
      </c>
    </row>
    <row r="48" spans="1:6" x14ac:dyDescent="0.25">
      <c r="D48" s="23" t="s">
        <v>107</v>
      </c>
      <c r="E48" s="24">
        <v>170</v>
      </c>
      <c r="F48" s="43" t="s">
        <v>1926</v>
      </c>
    </row>
    <row r="49" spans="4:6" x14ac:dyDescent="0.25">
      <c r="D49" s="23" t="s">
        <v>246</v>
      </c>
      <c r="E49" s="24">
        <v>188</v>
      </c>
      <c r="F49" s="43" t="s">
        <v>1923</v>
      </c>
    </row>
    <row r="50" spans="4:6" x14ac:dyDescent="0.25">
      <c r="D50" s="26" t="s">
        <v>175</v>
      </c>
      <c r="E50" s="24">
        <v>156</v>
      </c>
      <c r="F50" s="43" t="s">
        <v>1920</v>
      </c>
    </row>
    <row r="51" spans="4:6" x14ac:dyDescent="0.25">
      <c r="D51" s="23" t="s">
        <v>1944</v>
      </c>
      <c r="E51" s="24">
        <v>151</v>
      </c>
      <c r="F51" s="43" t="s">
        <v>1928</v>
      </c>
    </row>
    <row r="52" spans="4:6" x14ac:dyDescent="0.25">
      <c r="D52" s="23" t="s">
        <v>62</v>
      </c>
      <c r="E52" s="24">
        <v>178</v>
      </c>
      <c r="F52" s="43" t="s">
        <v>1926</v>
      </c>
    </row>
    <row r="53" spans="4:6" x14ac:dyDescent="0.25">
      <c r="D53" s="26" t="s">
        <v>79</v>
      </c>
      <c r="E53" s="24">
        <v>160</v>
      </c>
      <c r="F53" s="43" t="s">
        <v>1920</v>
      </c>
    </row>
    <row r="54" spans="4:6" ht="30" x14ac:dyDescent="0.25">
      <c r="D54" s="26" t="s">
        <v>172</v>
      </c>
      <c r="E54" s="209" t="s">
        <v>1945</v>
      </c>
      <c r="F54" s="210" t="s">
        <v>1920</v>
      </c>
    </row>
    <row r="55" spans="4:6" x14ac:dyDescent="0.25">
      <c r="D55" s="23" t="s">
        <v>1946</v>
      </c>
      <c r="E55" s="24">
        <v>162</v>
      </c>
      <c r="F55" s="43" t="s">
        <v>1920</v>
      </c>
    </row>
    <row r="56" spans="4:6" x14ac:dyDescent="0.25">
      <c r="D56" s="23" t="s">
        <v>73</v>
      </c>
      <c r="E56" s="24">
        <v>142</v>
      </c>
      <c r="F56" s="43" t="s">
        <v>1923</v>
      </c>
    </row>
    <row r="57" spans="4:6" x14ac:dyDescent="0.25">
      <c r="D57" s="26" t="s">
        <v>203</v>
      </c>
      <c r="E57" s="24">
        <v>140</v>
      </c>
      <c r="F57" s="43" t="s">
        <v>1923</v>
      </c>
    </row>
    <row r="58" spans="4:6" x14ac:dyDescent="0.25">
      <c r="D58" s="26" t="s">
        <v>123</v>
      </c>
      <c r="E58" s="24">
        <v>192</v>
      </c>
      <c r="F58" s="43" t="s">
        <v>1926</v>
      </c>
    </row>
    <row r="59" spans="4:6" x14ac:dyDescent="0.25">
      <c r="D59" s="26" t="s">
        <v>14</v>
      </c>
      <c r="E59" s="24">
        <v>131</v>
      </c>
      <c r="F59" s="43" t="s">
        <v>1928</v>
      </c>
    </row>
    <row r="60" spans="4:6" x14ac:dyDescent="0.25">
      <c r="D60" s="23" t="s">
        <v>257</v>
      </c>
      <c r="E60" s="24">
        <v>144</v>
      </c>
      <c r="F60" s="43" t="s">
        <v>1926</v>
      </c>
    </row>
    <row r="61" spans="4:6" x14ac:dyDescent="0.25">
      <c r="D61" s="26" t="s">
        <v>218</v>
      </c>
      <c r="E61" s="24">
        <v>121</v>
      </c>
      <c r="F61" s="43" t="s">
        <v>1920</v>
      </c>
    </row>
    <row r="62" spans="4:6" x14ac:dyDescent="0.25">
      <c r="D62" s="26" t="s">
        <v>37</v>
      </c>
      <c r="E62" s="24">
        <v>210</v>
      </c>
      <c r="F62" s="43" t="s">
        <v>1926</v>
      </c>
    </row>
    <row r="63" spans="4:6" x14ac:dyDescent="0.25">
      <c r="D63" s="26" t="s">
        <v>237</v>
      </c>
      <c r="E63" s="24">
        <v>171</v>
      </c>
      <c r="F63" s="43" t="s">
        <v>1926</v>
      </c>
    </row>
    <row r="64" spans="4:6" x14ac:dyDescent="0.25">
      <c r="D64" s="26" t="s">
        <v>249</v>
      </c>
      <c r="E64" s="24">
        <v>199</v>
      </c>
      <c r="F64" s="43" t="s">
        <v>1923</v>
      </c>
    </row>
    <row r="65" spans="4:6" x14ac:dyDescent="0.25">
      <c r="D65" s="26" t="s">
        <v>51</v>
      </c>
      <c r="E65" s="24">
        <v>139</v>
      </c>
      <c r="F65" s="43" t="s">
        <v>1926</v>
      </c>
    </row>
    <row r="66" spans="4:6" x14ac:dyDescent="0.25">
      <c r="D66" s="26" t="s">
        <v>208</v>
      </c>
      <c r="E66" s="24">
        <v>137</v>
      </c>
      <c r="F66" s="43" t="s">
        <v>1928</v>
      </c>
    </row>
    <row r="67" spans="4:6" x14ac:dyDescent="0.25">
      <c r="D67" s="23" t="s">
        <v>177</v>
      </c>
      <c r="E67" s="24">
        <v>126</v>
      </c>
      <c r="F67" s="43" t="s">
        <v>1926</v>
      </c>
    </row>
    <row r="68" spans="4:6" x14ac:dyDescent="0.25">
      <c r="D68" s="23" t="s">
        <v>86</v>
      </c>
      <c r="E68" s="24">
        <v>150</v>
      </c>
      <c r="F68" s="43" t="s">
        <v>1920</v>
      </c>
    </row>
    <row r="69" spans="4:6" x14ac:dyDescent="0.25">
      <c r="D69" s="23" t="s">
        <v>281</v>
      </c>
      <c r="E69" s="24">
        <v>129</v>
      </c>
      <c r="F69" s="43" t="s">
        <v>1928</v>
      </c>
    </row>
    <row r="70" spans="4:6" x14ac:dyDescent="0.25">
      <c r="D70" s="27" t="s">
        <v>656</v>
      </c>
      <c r="E70" s="28" t="s">
        <v>657</v>
      </c>
      <c r="F70" s="44" t="s">
        <v>657</v>
      </c>
    </row>
    <row r="71" spans="4:6" x14ac:dyDescent="0.25">
      <c r="D71" s="122" t="s">
        <v>44</v>
      </c>
      <c r="E71" s="121">
        <v>185</v>
      </c>
      <c r="F71" s="43" t="s">
        <v>1926</v>
      </c>
    </row>
    <row r="73" spans="4:6" x14ac:dyDescent="0.25">
      <c r="D73" t="s">
        <v>1947</v>
      </c>
    </row>
    <row r="74" spans="4:6" x14ac:dyDescent="0.25">
      <c r="D74" t="s">
        <v>1948</v>
      </c>
      <c r="E74" s="1">
        <v>102</v>
      </c>
    </row>
    <row r="75" spans="4:6" x14ac:dyDescent="0.25">
      <c r="D75" t="s">
        <v>1949</v>
      </c>
      <c r="E75" s="1">
        <v>122</v>
      </c>
    </row>
    <row r="76" spans="4:6" x14ac:dyDescent="0.25">
      <c r="D76" t="s">
        <v>1950</v>
      </c>
      <c r="E76" s="1">
        <v>123</v>
      </c>
    </row>
    <row r="77" spans="4:6" x14ac:dyDescent="0.25">
      <c r="D77" t="s">
        <v>1951</v>
      </c>
      <c r="E77" s="1">
        <v>134</v>
      </c>
    </row>
    <row r="79" spans="4:6" x14ac:dyDescent="0.25">
      <c r="D79" t="s">
        <v>1952</v>
      </c>
      <c r="E79" s="1">
        <v>166</v>
      </c>
    </row>
    <row r="80" spans="4:6" x14ac:dyDescent="0.25">
      <c r="D80" t="s">
        <v>1953</v>
      </c>
      <c r="E80" s="1">
        <v>169</v>
      </c>
    </row>
    <row r="81" spans="4:5" x14ac:dyDescent="0.25">
      <c r="D81" t="s">
        <v>1954</v>
      </c>
      <c r="E81" s="1">
        <v>172</v>
      </c>
    </row>
    <row r="82" spans="4:5" x14ac:dyDescent="0.25">
      <c r="D82" t="s">
        <v>1955</v>
      </c>
      <c r="E82" s="1">
        <v>187</v>
      </c>
    </row>
    <row r="83" spans="4:5" x14ac:dyDescent="0.25">
      <c r="D83" t="s">
        <v>1956</v>
      </c>
      <c r="E83" s="1">
        <v>196</v>
      </c>
    </row>
  </sheetData>
  <sortState xmlns:xlrd2="http://schemas.microsoft.com/office/spreadsheetml/2017/richdata2" ref="D11:E76">
    <sortCondition ref="D11"/>
  </sortState>
  <pageMargins left="0.7" right="0.7" top="0.75" bottom="0.75" header="0.3" footer="0.3"/>
  <pageSetup orientation="portrait" r:id="rId1"/>
  <legacy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B1FE-416D-4689-B259-B6F215D55628}">
  <sheetPr codeName="Sheet3">
    <tabColor rgb="FFFFFF00"/>
    <pageSetUpPr fitToPage="1"/>
  </sheetPr>
  <dimension ref="A1:L151"/>
  <sheetViews>
    <sheetView showGridLines="0" zoomScale="70" zoomScaleNormal="90" workbookViewId="0">
      <pane ySplit="1" topLeftCell="A9" activePane="bottomLeft" state="frozen"/>
      <selection activeCell="D1" sqref="D1"/>
      <selection pane="bottomLeft" activeCell="I28" sqref="I28"/>
    </sheetView>
  </sheetViews>
  <sheetFormatPr defaultRowHeight="15" x14ac:dyDescent="0.25"/>
  <cols>
    <col min="1" max="1" width="26.5703125" style="5" customWidth="1"/>
    <col min="2" max="2" width="9.5703125" customWidth="1"/>
    <col min="3" max="3" width="7.42578125" bestFit="1" customWidth="1"/>
    <col min="4" max="4" width="22" customWidth="1"/>
    <col min="5" max="5" width="22" hidden="1" customWidth="1"/>
    <col min="6" max="6" width="13.42578125" customWidth="1"/>
    <col min="7" max="7" width="15" customWidth="1"/>
    <col min="8" max="8" width="20.5703125" bestFit="1" customWidth="1"/>
    <col min="9" max="9" width="70.42578125" customWidth="1"/>
    <col min="10" max="10" width="23" style="7" customWidth="1"/>
    <col min="11" max="11" width="25.5703125" style="8" customWidth="1"/>
    <col min="12" max="12" width="37.42578125" style="8" customWidth="1"/>
  </cols>
  <sheetData>
    <row r="1" spans="1:12" s="2" customFormat="1" ht="45" customHeight="1" x14ac:dyDescent="0.25">
      <c r="A1" s="49" t="s">
        <v>435</v>
      </c>
      <c r="B1" s="50" t="s">
        <v>1</v>
      </c>
      <c r="C1" s="50" t="s">
        <v>2</v>
      </c>
      <c r="D1" s="50" t="s">
        <v>1957</v>
      </c>
      <c r="E1" s="50" t="s">
        <v>1905</v>
      </c>
      <c r="F1" s="50" t="s">
        <v>1958</v>
      </c>
      <c r="G1" s="50" t="s">
        <v>1959</v>
      </c>
      <c r="H1" s="50" t="s">
        <v>1960</v>
      </c>
      <c r="I1" s="50" t="s">
        <v>1961</v>
      </c>
      <c r="J1" s="51" t="s">
        <v>1962</v>
      </c>
      <c r="K1" s="52" t="s">
        <v>1963</v>
      </c>
      <c r="L1" s="52" t="s">
        <v>449</v>
      </c>
    </row>
    <row r="2" spans="1:12" s="4" customFormat="1" ht="30" hidden="1" customHeight="1" x14ac:dyDescent="0.25">
      <c r="A2" s="133" t="s">
        <v>211</v>
      </c>
      <c r="B2" s="13">
        <f>VLOOKUP(Table2456[[#This Row],[Location 
(drop-down)]],'List source'!D$2:E$71,2,FALSE)</f>
        <v>132</v>
      </c>
      <c r="C2" s="17" t="s">
        <v>15</v>
      </c>
      <c r="D2" s="21" t="str">
        <f t="shared" ref="D2:D33" si="0">"CAF" &amp; C2 &amp; "-" &amp; B2 &amp; "-" &amp; "25"</f>
        <v>CAF001-132-25</v>
      </c>
      <c r="E2" s="21" t="str">
        <f>VLOOKUP(Table2456[[#This Row],[Location 
(drop-down)]],Table1[#All],3,FALSE)</f>
        <v>USWC</v>
      </c>
      <c r="F2" s="134">
        <v>45664</v>
      </c>
      <c r="G2" s="134">
        <v>45673</v>
      </c>
      <c r="H2" s="134">
        <v>45671</v>
      </c>
      <c r="I2" s="80" t="s">
        <v>1964</v>
      </c>
      <c r="J2" s="18" t="s">
        <v>1931</v>
      </c>
      <c r="K2" s="135" t="s">
        <v>1965</v>
      </c>
      <c r="L2" s="135"/>
    </row>
    <row r="3" spans="1:12" s="4" customFormat="1" ht="30" hidden="1" customHeight="1" x14ac:dyDescent="0.25">
      <c r="A3" s="9" t="s">
        <v>69</v>
      </c>
      <c r="B3" s="13">
        <f>VLOOKUP(Table2456[[#This Row],[Location 
(drop-down)]],'List source'!D$2:E$71,2,FALSE)</f>
        <v>141</v>
      </c>
      <c r="C3" s="17" t="s">
        <v>22</v>
      </c>
      <c r="D3" s="21" t="str">
        <f t="shared" si="0"/>
        <v>CAF002-141-25</v>
      </c>
      <c r="E3" s="21" t="str">
        <f>VLOOKUP(Table2456[[#This Row],[Location 
(drop-down)]],Table1[#All],3,FALSE)</f>
        <v>USNE, USMW &amp; Canada</v>
      </c>
      <c r="F3" s="38">
        <v>45667</v>
      </c>
      <c r="G3" s="38">
        <v>45677</v>
      </c>
      <c r="H3" s="38">
        <v>45674</v>
      </c>
      <c r="I3" s="70" t="s">
        <v>1966</v>
      </c>
      <c r="J3" s="136" t="s">
        <v>1931</v>
      </c>
      <c r="K3" s="18" t="s">
        <v>1967</v>
      </c>
      <c r="L3" s="18"/>
    </row>
    <row r="4" spans="1:12" s="4" customFormat="1" ht="30" hidden="1" customHeight="1" x14ac:dyDescent="0.25">
      <c r="A4" s="9" t="s">
        <v>153</v>
      </c>
      <c r="B4" s="13">
        <f>VLOOKUP(Table2456[[#This Row],[Location 
(drop-down)]],'List source'!D$2:E$71,2,FALSE)</f>
        <v>110</v>
      </c>
      <c r="C4" s="17" t="s">
        <v>26</v>
      </c>
      <c r="D4" s="21" t="str">
        <f t="shared" si="0"/>
        <v>CAF003-110-25</v>
      </c>
      <c r="E4" s="21" t="str">
        <f>VLOOKUP(Table2456[[#This Row],[Location 
(drop-down)]],Table1[#All],3,FALSE)</f>
        <v>USNE, USMW &amp; Canada</v>
      </c>
      <c r="F4" s="29">
        <v>45686</v>
      </c>
      <c r="G4" s="38">
        <v>45687</v>
      </c>
      <c r="H4" s="38">
        <v>45740</v>
      </c>
      <c r="I4" s="137" t="s">
        <v>1968</v>
      </c>
      <c r="J4" s="10" t="s">
        <v>1931</v>
      </c>
      <c r="K4" s="18" t="s">
        <v>1969</v>
      </c>
      <c r="L4" s="18"/>
    </row>
    <row r="5" spans="1:12" s="4" customFormat="1" ht="18.75" hidden="1" x14ac:dyDescent="0.25">
      <c r="A5" s="9" t="s">
        <v>310</v>
      </c>
      <c r="B5" s="13">
        <f>VLOOKUP(Table2456[[#This Row],[Location 
(drop-down)]],'List source'!D$2:E$71,2,FALSE)</f>
        <v>147</v>
      </c>
      <c r="C5" s="17" t="s">
        <v>30</v>
      </c>
      <c r="D5" s="21" t="str">
        <f t="shared" si="0"/>
        <v>CAF004-147-25</v>
      </c>
      <c r="E5" s="21" t="str">
        <f>VLOOKUP(Table2456[[#This Row],[Location 
(drop-down)]],Table1[#All],3,FALSE)</f>
        <v>SE &amp; Caribbean</v>
      </c>
      <c r="F5" s="38">
        <v>45708</v>
      </c>
      <c r="G5" s="38">
        <v>45726</v>
      </c>
      <c r="H5" s="38">
        <v>45726</v>
      </c>
      <c r="I5" s="89" t="s">
        <v>555</v>
      </c>
      <c r="J5" s="10" t="s">
        <v>1931</v>
      </c>
      <c r="K5" s="18" t="s">
        <v>1970</v>
      </c>
      <c r="L5" s="18"/>
    </row>
    <row r="6" spans="1:12" s="4" customFormat="1" ht="18.75" hidden="1" x14ac:dyDescent="0.25">
      <c r="A6" s="9" t="s">
        <v>476</v>
      </c>
      <c r="B6" s="13">
        <f>VLOOKUP(Table2456[[#This Row],[Location 
(drop-down)]],'List source'!D$2:E$71,2,FALSE)</f>
        <v>101</v>
      </c>
      <c r="C6" s="17" t="s">
        <v>34</v>
      </c>
      <c r="D6" s="21" t="str">
        <f t="shared" si="0"/>
        <v>CAF005-101-25</v>
      </c>
      <c r="E6" s="21" t="str">
        <f>VLOOKUP(Table2456[[#This Row],[Location 
(drop-down)]],Table1[#All],3,FALSE)</f>
        <v>Corporate</v>
      </c>
      <c r="F6" s="38">
        <v>45708</v>
      </c>
      <c r="G6" s="245"/>
      <c r="H6" s="245"/>
      <c r="I6" s="78" t="s">
        <v>1971</v>
      </c>
      <c r="J6" s="10" t="s">
        <v>1931</v>
      </c>
      <c r="K6" s="18" t="s">
        <v>1972</v>
      </c>
      <c r="L6" s="18"/>
    </row>
    <row r="7" spans="1:12" s="4" customFormat="1" ht="30" hidden="1" x14ac:dyDescent="0.25">
      <c r="A7" s="9" t="s">
        <v>14</v>
      </c>
      <c r="B7" s="13">
        <f>VLOOKUP(Table2456[[#This Row],[Location 
(drop-down)]],'List source'!D$2:E$71,2,FALSE)</f>
        <v>131</v>
      </c>
      <c r="C7" s="17" t="s">
        <v>38</v>
      </c>
      <c r="D7" s="21" t="str">
        <f t="shared" si="0"/>
        <v>CAF006-131-25</v>
      </c>
      <c r="E7" s="21" t="str">
        <f>VLOOKUP(Table2456[[#This Row],[Location 
(drop-down)]],Table1[#All],3,FALSE)</f>
        <v>USWC</v>
      </c>
      <c r="F7" s="38">
        <v>45708</v>
      </c>
      <c r="G7" s="38">
        <v>45716</v>
      </c>
      <c r="H7" s="38">
        <v>45716</v>
      </c>
      <c r="I7" s="9" t="s">
        <v>1973</v>
      </c>
      <c r="J7" s="10" t="s">
        <v>455</v>
      </c>
      <c r="K7" s="11" t="s">
        <v>1974</v>
      </c>
      <c r="L7" s="138"/>
    </row>
    <row r="8" spans="1:12" s="4" customFormat="1" ht="30" hidden="1" x14ac:dyDescent="0.25">
      <c r="A8" s="9" t="s">
        <v>107</v>
      </c>
      <c r="B8" s="13">
        <f>VLOOKUP(Table2456[[#This Row],[Location 
(drop-down)]],'List source'!D$2:E$71,2,FALSE)</f>
        <v>170</v>
      </c>
      <c r="C8" s="17" t="s">
        <v>45</v>
      </c>
      <c r="D8" s="21" t="str">
        <f t="shared" si="0"/>
        <v>CAF007-170-25</v>
      </c>
      <c r="E8" s="21" t="str">
        <f>VLOOKUP(Table2456[[#This Row],[Location 
(drop-down)]],Table1[#All],3,FALSE)</f>
        <v>SE &amp; Caribbean</v>
      </c>
      <c r="F8" s="38">
        <v>45723</v>
      </c>
      <c r="G8" s="38">
        <v>45757</v>
      </c>
      <c r="H8" s="38">
        <v>45757</v>
      </c>
      <c r="I8" s="70" t="s">
        <v>1975</v>
      </c>
      <c r="J8" s="10" t="s">
        <v>455</v>
      </c>
      <c r="K8" s="11" t="s">
        <v>1976</v>
      </c>
      <c r="L8" s="139"/>
    </row>
    <row r="9" spans="1:12" s="4" customFormat="1" ht="36" customHeight="1" x14ac:dyDescent="0.25">
      <c r="A9" s="9" t="s">
        <v>156</v>
      </c>
      <c r="B9" s="13">
        <f>VLOOKUP(Table2456[[#This Row],[Location 
(drop-down)]],'List source'!D$2:E$71,2,FALSE)</f>
        <v>130</v>
      </c>
      <c r="C9" s="17" t="s">
        <v>47</v>
      </c>
      <c r="D9" s="21" t="str">
        <f t="shared" si="0"/>
        <v>CAF008-130-25</v>
      </c>
      <c r="E9" s="21" t="str">
        <f>VLOOKUP(Table2456[[#This Row],[Location 
(drop-down)]],Table1[#All],3,FALSE)</f>
        <v>USWC</v>
      </c>
      <c r="F9" s="38">
        <v>45740</v>
      </c>
      <c r="G9" s="38">
        <v>45776</v>
      </c>
      <c r="H9" s="38">
        <v>45776</v>
      </c>
      <c r="I9" s="70" t="s">
        <v>1977</v>
      </c>
      <c r="J9" s="10" t="s">
        <v>1931</v>
      </c>
      <c r="K9" s="18" t="s">
        <v>1978</v>
      </c>
      <c r="L9" s="140"/>
    </row>
    <row r="10" spans="1:12" s="4" customFormat="1" ht="40.5" hidden="1" customHeight="1" x14ac:dyDescent="0.25">
      <c r="A10" s="9" t="s">
        <v>76</v>
      </c>
      <c r="B10" s="13">
        <f>VLOOKUP(Table2456[[#This Row],[Location 
(drop-down)]],'List source'!D$2:E$71,2,FALSE)</f>
        <v>157</v>
      </c>
      <c r="C10" s="17" t="s">
        <v>50</v>
      </c>
      <c r="D10" s="42" t="str">
        <f t="shared" si="0"/>
        <v>CAF009-157-25</v>
      </c>
      <c r="E10" s="21" t="str">
        <f>VLOOKUP(Table2456[[#This Row],[Location 
(drop-down)]],Table1[#All],3,FALSE)</f>
        <v>USGC</v>
      </c>
      <c r="F10" s="29">
        <v>45734</v>
      </c>
      <c r="G10" s="38">
        <v>45750</v>
      </c>
      <c r="H10" s="38">
        <v>45775</v>
      </c>
      <c r="I10" s="9" t="s">
        <v>1979</v>
      </c>
      <c r="J10" s="10" t="s">
        <v>455</v>
      </c>
      <c r="K10" s="18" t="s">
        <v>1980</v>
      </c>
      <c r="L10" s="18"/>
    </row>
    <row r="11" spans="1:12" s="4" customFormat="1" ht="57.75" hidden="1" customHeight="1" x14ac:dyDescent="0.25">
      <c r="A11" s="9" t="s">
        <v>14</v>
      </c>
      <c r="B11" s="13">
        <f>VLOOKUP(Table2456[[#This Row],[Location 
(drop-down)]],'List source'!D$2:E$71,2,FALSE)</f>
        <v>131</v>
      </c>
      <c r="C11" s="17" t="s">
        <v>52</v>
      </c>
      <c r="D11" s="42" t="str">
        <f t="shared" si="0"/>
        <v>CAF010-131-25</v>
      </c>
      <c r="E11" s="21" t="str">
        <f>VLOOKUP(Table2456[[#This Row],[Location 
(drop-down)]],Table1[#All],3,FALSE)</f>
        <v>USWC</v>
      </c>
      <c r="F11" s="38">
        <v>45747</v>
      </c>
      <c r="G11" s="38">
        <v>45785</v>
      </c>
      <c r="H11" s="214">
        <v>45785</v>
      </c>
      <c r="I11" s="9" t="s">
        <v>1981</v>
      </c>
      <c r="J11" s="10" t="s">
        <v>494</v>
      </c>
      <c r="K11" s="18" t="s">
        <v>1982</v>
      </c>
      <c r="L11" s="215" t="s">
        <v>1983</v>
      </c>
    </row>
    <row r="12" spans="1:12" s="4" customFormat="1" ht="30" hidden="1" customHeight="1" x14ac:dyDescent="0.25">
      <c r="A12" s="9" t="s">
        <v>389</v>
      </c>
      <c r="B12" s="13">
        <f>VLOOKUP(Table2456[[#This Row],[Location 
(drop-down)]],'List source'!D$2:E$71,2,FALSE)</f>
        <v>161</v>
      </c>
      <c r="C12" s="17" t="s">
        <v>55</v>
      </c>
      <c r="D12" s="21" t="str">
        <f t="shared" si="0"/>
        <v>CAF011-161-25</v>
      </c>
      <c r="E12" s="21" t="str">
        <f>VLOOKUP(Table2456[[#This Row],[Location 
(drop-down)]],Table1[#All],3,FALSE)</f>
        <v>USGC</v>
      </c>
      <c r="F12" s="38">
        <v>45740</v>
      </c>
      <c r="G12" s="38">
        <v>45827</v>
      </c>
      <c r="H12" s="38">
        <v>45751</v>
      </c>
      <c r="I12" s="141" t="s">
        <v>1984</v>
      </c>
      <c r="J12" s="10" t="s">
        <v>1931</v>
      </c>
      <c r="K12" s="142" t="s">
        <v>1985</v>
      </c>
      <c r="L12" s="18"/>
    </row>
    <row r="13" spans="1:12" s="4" customFormat="1" ht="30" hidden="1" customHeight="1" x14ac:dyDescent="0.25">
      <c r="A13" s="9" t="s">
        <v>79</v>
      </c>
      <c r="B13" s="13">
        <f>VLOOKUP(Table2456[[#This Row],[Location 
(drop-down)]],'List source'!D$2:E$71,2,FALSE)</f>
        <v>160</v>
      </c>
      <c r="C13" s="17" t="s">
        <v>59</v>
      </c>
      <c r="D13" s="21" t="str">
        <f t="shared" si="0"/>
        <v>CAF012-160-25</v>
      </c>
      <c r="E13" s="21" t="str">
        <f>VLOOKUP(Table2456[[#This Row],[Location 
(drop-down)]],Table1[#All],3,FALSE)</f>
        <v>USGC</v>
      </c>
      <c r="F13" s="38">
        <v>45744</v>
      </c>
      <c r="G13" s="38">
        <v>45754</v>
      </c>
      <c r="H13" s="38">
        <v>45782</v>
      </c>
      <c r="I13" s="9" t="s">
        <v>1986</v>
      </c>
      <c r="J13" s="10" t="s">
        <v>455</v>
      </c>
      <c r="K13" s="142" t="s">
        <v>1987</v>
      </c>
      <c r="L13" s="18"/>
    </row>
    <row r="14" spans="1:12" s="4" customFormat="1" ht="30" hidden="1" customHeight="1" x14ac:dyDescent="0.25">
      <c r="A14" s="9" t="s">
        <v>79</v>
      </c>
      <c r="B14" s="13">
        <f>VLOOKUP(Table2456[[#This Row],[Location 
(drop-down)]],'List source'!D$2:E$71,2,FALSE)</f>
        <v>160</v>
      </c>
      <c r="C14" s="17" t="s">
        <v>63</v>
      </c>
      <c r="D14" s="21" t="str">
        <f t="shared" si="0"/>
        <v>CAF013-160-25</v>
      </c>
      <c r="E14" s="21" t="str">
        <f>VLOOKUP(Table2456[[#This Row],[Location 
(drop-down)]],Table1[#All],3,FALSE)</f>
        <v>USGC</v>
      </c>
      <c r="F14" s="38">
        <v>45744</v>
      </c>
      <c r="G14" s="38">
        <v>45754</v>
      </c>
      <c r="H14" s="38">
        <v>45782</v>
      </c>
      <c r="I14" s="9" t="s">
        <v>1988</v>
      </c>
      <c r="J14" s="30" t="s">
        <v>455</v>
      </c>
      <c r="K14" s="143" t="s">
        <v>1989</v>
      </c>
      <c r="L14" s="138"/>
    </row>
    <row r="15" spans="1:12" s="4" customFormat="1" ht="44.25" hidden="1" customHeight="1" x14ac:dyDescent="0.25">
      <c r="A15" s="9" t="s">
        <v>94</v>
      </c>
      <c r="B15" s="13">
        <f>VLOOKUP(Table2456[[#This Row],[Location 
(drop-down)]],'List source'!D$2:E$71,2,FALSE)</f>
        <v>120</v>
      </c>
      <c r="C15" s="17" t="s">
        <v>65</v>
      </c>
      <c r="D15" s="21" t="str">
        <f t="shared" si="0"/>
        <v>CAF014-120-25</v>
      </c>
      <c r="E15" s="21" t="str">
        <f>VLOOKUP(Table2456[[#This Row],[Location 
(drop-down)]],Table1[#All],3,FALSE)</f>
        <v>USGC</v>
      </c>
      <c r="F15" s="38">
        <v>45764</v>
      </c>
      <c r="G15" s="38">
        <v>45805</v>
      </c>
      <c r="H15" s="38">
        <v>45804</v>
      </c>
      <c r="I15" s="78" t="s">
        <v>1853</v>
      </c>
      <c r="J15" s="10" t="s">
        <v>455</v>
      </c>
      <c r="K15" s="18" t="s">
        <v>1990</v>
      </c>
      <c r="L15" s="138"/>
    </row>
    <row r="16" spans="1:12" s="4" customFormat="1" ht="37.5" hidden="1" customHeight="1" x14ac:dyDescent="0.25">
      <c r="A16" s="9" t="s">
        <v>107</v>
      </c>
      <c r="B16" s="13">
        <f>VLOOKUP(Table2456[[#This Row],[Location 
(drop-down)]],'List source'!D$2:E$71,2,FALSE)</f>
        <v>170</v>
      </c>
      <c r="C16" s="17" t="s">
        <v>68</v>
      </c>
      <c r="D16" s="21" t="str">
        <f t="shared" si="0"/>
        <v>CAF015-170-25</v>
      </c>
      <c r="E16" s="21" t="str">
        <f>VLOOKUP(Table2456[[#This Row],[Location 
(drop-down)]],Table1[#All],3,FALSE)</f>
        <v>SE &amp; Caribbean</v>
      </c>
      <c r="F16" s="38">
        <v>45768</v>
      </c>
      <c r="G16" s="245"/>
      <c r="H16" s="246"/>
      <c r="I16" s="70" t="s">
        <v>1855</v>
      </c>
      <c r="J16" s="30" t="s">
        <v>455</v>
      </c>
      <c r="K16" s="243"/>
      <c r="L16" s="18"/>
    </row>
    <row r="17" spans="1:12" s="4" customFormat="1" ht="30" hidden="1" customHeight="1" x14ac:dyDescent="0.25">
      <c r="A17" s="9" t="s">
        <v>46</v>
      </c>
      <c r="B17" s="13">
        <f>VLOOKUP(Table2456[[#This Row],[Location 
(drop-down)]],'List source'!D$2:E$71,2,FALSE)</f>
        <v>155</v>
      </c>
      <c r="C17" s="17" t="s">
        <v>70</v>
      </c>
      <c r="D17" s="21" t="str">
        <f t="shared" si="0"/>
        <v>CAF016-155-25</v>
      </c>
      <c r="E17" s="21" t="str">
        <f>VLOOKUP(Table2456[[#This Row],[Location 
(drop-down)]],Table1[#All],3,FALSE)</f>
        <v>USGC</v>
      </c>
      <c r="F17" s="38">
        <v>45776</v>
      </c>
      <c r="G17" s="38">
        <v>45926</v>
      </c>
      <c r="H17" s="38">
        <v>45793</v>
      </c>
      <c r="I17" s="70" t="s">
        <v>1991</v>
      </c>
      <c r="J17" s="10" t="s">
        <v>1931</v>
      </c>
      <c r="K17" s="18" t="s">
        <v>1992</v>
      </c>
      <c r="L17" s="138"/>
    </row>
    <row r="18" spans="1:12" s="4" customFormat="1" ht="42" customHeight="1" x14ac:dyDescent="0.25">
      <c r="A18" s="9" t="s">
        <v>156</v>
      </c>
      <c r="B18" s="13">
        <f>VLOOKUP(Table2456[[#This Row],[Location 
(drop-down)]],'List source'!D$2:E$71,2,FALSE)</f>
        <v>130</v>
      </c>
      <c r="C18" s="17" t="s">
        <v>72</v>
      </c>
      <c r="D18" s="21" t="str">
        <f t="shared" si="0"/>
        <v>CAF017-130-25</v>
      </c>
      <c r="E18" s="21" t="str">
        <f>VLOOKUP(Table2456[[#This Row],[Location 
(drop-down)]],Table1[#All],3,FALSE)</f>
        <v>USWC</v>
      </c>
      <c r="F18" s="38">
        <v>45776</v>
      </c>
      <c r="G18" s="38">
        <v>45856</v>
      </c>
      <c r="H18" s="38">
        <v>45848</v>
      </c>
      <c r="I18" s="9" t="s">
        <v>1993</v>
      </c>
      <c r="J18" s="10" t="s">
        <v>455</v>
      </c>
      <c r="K18" s="18" t="s">
        <v>1994</v>
      </c>
      <c r="L18" s="139"/>
    </row>
    <row r="19" spans="1:12" s="4" customFormat="1" ht="48" hidden="1" customHeight="1" x14ac:dyDescent="0.25">
      <c r="A19" s="9" t="s">
        <v>287</v>
      </c>
      <c r="B19" s="13">
        <f>VLOOKUP(Table2456[[#This Row],[Location 
(drop-down)]],'List source'!D$2:E$71,2,FALSE)</f>
        <v>180</v>
      </c>
      <c r="C19" s="17" t="s">
        <v>74</v>
      </c>
      <c r="D19" s="42" t="str">
        <f t="shared" si="0"/>
        <v>CAF018-180-25</v>
      </c>
      <c r="E19" s="21" t="str">
        <f>VLOOKUP(Table2456[[#This Row],[Location 
(drop-down)]],Table1[#All],3,FALSE)</f>
        <v>SE &amp; Caribbean</v>
      </c>
      <c r="F19" s="38">
        <v>45782</v>
      </c>
      <c r="G19" s="38">
        <v>45813</v>
      </c>
      <c r="H19" s="38">
        <v>45813</v>
      </c>
      <c r="I19" s="9" t="s">
        <v>677</v>
      </c>
      <c r="J19" s="10" t="s">
        <v>1931</v>
      </c>
      <c r="K19" s="18" t="s">
        <v>1995</v>
      </c>
      <c r="L19" s="18"/>
    </row>
    <row r="20" spans="1:12" s="4" customFormat="1" ht="45" hidden="1" customHeight="1" x14ac:dyDescent="0.25">
      <c r="A20" s="9" t="s">
        <v>86</v>
      </c>
      <c r="B20" s="13">
        <f>VLOOKUP(Table2456[[#This Row],[Location 
(drop-down)]],'List source'!D$2:E$71,2,FALSE)</f>
        <v>150</v>
      </c>
      <c r="C20" s="17" t="s">
        <v>77</v>
      </c>
      <c r="D20" s="21" t="str">
        <f t="shared" si="0"/>
        <v>CAF019-150-25</v>
      </c>
      <c r="E20" s="21" t="str">
        <f>VLOOKUP(Table2456[[#This Row],[Location 
(drop-down)]],Table1[#All],3,FALSE)</f>
        <v>USGC</v>
      </c>
      <c r="F20" s="38">
        <v>45789</v>
      </c>
      <c r="G20" s="38">
        <v>45895</v>
      </c>
      <c r="H20" s="38">
        <v>45825</v>
      </c>
      <c r="I20" s="89" t="s">
        <v>712</v>
      </c>
      <c r="J20" s="10" t="s">
        <v>1931</v>
      </c>
      <c r="K20" s="64" t="s">
        <v>1996</v>
      </c>
      <c r="L20" s="144"/>
    </row>
    <row r="21" spans="1:12" s="4" customFormat="1" ht="54" hidden="1" customHeight="1" x14ac:dyDescent="0.25">
      <c r="A21" s="9" t="s">
        <v>338</v>
      </c>
      <c r="B21" s="13">
        <f>VLOOKUP(Table2456[[#This Row],[Location 
(drop-down)]],'List source'!D$2:E$71,2,FALSE)</f>
        <v>191</v>
      </c>
      <c r="C21" s="17" t="s">
        <v>80</v>
      </c>
      <c r="D21" s="21" t="str">
        <f t="shared" si="0"/>
        <v>CAF020-191-25</v>
      </c>
      <c r="E21" s="21" t="str">
        <f>VLOOKUP(Table2456[[#This Row],[Location 
(drop-down)]],Table1[#All],3,FALSE)</f>
        <v>SE &amp; Caribbean</v>
      </c>
      <c r="F21" s="38">
        <v>45789</v>
      </c>
      <c r="G21" s="245"/>
      <c r="H21" s="245"/>
      <c r="I21" s="9" t="s">
        <v>714</v>
      </c>
      <c r="J21" s="10" t="s">
        <v>1931</v>
      </c>
      <c r="K21" s="244"/>
      <c r="L21" s="145"/>
    </row>
    <row r="22" spans="1:12" s="4" customFormat="1" ht="30" hidden="1" customHeight="1" x14ac:dyDescent="0.25">
      <c r="A22" s="9" t="s">
        <v>94</v>
      </c>
      <c r="B22" s="13">
        <f>VLOOKUP(Table2456[[#This Row],[Location 
(drop-down)]],'List source'!D$2:E$71,2,FALSE)</f>
        <v>120</v>
      </c>
      <c r="C22" s="17" t="s">
        <v>87</v>
      </c>
      <c r="D22" s="21" t="str">
        <f t="shared" si="0"/>
        <v>CAF021-120-25</v>
      </c>
      <c r="E22" s="21" t="str">
        <f>VLOOKUP(Table2456[[#This Row],[Location 
(drop-down)]],Table1[#All],3,FALSE)</f>
        <v>USGC</v>
      </c>
      <c r="F22" s="38">
        <v>45799</v>
      </c>
      <c r="G22" s="38">
        <v>45800</v>
      </c>
      <c r="H22" s="38">
        <v>45799</v>
      </c>
      <c r="I22" s="146" t="s">
        <v>747</v>
      </c>
      <c r="J22" s="10" t="s">
        <v>455</v>
      </c>
      <c r="K22" s="17" t="s">
        <v>1997</v>
      </c>
      <c r="L22" s="147"/>
    </row>
    <row r="23" spans="1:12" s="4" customFormat="1" ht="70.5" hidden="1" customHeight="1" x14ac:dyDescent="0.25">
      <c r="A23" s="9" t="s">
        <v>249</v>
      </c>
      <c r="B23" s="13">
        <f>VLOOKUP(Table2456[[#This Row],[Location 
(drop-down)]],'List source'!D$2:E$71,2,FALSE)</f>
        <v>199</v>
      </c>
      <c r="C23" s="17" t="s">
        <v>89</v>
      </c>
      <c r="D23" s="21" t="str">
        <f t="shared" si="0"/>
        <v>CAF022-199-25</v>
      </c>
      <c r="E23" s="21" t="str">
        <f>VLOOKUP(Table2456[[#This Row],[Location 
(drop-down)]],Table1[#All],3,FALSE)</f>
        <v>USNE, USMW &amp; Canada</v>
      </c>
      <c r="F23" s="38">
        <v>45812</v>
      </c>
      <c r="G23" s="245"/>
      <c r="H23" s="245"/>
      <c r="I23" s="9" t="s">
        <v>1998</v>
      </c>
      <c r="J23" s="10" t="s">
        <v>455</v>
      </c>
      <c r="K23" s="64" t="s">
        <v>1999</v>
      </c>
      <c r="L23" s="148"/>
    </row>
    <row r="24" spans="1:12" s="4" customFormat="1" ht="38.25" hidden="1" customHeight="1" x14ac:dyDescent="0.25">
      <c r="A24" s="9" t="s">
        <v>249</v>
      </c>
      <c r="B24" s="13">
        <f>VLOOKUP(Table2456[[#This Row],[Location 
(drop-down)]],'List source'!D$2:E$71,2,FALSE)</f>
        <v>199</v>
      </c>
      <c r="C24" s="17" t="s">
        <v>92</v>
      </c>
      <c r="D24" s="21" t="str">
        <f t="shared" si="0"/>
        <v>CAF023-199-25</v>
      </c>
      <c r="E24" s="21" t="str">
        <f>VLOOKUP(Table2456[[#This Row],[Location 
(drop-down)]],Table1[#All],3,FALSE)</f>
        <v>USNE, USMW &amp; Canada</v>
      </c>
      <c r="F24" s="38">
        <v>45813</v>
      </c>
      <c r="G24" s="245"/>
      <c r="H24" s="245"/>
      <c r="I24" s="9" t="s">
        <v>2000</v>
      </c>
      <c r="J24" s="10" t="s">
        <v>1931</v>
      </c>
      <c r="K24" s="128" t="s">
        <v>2001</v>
      </c>
      <c r="L24" s="149"/>
    </row>
    <row r="25" spans="1:12" s="4" customFormat="1" ht="29.25" hidden="1" customHeight="1" x14ac:dyDescent="0.25">
      <c r="A25" s="9" t="s">
        <v>249</v>
      </c>
      <c r="B25" s="13">
        <f>VLOOKUP(Table2456[[#This Row],[Location 
(drop-down)]],'List source'!D$2:E$71,2,FALSE)</f>
        <v>199</v>
      </c>
      <c r="C25" s="17" t="s">
        <v>93</v>
      </c>
      <c r="D25" s="21" t="str">
        <f t="shared" si="0"/>
        <v>CAF024-199-25</v>
      </c>
      <c r="E25" s="21" t="str">
        <f>VLOOKUP(Table2456[[#This Row],[Location 
(drop-down)]],Table1[#All],3,FALSE)</f>
        <v>USNE, USMW &amp; Canada</v>
      </c>
      <c r="F25" s="38">
        <v>45831</v>
      </c>
      <c r="G25" s="245"/>
      <c r="H25" s="245"/>
      <c r="I25" s="150" t="s">
        <v>2002</v>
      </c>
      <c r="J25" s="10" t="s">
        <v>1931</v>
      </c>
      <c r="K25" s="10" t="s">
        <v>2003</v>
      </c>
      <c r="L25" s="10"/>
    </row>
    <row r="26" spans="1:12" s="4" customFormat="1" ht="46.5" hidden="1" customHeight="1" x14ac:dyDescent="0.25">
      <c r="A26" s="9" t="s">
        <v>107</v>
      </c>
      <c r="B26" s="13">
        <f>VLOOKUP(Table2456[[#This Row],[Location 
(drop-down)]],'List source'!D$2:E$71,2,FALSE)</f>
        <v>170</v>
      </c>
      <c r="C26" s="17" t="s">
        <v>95</v>
      </c>
      <c r="D26" s="21" t="str">
        <f t="shared" si="0"/>
        <v>CAF025-170-25</v>
      </c>
      <c r="E26" s="21" t="str">
        <f>VLOOKUP(Table2456[[#This Row],[Location 
(drop-down)]],Table1[#All],3,FALSE)</f>
        <v>SE &amp; Caribbean</v>
      </c>
      <c r="F26" s="38">
        <v>45831</v>
      </c>
      <c r="G26" s="38">
        <v>45846</v>
      </c>
      <c r="H26" s="245"/>
      <c r="I26" s="151" t="s">
        <v>2004</v>
      </c>
      <c r="J26" s="10" t="s">
        <v>1931</v>
      </c>
      <c r="K26" s="18" t="s">
        <v>2005</v>
      </c>
      <c r="L26" s="10"/>
    </row>
    <row r="27" spans="1:12" s="4" customFormat="1" ht="79.5" hidden="1" customHeight="1" x14ac:dyDescent="0.25">
      <c r="A27" s="9" t="s">
        <v>37</v>
      </c>
      <c r="B27" s="13">
        <f>VLOOKUP(Table2456[[#This Row],[Location 
(drop-down)]],'List source'!D$2:E$71,2,FALSE)</f>
        <v>210</v>
      </c>
      <c r="C27" s="17" t="s">
        <v>100</v>
      </c>
      <c r="D27" s="21" t="str">
        <f t="shared" si="0"/>
        <v>CAF026-210-25</v>
      </c>
      <c r="E27" s="21" t="str">
        <f>VLOOKUP(Table2456[[#This Row],[Location 
(drop-down)]],Table1[#All],3,FALSE)</f>
        <v>SE &amp; Caribbean</v>
      </c>
      <c r="F27" s="38">
        <v>45845</v>
      </c>
      <c r="G27" s="38">
        <v>45875</v>
      </c>
      <c r="H27" s="38">
        <v>45868</v>
      </c>
      <c r="I27" s="152" t="s">
        <v>2006</v>
      </c>
      <c r="J27" s="10" t="s">
        <v>455</v>
      </c>
      <c r="K27" s="64" t="s">
        <v>2007</v>
      </c>
      <c r="L27" s="153"/>
    </row>
    <row r="28" spans="1:12" s="4" customFormat="1" ht="30" customHeight="1" x14ac:dyDescent="0.25">
      <c r="A28" s="9" t="s">
        <v>156</v>
      </c>
      <c r="B28" s="13">
        <f>VLOOKUP(Table2456[[#This Row],[Location 
(drop-down)]],'List source'!D$2:E$71,2,FALSE)</f>
        <v>130</v>
      </c>
      <c r="C28" s="17" t="s">
        <v>106</v>
      </c>
      <c r="D28" s="21" t="str">
        <f t="shared" si="0"/>
        <v>CAF027-130-25</v>
      </c>
      <c r="E28" s="21" t="str">
        <f>VLOOKUP(Table2456[[#This Row],[Location 
(drop-down)]],Table1[#All],3,FALSE)</f>
        <v>USWC</v>
      </c>
      <c r="F28" s="38">
        <v>45845</v>
      </c>
      <c r="G28" s="38">
        <v>45891</v>
      </c>
      <c r="H28" s="38">
        <v>45888</v>
      </c>
      <c r="I28" s="89" t="s">
        <v>2008</v>
      </c>
      <c r="J28" s="10" t="s">
        <v>1931</v>
      </c>
      <c r="K28" s="10" t="s">
        <v>2009</v>
      </c>
      <c r="L28" s="67" t="s">
        <v>2010</v>
      </c>
    </row>
    <row r="29" spans="1:12" s="4" customFormat="1" ht="81.599999999999994" hidden="1" customHeight="1" x14ac:dyDescent="0.25">
      <c r="A29" s="9" t="s">
        <v>69</v>
      </c>
      <c r="B29" s="13">
        <f>VLOOKUP(Table2456[[#This Row],[Location 
(drop-down)]],'List source'!D$2:E$71,2,FALSE)</f>
        <v>141</v>
      </c>
      <c r="C29" s="17" t="s">
        <v>108</v>
      </c>
      <c r="D29" s="21" t="str">
        <f t="shared" si="0"/>
        <v>CAF028-141-25</v>
      </c>
      <c r="E29" s="21" t="str">
        <f>VLOOKUP(Table2456[[#This Row],[Location 
(drop-down)]],Table1[#All],3,FALSE)</f>
        <v>USNE, USMW &amp; Canada</v>
      </c>
      <c r="F29" s="38">
        <v>45846</v>
      </c>
      <c r="G29" s="272">
        <v>45882</v>
      </c>
      <c r="H29" s="272">
        <v>45882</v>
      </c>
      <c r="I29" s="152" t="s">
        <v>2011</v>
      </c>
      <c r="J29" s="10" t="s">
        <v>1931</v>
      </c>
      <c r="K29" s="10" t="s">
        <v>2012</v>
      </c>
      <c r="L29" s="10"/>
    </row>
    <row r="30" spans="1:12" s="4" customFormat="1" ht="47.25" hidden="1" customHeight="1" x14ac:dyDescent="0.25">
      <c r="A30" s="9" t="s">
        <v>69</v>
      </c>
      <c r="B30" s="13">
        <f>VLOOKUP(Table2456[[#This Row],[Location 
(drop-down)]],'List source'!D$2:E$71,2,FALSE)</f>
        <v>141</v>
      </c>
      <c r="C30" s="17" t="s">
        <v>113</v>
      </c>
      <c r="D30" s="21" t="str">
        <f t="shared" si="0"/>
        <v>CAF029-141-25</v>
      </c>
      <c r="E30" s="21" t="str">
        <f>VLOOKUP(Table2456[[#This Row],[Location 
(drop-down)]],Table1[#All],3,FALSE)</f>
        <v>USNE, USMW &amp; Canada</v>
      </c>
      <c r="F30" s="38">
        <v>45846</v>
      </c>
      <c r="G30" s="272">
        <v>45863</v>
      </c>
      <c r="H30" s="272">
        <v>45856</v>
      </c>
      <c r="I30" s="9" t="s">
        <v>2013</v>
      </c>
      <c r="J30" s="10" t="s">
        <v>1931</v>
      </c>
      <c r="K30" s="10" t="s">
        <v>2014</v>
      </c>
      <c r="L30" s="10"/>
    </row>
    <row r="31" spans="1:12" s="4" customFormat="1" ht="44.25" hidden="1" customHeight="1" x14ac:dyDescent="0.25">
      <c r="A31" s="9" t="s">
        <v>14</v>
      </c>
      <c r="B31" s="13">
        <f>VLOOKUP(Table2456[[#This Row],[Location 
(drop-down)]],'List source'!D$2:E$71,2,FALSE)</f>
        <v>131</v>
      </c>
      <c r="C31" s="17" t="s">
        <v>114</v>
      </c>
      <c r="D31" s="21" t="str">
        <f t="shared" si="0"/>
        <v>CAF030-131-25</v>
      </c>
      <c r="E31" s="21" t="str">
        <f>VLOOKUP(Table2456[[#This Row],[Location 
(drop-down)]],Table1[#All],3,FALSE)</f>
        <v>USWC</v>
      </c>
      <c r="F31" s="38">
        <v>45854</v>
      </c>
      <c r="G31" s="38">
        <v>45876</v>
      </c>
      <c r="H31" s="38">
        <v>45882</v>
      </c>
      <c r="I31" s="89" t="s">
        <v>2015</v>
      </c>
      <c r="J31" s="10" t="s">
        <v>1931</v>
      </c>
      <c r="K31" s="64" t="s">
        <v>2016</v>
      </c>
      <c r="L31" s="154"/>
    </row>
    <row r="32" spans="1:12" s="4" customFormat="1" ht="44.25" hidden="1" customHeight="1" x14ac:dyDescent="0.25">
      <c r="A32" s="9" t="s">
        <v>153</v>
      </c>
      <c r="B32" s="13">
        <f>VLOOKUP(Table2456[[#This Row],[Location 
(drop-down)]],'List source'!D$2:E$71,2,FALSE)</f>
        <v>110</v>
      </c>
      <c r="C32" s="17" t="s">
        <v>118</v>
      </c>
      <c r="D32" s="21" t="str">
        <f t="shared" si="0"/>
        <v>CAF031-110-25</v>
      </c>
      <c r="E32" s="21" t="str">
        <f>VLOOKUP(Table2456[[#This Row],[Location 
(drop-down)]],Table1[#All],3,FALSE)</f>
        <v>USNE, USMW &amp; Canada</v>
      </c>
      <c r="F32" s="38">
        <v>45867</v>
      </c>
      <c r="G32" s="29">
        <v>45880</v>
      </c>
      <c r="H32" s="29">
        <v>45880</v>
      </c>
      <c r="I32" s="150" t="s">
        <v>2017</v>
      </c>
      <c r="J32" s="10" t="s">
        <v>1931</v>
      </c>
      <c r="K32" s="64" t="s">
        <v>2018</v>
      </c>
      <c r="L32" s="155"/>
    </row>
    <row r="33" spans="1:12" s="4" customFormat="1" ht="30" hidden="1" customHeight="1" x14ac:dyDescent="0.25">
      <c r="A33" s="9" t="s">
        <v>76</v>
      </c>
      <c r="B33" s="13">
        <f>VLOOKUP(Table2456[[#This Row],[Location 
(drop-down)]],'List source'!D$2:E$71,2,FALSE)</f>
        <v>157</v>
      </c>
      <c r="C33" s="17" t="s">
        <v>119</v>
      </c>
      <c r="D33" s="21" t="str">
        <f t="shared" si="0"/>
        <v>CAF032-157-25</v>
      </c>
      <c r="E33" s="21" t="str">
        <f>VLOOKUP(Table2456[[#This Row],[Location 
(drop-down)]],Table1[#All],3,FALSE)</f>
        <v>USGC</v>
      </c>
      <c r="F33" s="38">
        <v>45860</v>
      </c>
      <c r="G33" s="38">
        <v>45871</v>
      </c>
      <c r="H33" s="38">
        <v>45870</v>
      </c>
      <c r="I33" s="156" t="s">
        <v>963</v>
      </c>
      <c r="J33" s="10" t="s">
        <v>1931</v>
      </c>
      <c r="K33" s="64" t="s">
        <v>2019</v>
      </c>
      <c r="L33" s="157" t="s">
        <v>2020</v>
      </c>
    </row>
    <row r="34" spans="1:12" s="4" customFormat="1" ht="30" hidden="1" customHeight="1" x14ac:dyDescent="0.25">
      <c r="A34" s="9" t="s">
        <v>79</v>
      </c>
      <c r="B34" s="13">
        <f>VLOOKUP(Table2456[[#This Row],[Location 
(drop-down)]],'List source'!D$2:E$71,2,FALSE)</f>
        <v>160</v>
      </c>
      <c r="C34" s="17" t="s">
        <v>120</v>
      </c>
      <c r="D34" s="21" t="str">
        <f t="shared" ref="D34:D65" si="1">"CAF" &amp; C34 &amp; "-" &amp; B34 &amp; "-" &amp; "25"</f>
        <v>CAF033-160-25</v>
      </c>
      <c r="E34" s="21" t="str">
        <f>VLOOKUP(Table2456[[#This Row],[Location 
(drop-down)]],Table1[#All],3,FALSE)</f>
        <v>USGC</v>
      </c>
      <c r="F34" s="38">
        <v>45877</v>
      </c>
      <c r="G34" s="38">
        <v>45884</v>
      </c>
      <c r="H34" s="38">
        <v>45880</v>
      </c>
      <c r="I34" s="158" t="s">
        <v>2021</v>
      </c>
      <c r="J34" s="10" t="s">
        <v>455</v>
      </c>
      <c r="K34" s="64" t="s">
        <v>2022</v>
      </c>
      <c r="L34" s="155"/>
    </row>
    <row r="35" spans="1:12" s="4" customFormat="1" ht="30" hidden="1" customHeight="1" x14ac:dyDescent="0.25">
      <c r="A35" s="9" t="s">
        <v>141</v>
      </c>
      <c r="B35" s="13">
        <f>VLOOKUP(Table2456[[#This Row],[Location 
(drop-down)]],'List source'!D$2:E$71,2,FALSE)</f>
        <v>165</v>
      </c>
      <c r="C35" s="17" t="s">
        <v>121</v>
      </c>
      <c r="D35" s="21" t="str">
        <f t="shared" si="1"/>
        <v>CAF034-165-25</v>
      </c>
      <c r="E35" s="21" t="str">
        <f>VLOOKUP(Table2456[[#This Row],[Location 
(drop-down)]],Table1[#All],3,FALSE)</f>
        <v>USGC</v>
      </c>
      <c r="F35" s="38">
        <v>45889</v>
      </c>
      <c r="G35" s="38">
        <v>45923</v>
      </c>
      <c r="H35" s="38">
        <v>45898</v>
      </c>
      <c r="I35" s="70" t="s">
        <v>2023</v>
      </c>
      <c r="J35" s="10" t="s">
        <v>1931</v>
      </c>
      <c r="K35" s="10" t="s">
        <v>2024</v>
      </c>
      <c r="L35" s="10"/>
    </row>
    <row r="36" spans="1:12" s="4" customFormat="1" ht="43.5" hidden="1" customHeight="1" x14ac:dyDescent="0.25">
      <c r="A36" s="9" t="s">
        <v>389</v>
      </c>
      <c r="B36" s="13">
        <f>VLOOKUP(Table2456[[#This Row],[Location 
(drop-down)]],'List source'!D$2:E$71,2,FALSE)</f>
        <v>161</v>
      </c>
      <c r="C36" s="17" t="s">
        <v>124</v>
      </c>
      <c r="D36" s="21" t="str">
        <f t="shared" si="1"/>
        <v>CAF035-161-25</v>
      </c>
      <c r="E36" s="21" t="str">
        <f>VLOOKUP(Table2456[[#This Row],[Location 
(drop-down)]],Table1[#All],3,FALSE)</f>
        <v>USGC</v>
      </c>
      <c r="F36" s="38">
        <v>45894</v>
      </c>
      <c r="G36" s="38">
        <v>45904</v>
      </c>
      <c r="H36" s="38">
        <v>45904</v>
      </c>
      <c r="I36" s="152" t="s">
        <v>1037</v>
      </c>
      <c r="J36" s="10" t="s">
        <v>1931</v>
      </c>
      <c r="K36" s="64" t="s">
        <v>2025</v>
      </c>
      <c r="L36" s="155"/>
    </row>
    <row r="37" spans="1:12" s="4" customFormat="1" ht="58.5" customHeight="1" x14ac:dyDescent="0.25">
      <c r="A37" s="9" t="s">
        <v>156</v>
      </c>
      <c r="B37" s="13">
        <f>VLOOKUP(Table2456[[#This Row],[Location 
(drop-down)]],'List source'!D$2:E$71,2,FALSE)</f>
        <v>130</v>
      </c>
      <c r="C37" s="17" t="s">
        <v>126</v>
      </c>
      <c r="D37" s="21" t="str">
        <f t="shared" si="1"/>
        <v>CAF036-130-25</v>
      </c>
      <c r="E37" s="21" t="str">
        <f>VLOOKUP(Table2456[[#This Row],[Location 
(drop-down)]],Table1[#All],3,FALSE)</f>
        <v>USWC</v>
      </c>
      <c r="F37" s="38">
        <v>45903</v>
      </c>
      <c r="G37" s="38">
        <v>45945</v>
      </c>
      <c r="H37" s="38">
        <v>45945</v>
      </c>
      <c r="I37" s="219" t="s">
        <v>1040</v>
      </c>
      <c r="J37" s="10" t="s">
        <v>455</v>
      </c>
      <c r="K37" s="10" t="s">
        <v>2026</v>
      </c>
      <c r="L37" s="10"/>
    </row>
    <row r="38" spans="1:12" s="4" customFormat="1" ht="42.75" hidden="1" customHeight="1" x14ac:dyDescent="0.25">
      <c r="A38" s="9" t="s">
        <v>14</v>
      </c>
      <c r="B38" s="13">
        <f>VLOOKUP(Table2456[[#This Row],[Location 
(drop-down)]],'List source'!D$2:E$71,2,FALSE)</f>
        <v>131</v>
      </c>
      <c r="C38" s="17" t="s">
        <v>132</v>
      </c>
      <c r="D38" s="21" t="str">
        <f t="shared" si="1"/>
        <v>CAF037-131-25</v>
      </c>
      <c r="E38" s="21" t="str">
        <f>VLOOKUP(Table2456[[#This Row],[Location 
(drop-down)]],Table1[#All],3,FALSE)</f>
        <v>USWC</v>
      </c>
      <c r="F38" s="38">
        <v>45909</v>
      </c>
      <c r="G38" s="29">
        <v>46000</v>
      </c>
      <c r="H38" s="29">
        <v>45957</v>
      </c>
      <c r="I38" s="9" t="s">
        <v>2027</v>
      </c>
      <c r="J38" s="159" t="s">
        <v>455</v>
      </c>
      <c r="K38" s="160" t="s">
        <v>2028</v>
      </c>
      <c r="L38" s="155"/>
    </row>
    <row r="39" spans="1:12" s="4" customFormat="1" ht="30" hidden="1" customHeight="1" x14ac:dyDescent="0.25">
      <c r="A39" s="9" t="s">
        <v>141</v>
      </c>
      <c r="B39" s="13">
        <f>VLOOKUP(Table2456[[#This Row],[Location 
(drop-down)]],'List source'!D$2:E$71,2,FALSE)</f>
        <v>165</v>
      </c>
      <c r="C39" s="17" t="s">
        <v>134</v>
      </c>
      <c r="D39" s="21" t="str">
        <f t="shared" si="1"/>
        <v>CAF038-165-25</v>
      </c>
      <c r="E39" s="21" t="str">
        <f>VLOOKUP(Table2456[[#This Row],[Location 
(drop-down)]],Table1[#All],3,FALSE)</f>
        <v>USGC</v>
      </c>
      <c r="F39" s="29">
        <v>45915</v>
      </c>
      <c r="G39" s="38">
        <v>45923</v>
      </c>
      <c r="H39" s="38">
        <v>45918</v>
      </c>
      <c r="I39" s="70" t="s">
        <v>2029</v>
      </c>
      <c r="J39" s="29" t="s">
        <v>1931</v>
      </c>
      <c r="K39" s="159" t="s">
        <v>2030</v>
      </c>
      <c r="L39" s="159"/>
    </row>
    <row r="40" spans="1:12" s="4" customFormat="1" ht="30" hidden="1" customHeight="1" x14ac:dyDescent="0.25">
      <c r="A40" s="9" t="s">
        <v>94</v>
      </c>
      <c r="B40" s="13">
        <f>VLOOKUP(Table2456[[#This Row],[Location 
(drop-down)]],'List source'!D$2:E$71,2,FALSE)</f>
        <v>120</v>
      </c>
      <c r="C40" s="17" t="s">
        <v>137</v>
      </c>
      <c r="D40" s="21" t="str">
        <f t="shared" si="1"/>
        <v>CAF039-120-25</v>
      </c>
      <c r="E40" s="21" t="str">
        <f>VLOOKUP(Table2456[[#This Row],[Location 
(drop-down)]],Table1[#All],3,FALSE)</f>
        <v>USGC</v>
      </c>
      <c r="F40" s="29">
        <v>45917</v>
      </c>
      <c r="G40" s="29">
        <v>45992</v>
      </c>
      <c r="H40" s="29">
        <v>45992</v>
      </c>
      <c r="I40" s="9" t="s">
        <v>1092</v>
      </c>
      <c r="J40" s="159" t="s">
        <v>455</v>
      </c>
      <c r="K40" s="159" t="s">
        <v>2031</v>
      </c>
      <c r="L40" s="66"/>
    </row>
    <row r="41" spans="1:12" s="4" customFormat="1" ht="30" hidden="1" customHeight="1" x14ac:dyDescent="0.25">
      <c r="A41" s="9" t="s">
        <v>86</v>
      </c>
      <c r="B41" s="13">
        <f>VLOOKUP(Table2456[[#This Row],[Location 
(drop-down)]],'List source'!D$2:E$71,2,FALSE)</f>
        <v>150</v>
      </c>
      <c r="C41" s="17" t="s">
        <v>140</v>
      </c>
      <c r="D41" s="21" t="str">
        <f t="shared" si="1"/>
        <v>CAF040-150-25</v>
      </c>
      <c r="E41" s="21" t="str">
        <f>VLOOKUP(Table2456[[#This Row],[Location 
(drop-down)]],Table1[#All],3,FALSE)</f>
        <v>USGC</v>
      </c>
      <c r="F41" s="38">
        <v>45925</v>
      </c>
      <c r="G41" s="38">
        <v>45930</v>
      </c>
      <c r="H41" s="38">
        <v>45930</v>
      </c>
      <c r="I41" s="70" t="s">
        <v>1095</v>
      </c>
      <c r="J41" s="159" t="s">
        <v>1931</v>
      </c>
      <c r="K41" s="69" t="s">
        <v>2032</v>
      </c>
      <c r="L41" s="69"/>
    </row>
    <row r="42" spans="1:12" s="4" customFormat="1" ht="30" hidden="1" customHeight="1" x14ac:dyDescent="0.25">
      <c r="A42" s="9" t="s">
        <v>107</v>
      </c>
      <c r="B42" s="13">
        <f>VLOOKUP(Table2456[[#This Row],[Location 
(drop-down)]],'List source'!D$2:E$71,2,FALSE)</f>
        <v>170</v>
      </c>
      <c r="C42" s="17" t="s">
        <v>142</v>
      </c>
      <c r="D42" s="21" t="str">
        <f t="shared" si="1"/>
        <v>CAF041-170-25</v>
      </c>
      <c r="E42" s="21" t="str">
        <f>VLOOKUP(Table2456[[#This Row],[Location 
(drop-down)]],Table1[#All],3,FALSE)</f>
        <v>SE &amp; Caribbean</v>
      </c>
      <c r="F42" s="29">
        <v>45931</v>
      </c>
      <c r="G42" s="29"/>
      <c r="H42" s="29"/>
      <c r="I42" s="70" t="s">
        <v>2033</v>
      </c>
      <c r="J42" s="159" t="s">
        <v>1931</v>
      </c>
      <c r="K42" s="159" t="s">
        <v>2034</v>
      </c>
      <c r="L42" s="159"/>
    </row>
    <row r="43" spans="1:12" s="4" customFormat="1" ht="30" hidden="1" customHeight="1" x14ac:dyDescent="0.25">
      <c r="A43" s="9" t="s">
        <v>249</v>
      </c>
      <c r="B43" s="13">
        <f>VLOOKUP(Table2456[[#This Row],[Location 
(drop-down)]],'List source'!D$2:E$71,2,FALSE)</f>
        <v>199</v>
      </c>
      <c r="C43" s="17" t="s">
        <v>143</v>
      </c>
      <c r="D43" s="21" t="str">
        <f t="shared" si="1"/>
        <v>CAF042-199-25</v>
      </c>
      <c r="E43" s="21" t="str">
        <f>VLOOKUP(Table2456[[#This Row],[Location 
(drop-down)]],Table1[#All],3,FALSE)</f>
        <v>USNE, USMW &amp; Canada</v>
      </c>
      <c r="F43" s="29">
        <v>45945</v>
      </c>
      <c r="G43" s="29">
        <v>45953</v>
      </c>
      <c r="H43" s="29">
        <v>45958</v>
      </c>
      <c r="I43" s="70" t="s">
        <v>2035</v>
      </c>
      <c r="J43" s="159" t="s">
        <v>1931</v>
      </c>
      <c r="K43" s="159" t="s">
        <v>2036</v>
      </c>
      <c r="L43" s="64"/>
    </row>
    <row r="44" spans="1:12" s="4" customFormat="1" ht="30" hidden="1" customHeight="1" x14ac:dyDescent="0.25">
      <c r="A44" s="9" t="s">
        <v>186</v>
      </c>
      <c r="B44" s="13">
        <f>VLOOKUP(Table2456[[#This Row],[Location 
(drop-down)]],'List source'!D$2:E$71,2,FALSE)</f>
        <v>136</v>
      </c>
      <c r="C44" s="17" t="s">
        <v>144</v>
      </c>
      <c r="D44" s="21" t="str">
        <f t="shared" si="1"/>
        <v>CAF043-136-25</v>
      </c>
      <c r="E44" s="21" t="str">
        <f>VLOOKUP(Table2456[[#This Row],[Location 
(drop-down)]],Table1[#All],3,FALSE)</f>
        <v>SE &amp; Caribbean</v>
      </c>
      <c r="F44" s="38">
        <v>45953</v>
      </c>
      <c r="G44" s="29"/>
      <c r="H44" s="29"/>
      <c r="I44" s="70" t="s">
        <v>2037</v>
      </c>
      <c r="J44" s="159" t="s">
        <v>494</v>
      </c>
      <c r="K44" s="159"/>
      <c r="L44" s="159"/>
    </row>
    <row r="45" spans="1:12" s="4" customFormat="1" ht="30" hidden="1" customHeight="1" x14ac:dyDescent="0.25">
      <c r="A45" s="9" t="s">
        <v>46</v>
      </c>
      <c r="B45" s="13">
        <f>VLOOKUP(Table2456[[#This Row],[Location 
(drop-down)]],'List source'!D$2:E$71,2,FALSE)</f>
        <v>155</v>
      </c>
      <c r="C45" s="17" t="s">
        <v>148</v>
      </c>
      <c r="D45" s="42" t="str">
        <f>"CAF" &amp; C45 &amp; "-" &amp; B45 &amp; "-" &amp; "25"</f>
        <v>CAF044-155-25</v>
      </c>
      <c r="E45" s="21" t="str">
        <f>VLOOKUP(Table2456[[#This Row],[Location 
(drop-down)]],Table1[#All],3,FALSE)</f>
        <v>USGC</v>
      </c>
      <c r="F45" s="38">
        <v>45960</v>
      </c>
      <c r="G45" s="29">
        <v>45978</v>
      </c>
      <c r="H45" s="29">
        <v>45975</v>
      </c>
      <c r="I45" s="70" t="s">
        <v>2038</v>
      </c>
      <c r="J45" s="159" t="s">
        <v>1931</v>
      </c>
      <c r="K45" s="69" t="s">
        <v>2039</v>
      </c>
      <c r="L45" s="66"/>
    </row>
    <row r="46" spans="1:12" s="4" customFormat="1" ht="30" customHeight="1" x14ac:dyDescent="0.25">
      <c r="A46" s="9" t="s">
        <v>156</v>
      </c>
      <c r="B46" s="13">
        <f>VLOOKUP(Table2456[[#This Row],[Location 
(drop-down)]],'List source'!D$2:E$71,2,FALSE)</f>
        <v>130</v>
      </c>
      <c r="C46" s="17" t="s">
        <v>149</v>
      </c>
      <c r="D46" s="21" t="str">
        <f t="shared" si="1"/>
        <v>CAF045-130-25</v>
      </c>
      <c r="E46" s="21" t="str">
        <f>VLOOKUP(Table2456[[#This Row],[Location 
(drop-down)]],Table1[#All],3,FALSE)</f>
        <v>USWC</v>
      </c>
      <c r="F46" s="38">
        <v>45960</v>
      </c>
      <c r="G46" s="38">
        <v>46000</v>
      </c>
      <c r="H46" s="38">
        <v>46000</v>
      </c>
      <c r="I46" s="70" t="s">
        <v>2040</v>
      </c>
      <c r="J46" s="159" t="s">
        <v>1931</v>
      </c>
      <c r="K46" s="69" t="s">
        <v>2041</v>
      </c>
      <c r="L46" s="66"/>
    </row>
    <row r="47" spans="1:12" s="4" customFormat="1" ht="30" hidden="1" customHeight="1" x14ac:dyDescent="0.25">
      <c r="A47" s="9" t="s">
        <v>14</v>
      </c>
      <c r="B47" s="13">
        <f>VLOOKUP(Table2456[[#This Row],[Location 
(drop-down)]],'List source'!D$2:E$71,2,FALSE)</f>
        <v>131</v>
      </c>
      <c r="C47" s="17" t="s">
        <v>150</v>
      </c>
      <c r="D47" s="21" t="str">
        <f t="shared" si="1"/>
        <v>CAF046-131-25</v>
      </c>
      <c r="E47" s="21" t="str">
        <f>VLOOKUP(Table2456[[#This Row],[Location 
(drop-down)]],Table1[#All],3,FALSE)</f>
        <v>USWC</v>
      </c>
      <c r="F47" s="29">
        <v>45960</v>
      </c>
      <c r="G47" s="38">
        <v>46006</v>
      </c>
      <c r="H47" s="38">
        <v>46006</v>
      </c>
      <c r="I47" s="70" t="s">
        <v>2042</v>
      </c>
      <c r="J47" s="159" t="s">
        <v>1931</v>
      </c>
      <c r="K47" s="159" t="s">
        <v>2043</v>
      </c>
      <c r="L47" s="159"/>
    </row>
    <row r="48" spans="1:12" s="4" customFormat="1" ht="30" hidden="1" customHeight="1" x14ac:dyDescent="0.25">
      <c r="A48" s="9" t="s">
        <v>94</v>
      </c>
      <c r="B48" s="13">
        <f>VLOOKUP(Table2456[[#This Row],[Location 
(drop-down)]],'List source'!D$2:E$71,2,FALSE)</f>
        <v>120</v>
      </c>
      <c r="C48" s="17" t="s">
        <v>152</v>
      </c>
      <c r="D48" s="21" t="str">
        <f t="shared" si="1"/>
        <v>CAF047-120-25</v>
      </c>
      <c r="E48" s="21" t="str">
        <f>VLOOKUP(Table2456[[#This Row],[Location 
(drop-down)]],Table1[#All],3,FALSE)</f>
        <v>USGC</v>
      </c>
      <c r="F48" s="38">
        <v>45967</v>
      </c>
      <c r="G48" s="29">
        <v>45987</v>
      </c>
      <c r="H48" s="38">
        <v>45987</v>
      </c>
      <c r="I48" s="158" t="s">
        <v>1252</v>
      </c>
      <c r="J48" s="159" t="s">
        <v>1931</v>
      </c>
      <c r="K48" s="159" t="s">
        <v>2044</v>
      </c>
      <c r="L48" s="159"/>
    </row>
    <row r="49" spans="1:12" s="4" customFormat="1" ht="30" hidden="1" customHeight="1" x14ac:dyDescent="0.25">
      <c r="A49" s="9" t="s">
        <v>94</v>
      </c>
      <c r="B49" s="13">
        <f>VLOOKUP(Table2456[[#This Row],[Location 
(drop-down)]],'List source'!D$2:E$71,2,FALSE)</f>
        <v>120</v>
      </c>
      <c r="C49" s="17" t="s">
        <v>154</v>
      </c>
      <c r="D49" s="21" t="str">
        <f t="shared" si="1"/>
        <v>CAF048-120-25</v>
      </c>
      <c r="E49" s="21" t="str">
        <f>VLOOKUP(Table2456[[#This Row],[Location 
(drop-down)]],Table1[#All],3,FALSE)</f>
        <v>USGC</v>
      </c>
      <c r="F49" s="38">
        <v>45967</v>
      </c>
      <c r="G49" s="29">
        <v>45995</v>
      </c>
      <c r="H49" s="29">
        <v>45985</v>
      </c>
      <c r="I49" s="158" t="s">
        <v>2045</v>
      </c>
      <c r="J49" s="159" t="s">
        <v>1931</v>
      </c>
      <c r="K49" s="69" t="s">
        <v>2046</v>
      </c>
      <c r="L49" s="66"/>
    </row>
    <row r="50" spans="1:12" s="4" customFormat="1" ht="30" customHeight="1" x14ac:dyDescent="0.25">
      <c r="A50" s="9" t="s">
        <v>156</v>
      </c>
      <c r="B50" s="13">
        <f>VLOOKUP(Table2456[[#This Row],[Location 
(drop-down)]],'List source'!D$2:E$71,2,FALSE)</f>
        <v>130</v>
      </c>
      <c r="C50" s="17" t="s">
        <v>155</v>
      </c>
      <c r="D50" s="21" t="str">
        <f t="shared" si="1"/>
        <v>CAF049-130-25</v>
      </c>
      <c r="E50" s="21" t="str">
        <f>VLOOKUP(Table2456[[#This Row],[Location 
(drop-down)]],Table1[#All],3,FALSE)</f>
        <v>USWC</v>
      </c>
      <c r="F50" s="29">
        <v>45995</v>
      </c>
      <c r="G50" s="29"/>
      <c r="H50" s="29">
        <v>46056</v>
      </c>
      <c r="I50" s="158" t="s">
        <v>1296</v>
      </c>
      <c r="J50" s="159" t="s">
        <v>455</v>
      </c>
      <c r="K50" s="69" t="s">
        <v>2047</v>
      </c>
      <c r="L50" s="66"/>
    </row>
    <row r="51" spans="1:12" s="4" customFormat="1" ht="30" hidden="1" customHeight="1" x14ac:dyDescent="0.25">
      <c r="A51" s="9" t="s">
        <v>14</v>
      </c>
      <c r="B51" s="13">
        <f>VLOOKUP(Table2456[[#This Row],[Location 
(drop-down)]],'List source'!D$2:E$71,2,FALSE)</f>
        <v>131</v>
      </c>
      <c r="C51" s="17" t="s">
        <v>157</v>
      </c>
      <c r="D51" s="21" t="str">
        <f t="shared" si="1"/>
        <v>CAF050-131-25</v>
      </c>
      <c r="E51" s="21" t="str">
        <f>VLOOKUP(Table2456[[#This Row],[Location 
(drop-down)]],Table1[#All],3,FALSE)</f>
        <v>USWC</v>
      </c>
      <c r="F51" s="29">
        <v>46001</v>
      </c>
      <c r="G51" s="29">
        <v>46052</v>
      </c>
      <c r="H51" s="29">
        <v>46052</v>
      </c>
      <c r="I51" s="70" t="s">
        <v>1300</v>
      </c>
      <c r="J51" s="159" t="s">
        <v>494</v>
      </c>
      <c r="K51" s="159" t="s">
        <v>2048</v>
      </c>
      <c r="L51" s="159"/>
    </row>
    <row r="52" spans="1:12" s="4" customFormat="1" ht="30" hidden="1" customHeight="1" x14ac:dyDescent="0.25">
      <c r="A52" s="9"/>
      <c r="B52" s="13" t="e">
        <f>VLOOKUP(Table2456[[#This Row],[Location 
(drop-down)]],'List source'!D$2:E$71,2,FALSE)</f>
        <v>#N/A</v>
      </c>
      <c r="C52" s="17" t="s">
        <v>159</v>
      </c>
      <c r="D52" s="21" t="e">
        <f t="shared" si="1"/>
        <v>#N/A</v>
      </c>
      <c r="E52" s="21" t="e">
        <f>VLOOKUP(Table2456[[#This Row],[Location 
(drop-down)]],Table1[#All],3,FALSE)</f>
        <v>#N/A</v>
      </c>
      <c r="F52" s="29"/>
      <c r="G52" s="29"/>
      <c r="H52" s="29"/>
      <c r="I52" s="38"/>
      <c r="J52" s="159"/>
      <c r="K52" s="69"/>
      <c r="L52" s="66"/>
    </row>
    <row r="53" spans="1:12" s="4" customFormat="1" ht="30" hidden="1" customHeight="1" x14ac:dyDescent="0.25">
      <c r="A53" s="9"/>
      <c r="B53" s="13" t="e">
        <f>VLOOKUP(Table2456[[#This Row],[Location 
(drop-down)]],'List source'!D$2:E$71,2,FALSE)</f>
        <v>#N/A</v>
      </c>
      <c r="C53" s="17" t="s">
        <v>161</v>
      </c>
      <c r="D53" s="21" t="e">
        <f t="shared" si="1"/>
        <v>#N/A</v>
      </c>
      <c r="E53" s="21" t="e">
        <f>VLOOKUP(Table2456[[#This Row],[Location 
(drop-down)]],Table1[#All],3,FALSE)</f>
        <v>#N/A</v>
      </c>
      <c r="F53" s="38"/>
      <c r="G53" s="38"/>
      <c r="H53" s="38"/>
      <c r="I53" s="38"/>
      <c r="J53" s="159"/>
      <c r="K53" s="69"/>
      <c r="L53" s="66"/>
    </row>
    <row r="54" spans="1:12" s="4" customFormat="1" ht="30" hidden="1" customHeight="1" x14ac:dyDescent="0.25">
      <c r="A54" s="9"/>
      <c r="B54" s="13" t="e">
        <f>VLOOKUP(Table2456[[#This Row],[Location 
(drop-down)]],'List source'!D$2:E$71,2,FALSE)</f>
        <v>#N/A</v>
      </c>
      <c r="C54" s="17" t="s">
        <v>163</v>
      </c>
      <c r="D54" s="21" t="e">
        <f t="shared" si="1"/>
        <v>#N/A</v>
      </c>
      <c r="E54" s="21" t="e">
        <f>VLOOKUP(Table2456[[#This Row],[Location 
(drop-down)]],Table1[#All],3,FALSE)</f>
        <v>#N/A</v>
      </c>
      <c r="F54" s="38"/>
      <c r="G54" s="38"/>
      <c r="H54" s="38"/>
      <c r="I54" s="29"/>
      <c r="J54" s="159"/>
      <c r="K54" s="159"/>
      <c r="L54" s="159"/>
    </row>
    <row r="55" spans="1:12" s="4" customFormat="1" ht="30" hidden="1" customHeight="1" x14ac:dyDescent="0.25">
      <c r="A55" s="9"/>
      <c r="B55" s="13" t="e">
        <f>VLOOKUP(Table2456[[#This Row],[Location 
(drop-down)]],'List source'!D$2:E$71,2,FALSE)</f>
        <v>#N/A</v>
      </c>
      <c r="C55" s="17" t="s">
        <v>165</v>
      </c>
      <c r="D55" s="21" t="e">
        <f t="shared" si="1"/>
        <v>#N/A</v>
      </c>
      <c r="E55" s="21" t="e">
        <f>VLOOKUP(Table2456[[#This Row],[Location 
(drop-down)]],Table1[#All],3,FALSE)</f>
        <v>#N/A</v>
      </c>
      <c r="F55" s="38"/>
      <c r="G55" s="38"/>
      <c r="H55" s="38"/>
      <c r="I55" s="29"/>
      <c r="J55" s="10"/>
      <c r="K55" s="10"/>
      <c r="L55" s="10"/>
    </row>
    <row r="56" spans="1:12" s="4" customFormat="1" ht="30" hidden="1" customHeight="1" x14ac:dyDescent="0.25">
      <c r="A56" s="9"/>
      <c r="B56" s="13" t="e">
        <f>VLOOKUP(Table2456[[#This Row],[Location 
(drop-down)]],'List source'!D$2:E$71,2,FALSE)</f>
        <v>#N/A</v>
      </c>
      <c r="C56" s="17" t="s">
        <v>166</v>
      </c>
      <c r="D56" s="21" t="e">
        <f t="shared" si="1"/>
        <v>#N/A</v>
      </c>
      <c r="E56" s="21" t="e">
        <f>VLOOKUP(Table2456[[#This Row],[Location 
(drop-down)]],Table1[#All],3,FALSE)</f>
        <v>#N/A</v>
      </c>
      <c r="F56" s="38"/>
      <c r="G56" s="38"/>
      <c r="H56" s="38"/>
      <c r="I56" s="29"/>
      <c r="J56" s="10"/>
      <c r="K56" s="10"/>
      <c r="L56" s="10"/>
    </row>
    <row r="57" spans="1:12" s="4" customFormat="1" ht="30" hidden="1" customHeight="1" x14ac:dyDescent="0.25">
      <c r="A57" s="9"/>
      <c r="B57" s="13" t="e">
        <f>VLOOKUP(Table2456[[#This Row],[Location 
(drop-down)]],'List source'!D$2:E$71,2,FALSE)</f>
        <v>#N/A</v>
      </c>
      <c r="C57" s="17" t="s">
        <v>171</v>
      </c>
      <c r="D57" s="21" t="e">
        <f t="shared" si="1"/>
        <v>#N/A</v>
      </c>
      <c r="E57" s="21" t="e">
        <f>VLOOKUP(Table2456[[#This Row],[Location 
(drop-down)]],Table1[#All],3,FALSE)</f>
        <v>#N/A</v>
      </c>
      <c r="F57" s="38"/>
      <c r="G57" s="38"/>
      <c r="H57" s="38"/>
      <c r="I57" s="29"/>
      <c r="J57" s="10"/>
      <c r="K57" s="10"/>
      <c r="L57" s="10"/>
    </row>
    <row r="58" spans="1:12" s="4" customFormat="1" ht="30" hidden="1" customHeight="1" x14ac:dyDescent="0.25">
      <c r="A58" s="9"/>
      <c r="B58" s="13" t="e">
        <f>VLOOKUP(Table2456[[#This Row],[Location 
(drop-down)]],'List source'!D$2:E$71,2,FALSE)</f>
        <v>#N/A</v>
      </c>
      <c r="C58" s="17" t="s">
        <v>173</v>
      </c>
      <c r="D58" s="21" t="e">
        <f t="shared" si="1"/>
        <v>#N/A</v>
      </c>
      <c r="E58" s="21" t="e">
        <f>VLOOKUP(Table2456[[#This Row],[Location 
(drop-down)]],Table1[#All],3,FALSE)</f>
        <v>#N/A</v>
      </c>
      <c r="F58" s="38"/>
      <c r="G58" s="38"/>
      <c r="H58" s="38"/>
      <c r="I58" s="29"/>
      <c r="J58" s="10"/>
      <c r="K58" s="10"/>
      <c r="L58" s="10"/>
    </row>
    <row r="59" spans="1:12" s="4" customFormat="1" ht="30" hidden="1" customHeight="1" x14ac:dyDescent="0.25">
      <c r="A59" s="9"/>
      <c r="B59" s="13" t="e">
        <f>VLOOKUP(Table2456[[#This Row],[Location 
(drop-down)]],'List source'!D$2:E$71,2,FALSE)</f>
        <v>#N/A</v>
      </c>
      <c r="C59" s="17" t="s">
        <v>176</v>
      </c>
      <c r="D59" s="21" t="e">
        <f t="shared" si="1"/>
        <v>#N/A</v>
      </c>
      <c r="E59" s="21" t="e">
        <f>VLOOKUP(Table2456[[#This Row],[Location 
(drop-down)]],Table1[#All],3,FALSE)</f>
        <v>#N/A</v>
      </c>
      <c r="F59" s="38"/>
      <c r="G59" s="38"/>
      <c r="H59" s="38"/>
      <c r="I59" s="29"/>
      <c r="J59" s="10"/>
      <c r="K59" s="10"/>
      <c r="L59" s="10"/>
    </row>
    <row r="60" spans="1:12" s="4" customFormat="1" ht="30" hidden="1" customHeight="1" x14ac:dyDescent="0.25">
      <c r="A60" s="9"/>
      <c r="B60" s="13" t="e">
        <f>VLOOKUP(Table2456[[#This Row],[Location 
(drop-down)]],'List source'!D$2:E$71,2,FALSE)</f>
        <v>#N/A</v>
      </c>
      <c r="C60" s="17" t="s">
        <v>178</v>
      </c>
      <c r="D60" s="21" t="e">
        <f t="shared" si="1"/>
        <v>#N/A</v>
      </c>
      <c r="E60" s="21" t="e">
        <f>VLOOKUP(Table2456[[#This Row],[Location 
(drop-down)]],Table1[#All],3,FALSE)</f>
        <v>#N/A</v>
      </c>
      <c r="F60" s="38"/>
      <c r="G60" s="38"/>
      <c r="H60" s="38"/>
      <c r="I60" s="38"/>
      <c r="J60" s="10"/>
      <c r="K60" s="10"/>
      <c r="L60" s="10"/>
    </row>
    <row r="61" spans="1:12" s="4" customFormat="1" ht="30" hidden="1" customHeight="1" x14ac:dyDescent="0.25">
      <c r="A61" s="9"/>
      <c r="B61" s="13" t="e">
        <f>VLOOKUP(Table2456[[#This Row],[Location 
(drop-down)]],'List source'!D$2:E$71,2,FALSE)</f>
        <v>#N/A</v>
      </c>
      <c r="C61" s="17" t="s">
        <v>180</v>
      </c>
      <c r="D61" s="21" t="e">
        <f t="shared" si="1"/>
        <v>#N/A</v>
      </c>
      <c r="E61" s="21" t="e">
        <f>VLOOKUP(Table2456[[#This Row],[Location 
(drop-down)]],Table1[#All],3,FALSE)</f>
        <v>#N/A</v>
      </c>
      <c r="F61" s="38"/>
      <c r="G61" s="38"/>
      <c r="H61" s="38"/>
      <c r="I61" s="38"/>
      <c r="J61" s="10"/>
      <c r="K61" s="10"/>
      <c r="L61" s="10"/>
    </row>
    <row r="62" spans="1:12" s="4" customFormat="1" ht="30" hidden="1" customHeight="1" x14ac:dyDescent="0.25">
      <c r="A62" s="9"/>
      <c r="B62" s="13" t="e">
        <f>VLOOKUP(Table2456[[#This Row],[Location 
(drop-down)]],'List source'!D$2:E$71,2,FALSE)</f>
        <v>#N/A</v>
      </c>
      <c r="C62" s="17" t="s">
        <v>183</v>
      </c>
      <c r="D62" s="21" t="e">
        <f t="shared" si="1"/>
        <v>#N/A</v>
      </c>
      <c r="E62" s="21" t="e">
        <f>VLOOKUP(Table2456[[#This Row],[Location 
(drop-down)]],Table1[#All],3,FALSE)</f>
        <v>#N/A</v>
      </c>
      <c r="F62" s="38"/>
      <c r="G62" s="38"/>
      <c r="H62" s="38"/>
      <c r="I62" s="38"/>
      <c r="J62" s="10"/>
      <c r="K62" s="10"/>
      <c r="L62" s="10"/>
    </row>
    <row r="63" spans="1:12" s="4" customFormat="1" ht="30" hidden="1" customHeight="1" x14ac:dyDescent="0.25">
      <c r="A63" s="9"/>
      <c r="B63" s="13" t="e">
        <f>VLOOKUP(Table2456[[#This Row],[Location 
(drop-down)]],'List source'!D$2:E$71,2,FALSE)</f>
        <v>#N/A</v>
      </c>
      <c r="C63" s="17" t="s">
        <v>187</v>
      </c>
      <c r="D63" s="21" t="e">
        <f t="shared" si="1"/>
        <v>#N/A</v>
      </c>
      <c r="E63" s="21" t="e">
        <f>VLOOKUP(Table2456[[#This Row],[Location 
(drop-down)]],Table1[#All],3,FALSE)</f>
        <v>#N/A</v>
      </c>
      <c r="F63" s="38"/>
      <c r="G63" s="38"/>
      <c r="H63" s="38"/>
      <c r="I63" s="38"/>
      <c r="J63" s="10"/>
      <c r="K63" s="10"/>
      <c r="L63" s="10"/>
    </row>
    <row r="64" spans="1:12" s="4" customFormat="1" ht="30" hidden="1" customHeight="1" x14ac:dyDescent="0.25">
      <c r="A64" s="9"/>
      <c r="B64" s="13" t="e">
        <f>VLOOKUP(Table2456[[#This Row],[Location 
(drop-down)]],'List source'!D$2:E$71,2,FALSE)</f>
        <v>#N/A</v>
      </c>
      <c r="C64" s="17" t="s">
        <v>188</v>
      </c>
      <c r="D64" s="21" t="e">
        <f t="shared" si="1"/>
        <v>#N/A</v>
      </c>
      <c r="E64" s="21" t="e">
        <f>VLOOKUP(Table2456[[#This Row],[Location 
(drop-down)]],Table1[#All],3,FALSE)</f>
        <v>#N/A</v>
      </c>
      <c r="F64" s="38"/>
      <c r="G64" s="38"/>
      <c r="H64" s="38"/>
      <c r="I64" s="38"/>
      <c r="J64" s="10"/>
      <c r="K64" s="10"/>
      <c r="L64" s="10"/>
    </row>
    <row r="65" spans="1:12" s="4" customFormat="1" ht="30" hidden="1" customHeight="1" x14ac:dyDescent="0.25">
      <c r="A65" s="9"/>
      <c r="B65" s="13" t="e">
        <f>VLOOKUP(Table2456[[#This Row],[Location 
(drop-down)]],'List source'!D$2:E$71,2,FALSE)</f>
        <v>#N/A</v>
      </c>
      <c r="C65" s="17" t="s">
        <v>192</v>
      </c>
      <c r="D65" s="21" t="e">
        <f t="shared" si="1"/>
        <v>#N/A</v>
      </c>
      <c r="E65" s="21" t="e">
        <f>VLOOKUP(Table2456[[#This Row],[Location 
(drop-down)]],Table1[#All],3,FALSE)</f>
        <v>#N/A</v>
      </c>
      <c r="F65" s="38"/>
      <c r="G65" s="38"/>
      <c r="H65" s="38"/>
      <c r="I65" s="38"/>
      <c r="J65" s="10"/>
      <c r="K65" s="10"/>
      <c r="L65" s="10"/>
    </row>
    <row r="66" spans="1:12" s="4" customFormat="1" ht="30" hidden="1" customHeight="1" x14ac:dyDescent="0.25">
      <c r="A66" s="9"/>
      <c r="B66" s="13" t="e">
        <f>VLOOKUP(Table2456[[#This Row],[Location 
(drop-down)]],'List source'!D$2:E$71,2,FALSE)</f>
        <v>#N/A</v>
      </c>
      <c r="C66" s="17" t="s">
        <v>196</v>
      </c>
      <c r="D66" s="21" t="e">
        <f t="shared" ref="D66:D97" si="2">"CAF" &amp; C66 &amp; "-" &amp; B66 &amp; "-" &amp; "25"</f>
        <v>#N/A</v>
      </c>
      <c r="E66" s="21" t="e">
        <f>VLOOKUP(Table2456[[#This Row],[Location 
(drop-down)]],Table1[#All],3,FALSE)</f>
        <v>#N/A</v>
      </c>
      <c r="F66" s="38"/>
      <c r="G66" s="38"/>
      <c r="H66" s="38"/>
      <c r="I66" s="38"/>
      <c r="J66" s="10"/>
      <c r="K66" s="10"/>
      <c r="L66" s="10"/>
    </row>
    <row r="67" spans="1:12" s="4" customFormat="1" ht="30" hidden="1" customHeight="1" x14ac:dyDescent="0.25">
      <c r="A67" s="9"/>
      <c r="B67" s="13" t="e">
        <f>VLOOKUP(Table2456[[#This Row],[Location 
(drop-down)]],'List source'!D$2:E$71,2,FALSE)</f>
        <v>#N/A</v>
      </c>
      <c r="C67" s="17" t="s">
        <v>198</v>
      </c>
      <c r="D67" s="21" t="e">
        <f t="shared" si="2"/>
        <v>#N/A</v>
      </c>
      <c r="E67" s="21" t="e">
        <f>VLOOKUP(Table2456[[#This Row],[Location 
(drop-down)]],Table1[#All],3,FALSE)</f>
        <v>#N/A</v>
      </c>
      <c r="F67" s="38"/>
      <c r="G67" s="38"/>
      <c r="H67" s="38"/>
      <c r="I67" s="38"/>
      <c r="J67" s="10"/>
      <c r="K67" s="10"/>
      <c r="L67" s="10"/>
    </row>
    <row r="68" spans="1:12" s="4" customFormat="1" ht="30" hidden="1" customHeight="1" x14ac:dyDescent="0.25">
      <c r="A68" s="9"/>
      <c r="B68" s="13" t="e">
        <f>VLOOKUP(Table2456[[#This Row],[Location 
(drop-down)]],'List source'!D$2:E$71,2,FALSE)</f>
        <v>#N/A</v>
      </c>
      <c r="C68" s="17" t="s">
        <v>199</v>
      </c>
      <c r="D68" s="21" t="e">
        <f t="shared" si="2"/>
        <v>#N/A</v>
      </c>
      <c r="E68" s="21" t="e">
        <f>VLOOKUP(Table2456[[#This Row],[Location 
(drop-down)]],Table1[#All],3,FALSE)</f>
        <v>#N/A</v>
      </c>
      <c r="F68" s="29"/>
      <c r="G68" s="29"/>
      <c r="H68" s="29"/>
      <c r="I68" s="29"/>
      <c r="J68" s="10"/>
      <c r="K68" s="10"/>
      <c r="L68" s="10"/>
    </row>
    <row r="69" spans="1:12" s="4" customFormat="1" ht="30" hidden="1" customHeight="1" x14ac:dyDescent="0.25">
      <c r="A69" s="9"/>
      <c r="B69" s="13" t="e">
        <f>VLOOKUP(Table2456[[#This Row],[Location 
(drop-down)]],'List source'!D$2:E$71,2,FALSE)</f>
        <v>#N/A</v>
      </c>
      <c r="C69" s="17" t="s">
        <v>200</v>
      </c>
      <c r="D69" s="21" t="e">
        <f t="shared" si="2"/>
        <v>#N/A</v>
      </c>
      <c r="E69" s="21" t="e">
        <f>VLOOKUP(Table2456[[#This Row],[Location 
(drop-down)]],Table1[#All],3,FALSE)</f>
        <v>#N/A</v>
      </c>
      <c r="F69" s="29"/>
      <c r="G69" s="29"/>
      <c r="H69" s="29"/>
      <c r="I69" s="29"/>
      <c r="J69" s="10"/>
      <c r="K69" s="69"/>
      <c r="L69" s="66"/>
    </row>
    <row r="70" spans="1:12" s="4" customFormat="1" ht="30" hidden="1" customHeight="1" x14ac:dyDescent="0.25">
      <c r="A70" s="9"/>
      <c r="B70" s="13" t="e">
        <f>VLOOKUP(Table2456[[#This Row],[Location 
(drop-down)]],'List source'!D$2:E$71,2,FALSE)</f>
        <v>#N/A</v>
      </c>
      <c r="C70" s="17" t="s">
        <v>204</v>
      </c>
      <c r="D70" s="21" t="e">
        <f t="shared" si="2"/>
        <v>#N/A</v>
      </c>
      <c r="E70" s="21" t="e">
        <f>VLOOKUP(Table2456[[#This Row],[Location 
(drop-down)]],Table1[#All],3,FALSE)</f>
        <v>#N/A</v>
      </c>
      <c r="F70" s="29"/>
      <c r="G70" s="29"/>
      <c r="H70" s="29"/>
      <c r="I70" s="29"/>
      <c r="J70" s="10"/>
      <c r="K70" s="10"/>
      <c r="L70" s="10"/>
    </row>
    <row r="71" spans="1:12" s="4" customFormat="1" ht="30" hidden="1" customHeight="1" x14ac:dyDescent="0.25">
      <c r="A71" s="9"/>
      <c r="B71" s="13" t="e">
        <f>VLOOKUP(Table2456[[#This Row],[Location 
(drop-down)]],'List source'!D$2:E$71,2,FALSE)</f>
        <v>#N/A</v>
      </c>
      <c r="C71" s="17" t="s">
        <v>205</v>
      </c>
      <c r="D71" s="21" t="e">
        <f t="shared" si="2"/>
        <v>#N/A</v>
      </c>
      <c r="E71" s="21" t="e">
        <f>VLOOKUP(Table2456[[#This Row],[Location 
(drop-down)]],Table1[#All],3,FALSE)</f>
        <v>#N/A</v>
      </c>
      <c r="F71" s="29"/>
      <c r="G71" s="29"/>
      <c r="H71" s="29"/>
      <c r="I71" s="29"/>
      <c r="J71" s="10"/>
      <c r="K71" s="10"/>
      <c r="L71" s="10"/>
    </row>
    <row r="72" spans="1:12" s="4" customFormat="1" ht="30" hidden="1" customHeight="1" x14ac:dyDescent="0.25">
      <c r="A72" s="9"/>
      <c r="B72" s="13" t="e">
        <f>VLOOKUP(Table2456[[#This Row],[Location 
(drop-down)]],'List source'!D$2:E$71,2,FALSE)</f>
        <v>#N/A</v>
      </c>
      <c r="C72" s="17" t="s">
        <v>207</v>
      </c>
      <c r="D72" s="21" t="e">
        <f t="shared" si="2"/>
        <v>#N/A</v>
      </c>
      <c r="E72" s="21" t="e">
        <f>VLOOKUP(Table2456[[#This Row],[Location 
(drop-down)]],Table1[#All],3,FALSE)</f>
        <v>#N/A</v>
      </c>
      <c r="F72" s="29"/>
      <c r="G72" s="29"/>
      <c r="H72" s="29"/>
      <c r="I72" s="29"/>
      <c r="J72" s="10"/>
      <c r="K72" s="10"/>
      <c r="L72" s="10"/>
    </row>
    <row r="73" spans="1:12" s="4" customFormat="1" ht="30" hidden="1" customHeight="1" x14ac:dyDescent="0.25">
      <c r="A73" s="9"/>
      <c r="B73" s="13" t="e">
        <f>VLOOKUP(Table2456[[#This Row],[Location 
(drop-down)]],'List source'!D$2:E$71,2,FALSE)</f>
        <v>#N/A</v>
      </c>
      <c r="C73" s="17" t="s">
        <v>209</v>
      </c>
      <c r="D73" s="21" t="e">
        <f t="shared" si="2"/>
        <v>#N/A</v>
      </c>
      <c r="E73" s="21" t="e">
        <f>VLOOKUP(Table2456[[#This Row],[Location 
(drop-down)]],Table1[#All],3,FALSE)</f>
        <v>#N/A</v>
      </c>
      <c r="F73" s="29"/>
      <c r="G73" s="29"/>
      <c r="H73" s="29"/>
      <c r="I73" s="29"/>
      <c r="J73" s="10"/>
      <c r="K73" s="10"/>
      <c r="L73" s="10"/>
    </row>
    <row r="74" spans="1:12" s="4" customFormat="1" ht="30" hidden="1" customHeight="1" x14ac:dyDescent="0.25">
      <c r="A74" s="9"/>
      <c r="B74" s="13" t="e">
        <f>VLOOKUP(Table2456[[#This Row],[Location 
(drop-down)]],'List source'!D$2:E$71,2,FALSE)</f>
        <v>#N/A</v>
      </c>
      <c r="C74" s="17" t="s">
        <v>212</v>
      </c>
      <c r="D74" s="21" t="e">
        <f t="shared" si="2"/>
        <v>#N/A</v>
      </c>
      <c r="E74" s="21" t="e">
        <f>VLOOKUP(Table2456[[#This Row],[Location 
(drop-down)]],Table1[#All],3,FALSE)</f>
        <v>#N/A</v>
      </c>
      <c r="F74" s="29"/>
      <c r="G74" s="29"/>
      <c r="H74" s="29"/>
      <c r="I74" s="29"/>
      <c r="J74" s="10"/>
      <c r="K74" s="10"/>
      <c r="L74" s="10"/>
    </row>
    <row r="75" spans="1:12" s="4" customFormat="1" ht="30" hidden="1" customHeight="1" x14ac:dyDescent="0.25">
      <c r="A75" s="9"/>
      <c r="B75" s="13" t="e">
        <f>VLOOKUP(Table2456[[#This Row],[Location 
(drop-down)]],'List source'!D$2:E$71,2,FALSE)</f>
        <v>#N/A</v>
      </c>
      <c r="C75" s="17" t="s">
        <v>213</v>
      </c>
      <c r="D75" s="21" t="e">
        <f t="shared" si="2"/>
        <v>#N/A</v>
      </c>
      <c r="E75" s="21" t="e">
        <f>VLOOKUP(Table2456[[#This Row],[Location 
(drop-down)]],Table1[#All],3,FALSE)</f>
        <v>#N/A</v>
      </c>
      <c r="F75" s="38"/>
      <c r="G75" s="38"/>
      <c r="H75" s="38"/>
      <c r="I75" s="38"/>
      <c r="J75" s="10"/>
      <c r="K75" s="10"/>
      <c r="L75" s="10"/>
    </row>
    <row r="76" spans="1:12" s="4" customFormat="1" ht="30" hidden="1" customHeight="1" x14ac:dyDescent="0.25">
      <c r="A76" s="9"/>
      <c r="B76" s="13" t="e">
        <f>VLOOKUP(Table2456[[#This Row],[Location 
(drop-down)]],'List source'!D$2:E$71,2,FALSE)</f>
        <v>#N/A</v>
      </c>
      <c r="C76" s="17" t="s">
        <v>214</v>
      </c>
      <c r="D76" s="21" t="e">
        <f t="shared" si="2"/>
        <v>#N/A</v>
      </c>
      <c r="E76" s="21" t="e">
        <f>VLOOKUP(Table2456[[#This Row],[Location 
(drop-down)]],Table1[#All],3,FALSE)</f>
        <v>#N/A</v>
      </c>
      <c r="F76" s="29"/>
      <c r="G76" s="29"/>
      <c r="H76" s="29"/>
      <c r="I76" s="29"/>
      <c r="J76" s="10"/>
      <c r="K76" s="10"/>
      <c r="L76" s="10"/>
    </row>
    <row r="77" spans="1:12" s="4" customFormat="1" ht="30" hidden="1" customHeight="1" x14ac:dyDescent="0.25">
      <c r="A77" s="9"/>
      <c r="B77" s="13" t="e">
        <f>VLOOKUP(Table2456[[#This Row],[Location 
(drop-down)]],'List source'!D$2:E$71,2,FALSE)</f>
        <v>#N/A</v>
      </c>
      <c r="C77" s="17" t="s">
        <v>215</v>
      </c>
      <c r="D77" s="21" t="e">
        <f t="shared" si="2"/>
        <v>#N/A</v>
      </c>
      <c r="E77" s="21" t="e">
        <f>VLOOKUP(Table2456[[#This Row],[Location 
(drop-down)]],Table1[#All],3,FALSE)</f>
        <v>#N/A</v>
      </c>
      <c r="F77" s="29"/>
      <c r="G77" s="29"/>
      <c r="H77" s="29"/>
      <c r="I77" s="29"/>
      <c r="J77" s="10"/>
      <c r="K77" s="10"/>
      <c r="L77" s="10"/>
    </row>
    <row r="78" spans="1:12" s="4" customFormat="1" ht="30" hidden="1" customHeight="1" x14ac:dyDescent="0.25">
      <c r="A78" s="9"/>
      <c r="B78" s="13" t="e">
        <f>VLOOKUP(Table2456[[#This Row],[Location 
(drop-down)]],'List source'!D$2:E$71,2,FALSE)</f>
        <v>#N/A</v>
      </c>
      <c r="C78" s="17" t="s">
        <v>219</v>
      </c>
      <c r="D78" s="21" t="e">
        <f t="shared" si="2"/>
        <v>#N/A</v>
      </c>
      <c r="E78" s="21" t="e">
        <f>VLOOKUP(Table2456[[#This Row],[Location 
(drop-down)]],Table1[#All],3,FALSE)</f>
        <v>#N/A</v>
      </c>
      <c r="F78" s="38"/>
      <c r="G78" s="38"/>
      <c r="H78" s="38"/>
      <c r="I78" s="38"/>
      <c r="J78" s="10"/>
      <c r="K78" s="10"/>
      <c r="L78" s="10"/>
    </row>
    <row r="79" spans="1:12" s="4" customFormat="1" ht="30" hidden="1" customHeight="1" x14ac:dyDescent="0.25">
      <c r="A79" s="9"/>
      <c r="B79" s="13" t="e">
        <f>VLOOKUP(Table2456[[#This Row],[Location 
(drop-down)]],'List source'!D$2:E$71,2,FALSE)</f>
        <v>#N/A</v>
      </c>
      <c r="C79" s="17" t="s">
        <v>221</v>
      </c>
      <c r="D79" s="21" t="e">
        <f t="shared" si="2"/>
        <v>#N/A</v>
      </c>
      <c r="E79" s="21" t="e">
        <f>VLOOKUP(Table2456[[#This Row],[Location 
(drop-down)]],Table1[#All],3,FALSE)</f>
        <v>#N/A</v>
      </c>
      <c r="F79" s="38"/>
      <c r="G79" s="38"/>
      <c r="H79" s="38"/>
      <c r="I79" s="38"/>
      <c r="J79" s="10"/>
      <c r="K79" s="10"/>
      <c r="L79" s="10"/>
    </row>
    <row r="80" spans="1:12" s="4" customFormat="1" ht="30" hidden="1" customHeight="1" x14ac:dyDescent="0.25">
      <c r="A80" s="9"/>
      <c r="B80" s="13" t="e">
        <f>VLOOKUP(Table2456[[#This Row],[Location 
(drop-down)]],'List source'!D$2:E$71,2,FALSE)</f>
        <v>#N/A</v>
      </c>
      <c r="C80" s="17" t="s">
        <v>223</v>
      </c>
      <c r="D80" s="21" t="e">
        <f t="shared" si="2"/>
        <v>#N/A</v>
      </c>
      <c r="E80" s="21" t="e">
        <f>VLOOKUP(Table2456[[#This Row],[Location 
(drop-down)]],Table1[#All],3,FALSE)</f>
        <v>#N/A</v>
      </c>
      <c r="F80" s="29"/>
      <c r="G80" s="29"/>
      <c r="H80" s="29"/>
      <c r="I80" s="29"/>
      <c r="J80" s="10"/>
      <c r="K80" s="10"/>
      <c r="L80" s="10"/>
    </row>
    <row r="81" spans="1:12" s="4" customFormat="1" ht="30" hidden="1" customHeight="1" x14ac:dyDescent="0.25">
      <c r="A81" s="9"/>
      <c r="B81" s="13" t="e">
        <f>VLOOKUP(Table2456[[#This Row],[Location 
(drop-down)]],'List source'!D$2:E$71,2,FALSE)</f>
        <v>#N/A</v>
      </c>
      <c r="C81" s="17" t="s">
        <v>224</v>
      </c>
      <c r="D81" s="21" t="e">
        <f t="shared" si="2"/>
        <v>#N/A</v>
      </c>
      <c r="E81" s="21" t="e">
        <f>VLOOKUP(Table2456[[#This Row],[Location 
(drop-down)]],Table1[#All],3,FALSE)</f>
        <v>#N/A</v>
      </c>
      <c r="F81" s="38"/>
      <c r="G81" s="38"/>
      <c r="H81" s="38"/>
      <c r="I81" s="29"/>
      <c r="J81" s="10"/>
      <c r="K81" s="10"/>
      <c r="L81" s="10"/>
    </row>
    <row r="82" spans="1:12" s="4" customFormat="1" ht="30" hidden="1" customHeight="1" x14ac:dyDescent="0.25">
      <c r="A82" s="9"/>
      <c r="B82" s="13" t="e">
        <f>VLOOKUP(Table2456[[#This Row],[Location 
(drop-down)]],'List source'!D$2:E$71,2,FALSE)</f>
        <v>#N/A</v>
      </c>
      <c r="C82" s="17" t="s">
        <v>226</v>
      </c>
      <c r="D82" s="21" t="e">
        <f t="shared" si="2"/>
        <v>#N/A</v>
      </c>
      <c r="E82" s="21" t="e">
        <f>VLOOKUP(Table2456[[#This Row],[Location 
(drop-down)]],Table1[#All],3,FALSE)</f>
        <v>#N/A</v>
      </c>
      <c r="F82" s="38"/>
      <c r="G82" s="38"/>
      <c r="H82" s="38"/>
      <c r="I82" s="29"/>
      <c r="J82" s="10"/>
      <c r="K82" s="10"/>
      <c r="L82" s="10"/>
    </row>
    <row r="83" spans="1:12" s="4" customFormat="1" ht="30" hidden="1" customHeight="1" x14ac:dyDescent="0.25">
      <c r="A83" s="9"/>
      <c r="B83" s="13" t="e">
        <f>VLOOKUP(Table2456[[#This Row],[Location 
(drop-down)]],'List source'!D$2:E$71,2,FALSE)</f>
        <v>#N/A</v>
      </c>
      <c r="C83" s="17" t="s">
        <v>227</v>
      </c>
      <c r="D83" s="21" t="e">
        <f t="shared" si="2"/>
        <v>#N/A</v>
      </c>
      <c r="E83" s="21" t="e">
        <f>VLOOKUP(Table2456[[#This Row],[Location 
(drop-down)]],Table1[#All],3,FALSE)</f>
        <v>#N/A</v>
      </c>
      <c r="F83" s="38"/>
      <c r="G83" s="38"/>
      <c r="H83" s="38"/>
      <c r="I83" s="29"/>
      <c r="J83" s="10"/>
      <c r="K83" s="10"/>
      <c r="L83" s="10"/>
    </row>
    <row r="84" spans="1:12" s="4" customFormat="1" ht="30" hidden="1" customHeight="1" x14ac:dyDescent="0.25">
      <c r="A84" s="9"/>
      <c r="B84" s="13" t="e">
        <f>VLOOKUP(Table2456[[#This Row],[Location 
(drop-down)]],'List source'!D$2:E$71,2,FALSE)</f>
        <v>#N/A</v>
      </c>
      <c r="C84" s="17" t="s">
        <v>230</v>
      </c>
      <c r="D84" s="21" t="e">
        <f t="shared" si="2"/>
        <v>#N/A</v>
      </c>
      <c r="E84" s="21" t="e">
        <f>VLOOKUP(Table2456[[#This Row],[Location 
(drop-down)]],Table1[#All],3,FALSE)</f>
        <v>#N/A</v>
      </c>
      <c r="F84" s="38"/>
      <c r="G84" s="38"/>
      <c r="H84" s="38"/>
      <c r="I84" s="29"/>
      <c r="J84" s="10"/>
      <c r="K84" s="10"/>
      <c r="L84" s="9"/>
    </row>
    <row r="85" spans="1:12" s="4" customFormat="1" ht="30" hidden="1" customHeight="1" x14ac:dyDescent="0.25">
      <c r="A85" s="9"/>
      <c r="B85" s="13" t="e">
        <f>VLOOKUP(Table2456[[#This Row],[Location 
(drop-down)]],'List source'!D$2:E$71,2,FALSE)</f>
        <v>#N/A</v>
      </c>
      <c r="C85" s="17" t="s">
        <v>233</v>
      </c>
      <c r="D85" s="21" t="e">
        <f t="shared" si="2"/>
        <v>#N/A</v>
      </c>
      <c r="E85" s="21" t="e">
        <f>VLOOKUP(Table2456[[#This Row],[Location 
(drop-down)]],Table1[#All],3,FALSE)</f>
        <v>#N/A</v>
      </c>
      <c r="F85" s="29"/>
      <c r="G85" s="29"/>
      <c r="H85" s="29"/>
      <c r="I85" s="29"/>
      <c r="J85" s="10"/>
      <c r="K85" s="10"/>
      <c r="L85" s="10"/>
    </row>
    <row r="86" spans="1:12" s="4" customFormat="1" ht="30" hidden="1" customHeight="1" x14ac:dyDescent="0.25">
      <c r="A86" s="9"/>
      <c r="B86" s="13" t="e">
        <f>VLOOKUP(Table2456[[#This Row],[Location 
(drop-down)]],'List source'!D$2:E$71,2,FALSE)</f>
        <v>#N/A</v>
      </c>
      <c r="C86" s="17" t="s">
        <v>238</v>
      </c>
      <c r="D86" s="21" t="e">
        <f t="shared" si="2"/>
        <v>#N/A</v>
      </c>
      <c r="E86" s="21" t="e">
        <f>VLOOKUP(Table2456[[#This Row],[Location 
(drop-down)]],Table1[#All],3,FALSE)</f>
        <v>#N/A</v>
      </c>
      <c r="F86" s="29"/>
      <c r="G86" s="29"/>
      <c r="H86" s="29"/>
      <c r="I86" s="29"/>
      <c r="J86" s="10"/>
      <c r="K86" s="10"/>
      <c r="L86" s="9"/>
    </row>
    <row r="87" spans="1:12" s="4" customFormat="1" ht="30" hidden="1" customHeight="1" x14ac:dyDescent="0.25">
      <c r="A87" s="9"/>
      <c r="B87" s="13" t="e">
        <f>VLOOKUP(Table2456[[#This Row],[Location 
(drop-down)]],'List source'!D$2:E$71,2,FALSE)</f>
        <v>#N/A</v>
      </c>
      <c r="C87" s="17" t="s">
        <v>240</v>
      </c>
      <c r="D87" s="21" t="e">
        <f t="shared" si="2"/>
        <v>#N/A</v>
      </c>
      <c r="E87" s="21" t="e">
        <f>VLOOKUP(Table2456[[#This Row],[Location 
(drop-down)]],Table1[#All],3,FALSE)</f>
        <v>#N/A</v>
      </c>
      <c r="F87" s="29"/>
      <c r="G87" s="29"/>
      <c r="H87" s="29"/>
      <c r="I87" s="29"/>
      <c r="J87" s="10"/>
      <c r="K87" s="10"/>
      <c r="L87" s="10"/>
    </row>
    <row r="88" spans="1:12" s="4" customFormat="1" ht="30" hidden="1" customHeight="1" x14ac:dyDescent="0.25">
      <c r="A88" s="9"/>
      <c r="B88" s="13" t="e">
        <f>VLOOKUP(Table2456[[#This Row],[Location 
(drop-down)]],'List source'!D$2:E$71,2,FALSE)</f>
        <v>#N/A</v>
      </c>
      <c r="C88" s="17" t="s">
        <v>242</v>
      </c>
      <c r="D88" s="21" t="e">
        <f t="shared" si="2"/>
        <v>#N/A</v>
      </c>
      <c r="E88" s="21" t="e">
        <f>VLOOKUP(Table2456[[#This Row],[Location 
(drop-down)]],Table1[#All],3,FALSE)</f>
        <v>#N/A</v>
      </c>
      <c r="F88" s="29"/>
      <c r="G88" s="29"/>
      <c r="H88" s="29"/>
      <c r="I88" s="29"/>
      <c r="J88" s="10"/>
      <c r="K88" s="10"/>
      <c r="L88" s="10"/>
    </row>
    <row r="89" spans="1:12" s="4" customFormat="1" ht="30" hidden="1" customHeight="1" x14ac:dyDescent="0.25">
      <c r="A89" s="9"/>
      <c r="B89" s="13" t="e">
        <f>VLOOKUP(Table2456[[#This Row],[Location 
(drop-down)]],'List source'!D$2:E$71,2,FALSE)</f>
        <v>#N/A</v>
      </c>
      <c r="C89" s="17" t="s">
        <v>245</v>
      </c>
      <c r="D89" s="21" t="e">
        <f t="shared" si="2"/>
        <v>#N/A</v>
      </c>
      <c r="E89" s="21" t="e">
        <f>VLOOKUP(Table2456[[#This Row],[Location 
(drop-down)]],Table1[#All],3,FALSE)</f>
        <v>#N/A</v>
      </c>
      <c r="F89" s="29"/>
      <c r="G89" s="29"/>
      <c r="H89" s="29"/>
      <c r="I89" s="29"/>
      <c r="J89" s="10"/>
      <c r="K89" s="10"/>
      <c r="L89" s="10"/>
    </row>
    <row r="90" spans="1:12" s="4" customFormat="1" ht="30" hidden="1" customHeight="1" x14ac:dyDescent="0.25">
      <c r="A90" s="9"/>
      <c r="B90" s="13" t="e">
        <f>VLOOKUP(Table2456[[#This Row],[Location 
(drop-down)]],'List source'!D$2:E$71,2,FALSE)</f>
        <v>#N/A</v>
      </c>
      <c r="C90" s="17" t="s">
        <v>247</v>
      </c>
      <c r="D90" s="21" t="e">
        <f t="shared" si="2"/>
        <v>#N/A</v>
      </c>
      <c r="E90" s="21" t="e">
        <f>VLOOKUP(Table2456[[#This Row],[Location 
(drop-down)]],Table1[#All],3,FALSE)</f>
        <v>#N/A</v>
      </c>
      <c r="F90" s="38"/>
      <c r="G90" s="38"/>
      <c r="H90" s="38"/>
      <c r="I90" s="38"/>
      <c r="J90" s="10"/>
      <c r="K90" s="10"/>
      <c r="L90" s="10"/>
    </row>
    <row r="91" spans="1:12" s="4" customFormat="1" ht="30" hidden="1" customHeight="1" x14ac:dyDescent="0.25">
      <c r="A91" s="9"/>
      <c r="B91" s="13" t="e">
        <f>VLOOKUP(Table2456[[#This Row],[Location 
(drop-down)]],'List source'!D$2:E$71,2,FALSE)</f>
        <v>#N/A</v>
      </c>
      <c r="C91" s="17" t="s">
        <v>250</v>
      </c>
      <c r="D91" s="21" t="e">
        <f t="shared" si="2"/>
        <v>#N/A</v>
      </c>
      <c r="E91" s="21" t="e">
        <f>VLOOKUP(Table2456[[#This Row],[Location 
(drop-down)]],Table1[#All],3,FALSE)</f>
        <v>#N/A</v>
      </c>
      <c r="F91" s="38"/>
      <c r="G91" s="38"/>
      <c r="H91" s="38"/>
      <c r="I91" s="29"/>
      <c r="J91" s="10"/>
      <c r="K91" s="69"/>
      <c r="L91" s="76"/>
    </row>
    <row r="92" spans="1:12" s="4" customFormat="1" ht="30" hidden="1" customHeight="1" x14ac:dyDescent="0.25">
      <c r="A92" s="9"/>
      <c r="B92" s="13" t="e">
        <f>VLOOKUP(Table2456[[#This Row],[Location 
(drop-down)]],'List source'!D$2:E$71,2,FALSE)</f>
        <v>#N/A</v>
      </c>
      <c r="C92" s="17" t="s">
        <v>251</v>
      </c>
      <c r="D92" s="21" t="e">
        <f t="shared" si="2"/>
        <v>#N/A</v>
      </c>
      <c r="E92" s="21" t="e">
        <f>VLOOKUP(Table2456[[#This Row],[Location 
(drop-down)]],Table1[#All],3,FALSE)</f>
        <v>#N/A</v>
      </c>
      <c r="F92" s="38"/>
      <c r="G92" s="38"/>
      <c r="H92" s="38"/>
      <c r="I92" s="29"/>
      <c r="J92" s="10"/>
      <c r="K92" s="69"/>
      <c r="L92" s="76"/>
    </row>
    <row r="93" spans="1:12" s="4" customFormat="1" ht="30" hidden="1" customHeight="1" x14ac:dyDescent="0.25">
      <c r="A93" s="9"/>
      <c r="B93" s="13" t="e">
        <f>VLOOKUP(Table2456[[#This Row],[Location 
(drop-down)]],'List source'!D$2:E$71,2,FALSE)</f>
        <v>#N/A</v>
      </c>
      <c r="C93" s="17" t="s">
        <v>255</v>
      </c>
      <c r="D93" s="21" t="e">
        <f t="shared" si="2"/>
        <v>#N/A</v>
      </c>
      <c r="E93" s="21" t="e">
        <f>VLOOKUP(Table2456[[#This Row],[Location 
(drop-down)]],Table1[#All],3,FALSE)</f>
        <v>#N/A</v>
      </c>
      <c r="F93" s="38"/>
      <c r="G93" s="38"/>
      <c r="H93" s="38"/>
      <c r="I93" s="29"/>
      <c r="J93" s="10"/>
      <c r="K93" s="10"/>
      <c r="L93" s="9"/>
    </row>
    <row r="94" spans="1:12" s="4" customFormat="1" ht="30" hidden="1" customHeight="1" x14ac:dyDescent="0.25">
      <c r="A94" s="9"/>
      <c r="B94" s="13" t="e">
        <f>VLOOKUP(Table2456[[#This Row],[Location 
(drop-down)]],'List source'!D$2:E$71,2,FALSE)</f>
        <v>#N/A</v>
      </c>
      <c r="C94" s="17" t="s">
        <v>258</v>
      </c>
      <c r="D94" s="21" t="e">
        <f t="shared" si="2"/>
        <v>#N/A</v>
      </c>
      <c r="E94" s="21" t="e">
        <f>VLOOKUP(Table2456[[#This Row],[Location 
(drop-down)]],Table1[#All],3,FALSE)</f>
        <v>#N/A</v>
      </c>
      <c r="F94" s="29"/>
      <c r="G94" s="29"/>
      <c r="H94" s="29"/>
      <c r="I94" s="29"/>
      <c r="J94" s="10"/>
      <c r="K94" s="88"/>
      <c r="L94" s="65"/>
    </row>
    <row r="95" spans="1:12" s="4" customFormat="1" ht="30" hidden="1" customHeight="1" x14ac:dyDescent="0.25">
      <c r="A95" s="9"/>
      <c r="B95" s="13" t="e">
        <f>VLOOKUP(Table2456[[#This Row],[Location 
(drop-down)]],'List source'!D$2:E$71,2,FALSE)</f>
        <v>#N/A</v>
      </c>
      <c r="C95" s="17" t="s">
        <v>259</v>
      </c>
      <c r="D95" s="21" t="e">
        <f t="shared" si="2"/>
        <v>#N/A</v>
      </c>
      <c r="E95" s="21" t="e">
        <f>VLOOKUP(Table2456[[#This Row],[Location 
(drop-down)]],Table1[#All],3,FALSE)</f>
        <v>#N/A</v>
      </c>
      <c r="F95" s="29"/>
      <c r="G95" s="29"/>
      <c r="H95" s="29"/>
      <c r="I95" s="29"/>
      <c r="J95" s="10"/>
      <c r="K95" s="10"/>
      <c r="L95" s="10"/>
    </row>
    <row r="96" spans="1:12" s="4" customFormat="1" ht="30" hidden="1" customHeight="1" x14ac:dyDescent="0.25">
      <c r="A96" s="9"/>
      <c r="B96" s="13" t="e">
        <f>VLOOKUP(Table2456[[#This Row],[Location 
(drop-down)]],'List source'!D$2:E$71,2,FALSE)</f>
        <v>#N/A</v>
      </c>
      <c r="C96" s="17" t="s">
        <v>261</v>
      </c>
      <c r="D96" s="21" t="e">
        <f t="shared" si="2"/>
        <v>#N/A</v>
      </c>
      <c r="E96" s="21" t="e">
        <f>VLOOKUP(Table2456[[#This Row],[Location 
(drop-down)]],Table1[#All],3,FALSE)</f>
        <v>#N/A</v>
      </c>
      <c r="F96" s="29"/>
      <c r="G96" s="29"/>
      <c r="H96" s="29"/>
      <c r="I96" s="29"/>
      <c r="J96" s="10"/>
      <c r="K96" s="10"/>
      <c r="L96" s="10"/>
    </row>
    <row r="97" spans="1:12" s="4" customFormat="1" ht="30" hidden="1" customHeight="1" x14ac:dyDescent="0.25">
      <c r="A97" s="9"/>
      <c r="B97" s="13" t="e">
        <f>VLOOKUP(Table2456[[#This Row],[Location 
(drop-down)]],'List source'!D$2:E$71,2,FALSE)</f>
        <v>#N/A</v>
      </c>
      <c r="C97" s="17" t="s">
        <v>263</v>
      </c>
      <c r="D97" s="21" t="e">
        <f t="shared" si="2"/>
        <v>#N/A</v>
      </c>
      <c r="E97" s="21" t="e">
        <f>VLOOKUP(Table2456[[#This Row],[Location 
(drop-down)]],Table1[#All],3,FALSE)</f>
        <v>#N/A</v>
      </c>
      <c r="F97" s="29"/>
      <c r="G97" s="29"/>
      <c r="H97" s="29"/>
      <c r="I97" s="29"/>
      <c r="J97" s="10"/>
      <c r="K97" s="10"/>
      <c r="L97" s="10"/>
    </row>
    <row r="98" spans="1:12" s="4" customFormat="1" ht="30" hidden="1" customHeight="1" x14ac:dyDescent="0.25">
      <c r="A98" s="9"/>
      <c r="B98" s="13" t="e">
        <f>VLOOKUP(Table2456[[#This Row],[Location 
(drop-down)]],'List source'!D$2:E$71,2,FALSE)</f>
        <v>#N/A</v>
      </c>
      <c r="C98" s="17" t="s">
        <v>266</v>
      </c>
      <c r="D98" s="21" t="e">
        <f t="shared" ref="D98:D129" si="3">"CAF" &amp; C98 &amp; "-" &amp; B98 &amp; "-" &amp; "25"</f>
        <v>#N/A</v>
      </c>
      <c r="E98" s="21" t="e">
        <f>VLOOKUP(Table2456[[#This Row],[Location 
(drop-down)]],Table1[#All],3,FALSE)</f>
        <v>#N/A</v>
      </c>
      <c r="F98" s="29"/>
      <c r="G98" s="29"/>
      <c r="H98" s="29"/>
      <c r="I98" s="29"/>
      <c r="J98" s="10"/>
      <c r="K98" s="10"/>
      <c r="L98" s="10"/>
    </row>
    <row r="99" spans="1:12" s="4" customFormat="1" ht="30" hidden="1" customHeight="1" x14ac:dyDescent="0.25">
      <c r="A99" s="9"/>
      <c r="B99" s="13" t="e">
        <f>VLOOKUP(Table2456[[#This Row],[Location 
(drop-down)]],'List source'!D$2:E$71,2,FALSE)</f>
        <v>#N/A</v>
      </c>
      <c r="C99" s="17" t="s">
        <v>269</v>
      </c>
      <c r="D99" s="21" t="e">
        <f t="shared" si="3"/>
        <v>#N/A</v>
      </c>
      <c r="E99" s="21" t="e">
        <f>VLOOKUP(Table2456[[#This Row],[Location 
(drop-down)]],Table1[#All],3,FALSE)</f>
        <v>#N/A</v>
      </c>
      <c r="F99" s="29"/>
      <c r="G99" s="29"/>
      <c r="H99" s="29"/>
      <c r="I99" s="29"/>
      <c r="J99" s="10"/>
      <c r="K99" s="10"/>
      <c r="L99" s="10"/>
    </row>
    <row r="100" spans="1:12" s="4" customFormat="1" ht="30" hidden="1" customHeight="1" x14ac:dyDescent="0.25">
      <c r="A100" s="9"/>
      <c r="B100" s="13" t="e">
        <f>VLOOKUP(Table2456[[#This Row],[Location 
(drop-down)]],'List source'!D$2:E$71,2,FALSE)</f>
        <v>#N/A</v>
      </c>
      <c r="C100" s="17" t="s">
        <v>271</v>
      </c>
      <c r="D100" s="21" t="e">
        <f t="shared" si="3"/>
        <v>#N/A</v>
      </c>
      <c r="E100" s="21" t="e">
        <f>VLOOKUP(Table2456[[#This Row],[Location 
(drop-down)]],Table1[#All],3,FALSE)</f>
        <v>#N/A</v>
      </c>
      <c r="F100" s="29"/>
      <c r="G100" s="29"/>
      <c r="H100" s="29"/>
      <c r="I100" s="29"/>
      <c r="J100" s="10"/>
      <c r="K100" s="10"/>
      <c r="L100" s="10"/>
    </row>
    <row r="101" spans="1:12" s="4" customFormat="1" ht="30" hidden="1" customHeight="1" x14ac:dyDescent="0.25">
      <c r="A101" s="9"/>
      <c r="B101" s="13" t="e">
        <f>VLOOKUP(Table2456[[#This Row],[Location 
(drop-down)]],'List source'!D$2:E$71,2,FALSE)</f>
        <v>#N/A</v>
      </c>
      <c r="C101" s="17" t="s">
        <v>273</v>
      </c>
      <c r="D101" s="21" t="e">
        <f t="shared" si="3"/>
        <v>#N/A</v>
      </c>
      <c r="E101" s="21" t="e">
        <f>VLOOKUP(Table2456[[#This Row],[Location 
(drop-down)]],Table1[#All],3,FALSE)</f>
        <v>#N/A</v>
      </c>
      <c r="F101" s="29"/>
      <c r="G101" s="29"/>
      <c r="H101" s="29"/>
      <c r="I101" s="29"/>
      <c r="J101" s="10"/>
      <c r="K101" s="10"/>
      <c r="L101" s="10"/>
    </row>
    <row r="102" spans="1:12" s="4" customFormat="1" ht="30" hidden="1" customHeight="1" x14ac:dyDescent="0.25">
      <c r="A102" s="9"/>
      <c r="B102" s="13" t="e">
        <f>VLOOKUP(Table2456[[#This Row],[Location 
(drop-down)]],'List source'!D$2:E$71,2,FALSE)</f>
        <v>#N/A</v>
      </c>
      <c r="C102" s="17" t="s">
        <v>274</v>
      </c>
      <c r="D102" s="21" t="e">
        <f t="shared" si="3"/>
        <v>#N/A</v>
      </c>
      <c r="E102" s="21" t="e">
        <f>VLOOKUP(Table2456[[#This Row],[Location 
(drop-down)]],Table1[#All],3,FALSE)</f>
        <v>#N/A</v>
      </c>
      <c r="F102" s="29"/>
      <c r="G102" s="29"/>
      <c r="H102" s="29"/>
      <c r="I102" s="29"/>
      <c r="J102" s="10"/>
      <c r="K102" s="10"/>
      <c r="L102" s="10"/>
    </row>
    <row r="103" spans="1:12" s="4" customFormat="1" ht="30" hidden="1" customHeight="1" x14ac:dyDescent="0.25">
      <c r="A103" s="9"/>
      <c r="B103" s="13" t="e">
        <f>VLOOKUP(Table2456[[#This Row],[Location 
(drop-down)]],'List source'!D$2:E$71,2,FALSE)</f>
        <v>#N/A</v>
      </c>
      <c r="C103" s="17" t="s">
        <v>275</v>
      </c>
      <c r="D103" s="21" t="e">
        <f t="shared" si="3"/>
        <v>#N/A</v>
      </c>
      <c r="E103" s="21" t="e">
        <f>VLOOKUP(Table2456[[#This Row],[Location 
(drop-down)]],Table1[#All],3,FALSE)</f>
        <v>#N/A</v>
      </c>
      <c r="F103" s="29"/>
      <c r="G103" s="29"/>
      <c r="H103" s="29"/>
      <c r="I103" s="29"/>
      <c r="J103" s="10"/>
      <c r="K103" s="10"/>
      <c r="L103" s="10"/>
    </row>
    <row r="104" spans="1:12" s="4" customFormat="1" ht="30" hidden="1" customHeight="1" x14ac:dyDescent="0.25">
      <c r="A104" s="9"/>
      <c r="B104" s="13" t="e">
        <f>VLOOKUP(Table2456[[#This Row],[Location 
(drop-down)]],'List source'!D$2:E$71,2,FALSE)</f>
        <v>#N/A</v>
      </c>
      <c r="C104" s="17" t="s">
        <v>279</v>
      </c>
      <c r="D104" s="21" t="e">
        <f t="shared" si="3"/>
        <v>#N/A</v>
      </c>
      <c r="E104" s="21" t="e">
        <f>VLOOKUP(Table2456[[#This Row],[Location 
(drop-down)]],Table1[#All],3,FALSE)</f>
        <v>#N/A</v>
      </c>
      <c r="F104" s="29"/>
      <c r="G104" s="29"/>
      <c r="H104" s="29"/>
      <c r="I104" s="29"/>
      <c r="J104" s="10"/>
      <c r="K104" s="10"/>
      <c r="L104" s="10"/>
    </row>
    <row r="105" spans="1:12" s="4" customFormat="1" ht="30" hidden="1" customHeight="1" x14ac:dyDescent="0.25">
      <c r="A105" s="9"/>
      <c r="B105" s="13" t="e">
        <f>VLOOKUP(Table2456[[#This Row],[Location 
(drop-down)]],'List source'!D$2:E$71,2,FALSE)</f>
        <v>#N/A</v>
      </c>
      <c r="C105" s="17" t="s">
        <v>282</v>
      </c>
      <c r="D105" s="21" t="e">
        <f t="shared" si="3"/>
        <v>#N/A</v>
      </c>
      <c r="E105" s="21" t="e">
        <f>VLOOKUP(Table2456[[#This Row],[Location 
(drop-down)]],Table1[#All],3,FALSE)</f>
        <v>#N/A</v>
      </c>
      <c r="F105" s="29"/>
      <c r="G105" s="29"/>
      <c r="H105" s="29"/>
      <c r="I105" s="29"/>
      <c r="J105" s="10"/>
      <c r="K105" s="10"/>
      <c r="L105" s="10"/>
    </row>
    <row r="106" spans="1:12" s="4" customFormat="1" ht="30" hidden="1" customHeight="1" x14ac:dyDescent="0.25">
      <c r="A106" s="9"/>
      <c r="B106" s="13" t="e">
        <f>VLOOKUP(Table2456[[#This Row],[Location 
(drop-down)]],'List source'!D$2:E$71,2,FALSE)</f>
        <v>#N/A</v>
      </c>
      <c r="C106" s="17" t="s">
        <v>283</v>
      </c>
      <c r="D106" s="21" t="e">
        <f t="shared" si="3"/>
        <v>#N/A</v>
      </c>
      <c r="E106" s="21" t="e">
        <f>VLOOKUP(Table2456[[#This Row],[Location 
(drop-down)]],Table1[#All],3,FALSE)</f>
        <v>#N/A</v>
      </c>
      <c r="F106" s="29"/>
      <c r="G106" s="29"/>
      <c r="H106" s="29"/>
      <c r="I106" s="29"/>
      <c r="J106" s="10"/>
      <c r="K106" s="10"/>
      <c r="L106" s="10"/>
    </row>
    <row r="107" spans="1:12" s="4" customFormat="1" ht="30" hidden="1" customHeight="1" x14ac:dyDescent="0.25">
      <c r="A107" s="9"/>
      <c r="B107" s="13" t="e">
        <f>VLOOKUP(Table2456[[#This Row],[Location 
(drop-down)]],'List source'!D$2:E$71,2,FALSE)</f>
        <v>#N/A</v>
      </c>
      <c r="C107" s="17" t="s">
        <v>285</v>
      </c>
      <c r="D107" s="21" t="e">
        <f t="shared" si="3"/>
        <v>#N/A</v>
      </c>
      <c r="E107" s="21" t="e">
        <f>VLOOKUP(Table2456[[#This Row],[Location 
(drop-down)]],Table1[#All],3,FALSE)</f>
        <v>#N/A</v>
      </c>
      <c r="F107" s="29"/>
      <c r="G107" s="29"/>
      <c r="H107" s="29"/>
      <c r="I107" s="29"/>
      <c r="J107" s="10"/>
      <c r="K107" s="10"/>
      <c r="L107" s="10"/>
    </row>
    <row r="108" spans="1:12" s="4" customFormat="1" ht="30" hidden="1" customHeight="1" x14ac:dyDescent="0.25">
      <c r="A108" s="9"/>
      <c r="B108" s="13" t="e">
        <f>VLOOKUP(Table2456[[#This Row],[Location 
(drop-down)]],'List source'!D$2:E$71,2,FALSE)</f>
        <v>#N/A</v>
      </c>
      <c r="C108" s="17" t="s">
        <v>288</v>
      </c>
      <c r="D108" s="21" t="e">
        <f t="shared" si="3"/>
        <v>#N/A</v>
      </c>
      <c r="E108" s="21" t="e">
        <f>VLOOKUP(Table2456[[#This Row],[Location 
(drop-down)]],Table1[#All],3,FALSE)</f>
        <v>#N/A</v>
      </c>
      <c r="F108" s="29"/>
      <c r="G108" s="29"/>
      <c r="H108" s="29"/>
      <c r="I108" s="29"/>
      <c r="J108" s="10"/>
      <c r="K108" s="10"/>
      <c r="L108" s="10"/>
    </row>
    <row r="109" spans="1:12" s="4" customFormat="1" ht="30" hidden="1" customHeight="1" x14ac:dyDescent="0.25">
      <c r="A109" s="9"/>
      <c r="B109" s="13" t="e">
        <f>VLOOKUP(Table2456[[#This Row],[Location 
(drop-down)]],'List source'!D$2:E$71,2,FALSE)</f>
        <v>#N/A</v>
      </c>
      <c r="C109" s="17" t="s">
        <v>290</v>
      </c>
      <c r="D109" s="21" t="e">
        <f t="shared" si="3"/>
        <v>#N/A</v>
      </c>
      <c r="E109" s="21" t="e">
        <f>VLOOKUP(Table2456[[#This Row],[Location 
(drop-down)]],Table1[#All],3,FALSE)</f>
        <v>#N/A</v>
      </c>
      <c r="F109" s="29"/>
      <c r="G109" s="29"/>
      <c r="H109" s="29"/>
      <c r="I109" s="29"/>
      <c r="J109" s="10"/>
      <c r="K109" s="10"/>
      <c r="L109" s="10"/>
    </row>
    <row r="110" spans="1:12" s="4" customFormat="1" ht="30" hidden="1" customHeight="1" x14ac:dyDescent="0.25">
      <c r="A110" s="9"/>
      <c r="B110" s="13" t="e">
        <f>VLOOKUP(Table2456[[#This Row],[Location 
(drop-down)]],'List source'!D$2:E$71,2,FALSE)</f>
        <v>#N/A</v>
      </c>
      <c r="C110" s="17" t="s">
        <v>291</v>
      </c>
      <c r="D110" s="21" t="e">
        <f t="shared" si="3"/>
        <v>#N/A</v>
      </c>
      <c r="E110" s="21" t="e">
        <f>VLOOKUP(Table2456[[#This Row],[Location 
(drop-down)]],Table1[#All],3,FALSE)</f>
        <v>#N/A</v>
      </c>
      <c r="F110" s="29"/>
      <c r="G110" s="29"/>
      <c r="H110" s="29"/>
      <c r="I110" s="29"/>
      <c r="J110" s="10"/>
      <c r="K110" s="10"/>
      <c r="L110" s="10"/>
    </row>
    <row r="111" spans="1:12" s="4" customFormat="1" ht="30" hidden="1" customHeight="1" x14ac:dyDescent="0.25">
      <c r="A111" s="9"/>
      <c r="B111" s="13" t="e">
        <f>VLOOKUP(Table2456[[#This Row],[Location 
(drop-down)]],'List source'!D$2:E$71,2,FALSE)</f>
        <v>#N/A</v>
      </c>
      <c r="C111" s="17" t="s">
        <v>294</v>
      </c>
      <c r="D111" s="21" t="e">
        <f t="shared" si="3"/>
        <v>#N/A</v>
      </c>
      <c r="E111" s="21" t="e">
        <f>VLOOKUP(Table2456[[#This Row],[Location 
(drop-down)]],Table1[#All],3,FALSE)</f>
        <v>#N/A</v>
      </c>
      <c r="F111" s="29"/>
      <c r="G111" s="29"/>
      <c r="H111" s="29"/>
      <c r="I111" s="29"/>
      <c r="J111" s="10"/>
      <c r="K111" s="10"/>
      <c r="L111" s="10"/>
    </row>
    <row r="112" spans="1:12" s="4" customFormat="1" ht="30" hidden="1" customHeight="1" x14ac:dyDescent="0.25">
      <c r="A112" s="9"/>
      <c r="B112" s="13" t="e">
        <f>VLOOKUP(Table2456[[#This Row],[Location 
(drop-down)]],'List source'!D$2:E$71,2,FALSE)</f>
        <v>#N/A</v>
      </c>
      <c r="C112" s="17" t="s">
        <v>297</v>
      </c>
      <c r="D112" s="21" t="e">
        <f t="shared" si="3"/>
        <v>#N/A</v>
      </c>
      <c r="E112" s="21" t="e">
        <f>VLOOKUP(Table2456[[#This Row],[Location 
(drop-down)]],Table1[#All],3,FALSE)</f>
        <v>#N/A</v>
      </c>
      <c r="F112" s="29"/>
      <c r="G112" s="29"/>
      <c r="H112" s="29"/>
      <c r="I112" s="29"/>
      <c r="J112" s="10"/>
      <c r="K112" s="10"/>
      <c r="L112" s="10"/>
    </row>
    <row r="113" spans="1:12" s="4" customFormat="1" ht="30" hidden="1" customHeight="1" x14ac:dyDescent="0.25">
      <c r="A113" s="9"/>
      <c r="B113" s="13" t="e">
        <f>VLOOKUP(Table2456[[#This Row],[Location 
(drop-down)]],'List source'!D$2:E$71,2,FALSE)</f>
        <v>#N/A</v>
      </c>
      <c r="C113" s="17" t="s">
        <v>299</v>
      </c>
      <c r="D113" s="21" t="e">
        <f t="shared" si="3"/>
        <v>#N/A</v>
      </c>
      <c r="E113" s="21" t="e">
        <f>VLOOKUP(Table2456[[#This Row],[Location 
(drop-down)]],Table1[#All],3,FALSE)</f>
        <v>#N/A</v>
      </c>
      <c r="F113" s="29"/>
      <c r="G113" s="29"/>
      <c r="H113" s="29"/>
      <c r="I113" s="29"/>
      <c r="J113" s="10"/>
      <c r="K113" s="10"/>
      <c r="L113" s="10"/>
    </row>
    <row r="114" spans="1:12" s="4" customFormat="1" ht="30" hidden="1" customHeight="1" x14ac:dyDescent="0.25">
      <c r="A114" s="9"/>
      <c r="B114" s="13" t="e">
        <f>VLOOKUP(Table2456[[#This Row],[Location 
(drop-down)]],'List source'!D$2:E$71,2,FALSE)</f>
        <v>#N/A</v>
      </c>
      <c r="C114" s="17" t="s">
        <v>300</v>
      </c>
      <c r="D114" s="21" t="e">
        <f t="shared" si="3"/>
        <v>#N/A</v>
      </c>
      <c r="E114" s="21" t="e">
        <f>VLOOKUP(Table2456[[#This Row],[Location 
(drop-down)]],Table1[#All],3,FALSE)</f>
        <v>#N/A</v>
      </c>
      <c r="F114" s="29"/>
      <c r="G114" s="29"/>
      <c r="H114" s="29"/>
      <c r="I114" s="29"/>
      <c r="J114" s="10"/>
      <c r="K114" s="10"/>
      <c r="L114" s="10"/>
    </row>
    <row r="115" spans="1:12" s="4" customFormat="1" ht="30" hidden="1" customHeight="1" x14ac:dyDescent="0.25">
      <c r="A115" s="9"/>
      <c r="B115" s="13" t="e">
        <f>VLOOKUP(Table2456[[#This Row],[Location 
(drop-down)]],'List source'!D$2:E$71,2,FALSE)</f>
        <v>#N/A</v>
      </c>
      <c r="C115" s="17" t="s">
        <v>301</v>
      </c>
      <c r="D115" s="21" t="e">
        <f t="shared" si="3"/>
        <v>#N/A</v>
      </c>
      <c r="E115" s="21" t="e">
        <f>VLOOKUP(Table2456[[#This Row],[Location 
(drop-down)]],Table1[#All],3,FALSE)</f>
        <v>#N/A</v>
      </c>
      <c r="F115" s="29"/>
      <c r="G115" s="29"/>
      <c r="H115" s="29"/>
      <c r="I115" s="29"/>
      <c r="J115" s="10"/>
      <c r="K115" s="10"/>
      <c r="L115" s="10"/>
    </row>
    <row r="116" spans="1:12" s="4" customFormat="1" ht="30" hidden="1" customHeight="1" x14ac:dyDescent="0.25">
      <c r="A116" s="9"/>
      <c r="B116" s="13" t="e">
        <f>VLOOKUP(Table2456[[#This Row],[Location 
(drop-down)]],'List source'!D$2:E$71,2,FALSE)</f>
        <v>#N/A</v>
      </c>
      <c r="C116" s="17" t="s">
        <v>303</v>
      </c>
      <c r="D116" s="21" t="e">
        <f t="shared" si="3"/>
        <v>#N/A</v>
      </c>
      <c r="E116" s="21" t="e">
        <f>VLOOKUP(Table2456[[#This Row],[Location 
(drop-down)]],Table1[#All],3,FALSE)</f>
        <v>#N/A</v>
      </c>
      <c r="F116" s="29"/>
      <c r="G116" s="29"/>
      <c r="H116" s="29"/>
      <c r="I116" s="29"/>
      <c r="J116" s="10"/>
      <c r="K116" s="10"/>
      <c r="L116" s="10"/>
    </row>
    <row r="117" spans="1:12" s="4" customFormat="1" ht="30" hidden="1" customHeight="1" x14ac:dyDescent="0.25">
      <c r="A117" s="9"/>
      <c r="B117" s="13" t="e">
        <f>VLOOKUP(Table2456[[#This Row],[Location 
(drop-down)]],'List source'!D$2:E$71,2,FALSE)</f>
        <v>#N/A</v>
      </c>
      <c r="C117" s="17" t="s">
        <v>304</v>
      </c>
      <c r="D117" s="21" t="e">
        <f t="shared" si="3"/>
        <v>#N/A</v>
      </c>
      <c r="E117" s="21" t="e">
        <f>VLOOKUP(Table2456[[#This Row],[Location 
(drop-down)]],Table1[#All],3,FALSE)</f>
        <v>#N/A</v>
      </c>
      <c r="F117" s="29"/>
      <c r="G117" s="29"/>
      <c r="H117" s="29"/>
      <c r="I117" s="29"/>
      <c r="J117" s="10"/>
      <c r="K117" s="10"/>
      <c r="L117" s="10"/>
    </row>
    <row r="118" spans="1:12" s="4" customFormat="1" ht="30" hidden="1" customHeight="1" x14ac:dyDescent="0.25">
      <c r="A118" s="9"/>
      <c r="B118" s="13" t="e">
        <f>VLOOKUP(Table2456[[#This Row],[Location 
(drop-down)]],'List source'!D$2:E$71,2,FALSE)</f>
        <v>#N/A</v>
      </c>
      <c r="C118" s="17" t="s">
        <v>305</v>
      </c>
      <c r="D118" s="21" t="e">
        <f t="shared" si="3"/>
        <v>#N/A</v>
      </c>
      <c r="E118" s="21" t="e">
        <f>VLOOKUP(Table2456[[#This Row],[Location 
(drop-down)]],Table1[#All],3,FALSE)</f>
        <v>#N/A</v>
      </c>
      <c r="F118" s="29"/>
      <c r="G118" s="29"/>
      <c r="H118" s="29"/>
      <c r="I118" s="29"/>
      <c r="J118" s="10"/>
      <c r="K118" s="10"/>
      <c r="L118" s="10"/>
    </row>
    <row r="119" spans="1:12" s="4" customFormat="1" ht="30" hidden="1" customHeight="1" x14ac:dyDescent="0.25">
      <c r="A119" s="9"/>
      <c r="B119" s="13" t="e">
        <f>VLOOKUP(Table2456[[#This Row],[Location 
(drop-down)]],'List source'!D$2:E$71,2,FALSE)</f>
        <v>#N/A</v>
      </c>
      <c r="C119" s="17" t="s">
        <v>306</v>
      </c>
      <c r="D119" s="21" t="e">
        <f t="shared" si="3"/>
        <v>#N/A</v>
      </c>
      <c r="E119" s="21" t="e">
        <f>VLOOKUP(Table2456[[#This Row],[Location 
(drop-down)]],Table1[#All],3,FALSE)</f>
        <v>#N/A</v>
      </c>
      <c r="F119" s="29"/>
      <c r="G119" s="29"/>
      <c r="H119" s="29"/>
      <c r="I119" s="29"/>
      <c r="J119" s="10"/>
      <c r="K119" s="10"/>
      <c r="L119" s="10"/>
    </row>
    <row r="120" spans="1:12" s="4" customFormat="1" ht="30" hidden="1" customHeight="1" x14ac:dyDescent="0.25">
      <c r="A120" s="9"/>
      <c r="B120" s="13" t="e">
        <f>VLOOKUP(Table2456[[#This Row],[Location 
(drop-down)]],'List source'!D$2:E$71,2,FALSE)</f>
        <v>#N/A</v>
      </c>
      <c r="C120" s="17" t="s">
        <v>307</v>
      </c>
      <c r="D120" s="21" t="e">
        <f t="shared" si="3"/>
        <v>#N/A</v>
      </c>
      <c r="E120" s="21" t="e">
        <f>VLOOKUP(Table2456[[#This Row],[Location 
(drop-down)]],Table1[#All],3,FALSE)</f>
        <v>#N/A</v>
      </c>
      <c r="F120" s="29"/>
      <c r="G120" s="29"/>
      <c r="H120" s="29"/>
      <c r="I120" s="29"/>
      <c r="J120" s="10"/>
      <c r="K120" s="10"/>
      <c r="L120" s="10"/>
    </row>
    <row r="121" spans="1:12" s="4" customFormat="1" ht="30" hidden="1" customHeight="1" x14ac:dyDescent="0.25">
      <c r="A121" s="9"/>
      <c r="B121" s="13" t="e">
        <f>VLOOKUP(Table2456[[#This Row],[Location 
(drop-down)]],'List source'!D$2:E$71,2,FALSE)</f>
        <v>#N/A</v>
      </c>
      <c r="C121" s="17" t="s">
        <v>309</v>
      </c>
      <c r="D121" s="21" t="e">
        <f t="shared" si="3"/>
        <v>#N/A</v>
      </c>
      <c r="E121" s="21" t="e">
        <f>VLOOKUP(Table2456[[#This Row],[Location 
(drop-down)]],Table1[#All],3,FALSE)</f>
        <v>#N/A</v>
      </c>
      <c r="F121" s="29"/>
      <c r="G121" s="29"/>
      <c r="H121" s="29"/>
      <c r="I121" s="29"/>
      <c r="J121" s="10"/>
      <c r="K121" s="10"/>
      <c r="L121" s="10"/>
    </row>
    <row r="122" spans="1:12" s="4" customFormat="1" ht="30" hidden="1" customHeight="1" x14ac:dyDescent="0.25">
      <c r="A122" s="9"/>
      <c r="B122" s="13" t="e">
        <f>VLOOKUP(Table2456[[#This Row],[Location 
(drop-down)]],'List source'!D$2:E$71,2,FALSE)</f>
        <v>#N/A</v>
      </c>
      <c r="C122" s="17" t="s">
        <v>311</v>
      </c>
      <c r="D122" s="21" t="e">
        <f t="shared" si="3"/>
        <v>#N/A</v>
      </c>
      <c r="E122" s="21" t="e">
        <f>VLOOKUP(Table2456[[#This Row],[Location 
(drop-down)]],Table1[#All],3,FALSE)</f>
        <v>#N/A</v>
      </c>
      <c r="F122" s="29"/>
      <c r="G122" s="29"/>
      <c r="H122" s="29"/>
      <c r="I122" s="29"/>
      <c r="J122" s="10"/>
      <c r="K122" s="10"/>
      <c r="L122" s="10"/>
    </row>
    <row r="123" spans="1:12" s="4" customFormat="1" ht="30" hidden="1" customHeight="1" x14ac:dyDescent="0.25">
      <c r="A123" s="9"/>
      <c r="B123" s="13" t="e">
        <f>VLOOKUP(Table2456[[#This Row],[Location 
(drop-down)]],'List source'!D$2:E$71,2,FALSE)</f>
        <v>#N/A</v>
      </c>
      <c r="C123" s="17" t="s">
        <v>312</v>
      </c>
      <c r="D123" s="21" t="e">
        <f t="shared" si="3"/>
        <v>#N/A</v>
      </c>
      <c r="E123" s="21" t="e">
        <f>VLOOKUP(Table2456[[#This Row],[Location 
(drop-down)]],Table1[#All],3,FALSE)</f>
        <v>#N/A</v>
      </c>
      <c r="F123" s="29"/>
      <c r="G123" s="29"/>
      <c r="H123" s="29"/>
      <c r="I123" s="29"/>
      <c r="J123" s="10"/>
      <c r="K123" s="10"/>
      <c r="L123" s="10"/>
    </row>
    <row r="124" spans="1:12" s="4" customFormat="1" ht="30" hidden="1" customHeight="1" x14ac:dyDescent="0.25">
      <c r="A124" s="9"/>
      <c r="B124" s="13" t="e">
        <f>VLOOKUP(Table2456[[#This Row],[Location 
(drop-down)]],'List source'!D$2:E$71,2,FALSE)</f>
        <v>#N/A</v>
      </c>
      <c r="C124" s="17" t="s">
        <v>314</v>
      </c>
      <c r="D124" s="21" t="e">
        <f t="shared" si="3"/>
        <v>#N/A</v>
      </c>
      <c r="E124" s="21" t="e">
        <f>VLOOKUP(Table2456[[#This Row],[Location 
(drop-down)]],Table1[#All],3,FALSE)</f>
        <v>#N/A</v>
      </c>
      <c r="F124" s="29"/>
      <c r="G124" s="29"/>
      <c r="H124" s="29"/>
      <c r="I124" s="29"/>
      <c r="J124" s="10"/>
      <c r="K124" s="10"/>
      <c r="L124" s="10"/>
    </row>
    <row r="125" spans="1:12" s="4" customFormat="1" ht="30" hidden="1" customHeight="1" x14ac:dyDescent="0.25">
      <c r="A125" s="9"/>
      <c r="B125" s="13" t="e">
        <f>VLOOKUP(Table2456[[#This Row],[Location 
(drop-down)]],'List source'!D$2:E$71,2,FALSE)</f>
        <v>#N/A</v>
      </c>
      <c r="C125" s="17" t="s">
        <v>316</v>
      </c>
      <c r="D125" s="21" t="e">
        <f t="shared" si="3"/>
        <v>#N/A</v>
      </c>
      <c r="E125" s="21" t="e">
        <f>VLOOKUP(Table2456[[#This Row],[Location 
(drop-down)]],Table1[#All],3,FALSE)</f>
        <v>#N/A</v>
      </c>
      <c r="F125" s="29"/>
      <c r="G125" s="29"/>
      <c r="H125" s="29"/>
      <c r="I125" s="29"/>
      <c r="J125" s="10"/>
      <c r="K125" s="10"/>
      <c r="L125" s="10"/>
    </row>
    <row r="126" spans="1:12" s="4" customFormat="1" ht="30" hidden="1" customHeight="1" x14ac:dyDescent="0.25">
      <c r="A126" s="9"/>
      <c r="B126" s="13" t="e">
        <f>VLOOKUP(Table2456[[#This Row],[Location 
(drop-down)]],'List source'!D$2:E$71,2,FALSE)</f>
        <v>#N/A</v>
      </c>
      <c r="C126" s="17" t="s">
        <v>318</v>
      </c>
      <c r="D126" s="21" t="e">
        <f t="shared" si="3"/>
        <v>#N/A</v>
      </c>
      <c r="E126" s="21" t="e">
        <f>VLOOKUP(Table2456[[#This Row],[Location 
(drop-down)]],Table1[#All],3,FALSE)</f>
        <v>#N/A</v>
      </c>
      <c r="F126" s="29"/>
      <c r="G126" s="29"/>
      <c r="H126" s="29"/>
      <c r="I126" s="29"/>
      <c r="J126" s="10"/>
      <c r="K126" s="10"/>
      <c r="L126" s="10"/>
    </row>
    <row r="127" spans="1:12" s="4" customFormat="1" ht="30" hidden="1" customHeight="1" x14ac:dyDescent="0.25">
      <c r="A127" s="9"/>
      <c r="B127" s="13" t="e">
        <f>VLOOKUP(Table2456[[#This Row],[Location 
(drop-down)]],'List source'!D$2:E$71,2,FALSE)</f>
        <v>#N/A</v>
      </c>
      <c r="C127" s="17" t="s">
        <v>320</v>
      </c>
      <c r="D127" s="21" t="e">
        <f t="shared" si="3"/>
        <v>#N/A</v>
      </c>
      <c r="E127" s="21" t="e">
        <f>VLOOKUP(Table2456[[#This Row],[Location 
(drop-down)]],Table1[#All],3,FALSE)</f>
        <v>#N/A</v>
      </c>
      <c r="F127" s="29"/>
      <c r="G127" s="29"/>
      <c r="H127" s="29"/>
      <c r="I127" s="29"/>
      <c r="J127" s="10"/>
      <c r="K127" s="10"/>
      <c r="L127" s="10"/>
    </row>
    <row r="128" spans="1:12" s="4" customFormat="1" ht="30" hidden="1" customHeight="1" x14ac:dyDescent="0.25">
      <c r="A128" s="9"/>
      <c r="B128" s="13" t="e">
        <f>VLOOKUP(Table2456[[#This Row],[Location 
(drop-down)]],'List source'!D$2:E$71,2,FALSE)</f>
        <v>#N/A</v>
      </c>
      <c r="C128" s="17" t="s">
        <v>321</v>
      </c>
      <c r="D128" s="21" t="e">
        <f t="shared" si="3"/>
        <v>#N/A</v>
      </c>
      <c r="E128" s="21" t="e">
        <f>VLOOKUP(Table2456[[#This Row],[Location 
(drop-down)]],Table1[#All],3,FALSE)</f>
        <v>#N/A</v>
      </c>
      <c r="F128" s="29"/>
      <c r="G128" s="29"/>
      <c r="H128" s="29"/>
      <c r="I128" s="29"/>
      <c r="J128" s="10"/>
      <c r="K128" s="10"/>
      <c r="L128" s="10"/>
    </row>
    <row r="129" spans="1:12" s="4" customFormat="1" ht="30" hidden="1" customHeight="1" x14ac:dyDescent="0.25">
      <c r="A129" s="9"/>
      <c r="B129" s="13" t="e">
        <f>VLOOKUP(Table2456[[#This Row],[Location 
(drop-down)]],'List source'!D$2:E$71,2,FALSE)</f>
        <v>#N/A</v>
      </c>
      <c r="C129" s="17" t="s">
        <v>322</v>
      </c>
      <c r="D129" s="21" t="e">
        <f t="shared" si="3"/>
        <v>#N/A</v>
      </c>
      <c r="E129" s="21" t="e">
        <f>VLOOKUP(Table2456[[#This Row],[Location 
(drop-down)]],Table1[#All],3,FALSE)</f>
        <v>#N/A</v>
      </c>
      <c r="F129" s="29"/>
      <c r="G129" s="29"/>
      <c r="H129" s="29"/>
      <c r="I129" s="29"/>
      <c r="J129" s="10"/>
      <c r="K129" s="10"/>
      <c r="L129" s="10"/>
    </row>
    <row r="130" spans="1:12" s="4" customFormat="1" ht="30" hidden="1" customHeight="1" x14ac:dyDescent="0.25">
      <c r="A130" s="9"/>
      <c r="B130" s="13" t="e">
        <f>VLOOKUP(Table2456[[#This Row],[Location 
(drop-down)]],'List source'!D$2:E$71,2,FALSE)</f>
        <v>#N/A</v>
      </c>
      <c r="C130" s="17" t="s">
        <v>324</v>
      </c>
      <c r="D130" s="21" t="e">
        <f t="shared" ref="D130:D151" si="4">"CAF" &amp; C130 &amp; "-" &amp; B130 &amp; "-" &amp; "25"</f>
        <v>#N/A</v>
      </c>
      <c r="E130" s="21" t="e">
        <f>VLOOKUP(Table2456[[#This Row],[Location 
(drop-down)]],Table1[#All],3,FALSE)</f>
        <v>#N/A</v>
      </c>
      <c r="F130" s="29"/>
      <c r="G130" s="29"/>
      <c r="H130" s="29"/>
      <c r="I130" s="29"/>
      <c r="J130" s="10"/>
      <c r="K130" s="10"/>
      <c r="L130" s="10"/>
    </row>
    <row r="131" spans="1:12" s="4" customFormat="1" ht="30" hidden="1" customHeight="1" x14ac:dyDescent="0.25">
      <c r="A131" s="9"/>
      <c r="B131" s="13" t="e">
        <f>VLOOKUP(Table2456[[#This Row],[Location 
(drop-down)]],'List source'!D$2:E$71,2,FALSE)</f>
        <v>#N/A</v>
      </c>
      <c r="C131" s="17" t="s">
        <v>326</v>
      </c>
      <c r="D131" s="21" t="e">
        <f t="shared" si="4"/>
        <v>#N/A</v>
      </c>
      <c r="E131" s="21" t="e">
        <f>VLOOKUP(Table2456[[#This Row],[Location 
(drop-down)]],Table1[#All],3,FALSE)</f>
        <v>#N/A</v>
      </c>
      <c r="F131" s="29"/>
      <c r="G131" s="29"/>
      <c r="H131" s="29"/>
      <c r="I131" s="29"/>
      <c r="J131" s="10"/>
      <c r="K131" s="10"/>
      <c r="L131" s="10"/>
    </row>
    <row r="132" spans="1:12" s="4" customFormat="1" ht="30" hidden="1" customHeight="1" x14ac:dyDescent="0.25">
      <c r="A132" s="9"/>
      <c r="B132" s="13" t="e">
        <f>VLOOKUP(Table2456[[#This Row],[Location 
(drop-down)]],'List source'!D$2:E$71,2,FALSE)</f>
        <v>#N/A</v>
      </c>
      <c r="C132" s="17" t="s">
        <v>327</v>
      </c>
      <c r="D132" s="21" t="e">
        <f t="shared" si="4"/>
        <v>#N/A</v>
      </c>
      <c r="E132" s="21" t="e">
        <f>VLOOKUP(Table2456[[#This Row],[Location 
(drop-down)]],Table1[#All],3,FALSE)</f>
        <v>#N/A</v>
      </c>
      <c r="F132" s="29"/>
      <c r="G132" s="29"/>
      <c r="H132" s="29"/>
      <c r="I132" s="29"/>
      <c r="J132" s="10"/>
      <c r="K132" s="10"/>
      <c r="L132" s="10"/>
    </row>
    <row r="133" spans="1:12" s="4" customFormat="1" ht="30" hidden="1" customHeight="1" x14ac:dyDescent="0.25">
      <c r="A133" s="9"/>
      <c r="B133" s="13" t="e">
        <f>VLOOKUP(Table2456[[#This Row],[Location 
(drop-down)]],'List source'!D$2:E$71,2,FALSE)</f>
        <v>#N/A</v>
      </c>
      <c r="C133" s="17" t="s">
        <v>331</v>
      </c>
      <c r="D133" s="21" t="e">
        <f t="shared" si="4"/>
        <v>#N/A</v>
      </c>
      <c r="E133" s="21" t="e">
        <f>VLOOKUP(Table2456[[#This Row],[Location 
(drop-down)]],Table1[#All],3,FALSE)</f>
        <v>#N/A</v>
      </c>
      <c r="F133" s="29"/>
      <c r="G133" s="29"/>
      <c r="H133" s="29"/>
      <c r="I133" s="29"/>
      <c r="J133" s="10"/>
      <c r="K133" s="10"/>
      <c r="L133" s="10"/>
    </row>
    <row r="134" spans="1:12" s="4" customFormat="1" ht="30" hidden="1" customHeight="1" x14ac:dyDescent="0.25">
      <c r="A134" s="9"/>
      <c r="B134" s="13" t="e">
        <f>VLOOKUP(Table2456[[#This Row],[Location 
(drop-down)]],'List source'!D$2:E$71,2,FALSE)</f>
        <v>#N/A</v>
      </c>
      <c r="C134" s="17" t="s">
        <v>335</v>
      </c>
      <c r="D134" s="21" t="e">
        <f t="shared" si="4"/>
        <v>#N/A</v>
      </c>
      <c r="E134" s="21" t="e">
        <f>VLOOKUP(Table2456[[#This Row],[Location 
(drop-down)]],Table1[#All],3,FALSE)</f>
        <v>#N/A</v>
      </c>
      <c r="F134" s="29"/>
      <c r="G134" s="29"/>
      <c r="H134" s="29"/>
      <c r="I134" s="29"/>
      <c r="J134" s="10"/>
      <c r="K134" s="10"/>
      <c r="L134" s="10"/>
    </row>
    <row r="135" spans="1:12" s="4" customFormat="1" ht="30" hidden="1" customHeight="1" x14ac:dyDescent="0.25">
      <c r="A135" s="9"/>
      <c r="B135" s="13" t="e">
        <f>VLOOKUP(Table2456[[#This Row],[Location 
(drop-down)]],'List source'!D$2:E$71,2,FALSE)</f>
        <v>#N/A</v>
      </c>
      <c r="C135" s="17" t="s">
        <v>337</v>
      </c>
      <c r="D135" s="21" t="e">
        <f t="shared" si="4"/>
        <v>#N/A</v>
      </c>
      <c r="E135" s="21" t="e">
        <f>VLOOKUP(Table2456[[#This Row],[Location 
(drop-down)]],Table1[#All],3,FALSE)</f>
        <v>#N/A</v>
      </c>
      <c r="F135" s="29"/>
      <c r="G135" s="29"/>
      <c r="H135" s="29"/>
      <c r="I135" s="29"/>
      <c r="J135" s="10"/>
      <c r="K135" s="10"/>
      <c r="L135" s="10"/>
    </row>
    <row r="136" spans="1:12" s="4" customFormat="1" ht="30" hidden="1" customHeight="1" x14ac:dyDescent="0.25">
      <c r="A136" s="9"/>
      <c r="B136" s="13" t="e">
        <f>VLOOKUP(Table2456[[#This Row],[Location 
(drop-down)]],'List source'!D$2:E$71,2,FALSE)</f>
        <v>#N/A</v>
      </c>
      <c r="C136" s="17" t="s">
        <v>339</v>
      </c>
      <c r="D136" s="21" t="e">
        <f t="shared" si="4"/>
        <v>#N/A</v>
      </c>
      <c r="E136" s="21" t="e">
        <f>VLOOKUP(Table2456[[#This Row],[Location 
(drop-down)]],Table1[#All],3,FALSE)</f>
        <v>#N/A</v>
      </c>
      <c r="F136" s="29"/>
      <c r="G136" s="29"/>
      <c r="H136" s="29"/>
      <c r="I136" s="29"/>
      <c r="J136" s="10"/>
      <c r="K136" s="10"/>
      <c r="L136" s="10"/>
    </row>
    <row r="137" spans="1:12" s="4" customFormat="1" ht="30" hidden="1" customHeight="1" x14ac:dyDescent="0.25">
      <c r="A137" s="9"/>
      <c r="B137" s="13" t="e">
        <f>VLOOKUP(Table2456[[#This Row],[Location 
(drop-down)]],'List source'!D$2:E$71,2,FALSE)</f>
        <v>#N/A</v>
      </c>
      <c r="C137" s="17" t="s">
        <v>340</v>
      </c>
      <c r="D137" s="21" t="e">
        <f t="shared" si="4"/>
        <v>#N/A</v>
      </c>
      <c r="E137" s="21" t="e">
        <f>VLOOKUP(Table2456[[#This Row],[Location 
(drop-down)]],Table1[#All],3,FALSE)</f>
        <v>#N/A</v>
      </c>
      <c r="F137" s="29"/>
      <c r="G137" s="29"/>
      <c r="H137" s="29"/>
      <c r="I137" s="29"/>
      <c r="J137" s="10"/>
      <c r="K137" s="10"/>
      <c r="L137" s="10"/>
    </row>
    <row r="138" spans="1:12" s="4" customFormat="1" ht="30" hidden="1" customHeight="1" x14ac:dyDescent="0.25">
      <c r="A138" s="9"/>
      <c r="B138" s="13" t="e">
        <f>VLOOKUP(Table2456[[#This Row],[Location 
(drop-down)]],'List source'!D$2:E$71,2,FALSE)</f>
        <v>#N/A</v>
      </c>
      <c r="C138" s="17" t="s">
        <v>342</v>
      </c>
      <c r="D138" s="21" t="e">
        <f t="shared" si="4"/>
        <v>#N/A</v>
      </c>
      <c r="E138" s="21" t="e">
        <f>VLOOKUP(Table2456[[#This Row],[Location 
(drop-down)]],Table1[#All],3,FALSE)</f>
        <v>#N/A</v>
      </c>
      <c r="F138" s="29"/>
      <c r="G138" s="29"/>
      <c r="H138" s="29"/>
      <c r="I138" s="29"/>
      <c r="J138" s="10"/>
      <c r="K138" s="10"/>
      <c r="L138" s="10"/>
    </row>
    <row r="139" spans="1:12" s="4" customFormat="1" ht="30" hidden="1" customHeight="1" x14ac:dyDescent="0.25">
      <c r="A139" s="9"/>
      <c r="B139" s="13" t="e">
        <f>VLOOKUP(Table2456[[#This Row],[Location 
(drop-down)]],'List source'!D$2:E$71,2,FALSE)</f>
        <v>#N/A</v>
      </c>
      <c r="C139" s="17" t="s">
        <v>344</v>
      </c>
      <c r="D139" s="21" t="e">
        <f t="shared" si="4"/>
        <v>#N/A</v>
      </c>
      <c r="E139" s="21" t="e">
        <f>VLOOKUP(Table2456[[#This Row],[Location 
(drop-down)]],Table1[#All],3,FALSE)</f>
        <v>#N/A</v>
      </c>
      <c r="F139" s="29"/>
      <c r="G139" s="29"/>
      <c r="H139" s="29"/>
      <c r="I139" s="29"/>
      <c r="J139" s="10"/>
      <c r="K139" s="10"/>
      <c r="L139" s="10"/>
    </row>
    <row r="140" spans="1:12" s="4" customFormat="1" ht="30" hidden="1" customHeight="1" x14ac:dyDescent="0.25">
      <c r="A140" s="9"/>
      <c r="B140" s="13" t="e">
        <f>VLOOKUP(Table2456[[#This Row],[Location 
(drop-down)]],'List source'!D$2:E$71,2,FALSE)</f>
        <v>#N/A</v>
      </c>
      <c r="C140" s="17" t="s">
        <v>348</v>
      </c>
      <c r="D140" s="21" t="e">
        <f t="shared" si="4"/>
        <v>#N/A</v>
      </c>
      <c r="E140" s="21" t="e">
        <f>VLOOKUP(Table2456[[#This Row],[Location 
(drop-down)]],Table1[#All],3,FALSE)</f>
        <v>#N/A</v>
      </c>
      <c r="F140" s="29"/>
      <c r="G140" s="29"/>
      <c r="H140" s="29"/>
      <c r="I140" s="29"/>
      <c r="J140" s="10"/>
      <c r="K140" s="10"/>
      <c r="L140" s="10"/>
    </row>
    <row r="141" spans="1:12" s="4" customFormat="1" ht="30" hidden="1" customHeight="1" x14ac:dyDescent="0.25">
      <c r="A141" s="9"/>
      <c r="B141" s="13" t="e">
        <f>VLOOKUP(Table2456[[#This Row],[Location 
(drop-down)]],'List source'!D$2:E$71,2,FALSE)</f>
        <v>#N/A</v>
      </c>
      <c r="C141" s="17" t="s">
        <v>349</v>
      </c>
      <c r="D141" s="21" t="e">
        <f t="shared" si="4"/>
        <v>#N/A</v>
      </c>
      <c r="E141" s="21" t="e">
        <f>VLOOKUP(Table2456[[#This Row],[Location 
(drop-down)]],Table1[#All],3,FALSE)</f>
        <v>#N/A</v>
      </c>
      <c r="F141" s="29"/>
      <c r="G141" s="29"/>
      <c r="H141" s="29"/>
      <c r="I141" s="29"/>
      <c r="J141" s="10"/>
      <c r="K141" s="10"/>
      <c r="L141" s="10"/>
    </row>
    <row r="142" spans="1:12" s="4" customFormat="1" ht="30" hidden="1" customHeight="1" x14ac:dyDescent="0.25">
      <c r="A142" s="9"/>
      <c r="B142" s="13" t="e">
        <f>VLOOKUP(Table2456[[#This Row],[Location 
(drop-down)]],'List source'!D$2:E$71,2,FALSE)</f>
        <v>#N/A</v>
      </c>
      <c r="C142" s="17" t="s">
        <v>352</v>
      </c>
      <c r="D142" s="21" t="e">
        <f t="shared" si="4"/>
        <v>#N/A</v>
      </c>
      <c r="E142" s="21" t="e">
        <f>VLOOKUP(Table2456[[#This Row],[Location 
(drop-down)]],Table1[#All],3,FALSE)</f>
        <v>#N/A</v>
      </c>
      <c r="F142" s="29"/>
      <c r="G142" s="29"/>
      <c r="H142" s="29"/>
      <c r="I142" s="29"/>
      <c r="J142" s="10"/>
      <c r="K142" s="10"/>
      <c r="L142" s="10"/>
    </row>
    <row r="143" spans="1:12" s="4" customFormat="1" ht="30" hidden="1" customHeight="1" x14ac:dyDescent="0.25">
      <c r="A143" s="9"/>
      <c r="B143" s="13" t="e">
        <f>VLOOKUP(Table2456[[#This Row],[Location 
(drop-down)]],'List source'!D$2:E$71,2,FALSE)</f>
        <v>#N/A</v>
      </c>
      <c r="C143" s="17" t="s">
        <v>353</v>
      </c>
      <c r="D143" s="21" t="e">
        <f t="shared" si="4"/>
        <v>#N/A</v>
      </c>
      <c r="E143" s="21" t="e">
        <f>VLOOKUP(Table2456[[#This Row],[Location 
(drop-down)]],Table1[#All],3,FALSE)</f>
        <v>#N/A</v>
      </c>
      <c r="F143" s="29"/>
      <c r="G143" s="29"/>
      <c r="H143" s="29"/>
      <c r="I143" s="29"/>
      <c r="J143" s="10"/>
      <c r="K143" s="10"/>
      <c r="L143" s="10"/>
    </row>
    <row r="144" spans="1:12" s="4" customFormat="1" ht="30" hidden="1" customHeight="1" x14ac:dyDescent="0.25">
      <c r="A144" s="9"/>
      <c r="B144" s="13" t="e">
        <f>VLOOKUP(Table2456[[#This Row],[Location 
(drop-down)]],'List source'!D$2:E$71,2,FALSE)</f>
        <v>#N/A</v>
      </c>
      <c r="C144" s="17" t="s">
        <v>354</v>
      </c>
      <c r="D144" s="21" t="e">
        <f t="shared" si="4"/>
        <v>#N/A</v>
      </c>
      <c r="E144" s="21" t="e">
        <f>VLOOKUP(Table2456[[#This Row],[Location 
(drop-down)]],Table1[#All],3,FALSE)</f>
        <v>#N/A</v>
      </c>
      <c r="F144" s="29"/>
      <c r="G144" s="29"/>
      <c r="H144" s="29"/>
      <c r="I144" s="29"/>
      <c r="J144" s="10"/>
      <c r="K144" s="10"/>
      <c r="L144" s="10"/>
    </row>
    <row r="145" spans="1:12" s="4" customFormat="1" ht="30" hidden="1" customHeight="1" x14ac:dyDescent="0.25">
      <c r="A145" s="9"/>
      <c r="B145" s="13" t="e">
        <f>VLOOKUP(Table2456[[#This Row],[Location 
(drop-down)]],'List source'!D$2:E$71,2,FALSE)</f>
        <v>#N/A</v>
      </c>
      <c r="C145" s="17" t="s">
        <v>355</v>
      </c>
      <c r="D145" s="21" t="e">
        <f t="shared" si="4"/>
        <v>#N/A</v>
      </c>
      <c r="E145" s="21" t="e">
        <f>VLOOKUP(Table2456[[#This Row],[Location 
(drop-down)]],Table1[#All],3,FALSE)</f>
        <v>#N/A</v>
      </c>
      <c r="F145" s="29"/>
      <c r="G145" s="29"/>
      <c r="H145" s="29"/>
      <c r="I145" s="29"/>
      <c r="J145" s="10"/>
      <c r="K145" s="10"/>
      <c r="L145" s="10"/>
    </row>
    <row r="146" spans="1:12" s="4" customFormat="1" ht="30" hidden="1" customHeight="1" x14ac:dyDescent="0.25">
      <c r="A146" s="9"/>
      <c r="B146" s="13" t="e">
        <f>VLOOKUP(Table2456[[#This Row],[Location 
(drop-down)]],'List source'!D$2:E$71,2,FALSE)</f>
        <v>#N/A</v>
      </c>
      <c r="C146" s="17" t="s">
        <v>358</v>
      </c>
      <c r="D146" s="21" t="e">
        <f t="shared" si="4"/>
        <v>#N/A</v>
      </c>
      <c r="E146" s="21" t="e">
        <f>VLOOKUP(Table2456[[#This Row],[Location 
(drop-down)]],Table1[#All],3,FALSE)</f>
        <v>#N/A</v>
      </c>
      <c r="F146" s="29"/>
      <c r="G146" s="29"/>
      <c r="H146" s="29"/>
      <c r="I146" s="29"/>
      <c r="J146" s="10"/>
      <c r="K146" s="10"/>
      <c r="L146" s="10"/>
    </row>
    <row r="147" spans="1:12" s="4" customFormat="1" ht="30" hidden="1" customHeight="1" x14ac:dyDescent="0.25">
      <c r="A147" s="9"/>
      <c r="B147" s="13" t="e">
        <f>VLOOKUP(Table2456[[#This Row],[Location 
(drop-down)]],'List source'!D$2:E$71,2,FALSE)</f>
        <v>#N/A</v>
      </c>
      <c r="C147" s="17" t="s">
        <v>362</v>
      </c>
      <c r="D147" s="21" t="e">
        <f t="shared" si="4"/>
        <v>#N/A</v>
      </c>
      <c r="E147" s="21" t="e">
        <f>VLOOKUP(Table2456[[#This Row],[Location 
(drop-down)]],Table1[#All],3,FALSE)</f>
        <v>#N/A</v>
      </c>
      <c r="F147" s="29"/>
      <c r="G147" s="29"/>
      <c r="H147" s="29"/>
      <c r="I147" s="29"/>
      <c r="J147" s="13"/>
      <c r="K147" s="13"/>
      <c r="L147" s="13"/>
    </row>
    <row r="148" spans="1:12" s="4" customFormat="1" ht="30" hidden="1" customHeight="1" x14ac:dyDescent="0.25">
      <c r="A148" s="9"/>
      <c r="B148" s="13" t="e">
        <f>VLOOKUP(Table2456[[#This Row],[Location 
(drop-down)]],'List source'!D$2:E$71,2,FALSE)</f>
        <v>#N/A</v>
      </c>
      <c r="C148" s="17" t="s">
        <v>363</v>
      </c>
      <c r="D148" s="21" t="e">
        <f t="shared" si="4"/>
        <v>#N/A</v>
      </c>
      <c r="E148" s="21" t="e">
        <f>VLOOKUP(Table2456[[#This Row],[Location 
(drop-down)]],Table1[#All],3,FALSE)</f>
        <v>#N/A</v>
      </c>
      <c r="F148" s="29"/>
      <c r="G148" s="29"/>
      <c r="H148" s="29"/>
      <c r="I148" s="29"/>
      <c r="J148" s="29"/>
      <c r="K148" s="29"/>
      <c r="L148" s="29"/>
    </row>
    <row r="149" spans="1:12" s="4" customFormat="1" ht="30" hidden="1" customHeight="1" x14ac:dyDescent="0.25">
      <c r="A149" s="9"/>
      <c r="B149" s="13" t="e">
        <f>VLOOKUP(Table2456[[#This Row],[Location 
(drop-down)]],'List source'!D$2:E$71,2,FALSE)</f>
        <v>#N/A</v>
      </c>
      <c r="C149" s="17" t="s">
        <v>365</v>
      </c>
      <c r="D149" s="21" t="e">
        <f t="shared" si="4"/>
        <v>#N/A</v>
      </c>
      <c r="E149" s="21" t="e">
        <f>VLOOKUP(Table2456[[#This Row],[Location 
(drop-down)]],Table1[#All],3,FALSE)</f>
        <v>#N/A</v>
      </c>
      <c r="F149" s="29"/>
      <c r="G149" s="29"/>
      <c r="H149" s="29"/>
      <c r="I149" s="29"/>
      <c r="J149" s="29"/>
      <c r="K149" s="29"/>
      <c r="L149" s="29"/>
    </row>
    <row r="150" spans="1:12" s="4" customFormat="1" ht="30" hidden="1" customHeight="1" x14ac:dyDescent="0.25">
      <c r="A150" s="9"/>
      <c r="B150" s="13" t="e">
        <f>VLOOKUP(Table2456[[#This Row],[Location 
(drop-down)]],'List source'!D$2:E$71,2,FALSE)</f>
        <v>#N/A</v>
      </c>
      <c r="C150" s="17" t="s">
        <v>366</v>
      </c>
      <c r="D150" s="21" t="e">
        <f t="shared" si="4"/>
        <v>#N/A</v>
      </c>
      <c r="E150" s="21" t="e">
        <f>VLOOKUP(Table2456[[#This Row],[Location 
(drop-down)]],Table1[#All],3,FALSE)</f>
        <v>#N/A</v>
      </c>
      <c r="F150" s="29"/>
      <c r="G150" s="29"/>
      <c r="H150" s="29"/>
      <c r="I150" s="29"/>
      <c r="J150" s="29"/>
      <c r="K150" s="29"/>
      <c r="L150" s="29"/>
    </row>
    <row r="151" spans="1:12" s="4" customFormat="1" ht="30" hidden="1" customHeight="1" x14ac:dyDescent="0.25">
      <c r="A151" s="9"/>
      <c r="B151" s="13" t="e">
        <f>VLOOKUP(Table2456[[#This Row],[Location 
(drop-down)]],'List source'!D$2:E$71,2,FALSE)</f>
        <v>#N/A</v>
      </c>
      <c r="C151" s="17" t="s">
        <v>367</v>
      </c>
      <c r="D151" s="21" t="e">
        <f t="shared" si="4"/>
        <v>#N/A</v>
      </c>
      <c r="E151" s="21" t="e">
        <f>VLOOKUP(Table2456[[#This Row],[Location 
(drop-down)]],Table1[#All],3,FALSE)</f>
        <v>#N/A</v>
      </c>
      <c r="F151" s="29"/>
      <c r="G151" s="29"/>
      <c r="H151" s="29"/>
      <c r="I151" s="29"/>
      <c r="J151" s="13"/>
      <c r="K151" s="13"/>
      <c r="L151" s="13"/>
    </row>
  </sheetData>
  <pageMargins left="0.7" right="0.7" top="0.75" bottom="0.75" header="0.3" footer="0.3"/>
  <pageSetup scale="49" fitToHeight="0" orientation="landscape" r:id="rId1"/>
  <tableParts count="1">
    <tablePart r:id="rId2"/>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5957EEC8-8E8B-426A-81A0-3C5A9D80852D}">
          <x14:formula1>
            <xm:f>'List source'!$C$18:$C$23</xm:f>
          </x14:formula1>
          <xm:sqref>J2:J38 J40:J151</xm:sqref>
        </x14:dataValidation>
        <x14:dataValidation type="list" allowBlank="1" showInputMessage="1" showErrorMessage="1" xr:uid="{2727F68C-586A-4AFC-B897-E7FC2B0EB98D}">
          <x14:formula1>
            <xm:f>'List source'!$D$6:$D$71</xm:f>
          </x14:formula1>
          <xm:sqref>A1 A152:A1048576</xm:sqref>
        </x14:dataValidation>
        <x14:dataValidation type="list" allowBlank="1" showInputMessage="1" showErrorMessage="1" xr:uid="{19B70417-4DCF-4A51-86D0-8E150EDEEBCB}">
          <x14:formula1>
            <xm:f>'List source'!$D$2:$D$71</xm:f>
          </x14:formula1>
          <xm:sqref>A2:A151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4CB1-320A-4D13-ABED-DC1EEDB0A386}">
  <sheetPr codeName="Sheet5">
    <tabColor rgb="FFC00000"/>
    <pageSetUpPr fitToPage="1"/>
  </sheetPr>
  <dimension ref="A1:M1503"/>
  <sheetViews>
    <sheetView showGridLines="0" zoomScale="70" zoomScaleNormal="70" workbookViewId="0">
      <pane ySplit="1" topLeftCell="A20" activePane="bottomLeft" state="frozen"/>
      <selection activeCell="D1" sqref="D1"/>
      <selection pane="bottomLeft" activeCell="B1520" sqref="B1520"/>
    </sheetView>
  </sheetViews>
  <sheetFormatPr defaultColWidth="9.42578125" defaultRowHeight="15" x14ac:dyDescent="0.25"/>
  <cols>
    <col min="1" max="1" width="26.5703125" style="119" customWidth="1"/>
    <col min="2" max="2" width="8.28515625" style="3" customWidth="1"/>
    <col min="3" max="3" width="7.42578125" style="3" customWidth="1"/>
    <col min="4" max="4" width="23.5703125" style="3" customWidth="1"/>
    <col min="5" max="5" width="76.5703125" style="90" bestFit="1" customWidth="1"/>
    <col min="6" max="6" width="21.42578125" style="103" customWidth="1"/>
    <col min="7" max="7" width="32.42578125" style="90" customWidth="1"/>
    <col min="8" max="8" width="33.5703125" style="103" customWidth="1"/>
    <col min="9" max="9" width="16.42578125" style="8" customWidth="1"/>
    <col min="10" max="10" width="14.5703125" style="8" customWidth="1"/>
    <col min="11" max="11" width="15.42578125" style="8" customWidth="1"/>
    <col min="12" max="12" width="40.5703125" customWidth="1"/>
    <col min="13" max="13" width="24.42578125" style="123" customWidth="1"/>
    <col min="14" max="16384" width="9.42578125" style="3"/>
  </cols>
  <sheetData>
    <row r="1" spans="1:13" s="4" customFormat="1" ht="60" x14ac:dyDescent="0.25">
      <c r="A1" s="97" t="s">
        <v>435</v>
      </c>
      <c r="B1" s="98" t="s">
        <v>1</v>
      </c>
      <c r="C1" s="98" t="s">
        <v>2</v>
      </c>
      <c r="D1" s="98" t="s">
        <v>2049</v>
      </c>
      <c r="E1" s="99" t="s">
        <v>2050</v>
      </c>
      <c r="F1" s="99" t="s">
        <v>2051</v>
      </c>
      <c r="G1" s="99" t="s">
        <v>2052</v>
      </c>
      <c r="H1" s="99" t="s">
        <v>2053</v>
      </c>
      <c r="I1" s="99" t="s">
        <v>2054</v>
      </c>
      <c r="J1" s="99" t="s">
        <v>441</v>
      </c>
      <c r="K1" s="99" t="s">
        <v>2055</v>
      </c>
      <c r="L1" s="333" t="s">
        <v>449</v>
      </c>
      <c r="M1" s="340" t="s">
        <v>451</v>
      </c>
    </row>
    <row r="2" spans="1:13" s="4" customFormat="1" ht="18.75" hidden="1" x14ac:dyDescent="0.25">
      <c r="A2" s="133" t="s">
        <v>153</v>
      </c>
      <c r="B2" s="19">
        <f>VLOOKUP(Table27[[#This Row],[Location 
(drop-down)]],'List source'!D$2:E$71,2,FALSE)</f>
        <v>110</v>
      </c>
      <c r="C2" s="178" t="s">
        <v>2056</v>
      </c>
      <c r="D2" s="21" t="str">
        <f t="shared" ref="D2:D65" si="0">"PTO" &amp; C2 &amp; "-" &amp; B2 &amp; "-" &amp; "25"</f>
        <v>PTO0001-110-25</v>
      </c>
      <c r="E2" s="179" t="s">
        <v>2057</v>
      </c>
      <c r="F2" s="180" t="s">
        <v>2058</v>
      </c>
      <c r="G2" s="1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E346 -  carbonizable Pt/Co</v>
      </c>
      <c r="H2" s="128">
        <v>3.09</v>
      </c>
      <c r="I2" s="127">
        <v>45679</v>
      </c>
      <c r="J2" s="127" t="s">
        <v>35</v>
      </c>
      <c r="K2" s="182">
        <v>45680</v>
      </c>
      <c r="L2" s="37"/>
      <c r="M2" s="10" t="str">
        <f t="shared" ref="M2:M65" ca="1" si="1">IF(ISBLANK(K2), TODAY()-(I2), "CLOSED")</f>
        <v>CLOSED</v>
      </c>
    </row>
    <row r="3" spans="1:13" s="4" customFormat="1" ht="17.100000000000001" hidden="1" customHeight="1" x14ac:dyDescent="0.25">
      <c r="A3" s="9" t="s">
        <v>153</v>
      </c>
      <c r="B3" s="19">
        <f>VLOOKUP(Table27[[#This Row],[Location 
(drop-down)]],'List source'!D$2:E$71,2,FALSE)</f>
        <v>110</v>
      </c>
      <c r="C3" s="178" t="s">
        <v>2059</v>
      </c>
      <c r="D3" s="21" t="str">
        <f t="shared" si="0"/>
        <v>PTO0002-110-25</v>
      </c>
      <c r="E3" s="179" t="s">
        <v>2060</v>
      </c>
      <c r="F3" s="180" t="s">
        <v>2058</v>
      </c>
      <c r="G3" s="1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E394 - Iron</v>
      </c>
      <c r="H3" s="128">
        <v>-3.53</v>
      </c>
      <c r="I3" s="127">
        <v>45679</v>
      </c>
      <c r="J3" s="127" t="s">
        <v>35</v>
      </c>
      <c r="K3" s="63">
        <v>45680</v>
      </c>
      <c r="L3" s="37"/>
      <c r="M3" s="10" t="str">
        <f t="shared" ca="1" si="1"/>
        <v>CLOSED</v>
      </c>
    </row>
    <row r="4" spans="1:13" s="4" customFormat="1" ht="18" hidden="1" customHeight="1" x14ac:dyDescent="0.25">
      <c r="A4" s="9" t="s">
        <v>91</v>
      </c>
      <c r="B4" s="19">
        <f>VLOOKUP(Table27[[#This Row],[Location 
(drop-down)]],'List source'!D$2:E$71,2,FALSE)</f>
        <v>190</v>
      </c>
      <c r="C4" s="178" t="s">
        <v>2061</v>
      </c>
      <c r="D4" s="21" t="str">
        <f t="shared" si="0"/>
        <v>PTO0003-190-25</v>
      </c>
      <c r="E4" s="9" t="s">
        <v>2062</v>
      </c>
      <c r="F4" s="180" t="s">
        <v>2058</v>
      </c>
      <c r="G4" s="13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4" s="128">
        <v>4.75</v>
      </c>
      <c r="I4" s="127">
        <v>45680</v>
      </c>
      <c r="J4" s="127" t="s">
        <v>109</v>
      </c>
      <c r="K4" s="63">
        <v>45846</v>
      </c>
      <c r="L4" s="247"/>
      <c r="M4" s="10" t="str">
        <f t="shared" ca="1" si="1"/>
        <v>CLOSED</v>
      </c>
    </row>
    <row r="5" spans="1:13" s="4" customFormat="1" ht="18.75" hidden="1" x14ac:dyDescent="0.25">
      <c r="A5" s="9" t="s">
        <v>58</v>
      </c>
      <c r="B5" s="19">
        <f>VLOOKUP(Table27[[#This Row],[Location 
(drop-down)]],'List source'!D$2:E$71,2,FALSE)</f>
        <v>146</v>
      </c>
      <c r="C5" s="178" t="s">
        <v>2063</v>
      </c>
      <c r="D5" s="21" t="str">
        <f t="shared" si="0"/>
        <v>PTO0004-146-25</v>
      </c>
      <c r="E5" s="9" t="s">
        <v>2064</v>
      </c>
      <c r="F5" s="128" t="s">
        <v>2065</v>
      </c>
      <c r="G5" s="13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5" s="180">
        <v>2.73</v>
      </c>
      <c r="I5" s="127">
        <v>45688</v>
      </c>
      <c r="J5" s="127" t="s">
        <v>109</v>
      </c>
      <c r="K5" s="63">
        <v>45852</v>
      </c>
      <c r="L5" s="37"/>
      <c r="M5" s="10" t="str">
        <f t="shared" ca="1" si="1"/>
        <v>CLOSED</v>
      </c>
    </row>
    <row r="6" spans="1:13" s="4" customFormat="1" ht="18.75" hidden="1" x14ac:dyDescent="0.25">
      <c r="A6" s="9" t="s">
        <v>58</v>
      </c>
      <c r="B6" s="19">
        <f>VLOOKUP(Table27[[#This Row],[Location 
(drop-down)]],'List source'!D$2:E$71,2,FALSE)</f>
        <v>146</v>
      </c>
      <c r="C6" s="178" t="s">
        <v>2066</v>
      </c>
      <c r="D6" s="21" t="str">
        <f t="shared" si="0"/>
        <v>PTO0005-146-25</v>
      </c>
      <c r="E6" s="79" t="s">
        <v>2067</v>
      </c>
      <c r="F6" s="160" t="s">
        <v>2065</v>
      </c>
      <c r="G6"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6" s="183">
        <v>-2.1</v>
      </c>
      <c r="I6" s="12">
        <v>45688</v>
      </c>
      <c r="J6" s="12" t="s">
        <v>109</v>
      </c>
      <c r="K6" s="63">
        <v>45761</v>
      </c>
      <c r="L6" s="37"/>
      <c r="M6" s="10" t="str">
        <f t="shared" ca="1" si="1"/>
        <v>CLOSED</v>
      </c>
    </row>
    <row r="7" spans="1:13" s="4" customFormat="1" ht="18.75" hidden="1" x14ac:dyDescent="0.25">
      <c r="A7" s="9" t="s">
        <v>151</v>
      </c>
      <c r="B7" s="19">
        <f>VLOOKUP(Table27[[#This Row],[Location 
(drop-down)]],'List source'!D$2:E$71,2,FALSE)</f>
        <v>115</v>
      </c>
      <c r="C7" s="178" t="s">
        <v>2068</v>
      </c>
      <c r="D7" s="21" t="str">
        <f t="shared" si="0"/>
        <v>PTO0006-115-25</v>
      </c>
      <c r="E7" s="79" t="s">
        <v>2069</v>
      </c>
      <c r="F7" s="160" t="s">
        <v>2070</v>
      </c>
      <c r="G7"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7" s="183" t="s">
        <v>2071</v>
      </c>
      <c r="I7" s="12">
        <v>45688</v>
      </c>
      <c r="J7" s="12" t="s">
        <v>109</v>
      </c>
      <c r="K7" s="63">
        <v>45807</v>
      </c>
      <c r="L7" s="37"/>
      <c r="M7" s="10" t="str">
        <f t="shared" ca="1" si="1"/>
        <v>CLOSED</v>
      </c>
    </row>
    <row r="8" spans="1:13" s="4" customFormat="1" ht="30" hidden="1" x14ac:dyDescent="0.25">
      <c r="A8" s="9" t="s">
        <v>151</v>
      </c>
      <c r="B8" s="19">
        <f>VLOOKUP(Table27[[#This Row],[Location 
(drop-down)]],'List source'!D$2:E$71,2,FALSE)</f>
        <v>115</v>
      </c>
      <c r="C8" s="178" t="s">
        <v>2072</v>
      </c>
      <c r="D8" s="21" t="str">
        <f t="shared" si="0"/>
        <v>PTO0007-115-25</v>
      </c>
      <c r="E8" s="79" t="s">
        <v>2073</v>
      </c>
      <c r="F8" s="160" t="s">
        <v>2070</v>
      </c>
      <c r="G8"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GCMS</v>
      </c>
      <c r="H8" s="160">
        <v>2.06</v>
      </c>
      <c r="I8" s="12">
        <v>45688</v>
      </c>
      <c r="J8" s="12" t="s">
        <v>2074</v>
      </c>
      <c r="K8" s="63">
        <v>45688</v>
      </c>
      <c r="L8" s="37" t="s">
        <v>2075</v>
      </c>
      <c r="M8" s="10" t="str">
        <f t="shared" ca="1" si="1"/>
        <v>CLOSED</v>
      </c>
    </row>
    <row r="9" spans="1:13" s="4" customFormat="1" ht="18.75" hidden="1" x14ac:dyDescent="0.25">
      <c r="A9" s="9" t="s">
        <v>51</v>
      </c>
      <c r="B9" s="19">
        <f>VLOOKUP(Table27[[#This Row],[Location 
(drop-down)]],'List source'!D$2:E$71,2,FALSE)</f>
        <v>139</v>
      </c>
      <c r="C9" s="178" t="s">
        <v>2076</v>
      </c>
      <c r="D9" s="21" t="str">
        <f t="shared" si="0"/>
        <v>PTO0008-139-25</v>
      </c>
      <c r="E9" s="79" t="s">
        <v>2077</v>
      </c>
      <c r="F9" s="160" t="s">
        <v>2070</v>
      </c>
      <c r="G9"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9" s="183" t="s">
        <v>2078</v>
      </c>
      <c r="I9" s="12">
        <v>45688</v>
      </c>
      <c r="J9" s="12" t="s">
        <v>2074</v>
      </c>
      <c r="K9" s="63">
        <v>45714</v>
      </c>
      <c r="L9" s="37" t="s">
        <v>2079</v>
      </c>
      <c r="M9" s="10" t="str">
        <f t="shared" ca="1" si="1"/>
        <v>CLOSED</v>
      </c>
    </row>
    <row r="10" spans="1:13" s="4" customFormat="1" ht="30" hidden="1" x14ac:dyDescent="0.25">
      <c r="A10" s="9" t="s">
        <v>58</v>
      </c>
      <c r="B10" s="19">
        <f>VLOOKUP(Table27[[#This Row],[Location 
(drop-down)]],'List source'!D$2:E$71,2,FALSE)</f>
        <v>146</v>
      </c>
      <c r="C10" s="178" t="s">
        <v>2080</v>
      </c>
      <c r="D10" s="21" t="str">
        <f t="shared" si="0"/>
        <v>PTO0009-146-25</v>
      </c>
      <c r="E10" s="79" t="s">
        <v>2081</v>
      </c>
      <c r="F10" s="160" t="s">
        <v>2070</v>
      </c>
      <c r="G10"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0" s="183" t="s">
        <v>2082</v>
      </c>
      <c r="I10" s="12">
        <v>45688</v>
      </c>
      <c r="J10" s="12" t="s">
        <v>2074</v>
      </c>
      <c r="K10" s="63">
        <v>45688</v>
      </c>
      <c r="L10" s="37" t="s">
        <v>2075</v>
      </c>
      <c r="M10" s="10" t="str">
        <f t="shared" ca="1" si="1"/>
        <v>CLOSED</v>
      </c>
    </row>
    <row r="11" spans="1:13" s="4" customFormat="1" ht="30" hidden="1" x14ac:dyDescent="0.25">
      <c r="A11" s="9" t="s">
        <v>107</v>
      </c>
      <c r="B11" s="19">
        <f>VLOOKUP(Table27[[#This Row],[Location 
(drop-down)]],'List source'!D$2:E$71,2,FALSE)</f>
        <v>170</v>
      </c>
      <c r="C11" s="178" t="s">
        <v>2083</v>
      </c>
      <c r="D11" s="21" t="str">
        <f t="shared" si="0"/>
        <v>PTO0010-170-25</v>
      </c>
      <c r="E11" s="79" t="s">
        <v>2084</v>
      </c>
      <c r="F11" s="160" t="s">
        <v>2070</v>
      </c>
      <c r="G11"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 s="183" t="s">
        <v>2085</v>
      </c>
      <c r="I11" s="12">
        <v>45688</v>
      </c>
      <c r="J11" s="12" t="s">
        <v>2074</v>
      </c>
      <c r="K11" s="63">
        <v>45688</v>
      </c>
      <c r="L11" s="37" t="s">
        <v>2075</v>
      </c>
      <c r="M11" s="10" t="str">
        <f t="shared" ca="1" si="1"/>
        <v>CLOSED</v>
      </c>
    </row>
    <row r="12" spans="1:13" s="4" customFormat="1" ht="30" hidden="1" x14ac:dyDescent="0.25">
      <c r="A12" s="9" t="s">
        <v>107</v>
      </c>
      <c r="B12" s="19">
        <f>VLOOKUP(Table27[[#This Row],[Location 
(drop-down)]],'List source'!D$2:E$71,2,FALSE)</f>
        <v>170</v>
      </c>
      <c r="C12" s="178" t="s">
        <v>2086</v>
      </c>
      <c r="D12" s="21" t="str">
        <f t="shared" si="0"/>
        <v>PTO0011-170-25</v>
      </c>
      <c r="E12" s="79" t="s">
        <v>2087</v>
      </c>
      <c r="F12" s="160" t="s">
        <v>2070</v>
      </c>
      <c r="G12"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 s="183" t="s">
        <v>2088</v>
      </c>
      <c r="I12" s="12">
        <v>45688</v>
      </c>
      <c r="J12" s="12" t="s">
        <v>2074</v>
      </c>
      <c r="K12" s="63">
        <v>45691</v>
      </c>
      <c r="L12" s="37" t="s">
        <v>2079</v>
      </c>
      <c r="M12" s="10" t="str">
        <f t="shared" ca="1" si="1"/>
        <v>CLOSED</v>
      </c>
    </row>
    <row r="13" spans="1:13" s="4" customFormat="1" ht="30" hidden="1" x14ac:dyDescent="0.25">
      <c r="A13" s="9" t="s">
        <v>153</v>
      </c>
      <c r="B13" s="19">
        <f>VLOOKUP(Table27[[#This Row],[Location 
(drop-down)]],'List source'!D$2:E$71,2,FALSE)</f>
        <v>110</v>
      </c>
      <c r="C13" s="178" t="s">
        <v>2089</v>
      </c>
      <c r="D13" s="21" t="str">
        <f t="shared" si="0"/>
        <v>PTO0012-110-25</v>
      </c>
      <c r="E13" s="156" t="s">
        <v>2090</v>
      </c>
      <c r="F13" s="159" t="str" cm="1">
        <f t="array" aca="1" ref="F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3" s="15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Diglyceride</v>
      </c>
      <c r="H13" s="205" t="s">
        <v>2091</v>
      </c>
      <c r="I13" s="12">
        <v>45688</v>
      </c>
      <c r="J13" s="12" t="s">
        <v>2074</v>
      </c>
      <c r="K13" s="63">
        <v>45688</v>
      </c>
      <c r="L13" s="37" t="s">
        <v>2075</v>
      </c>
      <c r="M13" s="10" t="str">
        <f t="shared" ca="1" si="1"/>
        <v>CLOSED</v>
      </c>
    </row>
    <row r="14" spans="1:13" s="4" customFormat="1" ht="18.75" hidden="1" x14ac:dyDescent="0.25">
      <c r="A14" s="9" t="s">
        <v>94</v>
      </c>
      <c r="B14" s="19">
        <f>VLOOKUP(Table27[[#This Row],[Location 
(drop-down)]],'List source'!D$2:E$71,2,FALSE)</f>
        <v>120</v>
      </c>
      <c r="C14" s="178" t="s">
        <v>2092</v>
      </c>
      <c r="D14" s="21" t="str">
        <f t="shared" si="0"/>
        <v>PTO0013-120-25</v>
      </c>
      <c r="E14" s="156" t="s">
        <v>2093</v>
      </c>
      <c r="F14" s="159" t="str" cm="1">
        <f t="array" aca="1" ref="F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4" s="15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D1160 - Distillation</v>
      </c>
      <c r="H14" s="205" t="s">
        <v>2094</v>
      </c>
      <c r="I14" s="12">
        <v>45688</v>
      </c>
      <c r="J14" s="12" t="s">
        <v>135</v>
      </c>
      <c r="K14" s="63">
        <v>45772</v>
      </c>
      <c r="L14" s="37"/>
      <c r="M14" s="10" t="str">
        <f t="shared" ca="1" si="1"/>
        <v>CLOSED</v>
      </c>
    </row>
    <row r="15" spans="1:13" s="4" customFormat="1" ht="18.75" hidden="1" x14ac:dyDescent="0.25">
      <c r="A15" s="9" t="s">
        <v>94</v>
      </c>
      <c r="B15" s="19">
        <f>VLOOKUP(Table27[[#This Row],[Location 
(drop-down)]],'List source'!D$2:E$71,2,FALSE)</f>
        <v>120</v>
      </c>
      <c r="C15" s="178" t="s">
        <v>2095</v>
      </c>
      <c r="D15" s="21" t="str">
        <f t="shared" si="0"/>
        <v>PTO0014-120-25</v>
      </c>
      <c r="E15" s="9" t="s">
        <v>2096</v>
      </c>
      <c r="F15" s="10" t="str" cm="1">
        <f t="array" aca="1" ref="F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Triglyceride</v>
      </c>
      <c r="H15" s="10">
        <v>5.53</v>
      </c>
      <c r="I15" s="12">
        <v>45688</v>
      </c>
      <c r="J15" s="12" t="s">
        <v>18</v>
      </c>
      <c r="K15" s="63">
        <v>45898</v>
      </c>
      <c r="L15" s="37"/>
      <c r="M15" s="10" t="str">
        <f t="shared" ca="1" si="1"/>
        <v>CLOSED</v>
      </c>
    </row>
    <row r="16" spans="1:13" s="4" customFormat="1" ht="18.75" hidden="1" x14ac:dyDescent="0.25">
      <c r="A16" s="9" t="s">
        <v>156</v>
      </c>
      <c r="B16" s="19">
        <f>VLOOKUP(Table27[[#This Row],[Location 
(drop-down)]],'List source'!D$2:E$71,2,FALSE)</f>
        <v>130</v>
      </c>
      <c r="C16" s="178" t="s">
        <v>2097</v>
      </c>
      <c r="D16" s="21" t="str">
        <f t="shared" si="0"/>
        <v>PTO0015-130-25</v>
      </c>
      <c r="E16" s="9" t="s">
        <v>2098</v>
      </c>
      <c r="F16" s="10" t="str" cm="1">
        <f t="array" aca="1" ref="F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15751 - Oxidation Stability</v>
      </c>
      <c r="H16" s="10">
        <v>2.58</v>
      </c>
      <c r="I16" s="12">
        <v>45688</v>
      </c>
      <c r="J16" s="12" t="s">
        <v>2074</v>
      </c>
      <c r="K16" s="63">
        <v>45698</v>
      </c>
      <c r="L16" s="37" t="s">
        <v>2079</v>
      </c>
      <c r="M16" s="10" t="str">
        <f t="shared" ca="1" si="1"/>
        <v>CLOSED</v>
      </c>
    </row>
    <row r="17" spans="1:13" s="4" customFormat="1" ht="30" hidden="1" x14ac:dyDescent="0.25">
      <c r="A17" s="9" t="s">
        <v>257</v>
      </c>
      <c r="B17" s="19">
        <f>VLOOKUP(Table27[[#This Row],[Location 
(drop-down)]],'List source'!D$2:E$71,2,FALSE)</f>
        <v>144</v>
      </c>
      <c r="C17" s="178" t="s">
        <v>2099</v>
      </c>
      <c r="D17" s="21" t="str">
        <f t="shared" si="0"/>
        <v>PTO0016-144-25</v>
      </c>
      <c r="E17" s="9" t="s">
        <v>2100</v>
      </c>
      <c r="F17" s="10" t="str" cm="1">
        <f t="array" aca="1" ref="F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17" s="10">
        <v>2.1</v>
      </c>
      <c r="I17" s="12">
        <v>45688</v>
      </c>
      <c r="J17" s="12"/>
      <c r="K17" s="63"/>
      <c r="L17" s="37"/>
      <c r="M17" s="10">
        <f t="shared" ca="1" si="1"/>
        <v>389</v>
      </c>
    </row>
    <row r="18" spans="1:13" s="4" customFormat="1" ht="30" hidden="1" x14ac:dyDescent="0.25">
      <c r="A18" s="9" t="s">
        <v>257</v>
      </c>
      <c r="B18" s="19">
        <f>VLOOKUP(Table27[[#This Row],[Location 
(drop-down)]],'List source'!D$2:E$71,2,FALSE)</f>
        <v>144</v>
      </c>
      <c r="C18" s="178" t="s">
        <v>2101</v>
      </c>
      <c r="D18" s="21" t="str">
        <f t="shared" si="0"/>
        <v>PTO0017-144-25</v>
      </c>
      <c r="E18" s="9" t="s">
        <v>2102</v>
      </c>
      <c r="F18" s="10" t="str" cm="1">
        <f t="array" aca="1" ref="F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14538 - Elements</v>
      </c>
      <c r="H18" s="10">
        <v>2.67</v>
      </c>
      <c r="I18" s="12">
        <v>45688</v>
      </c>
      <c r="J18" s="12" t="s">
        <v>2074</v>
      </c>
      <c r="K18" s="63">
        <v>45688</v>
      </c>
      <c r="L18" s="37" t="s">
        <v>2075</v>
      </c>
      <c r="M18" s="10" t="str">
        <f t="shared" ca="1" si="1"/>
        <v>CLOSED</v>
      </c>
    </row>
    <row r="19" spans="1:13" s="4" customFormat="1" ht="30" hidden="1" x14ac:dyDescent="0.25">
      <c r="A19" s="9" t="s">
        <v>131</v>
      </c>
      <c r="B19" s="19">
        <f>VLOOKUP(Table27[[#This Row],[Location 
(drop-down)]],'List source'!D$2:E$71,2,FALSE)</f>
        <v>145</v>
      </c>
      <c r="C19" s="178" t="s">
        <v>2103</v>
      </c>
      <c r="D19" s="21" t="str">
        <f t="shared" si="0"/>
        <v>PTO0018-145-25</v>
      </c>
      <c r="E19" s="9" t="s">
        <v>2104</v>
      </c>
      <c r="F19" s="10" t="str" cm="1">
        <f t="array" aca="1" ref="F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9" s="10">
        <v>2.2999999999999998</v>
      </c>
      <c r="I19" s="12">
        <v>45688</v>
      </c>
      <c r="J19" s="12" t="s">
        <v>2074</v>
      </c>
      <c r="K19" s="63">
        <v>45688</v>
      </c>
      <c r="L19" s="37" t="s">
        <v>2075</v>
      </c>
      <c r="M19" s="10" t="str">
        <f t="shared" ca="1" si="1"/>
        <v>CLOSED</v>
      </c>
    </row>
    <row r="20" spans="1:13" s="4" customFormat="1" ht="30" x14ac:dyDescent="0.25">
      <c r="A20" s="9" t="s">
        <v>107</v>
      </c>
      <c r="B20" s="19">
        <f>VLOOKUP(Table27[[#This Row],[Location 
(drop-down)]],'List source'!D$2:E$71,2,FALSE)</f>
        <v>170</v>
      </c>
      <c r="C20" s="178" t="s">
        <v>2105</v>
      </c>
      <c r="D20" s="21" t="str">
        <f t="shared" si="0"/>
        <v>PTO0019-170-25</v>
      </c>
      <c r="E20" s="9" t="s">
        <v>2106</v>
      </c>
      <c r="F20" s="10" t="str" cm="1">
        <f t="array" aca="1" ref="F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20" s="136" t="s">
        <v>2107</v>
      </c>
      <c r="I20" s="12">
        <v>45688</v>
      </c>
      <c r="J20" s="12" t="s">
        <v>109</v>
      </c>
      <c r="K20" s="63">
        <v>45807</v>
      </c>
      <c r="L20" s="37"/>
      <c r="M20" s="10" t="str">
        <f t="shared" ca="1" si="1"/>
        <v>CLOSED</v>
      </c>
    </row>
    <row r="21" spans="1:13" s="4" customFormat="1" ht="30" hidden="1" x14ac:dyDescent="0.25">
      <c r="A21" s="9" t="s">
        <v>107</v>
      </c>
      <c r="B21" s="19">
        <f>VLOOKUP(Table27[[#This Row],[Location 
(drop-down)]],'List source'!D$2:E$71,2,FALSE)</f>
        <v>170</v>
      </c>
      <c r="C21" s="178" t="s">
        <v>2108</v>
      </c>
      <c r="D21" s="42" t="str">
        <f t="shared" si="0"/>
        <v>PTO0020-170-25</v>
      </c>
      <c r="E21" s="9" t="s">
        <v>2109</v>
      </c>
      <c r="F21" s="10" t="str" cm="1">
        <f t="array" aca="1" ref="F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21" s="136" t="s">
        <v>2110</v>
      </c>
      <c r="I21" s="12">
        <v>45688</v>
      </c>
      <c r="J21" s="12" t="s">
        <v>109</v>
      </c>
      <c r="K21" s="63">
        <v>45807</v>
      </c>
      <c r="L21" s="37"/>
      <c r="M21" s="10" t="str">
        <f t="shared" ca="1" si="1"/>
        <v>CLOSED</v>
      </c>
    </row>
    <row r="22" spans="1:13" s="4" customFormat="1" ht="30" hidden="1" x14ac:dyDescent="0.25">
      <c r="A22" s="9" t="s">
        <v>179</v>
      </c>
      <c r="B22" s="19">
        <f>VLOOKUP(Table27[[#This Row],[Location 
(drop-down)]],'List source'!D$2:E$71,2,FALSE)</f>
        <v>189</v>
      </c>
      <c r="C22" s="178" t="s">
        <v>2111</v>
      </c>
      <c r="D22" s="21" t="str">
        <f t="shared" si="0"/>
        <v>PTO0021-189-25</v>
      </c>
      <c r="E22" s="9" t="s">
        <v>2112</v>
      </c>
      <c r="F22" s="10" t="str" cm="1">
        <f t="array" aca="1" ref="F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D5773 - Cloud Point</v>
      </c>
      <c r="H22" s="10">
        <v>2.06</v>
      </c>
      <c r="I22" s="12">
        <v>45688</v>
      </c>
      <c r="J22" s="12" t="s">
        <v>2074</v>
      </c>
      <c r="K22" s="63">
        <v>45688</v>
      </c>
      <c r="L22" s="37" t="s">
        <v>2075</v>
      </c>
      <c r="M22" s="10" t="str">
        <f t="shared" ca="1" si="1"/>
        <v>CLOSED</v>
      </c>
    </row>
    <row r="23" spans="1:13" s="4" customFormat="1" ht="18.75" hidden="1" x14ac:dyDescent="0.25">
      <c r="A23" s="9" t="s">
        <v>58</v>
      </c>
      <c r="B23" s="19">
        <f>VLOOKUP(Table27[[#This Row],[Location 
(drop-down)]],'List source'!D$2:E$71,2,FALSE)</f>
        <v>146</v>
      </c>
      <c r="C23" s="178" t="s">
        <v>2113</v>
      </c>
      <c r="D23" s="21" t="str">
        <f t="shared" si="0"/>
        <v>PTO0022-146-25</v>
      </c>
      <c r="E23" s="9" t="s">
        <v>2114</v>
      </c>
      <c r="F23" s="10" t="str" cm="1">
        <f t="array" aca="1" ref="F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3" s="136" t="s">
        <v>2115</v>
      </c>
      <c r="I23" s="12">
        <v>45688</v>
      </c>
      <c r="J23" s="12" t="s">
        <v>109</v>
      </c>
      <c r="K23" s="63">
        <v>45882</v>
      </c>
      <c r="L23" s="37"/>
      <c r="M23" s="10" t="str">
        <f t="shared" ca="1" si="1"/>
        <v>CLOSED</v>
      </c>
    </row>
    <row r="24" spans="1:13" s="4" customFormat="1" ht="30" hidden="1" x14ac:dyDescent="0.25">
      <c r="A24" s="9" t="s">
        <v>71</v>
      </c>
      <c r="B24" s="19">
        <f>VLOOKUP(Table27[[#This Row],[Location 
(drop-down)]],'List source'!D$2:E$71,2,FALSE)</f>
        <v>127</v>
      </c>
      <c r="C24" s="178" t="s">
        <v>2116</v>
      </c>
      <c r="D24" s="21" t="str">
        <f t="shared" si="0"/>
        <v>PTO0023-127-25</v>
      </c>
      <c r="E24" s="9" t="s">
        <v>2117</v>
      </c>
      <c r="F24" s="10" t="s">
        <v>2065</v>
      </c>
      <c r="G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24" s="136" t="s">
        <v>2118</v>
      </c>
      <c r="I24" s="12">
        <v>45693</v>
      </c>
      <c r="J24" s="12" t="s">
        <v>2074</v>
      </c>
      <c r="K24" s="63">
        <v>45693</v>
      </c>
      <c r="L24" s="37" t="s">
        <v>2075</v>
      </c>
      <c r="M24" s="10" t="str">
        <f t="shared" ca="1" si="1"/>
        <v>CLOSED</v>
      </c>
    </row>
    <row r="25" spans="1:13" s="4" customFormat="1" ht="30" hidden="1" x14ac:dyDescent="0.25">
      <c r="A25" s="9" t="s">
        <v>117</v>
      </c>
      <c r="B25" s="19">
        <f>VLOOKUP(Table27[[#This Row],[Location 
(drop-down)]],'List source'!D$2:E$71,2,FALSE)</f>
        <v>125</v>
      </c>
      <c r="C25" s="178" t="s">
        <v>2119</v>
      </c>
      <c r="D25" s="21" t="str">
        <f t="shared" si="0"/>
        <v>PTO0024-125-25</v>
      </c>
      <c r="E25" s="9" t="s">
        <v>2120</v>
      </c>
      <c r="F25" s="10" t="str" cm="1">
        <f t="array" aca="1" ref="F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5" s="10">
        <v>2.67</v>
      </c>
      <c r="I25" s="14">
        <v>45698</v>
      </c>
      <c r="J25" s="12" t="s">
        <v>2074</v>
      </c>
      <c r="K25" s="63">
        <v>45698</v>
      </c>
      <c r="L25" s="37" t="s">
        <v>2075</v>
      </c>
      <c r="M25" s="10" t="str">
        <f t="shared" ca="1" si="1"/>
        <v>CLOSED</v>
      </c>
    </row>
    <row r="26" spans="1:13" s="4" customFormat="1" ht="30" hidden="1" x14ac:dyDescent="0.25">
      <c r="A26" s="9" t="s">
        <v>117</v>
      </c>
      <c r="B26" s="19">
        <f>VLOOKUP(Table27[[#This Row],[Location 
(drop-down)]],'List source'!D$2:E$71,2,FALSE)</f>
        <v>125</v>
      </c>
      <c r="C26" s="178" t="s">
        <v>2121</v>
      </c>
      <c r="D26" s="21" t="str">
        <f t="shared" si="0"/>
        <v>PTO0025-125-25</v>
      </c>
      <c r="E26" s="78" t="s">
        <v>2122</v>
      </c>
      <c r="F26" s="13" t="str" cm="1">
        <f t="array" aca="1" ref="F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26" s="13">
        <v>2.12</v>
      </c>
      <c r="I26" s="12">
        <v>45698</v>
      </c>
      <c r="J26" s="12" t="s">
        <v>2074</v>
      </c>
      <c r="K26" s="63">
        <v>45698</v>
      </c>
      <c r="L26" s="37" t="s">
        <v>2075</v>
      </c>
      <c r="M26" s="10" t="str">
        <f t="shared" ca="1" si="1"/>
        <v>CLOSED</v>
      </c>
    </row>
    <row r="27" spans="1:13" s="4" customFormat="1" ht="30" hidden="1" x14ac:dyDescent="0.25">
      <c r="A27" s="9" t="s">
        <v>156</v>
      </c>
      <c r="B27" s="19">
        <f>VLOOKUP(Table27[[#This Row],[Location 
(drop-down)]],'List source'!D$2:E$71,2,FALSE)</f>
        <v>130</v>
      </c>
      <c r="C27" s="178" t="s">
        <v>2123</v>
      </c>
      <c r="D27" s="21" t="str">
        <f t="shared" si="0"/>
        <v>PTO0026-130-25</v>
      </c>
      <c r="E27" s="9" t="s">
        <v>2124</v>
      </c>
      <c r="F27" s="10" t="str" cm="1">
        <f t="array" aca="1" ref="F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 s="10" t="s">
        <v>2125</v>
      </c>
      <c r="I27" s="12">
        <v>45698</v>
      </c>
      <c r="J27" s="12" t="s">
        <v>2074</v>
      </c>
      <c r="K27" s="63">
        <v>45698</v>
      </c>
      <c r="L27" s="37" t="s">
        <v>2075</v>
      </c>
      <c r="M27" s="10" t="str">
        <f t="shared" ca="1" si="1"/>
        <v>CLOSED</v>
      </c>
    </row>
    <row r="28" spans="1:13" s="4" customFormat="1" ht="30" hidden="1" x14ac:dyDescent="0.25">
      <c r="A28" s="9" t="s">
        <v>211</v>
      </c>
      <c r="B28" s="19">
        <f>VLOOKUP(Table27[[#This Row],[Location 
(drop-down)]],'List source'!D$2:E$71,2,FALSE)</f>
        <v>132</v>
      </c>
      <c r="C28" s="178" t="s">
        <v>2126</v>
      </c>
      <c r="D28" s="21" t="str">
        <f t="shared" si="0"/>
        <v>PTO0027-132-25</v>
      </c>
      <c r="E28" s="293" t="s">
        <v>2127</v>
      </c>
      <c r="F28" s="10" t="str" cm="1">
        <f t="array" aca="1" ref="F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8" s="10">
        <v>2.59</v>
      </c>
      <c r="I28" s="12">
        <v>45698</v>
      </c>
      <c r="J28" s="12" t="s">
        <v>2074</v>
      </c>
      <c r="K28" s="63">
        <v>45698</v>
      </c>
      <c r="L28" s="37" t="s">
        <v>2075</v>
      </c>
      <c r="M28" s="10" t="str">
        <f t="shared" ca="1" si="1"/>
        <v>CLOSED</v>
      </c>
    </row>
    <row r="29" spans="1:13" s="4" customFormat="1" ht="30" hidden="1" x14ac:dyDescent="0.25">
      <c r="A29" s="9" t="s">
        <v>211</v>
      </c>
      <c r="B29" s="19">
        <f>VLOOKUP(Table27[[#This Row],[Location 
(drop-down)]],'List source'!D$2:E$71,2,FALSE)</f>
        <v>132</v>
      </c>
      <c r="C29" s="178" t="s">
        <v>2128</v>
      </c>
      <c r="D29" s="21" t="str">
        <f t="shared" si="0"/>
        <v>PTO0028-132-25</v>
      </c>
      <c r="E29" s="9" t="s">
        <v>2129</v>
      </c>
      <c r="F29" s="10" t="str" cm="1">
        <f t="array" aca="1" ref="F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 s="10">
        <v>-2.4500000000000002</v>
      </c>
      <c r="I29" s="12">
        <v>45698</v>
      </c>
      <c r="J29" s="12" t="s">
        <v>2074</v>
      </c>
      <c r="K29" s="63">
        <v>45698</v>
      </c>
      <c r="L29" s="37" t="s">
        <v>2075</v>
      </c>
      <c r="M29" s="10" t="str">
        <f t="shared" ca="1" si="1"/>
        <v>CLOSED</v>
      </c>
    </row>
    <row r="30" spans="1:13" s="4" customFormat="1" ht="30" hidden="1" x14ac:dyDescent="0.25">
      <c r="A30" s="9" t="s">
        <v>25</v>
      </c>
      <c r="B30" s="19">
        <f>VLOOKUP(Table27[[#This Row],[Location 
(drop-down)]],'List source'!D$2:E$71,2,FALSE)</f>
        <v>158</v>
      </c>
      <c r="C30" s="178" t="s">
        <v>2130</v>
      </c>
      <c r="D30" s="21" t="str">
        <f t="shared" si="0"/>
        <v>PTO0029-158-25</v>
      </c>
      <c r="E30" s="9" t="s">
        <v>2131</v>
      </c>
      <c r="F30" s="10" t="str" cm="1">
        <f t="array" aca="1" ref="F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30" s="10">
        <v>-2.0699999999999998</v>
      </c>
      <c r="I30" s="12">
        <v>45698</v>
      </c>
      <c r="J30" s="12" t="s">
        <v>2074</v>
      </c>
      <c r="K30" s="63">
        <v>45698</v>
      </c>
      <c r="L30" s="37" t="s">
        <v>2075</v>
      </c>
      <c r="M30" s="10" t="str">
        <f t="shared" ca="1" si="1"/>
        <v>CLOSED</v>
      </c>
    </row>
    <row r="31" spans="1:13" s="4" customFormat="1" ht="30" hidden="1" x14ac:dyDescent="0.25">
      <c r="A31" s="9" t="s">
        <v>107</v>
      </c>
      <c r="B31" s="19">
        <f>VLOOKUP(Table27[[#This Row],[Location 
(drop-down)]],'List source'!D$2:E$71,2,FALSE)</f>
        <v>170</v>
      </c>
      <c r="C31" s="178" t="s">
        <v>2132</v>
      </c>
      <c r="D31" s="21" t="str">
        <f t="shared" si="0"/>
        <v>PTO0030-170-25</v>
      </c>
      <c r="E31" s="9" t="s">
        <v>2133</v>
      </c>
      <c r="F31" s="10" t="str" cm="1">
        <f t="array" aca="1" ref="F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v>
      </c>
      <c r="H31" s="10">
        <v>2.37</v>
      </c>
      <c r="I31" s="12">
        <v>45698</v>
      </c>
      <c r="J31" s="12" t="s">
        <v>2074</v>
      </c>
      <c r="K31" s="63">
        <v>45698</v>
      </c>
      <c r="L31" s="37" t="s">
        <v>2075</v>
      </c>
      <c r="M31" s="10" t="str">
        <f t="shared" ca="1" si="1"/>
        <v>CLOSED</v>
      </c>
    </row>
    <row r="32" spans="1:13" s="4" customFormat="1" ht="30" hidden="1" x14ac:dyDescent="0.25">
      <c r="A32" s="9" t="s">
        <v>107</v>
      </c>
      <c r="B32" s="19">
        <f>VLOOKUP(Table27[[#This Row],[Location 
(drop-down)]],'List source'!D$2:E$71,2,FALSE)</f>
        <v>170</v>
      </c>
      <c r="C32" s="178" t="s">
        <v>2134</v>
      </c>
      <c r="D32" s="21" t="str">
        <f t="shared" si="0"/>
        <v>PTO0031-170-25</v>
      </c>
      <c r="E32" s="298" t="s">
        <v>2135</v>
      </c>
      <c r="F32" s="305" t="str" cm="1">
        <f t="array" aca="1" ref="F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32" s="29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2" s="323" t="s">
        <v>2136</v>
      </c>
      <c r="I32" s="12">
        <v>45698</v>
      </c>
      <c r="J32" s="12" t="s">
        <v>2074</v>
      </c>
      <c r="K32" s="63">
        <v>45698</v>
      </c>
      <c r="L32" s="37" t="s">
        <v>2075</v>
      </c>
      <c r="M32" s="10" t="str">
        <f t="shared" ca="1" si="1"/>
        <v>CLOSED</v>
      </c>
    </row>
    <row r="33" spans="1:13" s="4" customFormat="1" ht="30" hidden="1" x14ac:dyDescent="0.25">
      <c r="A33" s="9" t="s">
        <v>86</v>
      </c>
      <c r="B33" s="19">
        <f>VLOOKUP(Table27[[#This Row],[Location 
(drop-down)]],'List source'!D$2:E$71,2,FALSE)</f>
        <v>150</v>
      </c>
      <c r="C33" s="178" t="s">
        <v>2137</v>
      </c>
      <c r="D33" s="21" t="str">
        <f t="shared" si="0"/>
        <v>PTO0032-150-25</v>
      </c>
      <c r="E33" s="9" t="s">
        <v>2138</v>
      </c>
      <c r="F33" s="10" t="str" cm="1">
        <f t="array" aca="1" ref="F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iis</v>
      </c>
      <c r="G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Kinematic Viscosity</v>
      </c>
      <c r="H33" s="10">
        <v>2.8</v>
      </c>
      <c r="I33" s="12">
        <v>45700</v>
      </c>
      <c r="J33" s="12" t="s">
        <v>2074</v>
      </c>
      <c r="K33" s="63">
        <v>45700</v>
      </c>
      <c r="L33" s="37" t="s">
        <v>2075</v>
      </c>
      <c r="M33" s="10" t="str">
        <f t="shared" ca="1" si="1"/>
        <v>CLOSED</v>
      </c>
    </row>
    <row r="34" spans="1:13" s="4" customFormat="1" ht="30" hidden="1" x14ac:dyDescent="0.25">
      <c r="A34" s="9" t="s">
        <v>25</v>
      </c>
      <c r="B34" s="19">
        <f>VLOOKUP(Table27[[#This Row],[Location 
(drop-down)]],'List source'!D$2:E$71,2,FALSE)</f>
        <v>158</v>
      </c>
      <c r="C34" s="178" t="s">
        <v>2139</v>
      </c>
      <c r="D34" s="21" t="str">
        <f t="shared" si="0"/>
        <v>PTO0033-158-25</v>
      </c>
      <c r="E34" s="9" t="s">
        <v>2140</v>
      </c>
      <c r="F34" s="10" t="str" cm="1">
        <f t="array" aca="1" ref="F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iis</v>
      </c>
      <c r="G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4" s="136" t="s">
        <v>2141</v>
      </c>
      <c r="I34" s="12">
        <v>45700</v>
      </c>
      <c r="J34" s="12" t="s">
        <v>2074</v>
      </c>
      <c r="K34" s="63">
        <v>45700</v>
      </c>
      <c r="L34" s="37" t="s">
        <v>2075</v>
      </c>
      <c r="M34" s="10" t="str">
        <f t="shared" ca="1" si="1"/>
        <v>CLOSED</v>
      </c>
    </row>
    <row r="35" spans="1:13" s="4" customFormat="1" ht="30" hidden="1" x14ac:dyDescent="0.25">
      <c r="A35" s="9" t="s">
        <v>151</v>
      </c>
      <c r="B35" s="19">
        <f>VLOOKUP(Table27[[#This Row],[Location 
(drop-down)]],'List source'!D$2:E$71,2,FALSE)</f>
        <v>115</v>
      </c>
      <c r="C35" s="178" t="s">
        <v>2142</v>
      </c>
      <c r="D35" s="21" t="str">
        <f t="shared" si="0"/>
        <v>PTO0034-115-25</v>
      </c>
      <c r="E35" s="65" t="s">
        <v>2143</v>
      </c>
      <c r="F35" s="10" t="str" cm="1">
        <f t="array" aca="1" ref="F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5" s="136" t="s">
        <v>2082</v>
      </c>
      <c r="I35" s="12">
        <v>45705</v>
      </c>
      <c r="J35" s="12" t="s">
        <v>2074</v>
      </c>
      <c r="K35" s="63">
        <v>45705</v>
      </c>
      <c r="L35" s="37" t="s">
        <v>2075</v>
      </c>
      <c r="M35" s="10" t="str">
        <f t="shared" ca="1" si="1"/>
        <v>CLOSED</v>
      </c>
    </row>
    <row r="36" spans="1:13" s="4" customFormat="1" ht="30" hidden="1" x14ac:dyDescent="0.25">
      <c r="A36" s="9" t="s">
        <v>14</v>
      </c>
      <c r="B36" s="19">
        <f>VLOOKUP(Table27[[#This Row],[Location 
(drop-down)]],'List source'!D$2:E$71,2,FALSE)</f>
        <v>131</v>
      </c>
      <c r="C36" s="178" t="s">
        <v>2144</v>
      </c>
      <c r="D36" s="21" t="str">
        <f t="shared" si="0"/>
        <v>PTO0035-131-25</v>
      </c>
      <c r="E36" s="9" t="s">
        <v>2145</v>
      </c>
      <c r="F36" s="10" t="str" cm="1">
        <f t="array" aca="1" ref="F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6" s="10" t="s">
        <v>2146</v>
      </c>
      <c r="I36" s="12">
        <v>45705</v>
      </c>
      <c r="J36" s="12" t="s">
        <v>2074</v>
      </c>
      <c r="K36" s="63">
        <v>45705</v>
      </c>
      <c r="L36" s="37" t="s">
        <v>2075</v>
      </c>
      <c r="M36" s="10" t="str">
        <f t="shared" ca="1" si="1"/>
        <v>CLOSED</v>
      </c>
    </row>
    <row r="37" spans="1:13" s="4" customFormat="1" ht="30" hidden="1" x14ac:dyDescent="0.25">
      <c r="A37" s="9" t="s">
        <v>131</v>
      </c>
      <c r="B37" s="19">
        <f>VLOOKUP(Table27[[#This Row],[Location 
(drop-down)]],'List source'!D$2:E$71,2,FALSE)</f>
        <v>145</v>
      </c>
      <c r="C37" s="178" t="s">
        <v>2147</v>
      </c>
      <c r="D37" s="21" t="str">
        <f t="shared" si="0"/>
        <v>PTO0036-145-25</v>
      </c>
      <c r="E37" s="9" t="s">
        <v>2148</v>
      </c>
      <c r="F37" s="10" t="str" cm="1">
        <f t="array" aca="1" ref="F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37" s="10">
        <v>2.0099999999999998</v>
      </c>
      <c r="I37" s="12">
        <v>45705</v>
      </c>
      <c r="J37" s="12" t="s">
        <v>2074</v>
      </c>
      <c r="K37" s="63">
        <v>45705</v>
      </c>
      <c r="L37" s="37" t="s">
        <v>2075</v>
      </c>
      <c r="M37" s="10" t="str">
        <f t="shared" ca="1" si="1"/>
        <v>CLOSED</v>
      </c>
    </row>
    <row r="38" spans="1:13" s="4" customFormat="1" ht="30" hidden="1" x14ac:dyDescent="0.25">
      <c r="A38" s="9" t="s">
        <v>86</v>
      </c>
      <c r="B38" s="19">
        <f>VLOOKUP(Table27[[#This Row],[Location 
(drop-down)]],'List source'!D$2:E$71,2,FALSE)</f>
        <v>150</v>
      </c>
      <c r="C38" s="178" t="s">
        <v>2149</v>
      </c>
      <c r="D38" s="21" t="str">
        <f t="shared" si="0"/>
        <v>PTO0037-150-25</v>
      </c>
      <c r="E38" s="9" t="s">
        <v>2150</v>
      </c>
      <c r="F38" s="10" t="str" cm="1">
        <f t="array" aca="1" ref="F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8" s="10">
        <v>2.36</v>
      </c>
      <c r="I38" s="12">
        <v>45705</v>
      </c>
      <c r="J38" s="12" t="s">
        <v>2074</v>
      </c>
      <c r="K38" s="63">
        <v>45705</v>
      </c>
      <c r="L38" s="37" t="s">
        <v>2075</v>
      </c>
      <c r="M38" s="10" t="str">
        <f t="shared" ca="1" si="1"/>
        <v>CLOSED</v>
      </c>
    </row>
    <row r="39" spans="1:13" s="4" customFormat="1" ht="30" hidden="1" x14ac:dyDescent="0.25">
      <c r="A39" s="9" t="s">
        <v>141</v>
      </c>
      <c r="B39" s="19">
        <f>VLOOKUP(Table27[[#This Row],[Location 
(drop-down)]],'List source'!D$2:E$71,2,FALSE)</f>
        <v>165</v>
      </c>
      <c r="C39" s="178" t="s">
        <v>2151</v>
      </c>
      <c r="D39" s="21" t="str">
        <f t="shared" si="0"/>
        <v>PTO0038-165-25</v>
      </c>
      <c r="E39" s="9" t="s">
        <v>2152</v>
      </c>
      <c r="F39" s="10" t="str" cm="1">
        <f t="array" aca="1" ref="F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9" s="10">
        <v>2.23</v>
      </c>
      <c r="I39" s="12">
        <v>45705</v>
      </c>
      <c r="J39" s="12" t="s">
        <v>2074</v>
      </c>
      <c r="K39" s="63">
        <v>45705</v>
      </c>
      <c r="L39" s="37" t="s">
        <v>2075</v>
      </c>
      <c r="M39" s="10" t="str">
        <f t="shared" ca="1" si="1"/>
        <v>CLOSED</v>
      </c>
    </row>
    <row r="40" spans="1:13" s="4" customFormat="1" ht="18.75" hidden="1" x14ac:dyDescent="0.25">
      <c r="A40" s="9" t="s">
        <v>133</v>
      </c>
      <c r="B40" s="19">
        <f>VLOOKUP(Table27[[#This Row],[Location 
(drop-down)]],'List source'!D$2:E$71,2,FALSE)</f>
        <v>194</v>
      </c>
      <c r="C40" s="178" t="s">
        <v>2153</v>
      </c>
      <c r="D40" s="21" t="str">
        <f t="shared" si="0"/>
        <v>PTO0039-194-25</v>
      </c>
      <c r="E40" s="9" t="s">
        <v>2154</v>
      </c>
      <c r="F40" s="10" t="str" cm="1">
        <f t="array" aca="1" ref="F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0" s="10">
        <v>2.31</v>
      </c>
      <c r="I40" s="12">
        <v>45719</v>
      </c>
      <c r="J40" s="12" t="s">
        <v>2074</v>
      </c>
      <c r="K40" s="63">
        <v>45719</v>
      </c>
      <c r="L40" s="37" t="s">
        <v>2079</v>
      </c>
      <c r="M40" s="10" t="str">
        <f t="shared" ca="1" si="1"/>
        <v>CLOSED</v>
      </c>
    </row>
    <row r="41" spans="1:13" s="4" customFormat="1" ht="18.75" hidden="1" x14ac:dyDescent="0.25">
      <c r="A41" s="9" t="s">
        <v>71</v>
      </c>
      <c r="B41" s="19">
        <f>VLOOKUP(Table27[[#This Row],[Location 
(drop-down)]],'List source'!D$2:E$71,2,FALSE)</f>
        <v>127</v>
      </c>
      <c r="C41" s="178" t="s">
        <v>2155</v>
      </c>
      <c r="D41" s="21" t="str">
        <f t="shared" si="0"/>
        <v>PTO0040-127-25</v>
      </c>
      <c r="E41" s="9" t="s">
        <v>2156</v>
      </c>
      <c r="F41" s="10" t="str" cm="1">
        <f t="array" aca="1" ref="F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41" s="136" t="s">
        <v>2157</v>
      </c>
      <c r="I41" s="12">
        <v>45719</v>
      </c>
      <c r="J41" s="12" t="s">
        <v>2074</v>
      </c>
      <c r="K41" s="63">
        <v>45719</v>
      </c>
      <c r="L41" s="37" t="s">
        <v>2079</v>
      </c>
      <c r="M41" s="10" t="str">
        <f t="shared" ca="1" si="1"/>
        <v>CLOSED</v>
      </c>
    </row>
    <row r="42" spans="1:13" s="4" customFormat="1" ht="18.75" hidden="1" x14ac:dyDescent="0.25">
      <c r="A42" s="9" t="s">
        <v>99</v>
      </c>
      <c r="B42" s="19">
        <f>VLOOKUP(Table27[[#This Row],[Location 
(drop-down)]],'List source'!D$2:E$71,2,FALSE)</f>
        <v>198</v>
      </c>
      <c r="C42" s="178" t="s">
        <v>2158</v>
      </c>
      <c r="D42" s="21" t="str">
        <f t="shared" si="0"/>
        <v>PTO0041-198-25</v>
      </c>
      <c r="E42" s="70" t="s">
        <v>2159</v>
      </c>
      <c r="F42" s="29" t="str" cm="1">
        <f t="array" aca="1" ref="F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2" s="7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2" s="29" t="s">
        <v>2160</v>
      </c>
      <c r="I42" s="12">
        <v>45720</v>
      </c>
      <c r="J42" s="12" t="s">
        <v>2074</v>
      </c>
      <c r="K42" s="63">
        <v>45720</v>
      </c>
      <c r="L42" s="37" t="s">
        <v>2079</v>
      </c>
      <c r="M42" s="10" t="str">
        <f t="shared" ca="1" si="1"/>
        <v>CLOSED</v>
      </c>
    </row>
    <row r="43" spans="1:13" s="4" customFormat="1" ht="18.75" hidden="1" x14ac:dyDescent="0.25">
      <c r="A43" s="9" t="s">
        <v>99</v>
      </c>
      <c r="B43" s="19">
        <f>VLOOKUP(Table27[[#This Row],[Location 
(drop-down)]],'List source'!D$2:E$71,2,FALSE)</f>
        <v>198</v>
      </c>
      <c r="C43" s="178" t="s">
        <v>2161</v>
      </c>
      <c r="D43" s="21" t="str">
        <f t="shared" si="0"/>
        <v>PTO0042-198-25</v>
      </c>
      <c r="E43" s="9" t="s">
        <v>2162</v>
      </c>
      <c r="F43" s="10" t="str" cm="1">
        <f t="array" aca="1" ref="F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3" s="10">
        <v>2.52</v>
      </c>
      <c r="I43" s="12">
        <v>45720</v>
      </c>
      <c r="J43" s="12" t="s">
        <v>2074</v>
      </c>
      <c r="K43" s="63">
        <v>45720</v>
      </c>
      <c r="L43" s="37" t="s">
        <v>2079</v>
      </c>
      <c r="M43" s="10" t="str">
        <f t="shared" ca="1" si="1"/>
        <v>CLOSED</v>
      </c>
    </row>
    <row r="44" spans="1:13" s="4" customFormat="1" ht="30" hidden="1" x14ac:dyDescent="0.25">
      <c r="A44" s="9" t="s">
        <v>257</v>
      </c>
      <c r="B44" s="19">
        <f>VLOOKUP(Table27[[#This Row],[Location 
(drop-down)]],'List source'!D$2:E$71,2,FALSE)</f>
        <v>144</v>
      </c>
      <c r="C44" s="178" t="s">
        <v>2163</v>
      </c>
      <c r="D44" s="21" t="str">
        <f t="shared" si="0"/>
        <v>PTO0043-144-25</v>
      </c>
      <c r="E44" s="9" t="s">
        <v>2164</v>
      </c>
      <c r="F44" s="10" t="str" cm="1">
        <f t="array" aca="1" ref="F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44" s="10">
        <v>3.76</v>
      </c>
      <c r="I44" s="12">
        <v>45720</v>
      </c>
      <c r="J44" s="12" t="s">
        <v>2074</v>
      </c>
      <c r="K44" s="63">
        <v>45720</v>
      </c>
      <c r="L44" s="37" t="s">
        <v>2079</v>
      </c>
      <c r="M44" s="10" t="str">
        <f t="shared" ca="1" si="1"/>
        <v>CLOSED</v>
      </c>
    </row>
    <row r="45" spans="1:13" s="4" customFormat="1" ht="18.75" hidden="1" x14ac:dyDescent="0.25">
      <c r="A45" s="9" t="s">
        <v>156</v>
      </c>
      <c r="B45" s="19">
        <f>VLOOKUP(Table27[[#This Row],[Location 
(drop-down)]],'List source'!D$2:E$71,2,FALSE)</f>
        <v>130</v>
      </c>
      <c r="C45" s="178" t="s">
        <v>2165</v>
      </c>
      <c r="D45" s="21" t="str">
        <f t="shared" si="0"/>
        <v>PTO0044-130-25</v>
      </c>
      <c r="E45" s="9" t="s">
        <v>2166</v>
      </c>
      <c r="F45" s="10" t="str" cm="1">
        <f t="array" aca="1" ref="F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45" s="10">
        <v>22665.07</v>
      </c>
      <c r="I45" s="12">
        <v>45721</v>
      </c>
      <c r="J45" s="12" t="s">
        <v>2074</v>
      </c>
      <c r="K45" s="63">
        <v>45721</v>
      </c>
      <c r="L45" s="37" t="s">
        <v>2079</v>
      </c>
      <c r="M45" s="10" t="str">
        <f t="shared" ca="1" si="1"/>
        <v>CLOSED</v>
      </c>
    </row>
    <row r="46" spans="1:13" s="4" customFormat="1" ht="30" hidden="1" x14ac:dyDescent="0.25">
      <c r="A46" s="9" t="s">
        <v>153</v>
      </c>
      <c r="B46" s="19">
        <f>VLOOKUP(Table27[[#This Row],[Location 
(drop-down)]],'List source'!D$2:E$71,2,FALSE)</f>
        <v>110</v>
      </c>
      <c r="C46" s="178" t="s">
        <v>2167</v>
      </c>
      <c r="D46" s="21" t="str">
        <f t="shared" si="0"/>
        <v>PTO0045-110-25</v>
      </c>
      <c r="E46" s="9" t="s">
        <v>2168</v>
      </c>
      <c r="F46" s="10" t="str" cm="1">
        <f t="array" aca="1" ref="F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6" s="136">
        <v>2.02</v>
      </c>
      <c r="I46" s="12">
        <v>45733</v>
      </c>
      <c r="J46" s="12" t="s">
        <v>2074</v>
      </c>
      <c r="K46" s="63">
        <v>45733</v>
      </c>
      <c r="L46" s="37" t="s">
        <v>2075</v>
      </c>
      <c r="M46" s="10" t="str">
        <f t="shared" ca="1" si="1"/>
        <v>CLOSED</v>
      </c>
    </row>
    <row r="47" spans="1:13" s="4" customFormat="1" ht="30" hidden="1" x14ac:dyDescent="0.25">
      <c r="A47" s="9" t="s">
        <v>86</v>
      </c>
      <c r="B47" s="19">
        <f>VLOOKUP(Table27[[#This Row],[Location 
(drop-down)]],'List source'!D$2:E$71,2,FALSE)</f>
        <v>150</v>
      </c>
      <c r="C47" s="178" t="s">
        <v>2169</v>
      </c>
      <c r="D47" s="21" t="str">
        <f t="shared" si="0"/>
        <v>PTO0046-150-25</v>
      </c>
      <c r="E47" s="9" t="s">
        <v>2170</v>
      </c>
      <c r="F47" s="10" t="str" cm="1">
        <f t="array" aca="1" ref="F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7" s="10" t="s">
        <v>2171</v>
      </c>
      <c r="I47" s="12">
        <v>45733</v>
      </c>
      <c r="J47" s="12" t="s">
        <v>2074</v>
      </c>
      <c r="K47" s="63">
        <v>45733</v>
      </c>
      <c r="L47" s="37" t="s">
        <v>2075</v>
      </c>
      <c r="M47" s="10" t="str">
        <f t="shared" ca="1" si="1"/>
        <v>CLOSED</v>
      </c>
    </row>
    <row r="48" spans="1:13" s="4" customFormat="1" ht="30" hidden="1" x14ac:dyDescent="0.25">
      <c r="A48" s="9" t="s">
        <v>107</v>
      </c>
      <c r="B48" s="19">
        <f>VLOOKUP(Table27[[#This Row],[Location 
(drop-down)]],'List source'!D$2:E$71,2,FALSE)</f>
        <v>170</v>
      </c>
      <c r="C48" s="178" t="s">
        <v>2172</v>
      </c>
      <c r="D48" s="21" t="str">
        <f t="shared" si="0"/>
        <v>PTO0047-170-25</v>
      </c>
      <c r="E48" s="184" t="s">
        <v>2173</v>
      </c>
      <c r="F48" s="88" t="str" cm="1">
        <f t="array" aca="1" ref="F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48" s="18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48" s="216" t="s">
        <v>2110</v>
      </c>
      <c r="I48" s="12">
        <v>45733</v>
      </c>
      <c r="J48" s="12" t="s">
        <v>2074</v>
      </c>
      <c r="K48" s="63">
        <v>45733</v>
      </c>
      <c r="L48" s="37" t="s">
        <v>2075</v>
      </c>
      <c r="M48" s="10" t="str">
        <f t="shared" ca="1" si="1"/>
        <v>CLOSED</v>
      </c>
    </row>
    <row r="49" spans="1:13" s="4" customFormat="1" ht="30" hidden="1" x14ac:dyDescent="0.25">
      <c r="A49" s="9" t="s">
        <v>37</v>
      </c>
      <c r="B49" s="19">
        <f>VLOOKUP(Table27[[#This Row],[Location 
(drop-down)]],'List source'!D$2:E$71,2,FALSE)</f>
        <v>210</v>
      </c>
      <c r="C49" s="178" t="s">
        <v>2174</v>
      </c>
      <c r="D49" s="21" t="str">
        <f t="shared" si="0"/>
        <v>PTO0048-210-25</v>
      </c>
      <c r="E49" s="133" t="s">
        <v>2175</v>
      </c>
      <c r="F49" s="128" t="str" cm="1">
        <f t="array" aca="1" ref="F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49" s="13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9" s="180" t="s">
        <v>2176</v>
      </c>
      <c r="I49" s="12">
        <v>45733</v>
      </c>
      <c r="J49" s="12" t="s">
        <v>2074</v>
      </c>
      <c r="K49" s="63">
        <v>45733</v>
      </c>
      <c r="L49" s="37" t="s">
        <v>2075</v>
      </c>
      <c r="M49" s="10" t="str">
        <f t="shared" ca="1" si="1"/>
        <v>CLOSED</v>
      </c>
    </row>
    <row r="50" spans="1:13" s="4" customFormat="1" ht="18.75" hidden="1" x14ac:dyDescent="0.25">
      <c r="A50" s="9" t="s">
        <v>123</v>
      </c>
      <c r="B50" s="19">
        <f>VLOOKUP(Table27[[#This Row],[Location 
(drop-down)]],'List source'!D$2:E$71,2,FALSE)</f>
        <v>192</v>
      </c>
      <c r="C50" s="178" t="s">
        <v>2177</v>
      </c>
      <c r="D50" s="21" t="str">
        <f t="shared" si="0"/>
        <v>PTO0049-192-25</v>
      </c>
      <c r="E50" s="9" t="s">
        <v>2178</v>
      </c>
      <c r="F50" s="10" t="str" cm="1">
        <f t="array" aca="1" ref="F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 s="10">
        <v>3.05</v>
      </c>
      <c r="I50" s="12">
        <v>45749</v>
      </c>
      <c r="J50" s="12" t="s">
        <v>2074</v>
      </c>
      <c r="K50" s="63">
        <v>45749</v>
      </c>
      <c r="L50" s="37" t="s">
        <v>2079</v>
      </c>
      <c r="M50" s="10" t="str">
        <f t="shared" ca="1" si="1"/>
        <v>CLOSED</v>
      </c>
    </row>
    <row r="51" spans="1:13" s="4" customFormat="1" ht="30" hidden="1" x14ac:dyDescent="0.25">
      <c r="A51" s="9" t="s">
        <v>153</v>
      </c>
      <c r="B51" s="19">
        <f>VLOOKUP(Table27[[#This Row],[Location 
(drop-down)]],'List source'!D$2:E$71,2,FALSE)</f>
        <v>110</v>
      </c>
      <c r="C51" s="178" t="s">
        <v>2179</v>
      </c>
      <c r="D51" s="21" t="str">
        <f t="shared" si="0"/>
        <v>PTO0050-110-25</v>
      </c>
      <c r="E51" s="9" t="s">
        <v>2180</v>
      </c>
      <c r="F51" s="10" t="str" cm="1">
        <f t="array" aca="1" ref="F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51" s="136" t="s">
        <v>2181</v>
      </c>
      <c r="I51" s="12">
        <v>45755</v>
      </c>
      <c r="J51" s="12" t="s">
        <v>2074</v>
      </c>
      <c r="K51" s="63">
        <v>45755</v>
      </c>
      <c r="L51" s="37" t="s">
        <v>2075</v>
      </c>
      <c r="M51" s="10" t="str">
        <f t="shared" ca="1" si="1"/>
        <v>CLOSED</v>
      </c>
    </row>
    <row r="52" spans="1:13" s="4" customFormat="1" ht="30" hidden="1" x14ac:dyDescent="0.25">
      <c r="A52" s="9" t="s">
        <v>186</v>
      </c>
      <c r="B52" s="19">
        <f>VLOOKUP(Table27[[#This Row],[Location 
(drop-down)]],'List source'!D$2:E$71,2,FALSE)</f>
        <v>136</v>
      </c>
      <c r="C52" s="178" t="s">
        <v>2182</v>
      </c>
      <c r="D52" s="21" t="str">
        <f t="shared" si="0"/>
        <v>PTO0051-136-25</v>
      </c>
      <c r="E52" s="76" t="s">
        <v>2183</v>
      </c>
      <c r="F52" s="10" t="str" cm="1">
        <f t="array" aca="1" ref="F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52" s="217" t="s">
        <v>2085</v>
      </c>
      <c r="I52" s="12">
        <v>45755</v>
      </c>
      <c r="J52" s="12" t="s">
        <v>2074</v>
      </c>
      <c r="K52" s="63">
        <v>45755</v>
      </c>
      <c r="L52" s="37" t="s">
        <v>2075</v>
      </c>
      <c r="M52" s="10" t="str">
        <f t="shared" ca="1" si="1"/>
        <v>CLOSED</v>
      </c>
    </row>
    <row r="53" spans="1:13" s="4" customFormat="1" ht="30" hidden="1" x14ac:dyDescent="0.25">
      <c r="A53" s="9" t="s">
        <v>338</v>
      </c>
      <c r="B53" s="19">
        <f>VLOOKUP(Table27[[#This Row],[Location 
(drop-down)]],'List source'!D$2:E$71,2,FALSE)</f>
        <v>191</v>
      </c>
      <c r="C53" s="178" t="s">
        <v>2184</v>
      </c>
      <c r="D53" s="21" t="str">
        <f t="shared" si="0"/>
        <v>PTO0052-191-25</v>
      </c>
      <c r="E53" s="9" t="s">
        <v>2185</v>
      </c>
      <c r="F53" s="10" t="str" cm="1">
        <f t="array" aca="1" ref="F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 s="136" t="s">
        <v>2091</v>
      </c>
      <c r="I53" s="12">
        <v>45755</v>
      </c>
      <c r="J53" s="12" t="s">
        <v>2074</v>
      </c>
      <c r="K53" s="63">
        <v>45755</v>
      </c>
      <c r="L53" s="37" t="s">
        <v>2075</v>
      </c>
      <c r="M53" s="10" t="str">
        <f t="shared" ca="1" si="1"/>
        <v>CLOSED</v>
      </c>
    </row>
    <row r="54" spans="1:13" s="4" customFormat="1" ht="30" hidden="1" x14ac:dyDescent="0.25">
      <c r="A54" s="9" t="s">
        <v>76</v>
      </c>
      <c r="B54" s="19">
        <f>VLOOKUP(Table27[[#This Row],[Location 
(drop-down)]],'List source'!D$2:E$71,2,FALSE)</f>
        <v>157</v>
      </c>
      <c r="C54" s="178" t="s">
        <v>2186</v>
      </c>
      <c r="D54" s="21" t="str">
        <f t="shared" si="0"/>
        <v>PTO0053-157-25</v>
      </c>
      <c r="E54" s="9" t="s">
        <v>2187</v>
      </c>
      <c r="F54" s="10" t="str" cm="1">
        <f t="array" aca="1" ref="F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54" s="136" t="s">
        <v>2107</v>
      </c>
      <c r="I54" s="12">
        <v>45777</v>
      </c>
      <c r="J54" s="12" t="s">
        <v>2074</v>
      </c>
      <c r="K54" s="12">
        <v>45777</v>
      </c>
      <c r="L54" s="37" t="s">
        <v>2075</v>
      </c>
      <c r="M54" s="10" t="str">
        <f t="shared" ca="1" si="1"/>
        <v>CLOSED</v>
      </c>
    </row>
    <row r="55" spans="1:13" s="4" customFormat="1" ht="30" hidden="1" x14ac:dyDescent="0.25">
      <c r="A55" s="9" t="s">
        <v>76</v>
      </c>
      <c r="B55" s="19">
        <f>VLOOKUP(Table27[[#This Row],[Location 
(drop-down)]],'List source'!D$2:E$71,2,FALSE)</f>
        <v>157</v>
      </c>
      <c r="C55" s="178" t="s">
        <v>2188</v>
      </c>
      <c r="D55" s="21" t="str">
        <f t="shared" si="0"/>
        <v>PTO0054-157-25</v>
      </c>
      <c r="E55" s="9" t="s">
        <v>2189</v>
      </c>
      <c r="F55" s="10" t="str" cm="1">
        <f t="array" aca="1" ref="F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5" s="185" t="s">
        <v>2190</v>
      </c>
      <c r="I55" s="12">
        <v>45777</v>
      </c>
      <c r="J55" s="12" t="s">
        <v>2074</v>
      </c>
      <c r="K55" s="12">
        <v>45777</v>
      </c>
      <c r="L55" s="37" t="s">
        <v>2075</v>
      </c>
      <c r="M55" s="10" t="str">
        <f t="shared" ca="1" si="1"/>
        <v>CLOSED</v>
      </c>
    </row>
    <row r="56" spans="1:13" s="4" customFormat="1" ht="30" hidden="1" x14ac:dyDescent="0.25">
      <c r="A56" s="9" t="s">
        <v>287</v>
      </c>
      <c r="B56" s="19">
        <f>VLOOKUP(Table27[[#This Row],[Location 
(drop-down)]],'List source'!D$2:E$71,2,FALSE)</f>
        <v>180</v>
      </c>
      <c r="C56" s="178" t="s">
        <v>2191</v>
      </c>
      <c r="D56" s="21" t="str">
        <f t="shared" si="0"/>
        <v>PTO0055-180-25</v>
      </c>
      <c r="E56" s="9" t="s">
        <v>2192</v>
      </c>
      <c r="F56" s="10" t="str" cm="1">
        <f t="array" aca="1" ref="F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56" s="136" t="s">
        <v>2193</v>
      </c>
      <c r="I56" s="12">
        <v>45777</v>
      </c>
      <c r="J56" s="12" t="s">
        <v>2074</v>
      </c>
      <c r="K56" s="12">
        <v>45777</v>
      </c>
      <c r="L56" s="37" t="s">
        <v>2075</v>
      </c>
      <c r="M56" s="10" t="str">
        <f t="shared" ca="1" si="1"/>
        <v>CLOSED</v>
      </c>
    </row>
    <row r="57" spans="1:13" s="4" customFormat="1" ht="18.75" hidden="1" x14ac:dyDescent="0.25">
      <c r="A57" s="9" t="s">
        <v>79</v>
      </c>
      <c r="B57" s="19">
        <f>VLOOKUP(Table27[[#This Row],[Location 
(drop-down)]],'List source'!D$2:E$71,2,FALSE)</f>
        <v>160</v>
      </c>
      <c r="C57" s="178" t="s">
        <v>2194</v>
      </c>
      <c r="D57" s="21" t="str">
        <f t="shared" si="0"/>
        <v>PTO0056-160-25</v>
      </c>
      <c r="E57" s="9" t="s">
        <v>2195</v>
      </c>
      <c r="F57" s="10" t="str" cm="1">
        <f t="array" aca="1" ref="F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57" s="136" t="s">
        <v>2196</v>
      </c>
      <c r="I57" s="12">
        <v>45786</v>
      </c>
      <c r="J57" s="12" t="s">
        <v>82</v>
      </c>
      <c r="K57" s="63">
        <v>45806</v>
      </c>
      <c r="L57" s="37"/>
      <c r="M57" s="10" t="str">
        <f t="shared" ca="1" si="1"/>
        <v>CLOSED</v>
      </c>
    </row>
    <row r="58" spans="1:13" s="4" customFormat="1" ht="18.75" hidden="1" x14ac:dyDescent="0.25">
      <c r="A58" s="9" t="s">
        <v>338</v>
      </c>
      <c r="B58" s="19">
        <f>VLOOKUP(Table27[[#This Row],[Location 
(drop-down)]],'List source'!D$2:E$71,2,FALSE)</f>
        <v>191</v>
      </c>
      <c r="C58" s="178" t="s">
        <v>2197</v>
      </c>
      <c r="D58" s="21" t="str">
        <f t="shared" si="0"/>
        <v>PTO0057-191-25</v>
      </c>
      <c r="E58" s="9" t="s">
        <v>2198</v>
      </c>
      <c r="F58" s="10" t="str" cm="1">
        <f t="array" aca="1" ref="F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58" s="136" t="s">
        <v>2199</v>
      </c>
      <c r="I58" s="12">
        <v>45786</v>
      </c>
      <c r="J58" s="12" t="s">
        <v>109</v>
      </c>
      <c r="K58" s="63">
        <v>45818</v>
      </c>
      <c r="L58" s="37"/>
      <c r="M58" s="10" t="str">
        <f t="shared" ca="1" si="1"/>
        <v>CLOSED</v>
      </c>
    </row>
    <row r="59" spans="1:13" s="4" customFormat="1" ht="18.75" hidden="1" x14ac:dyDescent="0.25">
      <c r="A59" s="9" t="s">
        <v>338</v>
      </c>
      <c r="B59" s="19">
        <f>VLOOKUP(Table27[[#This Row],[Location 
(drop-down)]],'List source'!D$2:E$71,2,FALSE)</f>
        <v>191</v>
      </c>
      <c r="C59" s="178" t="s">
        <v>2200</v>
      </c>
      <c r="D59" s="21" t="str">
        <f t="shared" si="0"/>
        <v>PTO0058-191-25</v>
      </c>
      <c r="E59" s="9" t="s">
        <v>2201</v>
      </c>
      <c r="F59" s="10" t="str" cm="1">
        <f t="array" aca="1" ref="F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9" s="10">
        <v>2.16</v>
      </c>
      <c r="I59" s="12">
        <v>45786</v>
      </c>
      <c r="J59" s="12" t="s">
        <v>109</v>
      </c>
      <c r="K59" s="63">
        <v>45818</v>
      </c>
      <c r="L59" s="37"/>
      <c r="M59" s="10" t="str">
        <f t="shared" ca="1" si="1"/>
        <v>CLOSED</v>
      </c>
    </row>
    <row r="60" spans="1:13" s="4" customFormat="1" ht="18.75" hidden="1" x14ac:dyDescent="0.25">
      <c r="A60" s="9" t="s">
        <v>37</v>
      </c>
      <c r="B60" s="19">
        <f>VLOOKUP(Table27[[#This Row],[Location 
(drop-down)]],'List source'!D$2:E$71,2,FALSE)</f>
        <v>210</v>
      </c>
      <c r="C60" s="178" t="s">
        <v>2202</v>
      </c>
      <c r="D60" s="21" t="str">
        <f t="shared" si="0"/>
        <v>PTO0059-210-25</v>
      </c>
      <c r="E60" s="9" t="s">
        <v>2203</v>
      </c>
      <c r="F60" s="10" t="str" cm="1">
        <f t="array" aca="1" ref="F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0" s="136" t="s">
        <v>2204</v>
      </c>
      <c r="I60" s="12">
        <v>45786</v>
      </c>
      <c r="J60" s="12" t="s">
        <v>189</v>
      </c>
      <c r="K60" s="63">
        <v>45879</v>
      </c>
      <c r="L60" s="37"/>
      <c r="M60" s="10" t="str">
        <f t="shared" ca="1" si="1"/>
        <v>CLOSED</v>
      </c>
    </row>
    <row r="61" spans="1:13" s="4" customFormat="1" ht="30" hidden="1" x14ac:dyDescent="0.25">
      <c r="A61" s="9" t="s">
        <v>94</v>
      </c>
      <c r="B61" s="19">
        <f>VLOOKUP(Table27[[#This Row],[Location 
(drop-down)]],'List source'!D$2:E$71,2,FALSE)</f>
        <v>120</v>
      </c>
      <c r="C61" s="178" t="s">
        <v>2205</v>
      </c>
      <c r="D61" s="21" t="str">
        <f t="shared" si="0"/>
        <v>PTO0060-120-25</v>
      </c>
      <c r="E61" s="9" t="s">
        <v>2206</v>
      </c>
      <c r="F61" s="10" t="str" cm="1">
        <f t="array" aca="1" ref="F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1" s="136" t="s">
        <v>2207</v>
      </c>
      <c r="I61" s="12">
        <v>45793</v>
      </c>
      <c r="J61" s="12" t="s">
        <v>18</v>
      </c>
      <c r="K61" s="63">
        <v>45869</v>
      </c>
      <c r="L61" s="37"/>
      <c r="M61" s="10" t="str">
        <f t="shared" ca="1" si="1"/>
        <v>CLOSED</v>
      </c>
    </row>
    <row r="62" spans="1:13" s="4" customFormat="1" ht="18.75" hidden="1" x14ac:dyDescent="0.25">
      <c r="A62" s="9" t="s">
        <v>117</v>
      </c>
      <c r="B62" s="19">
        <f>VLOOKUP(Table27[[#This Row],[Location 
(drop-down)]],'List source'!D$2:E$71,2,FALSE)</f>
        <v>125</v>
      </c>
      <c r="C62" s="178" t="s">
        <v>2208</v>
      </c>
      <c r="D62" s="21" t="str">
        <f t="shared" si="0"/>
        <v>PTO0061-125-25</v>
      </c>
      <c r="E62" s="9" t="s">
        <v>2209</v>
      </c>
      <c r="F62" s="10" t="str" cm="1">
        <f t="array" aca="1" ref="F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62" s="10">
        <v>18.7</v>
      </c>
      <c r="I62" s="12">
        <v>45793</v>
      </c>
      <c r="J62" s="12" t="s">
        <v>189</v>
      </c>
      <c r="K62" s="63">
        <v>45839</v>
      </c>
      <c r="L62" s="37" t="s">
        <v>2210</v>
      </c>
      <c r="M62" s="10" t="str">
        <f t="shared" ca="1" si="1"/>
        <v>CLOSED</v>
      </c>
    </row>
    <row r="63" spans="1:13" s="4" customFormat="1" ht="18.75" hidden="1" x14ac:dyDescent="0.25">
      <c r="A63" s="9" t="s">
        <v>177</v>
      </c>
      <c r="B63" s="19">
        <f>VLOOKUP(Table27[[#This Row],[Location 
(drop-down)]],'List source'!D$2:E$71,2,FALSE)</f>
        <v>126</v>
      </c>
      <c r="C63" s="178" t="s">
        <v>2211</v>
      </c>
      <c r="D63" s="21" t="str">
        <f t="shared" si="0"/>
        <v>PTO0062-126-25</v>
      </c>
      <c r="E63" s="9" t="s">
        <v>2212</v>
      </c>
      <c r="F63" s="10" t="str" cm="1">
        <f t="array" aca="1" ref="F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63" s="185" t="s">
        <v>2213</v>
      </c>
      <c r="I63" s="12">
        <v>45793</v>
      </c>
      <c r="J63" s="12" t="s">
        <v>252</v>
      </c>
      <c r="K63" s="63">
        <v>45797</v>
      </c>
      <c r="L63" s="37"/>
      <c r="M63" s="10" t="str">
        <f t="shared" ca="1" si="1"/>
        <v>CLOSED</v>
      </c>
    </row>
    <row r="64" spans="1:13" s="4" customFormat="1" ht="30" hidden="1" x14ac:dyDescent="0.25">
      <c r="A64" s="9" t="s">
        <v>177</v>
      </c>
      <c r="B64" s="19">
        <f>VLOOKUP(Table27[[#This Row],[Location 
(drop-down)]],'List source'!D$2:E$71,2,FALSE)</f>
        <v>126</v>
      </c>
      <c r="C64" s="178" t="s">
        <v>2214</v>
      </c>
      <c r="D64" s="21" t="str">
        <f t="shared" si="0"/>
        <v>PTO0063-126-25</v>
      </c>
      <c r="E64" s="9" t="s">
        <v>2215</v>
      </c>
      <c r="F64" s="10" t="str" cm="1">
        <f t="array" aca="1" ref="F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4" s="10">
        <v>2.35</v>
      </c>
      <c r="I64" s="12">
        <v>45786</v>
      </c>
      <c r="J64" s="12" t="s">
        <v>2074</v>
      </c>
      <c r="K64" s="63">
        <v>45786</v>
      </c>
      <c r="L64" s="37" t="s">
        <v>2075</v>
      </c>
      <c r="M64" s="10" t="str">
        <f t="shared" ca="1" si="1"/>
        <v>CLOSED</v>
      </c>
    </row>
    <row r="65" spans="1:13" s="4" customFormat="1" ht="18.75" hidden="1" x14ac:dyDescent="0.25">
      <c r="A65" s="9" t="s">
        <v>177</v>
      </c>
      <c r="B65" s="19">
        <f>VLOOKUP(Table27[[#This Row],[Location 
(drop-down)]],'List source'!D$2:E$71,2,FALSE)</f>
        <v>126</v>
      </c>
      <c r="C65" s="178" t="s">
        <v>2216</v>
      </c>
      <c r="D65" s="21" t="str">
        <f t="shared" si="0"/>
        <v>PTO0064-126-25</v>
      </c>
      <c r="E65" s="9" t="s">
        <v>2217</v>
      </c>
      <c r="F65" s="10" t="str" cm="1">
        <f t="array" aca="1" ref="F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65" s="10">
        <v>2.0699999999999998</v>
      </c>
      <c r="I65" s="12">
        <v>45793</v>
      </c>
      <c r="J65" s="12" t="s">
        <v>2074</v>
      </c>
      <c r="K65" s="63">
        <v>45798</v>
      </c>
      <c r="L65" s="37" t="s">
        <v>2079</v>
      </c>
      <c r="M65" s="10" t="str">
        <f t="shared" ca="1" si="1"/>
        <v>CLOSED</v>
      </c>
    </row>
    <row r="66" spans="1:13" s="4" customFormat="1" ht="18.75" hidden="1" x14ac:dyDescent="0.25">
      <c r="A66" s="9" t="s">
        <v>177</v>
      </c>
      <c r="B66" s="19">
        <f>VLOOKUP(Table27[[#This Row],[Location 
(drop-down)]],'List source'!D$2:E$71,2,FALSE)</f>
        <v>126</v>
      </c>
      <c r="C66" s="178" t="s">
        <v>2218</v>
      </c>
      <c r="D66" s="21" t="str">
        <f t="shared" ref="D66:D129" si="2">"PTO" &amp; C66 &amp; "-" &amp; B66 &amp; "-" &amp; "25"</f>
        <v>PTO0065-126-25</v>
      </c>
      <c r="E66" s="9" t="s">
        <v>2219</v>
      </c>
      <c r="F66" s="10" t="str" cm="1">
        <f t="array" aca="1" ref="F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6" s="136" t="s">
        <v>2220</v>
      </c>
      <c r="I66" s="12">
        <v>45793</v>
      </c>
      <c r="J66" s="12" t="s">
        <v>189</v>
      </c>
      <c r="K66" s="63">
        <v>45839</v>
      </c>
      <c r="L66" s="37"/>
      <c r="M66" s="10" t="str">
        <f t="shared" ref="M66:M129" ca="1" si="3">IF(ISBLANK(K66), TODAY()-(I66), "CLOSED")</f>
        <v>CLOSED</v>
      </c>
    </row>
    <row r="67" spans="1:13" s="4" customFormat="1" ht="18.75" hidden="1" x14ac:dyDescent="0.25">
      <c r="A67" s="9" t="s">
        <v>156</v>
      </c>
      <c r="B67" s="19">
        <f>VLOOKUP(Table27[[#This Row],[Location 
(drop-down)]],'List source'!D$2:E$71,2,FALSE)</f>
        <v>130</v>
      </c>
      <c r="C67" s="178" t="s">
        <v>2221</v>
      </c>
      <c r="D67" s="21" t="str">
        <f t="shared" si="2"/>
        <v>PTO0066-130-25</v>
      </c>
      <c r="E67" s="9" t="s">
        <v>2222</v>
      </c>
      <c r="F67" s="10" t="str" cm="1">
        <f t="array" aca="1" ref="F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 &amp; Density</v>
      </c>
      <c r="H67" s="136" t="s">
        <v>2223</v>
      </c>
      <c r="I67" s="12">
        <v>45793</v>
      </c>
      <c r="J67" s="12" t="s">
        <v>167</v>
      </c>
      <c r="K67" s="63">
        <v>45856</v>
      </c>
      <c r="L67" s="37"/>
      <c r="M67" s="10" t="str">
        <f t="shared" ca="1" si="3"/>
        <v>CLOSED</v>
      </c>
    </row>
    <row r="68" spans="1:13" s="4" customFormat="1" ht="30" hidden="1" x14ac:dyDescent="0.25">
      <c r="A68" s="9" t="s">
        <v>156</v>
      </c>
      <c r="B68" s="19">
        <f>VLOOKUP(Table27[[#This Row],[Location 
(drop-down)]],'List source'!D$2:E$71,2,FALSE)</f>
        <v>130</v>
      </c>
      <c r="C68" s="178" t="s">
        <v>2224</v>
      </c>
      <c r="D68" s="21" t="str">
        <f t="shared" si="2"/>
        <v>PTO0067-130-25</v>
      </c>
      <c r="E68" s="9" t="s">
        <v>2225</v>
      </c>
      <c r="F68" s="10" t="str" cm="1">
        <f t="array" aca="1" ref="F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8" s="185" t="s">
        <v>2226</v>
      </c>
      <c r="I68" s="12">
        <v>45793</v>
      </c>
      <c r="J68" s="12" t="s">
        <v>167</v>
      </c>
      <c r="K68" s="63">
        <v>45855</v>
      </c>
      <c r="L68" s="37"/>
      <c r="M68" s="10" t="str">
        <f t="shared" ca="1" si="3"/>
        <v>CLOSED</v>
      </c>
    </row>
    <row r="69" spans="1:13" s="4" customFormat="1" ht="18.75" hidden="1" x14ac:dyDescent="0.25">
      <c r="A69" s="9" t="s">
        <v>156</v>
      </c>
      <c r="B69" s="19">
        <f>VLOOKUP(Table27[[#This Row],[Location 
(drop-down)]],'List source'!D$2:E$71,2,FALSE)</f>
        <v>130</v>
      </c>
      <c r="C69" s="178" t="s">
        <v>2227</v>
      </c>
      <c r="D69" s="21" t="str">
        <f t="shared" si="2"/>
        <v>PTO0068-130-25</v>
      </c>
      <c r="E69" s="9" t="s">
        <v>2228</v>
      </c>
      <c r="F69" s="10" t="str" cm="1">
        <f t="array" aca="1" ref="F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69" s="10">
        <v>3.8</v>
      </c>
      <c r="I69" s="12">
        <v>45793</v>
      </c>
      <c r="J69" s="12" t="s">
        <v>2074</v>
      </c>
      <c r="K69" s="63">
        <v>45819</v>
      </c>
      <c r="L69" s="37" t="s">
        <v>2079</v>
      </c>
      <c r="M69" s="10" t="str">
        <f t="shared" ca="1" si="3"/>
        <v>CLOSED</v>
      </c>
    </row>
    <row r="70" spans="1:13" s="4" customFormat="1" ht="18.75" hidden="1" x14ac:dyDescent="0.25">
      <c r="A70" s="9" t="s">
        <v>156</v>
      </c>
      <c r="B70" s="19">
        <f>VLOOKUP(Table27[[#This Row],[Location 
(drop-down)]],'List source'!D$2:E$71,2,FALSE)</f>
        <v>130</v>
      </c>
      <c r="C70" s="178" t="s">
        <v>2229</v>
      </c>
      <c r="D70" s="21" t="str">
        <f t="shared" si="2"/>
        <v>PTO0069-130-25</v>
      </c>
      <c r="E70" s="9" t="s">
        <v>2230</v>
      </c>
      <c r="F70" s="10" t="str" cm="1">
        <f t="array" aca="1" ref="F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70" s="136" t="s">
        <v>2231</v>
      </c>
      <c r="I70" s="12">
        <v>45793</v>
      </c>
      <c r="J70" s="12" t="s">
        <v>2074</v>
      </c>
      <c r="K70" s="63">
        <v>45841</v>
      </c>
      <c r="L70" s="37" t="s">
        <v>2079</v>
      </c>
      <c r="M70" s="10" t="str">
        <f t="shared" ca="1" si="3"/>
        <v>CLOSED</v>
      </c>
    </row>
    <row r="71" spans="1:13" s="4" customFormat="1" ht="18.75" hidden="1" x14ac:dyDescent="0.25">
      <c r="A71" s="9" t="s">
        <v>156</v>
      </c>
      <c r="B71" s="19">
        <f>VLOOKUP(Table27[[#This Row],[Location 
(drop-down)]],'List source'!D$2:E$71,2,FALSE)</f>
        <v>130</v>
      </c>
      <c r="C71" s="178" t="s">
        <v>2232</v>
      </c>
      <c r="D71" s="21" t="str">
        <f t="shared" si="2"/>
        <v>PTO0070-130-25</v>
      </c>
      <c r="E71" s="9" t="s">
        <v>2233</v>
      </c>
      <c r="F71" s="10" t="str" cm="1">
        <f t="array" aca="1" ref="F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71" s="10">
        <v>52.56</v>
      </c>
      <c r="I71" s="12">
        <v>45793</v>
      </c>
      <c r="J71" s="12" t="s">
        <v>2074</v>
      </c>
      <c r="K71" s="63">
        <v>45819</v>
      </c>
      <c r="L71" s="37" t="s">
        <v>2079</v>
      </c>
      <c r="M71" s="10" t="str">
        <f t="shared" ca="1" si="3"/>
        <v>CLOSED</v>
      </c>
    </row>
    <row r="72" spans="1:13" s="4" customFormat="1" ht="18.75" hidden="1" x14ac:dyDescent="0.25">
      <c r="A72" s="9" t="s">
        <v>37</v>
      </c>
      <c r="B72" s="19">
        <f>VLOOKUP(Table27[[#This Row],[Location 
(drop-down)]],'List source'!D$2:E$71,2,FALSE)</f>
        <v>210</v>
      </c>
      <c r="C72" s="178" t="s">
        <v>2234</v>
      </c>
      <c r="D72" s="21" t="str">
        <f t="shared" si="2"/>
        <v>PTO0071-210-25</v>
      </c>
      <c r="E72" s="9" t="s">
        <v>2235</v>
      </c>
      <c r="F72" s="10" t="str" cm="1">
        <f t="array" aca="1" ref="F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D5001 - Lubricity</v>
      </c>
      <c r="H72" s="136" t="s">
        <v>2236</v>
      </c>
      <c r="I72" s="12">
        <v>45786</v>
      </c>
      <c r="J72" s="12" t="s">
        <v>252</v>
      </c>
      <c r="K72" s="63">
        <v>45838</v>
      </c>
      <c r="L72" s="37"/>
      <c r="M72" s="10" t="str">
        <f t="shared" ca="1" si="3"/>
        <v>CLOSED</v>
      </c>
    </row>
    <row r="73" spans="1:13" s="4" customFormat="1" ht="18.75" hidden="1" x14ac:dyDescent="0.25">
      <c r="A73" s="9" t="s">
        <v>37</v>
      </c>
      <c r="B73" s="19">
        <f>VLOOKUP(Table27[[#This Row],[Location 
(drop-down)]],'List source'!D$2:E$71,2,FALSE)</f>
        <v>210</v>
      </c>
      <c r="C73" s="178" t="s">
        <v>2237</v>
      </c>
      <c r="D73" s="21" t="str">
        <f t="shared" si="2"/>
        <v>PTO0072-210-25</v>
      </c>
      <c r="E73" s="9" t="s">
        <v>2238</v>
      </c>
      <c r="F73" s="10" t="str" cm="1">
        <f t="array" aca="1" ref="F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73" s="136" t="s">
        <v>2239</v>
      </c>
      <c r="I73" s="12">
        <v>45786</v>
      </c>
      <c r="J73" s="12" t="s">
        <v>2074</v>
      </c>
      <c r="K73" s="63">
        <v>45786</v>
      </c>
      <c r="L73" s="37" t="s">
        <v>2079</v>
      </c>
      <c r="M73" s="10" t="str">
        <f t="shared" ca="1" si="3"/>
        <v>CLOSED</v>
      </c>
    </row>
    <row r="74" spans="1:13" s="4" customFormat="1" ht="18.75" hidden="1" x14ac:dyDescent="0.25">
      <c r="A74" s="9" t="s">
        <v>37</v>
      </c>
      <c r="B74" s="19">
        <f>VLOOKUP(Table27[[#This Row],[Location 
(drop-down)]],'List source'!D$2:E$71,2,FALSE)</f>
        <v>210</v>
      </c>
      <c r="C74" s="178" t="s">
        <v>2240</v>
      </c>
      <c r="D74" s="21" t="str">
        <f t="shared" si="2"/>
        <v>PTO0073-210-25</v>
      </c>
      <c r="E74" s="78" t="s">
        <v>2241</v>
      </c>
      <c r="F74" s="13" t="str" cm="1">
        <f t="array" aca="1" ref="F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74" s="13">
        <v>7.9</v>
      </c>
      <c r="I74" s="12">
        <v>45786</v>
      </c>
      <c r="J74" s="14" t="s">
        <v>189</v>
      </c>
      <c r="K74" s="63">
        <v>45841</v>
      </c>
      <c r="L74" s="37"/>
      <c r="M74" s="10" t="str">
        <f t="shared" ca="1" si="3"/>
        <v>CLOSED</v>
      </c>
    </row>
    <row r="75" spans="1:13" s="4" customFormat="1" ht="18.75" hidden="1" x14ac:dyDescent="0.25">
      <c r="A75" s="9" t="s">
        <v>14</v>
      </c>
      <c r="B75" s="19">
        <f>VLOOKUP(Table27[[#This Row],[Location 
(drop-down)]],'List source'!D$2:E$71,2,FALSE)</f>
        <v>131</v>
      </c>
      <c r="C75" s="178" t="s">
        <v>2242</v>
      </c>
      <c r="D75" s="21" t="str">
        <f t="shared" si="2"/>
        <v>PTO0074-131-25</v>
      </c>
      <c r="E75" s="78" t="s">
        <v>2243</v>
      </c>
      <c r="F75" s="13" t="str" cm="1">
        <f t="array" aca="1" ref="F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75" s="11" t="s">
        <v>2244</v>
      </c>
      <c r="I75" s="12">
        <v>45819</v>
      </c>
      <c r="J75" s="14" t="s">
        <v>167</v>
      </c>
      <c r="K75" s="63">
        <v>45912</v>
      </c>
      <c r="L75" s="37"/>
      <c r="M75" s="10" t="str">
        <f t="shared" ca="1" si="3"/>
        <v>CLOSED</v>
      </c>
    </row>
    <row r="76" spans="1:13" s="4" customFormat="1" ht="18.75" hidden="1" x14ac:dyDescent="0.25">
      <c r="A76" s="9" t="s">
        <v>14</v>
      </c>
      <c r="B76" s="19">
        <f>VLOOKUP(Table27[[#This Row],[Location 
(drop-down)]],'List source'!D$2:E$71,2,FALSE)</f>
        <v>131</v>
      </c>
      <c r="C76" s="178" t="s">
        <v>2245</v>
      </c>
      <c r="D76" s="21" t="str">
        <f t="shared" si="2"/>
        <v>PTO0075-131-25</v>
      </c>
      <c r="E76" s="78" t="s">
        <v>2246</v>
      </c>
      <c r="F76" s="13" t="str" cm="1">
        <f t="array" aca="1" ref="F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6" s="309">
        <v>2.46</v>
      </c>
      <c r="I76" s="12">
        <v>45819</v>
      </c>
      <c r="J76" s="14" t="s">
        <v>167</v>
      </c>
      <c r="K76" s="63">
        <v>45912</v>
      </c>
      <c r="L76" s="37"/>
      <c r="M76" s="10" t="str">
        <f t="shared" ca="1" si="3"/>
        <v>CLOSED</v>
      </c>
    </row>
    <row r="77" spans="1:13" s="4" customFormat="1" ht="30" hidden="1" x14ac:dyDescent="0.25">
      <c r="A77" s="9" t="s">
        <v>107</v>
      </c>
      <c r="B77" s="19">
        <f>VLOOKUP(Table27[[#This Row],[Location 
(drop-down)]],'List source'!D$2:E$71,2,FALSE)</f>
        <v>170</v>
      </c>
      <c r="C77" s="178" t="s">
        <v>2247</v>
      </c>
      <c r="D77" s="21" t="str">
        <f t="shared" si="2"/>
        <v>PTO0076-170-25</v>
      </c>
      <c r="E77" s="78" t="s">
        <v>2248</v>
      </c>
      <c r="F77" s="13" t="str" cm="1">
        <f t="array" aca="1" ref="F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7"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77" s="11" t="s">
        <v>2249</v>
      </c>
      <c r="I77" s="12">
        <v>45807</v>
      </c>
      <c r="J77" s="14" t="s">
        <v>109</v>
      </c>
      <c r="K77" s="63">
        <v>45954</v>
      </c>
      <c r="L77" s="37"/>
      <c r="M77" s="10" t="str">
        <f t="shared" ca="1" si="3"/>
        <v>CLOSED</v>
      </c>
    </row>
    <row r="78" spans="1:13" s="4" customFormat="1" ht="18.75" hidden="1" x14ac:dyDescent="0.25">
      <c r="A78" s="9" t="s">
        <v>287</v>
      </c>
      <c r="B78" s="19">
        <f>VLOOKUP(Table27[[#This Row],[Location 
(drop-down)]],'List source'!D$2:E$71,2,FALSE)</f>
        <v>180</v>
      </c>
      <c r="C78" s="178" t="s">
        <v>2250</v>
      </c>
      <c r="D78" s="21" t="str">
        <f t="shared" si="2"/>
        <v>PTO0077-180-25</v>
      </c>
      <c r="E78" s="78" t="s">
        <v>2251</v>
      </c>
      <c r="F78" s="13" t="str" cm="1">
        <f t="array" aca="1" ref="F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8"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78" s="11" t="s">
        <v>2252</v>
      </c>
      <c r="I78" s="12">
        <v>45793</v>
      </c>
      <c r="J78" s="14"/>
      <c r="K78" s="63"/>
      <c r="L78" s="37"/>
      <c r="M78" s="10">
        <f t="shared" ca="1" si="3"/>
        <v>284</v>
      </c>
    </row>
    <row r="79" spans="1:13" s="4" customFormat="1" ht="18.75" hidden="1" x14ac:dyDescent="0.25">
      <c r="A79" s="9" t="s">
        <v>58</v>
      </c>
      <c r="B79" s="19">
        <f>VLOOKUP(Table27[[#This Row],[Location 
(drop-down)]],'List source'!D$2:E$71,2,FALSE)</f>
        <v>146</v>
      </c>
      <c r="C79" s="178" t="s">
        <v>2253</v>
      </c>
      <c r="D79" s="21" t="str">
        <f t="shared" si="2"/>
        <v>PTO0078-146-25</v>
      </c>
      <c r="E79" s="78" t="s">
        <v>2254</v>
      </c>
      <c r="F79" s="13" t="str" cm="1">
        <f t="array" aca="1" ref="F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v>
      </c>
      <c r="H79" s="309">
        <v>2.77</v>
      </c>
      <c r="I79" s="12">
        <v>45793</v>
      </c>
      <c r="J79" s="14" t="s">
        <v>109</v>
      </c>
      <c r="K79" s="63">
        <v>45824</v>
      </c>
      <c r="L79" s="37"/>
      <c r="M79" s="10" t="str">
        <f t="shared" ca="1" si="3"/>
        <v>CLOSED</v>
      </c>
    </row>
    <row r="80" spans="1:13" s="4" customFormat="1" ht="18.75" hidden="1" x14ac:dyDescent="0.25">
      <c r="A80" s="9" t="s">
        <v>58</v>
      </c>
      <c r="B80" s="19">
        <f>VLOOKUP(Table27[[#This Row],[Location 
(drop-down)]],'List source'!D$2:E$71,2,FALSE)</f>
        <v>146</v>
      </c>
      <c r="C80" s="178" t="s">
        <v>2255</v>
      </c>
      <c r="D80" s="21" t="str">
        <f t="shared" si="2"/>
        <v>PTO0079-146-25</v>
      </c>
      <c r="E80" s="70" t="s">
        <v>2256</v>
      </c>
      <c r="F80" s="302" t="str" cm="1">
        <f t="array" aca="1" ref="F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0"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80" s="314" t="s">
        <v>2257</v>
      </c>
      <c r="I80" s="12">
        <v>45793</v>
      </c>
      <c r="J80" s="14" t="s">
        <v>2074</v>
      </c>
      <c r="K80" s="63">
        <v>45813</v>
      </c>
      <c r="L80" s="37" t="s">
        <v>2079</v>
      </c>
      <c r="M80" s="10" t="str">
        <f t="shared" ca="1" si="3"/>
        <v>CLOSED</v>
      </c>
    </row>
    <row r="81" spans="1:13" s="4" customFormat="1" ht="30" hidden="1" x14ac:dyDescent="0.25">
      <c r="A81" s="9" t="s">
        <v>175</v>
      </c>
      <c r="B81" s="19">
        <f>VLOOKUP(Table27[[#This Row],[Location 
(drop-down)]],'List source'!D$2:E$71,2,FALSE)</f>
        <v>156</v>
      </c>
      <c r="C81" s="178" t="s">
        <v>2258</v>
      </c>
      <c r="D81" s="21" t="str">
        <f t="shared" si="2"/>
        <v>PTO0080-156-25</v>
      </c>
      <c r="E81" s="78" t="s">
        <v>2259</v>
      </c>
      <c r="F81" s="13" t="str" cm="1">
        <f t="array" aca="1" ref="F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1"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D287 - API Gravity</v>
      </c>
      <c r="H81" s="13">
        <v>2.6</v>
      </c>
      <c r="I81" s="12">
        <v>45786</v>
      </c>
      <c r="J81" s="14" t="s">
        <v>2074</v>
      </c>
      <c r="K81" s="63">
        <v>45786</v>
      </c>
      <c r="L81" s="37" t="s">
        <v>2075</v>
      </c>
      <c r="M81" s="10" t="str">
        <f t="shared" ca="1" si="3"/>
        <v>CLOSED</v>
      </c>
    </row>
    <row r="82" spans="1:13" s="4" customFormat="1" ht="18.75" hidden="1" x14ac:dyDescent="0.25">
      <c r="A82" s="9" t="s">
        <v>175</v>
      </c>
      <c r="B82" s="19">
        <f>VLOOKUP(Table27[[#This Row],[Location 
(drop-down)]],'List source'!D$2:E$71,2,FALSE)</f>
        <v>156</v>
      </c>
      <c r="C82" s="178" t="s">
        <v>2260</v>
      </c>
      <c r="D82" s="21" t="str">
        <f t="shared" si="2"/>
        <v>PTO0081-156-25</v>
      </c>
      <c r="E82" s="78" t="s">
        <v>2261</v>
      </c>
      <c r="F82" s="13" t="str" cm="1">
        <f t="array" aca="1" ref="F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2"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82" s="11" t="s">
        <v>2262</v>
      </c>
      <c r="I82" s="12">
        <v>45793</v>
      </c>
      <c r="J82" s="14" t="s">
        <v>135</v>
      </c>
      <c r="K82" s="63">
        <v>45832</v>
      </c>
      <c r="L82" s="37"/>
      <c r="M82" s="10" t="str">
        <f t="shared" ca="1" si="3"/>
        <v>CLOSED</v>
      </c>
    </row>
    <row r="83" spans="1:13" s="4" customFormat="1" ht="18.75" hidden="1" x14ac:dyDescent="0.25">
      <c r="A83" s="9" t="s">
        <v>175</v>
      </c>
      <c r="B83" s="19">
        <f>VLOOKUP(Table27[[#This Row],[Location 
(drop-down)]],'List source'!D$2:E$71,2,FALSE)</f>
        <v>156</v>
      </c>
      <c r="C83" s="178" t="s">
        <v>2263</v>
      </c>
      <c r="D83" s="21" t="str">
        <f t="shared" si="2"/>
        <v>PTO0082-156-25</v>
      </c>
      <c r="E83" s="92" t="s">
        <v>2264</v>
      </c>
      <c r="F83" s="13" t="str" cm="1">
        <f t="array" aca="1" ref="F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3"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D8252 - Element</v>
      </c>
      <c r="H83" s="11" t="s">
        <v>2265</v>
      </c>
      <c r="I83" s="12">
        <v>45793</v>
      </c>
      <c r="J83" s="14" t="s">
        <v>2074</v>
      </c>
      <c r="K83" s="63">
        <v>45819</v>
      </c>
      <c r="L83" s="37" t="s">
        <v>2079</v>
      </c>
      <c r="M83" s="10" t="str">
        <f t="shared" ca="1" si="3"/>
        <v>CLOSED</v>
      </c>
    </row>
    <row r="84" spans="1:13" s="4" customFormat="1" ht="18.75" hidden="1" x14ac:dyDescent="0.25">
      <c r="A84" s="9" t="s">
        <v>237</v>
      </c>
      <c r="B84" s="19">
        <f>VLOOKUP(Table27[[#This Row],[Location 
(drop-down)]],'List source'!D$2:E$71,2,FALSE)</f>
        <v>171</v>
      </c>
      <c r="C84" s="178" t="s">
        <v>2266</v>
      </c>
      <c r="D84" s="21" t="str">
        <f t="shared" si="2"/>
        <v>PTO0083-171-25</v>
      </c>
      <c r="E84" s="9" t="s">
        <v>2267</v>
      </c>
      <c r="F84" s="10" t="str" cm="1">
        <f t="array" aca="1" ref="F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4"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v>
      </c>
      <c r="H84" s="10">
        <v>2.56</v>
      </c>
      <c r="I84" s="12">
        <v>45793</v>
      </c>
      <c r="J84" s="14" t="s">
        <v>109</v>
      </c>
      <c r="K84" s="63">
        <v>45826</v>
      </c>
      <c r="L84" s="37"/>
      <c r="M84" s="10" t="str">
        <f t="shared" ca="1" si="3"/>
        <v>CLOSED</v>
      </c>
    </row>
    <row r="85" spans="1:13" s="4" customFormat="1" ht="18.75" hidden="1" x14ac:dyDescent="0.25">
      <c r="A85" s="9" t="s">
        <v>237</v>
      </c>
      <c r="B85" s="19">
        <f>VLOOKUP(Table27[[#This Row],[Location 
(drop-down)]],'List source'!D$2:E$71,2,FALSE)</f>
        <v>171</v>
      </c>
      <c r="C85" s="178" t="s">
        <v>2268</v>
      </c>
      <c r="D85" s="21" t="str">
        <f t="shared" si="2"/>
        <v>PTO0084-171-25</v>
      </c>
      <c r="E85" s="9" t="s">
        <v>2269</v>
      </c>
      <c r="F85" s="10" t="str" cm="1">
        <f t="array" aca="1" ref="F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5"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85" s="136" t="s">
        <v>2141</v>
      </c>
      <c r="I85" s="12">
        <v>45793</v>
      </c>
      <c r="J85" s="14" t="s">
        <v>109</v>
      </c>
      <c r="K85" s="167">
        <v>45826</v>
      </c>
      <c r="L85" s="37"/>
      <c r="M85" s="10" t="str">
        <f t="shared" ca="1" si="3"/>
        <v>CLOSED</v>
      </c>
    </row>
    <row r="86" spans="1:13" s="4" customFormat="1" ht="18.75" hidden="1" x14ac:dyDescent="0.25">
      <c r="A86" s="9" t="s">
        <v>37</v>
      </c>
      <c r="B86" s="19">
        <f>VLOOKUP(Table27[[#This Row],[Location 
(drop-down)]],'List source'!D$2:E$71,2,FALSE)</f>
        <v>210</v>
      </c>
      <c r="C86" s="178" t="s">
        <v>2270</v>
      </c>
      <c r="D86" s="21" t="str">
        <f t="shared" si="2"/>
        <v>PTO0085-210-25</v>
      </c>
      <c r="E86" s="9" t="s">
        <v>2271</v>
      </c>
      <c r="F86" s="10" t="str" cm="1">
        <f t="array" aca="1" ref="F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6"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86" s="10">
        <v>22.53</v>
      </c>
      <c r="I86" s="12">
        <v>45786</v>
      </c>
      <c r="J86" s="12" t="s">
        <v>189</v>
      </c>
      <c r="K86" s="63">
        <v>45845</v>
      </c>
      <c r="L86" s="37"/>
      <c r="M86" s="10" t="str">
        <f t="shared" ca="1" si="3"/>
        <v>CLOSED</v>
      </c>
    </row>
    <row r="87" spans="1:13" s="4" customFormat="1" ht="18.75" hidden="1" x14ac:dyDescent="0.25">
      <c r="A87" s="9" t="s">
        <v>153</v>
      </c>
      <c r="B87" s="19">
        <f>VLOOKUP(Table27[[#This Row],[Location 
(drop-down)]],'List source'!D$2:E$71,2,FALSE)</f>
        <v>110</v>
      </c>
      <c r="C87" s="178" t="s">
        <v>2272</v>
      </c>
      <c r="D87" s="21" t="str">
        <f t="shared" si="2"/>
        <v>PTO0086-110-25</v>
      </c>
      <c r="E87" s="9" t="s">
        <v>2273</v>
      </c>
      <c r="F87" s="10" t="str" cm="1">
        <f t="array" aca="1" ref="F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7"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87" s="136" t="s">
        <v>2274</v>
      </c>
      <c r="I87" s="12">
        <v>45786</v>
      </c>
      <c r="J87" s="12" t="s">
        <v>252</v>
      </c>
      <c r="K87" s="63">
        <v>45974</v>
      </c>
      <c r="L87" s="37"/>
      <c r="M87" s="10" t="str">
        <f t="shared" ca="1" si="3"/>
        <v>CLOSED</v>
      </c>
    </row>
    <row r="88" spans="1:13" s="4" customFormat="1" ht="30" hidden="1" x14ac:dyDescent="0.25">
      <c r="A88" s="9" t="s">
        <v>58</v>
      </c>
      <c r="B88" s="19">
        <f>VLOOKUP(Table27[[#This Row],[Location 
(drop-down)]],'List source'!D$2:E$71,2,FALSE)</f>
        <v>146</v>
      </c>
      <c r="C88" s="178" t="s">
        <v>2275</v>
      </c>
      <c r="D88" s="21" t="str">
        <f t="shared" si="2"/>
        <v>PTO0087-146-25</v>
      </c>
      <c r="E88" s="9" t="s">
        <v>2276</v>
      </c>
      <c r="F88" s="37" t="str" cm="1">
        <f t="array" aca="1" ref="F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8"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88" s="218" t="s">
        <v>2078</v>
      </c>
      <c r="I88" s="12">
        <v>45786</v>
      </c>
      <c r="J88" s="12" t="s">
        <v>2074</v>
      </c>
      <c r="K88" s="63">
        <v>45786</v>
      </c>
      <c r="L88" s="37" t="s">
        <v>2075</v>
      </c>
      <c r="M88" s="10" t="str">
        <f t="shared" ca="1" si="3"/>
        <v>CLOSED</v>
      </c>
    </row>
    <row r="89" spans="1:13" s="4" customFormat="1" ht="18.75" hidden="1" x14ac:dyDescent="0.25">
      <c r="A89" s="9" t="s">
        <v>79</v>
      </c>
      <c r="B89" s="19">
        <f>VLOOKUP(Table27[[#This Row],[Location 
(drop-down)]],'List source'!D$2:E$71,2,FALSE)</f>
        <v>160</v>
      </c>
      <c r="C89" s="178" t="s">
        <v>2277</v>
      </c>
      <c r="D89" s="21" t="str">
        <f t="shared" si="2"/>
        <v>PTO0088-160-25</v>
      </c>
      <c r="E89" s="9" t="s">
        <v>2278</v>
      </c>
      <c r="F89" s="10" t="str" cm="1">
        <f t="array" aca="1" ref="F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9"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9" s="136" t="s">
        <v>2279</v>
      </c>
      <c r="I89" s="12">
        <v>45786</v>
      </c>
      <c r="J89" s="12" t="s">
        <v>18</v>
      </c>
      <c r="K89" s="63">
        <v>45867</v>
      </c>
      <c r="L89" s="37"/>
      <c r="M89" s="10" t="str">
        <f t="shared" ca="1" si="3"/>
        <v>CLOSED</v>
      </c>
    </row>
    <row r="90" spans="1:13" s="4" customFormat="1" ht="18.75" hidden="1" x14ac:dyDescent="0.25">
      <c r="A90" s="9" t="s">
        <v>79</v>
      </c>
      <c r="B90" s="19">
        <f>VLOOKUP(Table27[[#This Row],[Location 
(drop-down)]],'List source'!D$2:E$71,2,FALSE)</f>
        <v>160</v>
      </c>
      <c r="C90" s="178" t="s">
        <v>2280</v>
      </c>
      <c r="D90" s="21" t="str">
        <f t="shared" si="2"/>
        <v>PTO0089-160-25</v>
      </c>
      <c r="E90" s="9" t="s">
        <v>2281</v>
      </c>
      <c r="F90" s="10" t="str" cm="1">
        <f t="array" aca="1" ref="F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90"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90" s="10">
        <v>2.11</v>
      </c>
      <c r="I90" s="12">
        <v>45786</v>
      </c>
      <c r="J90" s="12" t="s">
        <v>18</v>
      </c>
      <c r="K90" s="63">
        <v>45867</v>
      </c>
      <c r="L90" s="37"/>
      <c r="M90" s="10" t="str">
        <f t="shared" ca="1" si="3"/>
        <v>CLOSED</v>
      </c>
    </row>
    <row r="91" spans="1:13" s="4" customFormat="1" ht="30" hidden="1" x14ac:dyDescent="0.25">
      <c r="A91" s="9" t="s">
        <v>220</v>
      </c>
      <c r="B91" s="19">
        <f>VLOOKUP(Table27[[#This Row],[Location 
(drop-down)]],'List source'!D$2:E$71,2,FALSE)</f>
        <v>197</v>
      </c>
      <c r="C91" s="178" t="s">
        <v>2282</v>
      </c>
      <c r="D91" s="21" t="str">
        <f t="shared" si="2"/>
        <v>PTO0090-197-25</v>
      </c>
      <c r="E91" s="290" t="s">
        <v>2283</v>
      </c>
      <c r="F91" s="301" t="str" cm="1">
        <f t="array" aca="1" ref="F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91"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1" s="311" t="s">
        <v>2284</v>
      </c>
      <c r="I91" s="12">
        <v>45786</v>
      </c>
      <c r="J91" s="12" t="s">
        <v>2074</v>
      </c>
      <c r="K91" s="63">
        <v>45786</v>
      </c>
      <c r="L91" s="37" t="s">
        <v>2075</v>
      </c>
      <c r="M91" s="10" t="str">
        <f t="shared" ca="1" si="3"/>
        <v>CLOSED</v>
      </c>
    </row>
    <row r="92" spans="1:13" s="4" customFormat="1" ht="18.75" hidden="1" x14ac:dyDescent="0.25">
      <c r="A92" s="9" t="s">
        <v>37</v>
      </c>
      <c r="B92" s="19">
        <f>VLOOKUP(Table27[[#This Row],[Location 
(drop-down)]],'List source'!D$2:E$71,2,FALSE)</f>
        <v>210</v>
      </c>
      <c r="C92" s="178" t="s">
        <v>2285</v>
      </c>
      <c r="D92" s="21" t="str">
        <f t="shared" si="2"/>
        <v>PTO0091-210-25</v>
      </c>
      <c r="E92" s="9" t="s">
        <v>2286</v>
      </c>
      <c r="F92" s="10" t="str" cm="1">
        <f t="array" aca="1" ref="F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 s="10" t="s">
        <v>2287</v>
      </c>
      <c r="I92" s="12">
        <v>45786</v>
      </c>
      <c r="J92" s="12" t="s">
        <v>2074</v>
      </c>
      <c r="K92" s="63">
        <v>45786</v>
      </c>
      <c r="L92" s="37" t="s">
        <v>2288</v>
      </c>
      <c r="M92" s="10" t="str">
        <f t="shared" ca="1" si="3"/>
        <v>CLOSED</v>
      </c>
    </row>
    <row r="93" spans="1:13" s="4" customFormat="1" ht="18.75" hidden="1" x14ac:dyDescent="0.25">
      <c r="A93" s="9" t="s">
        <v>37</v>
      </c>
      <c r="B93" s="19">
        <f>VLOOKUP(Table27[[#This Row],[Location 
(drop-down)]],'List source'!D$2:E$71,2,FALSE)</f>
        <v>210</v>
      </c>
      <c r="C93" s="178" t="s">
        <v>2289</v>
      </c>
      <c r="D93" s="21" t="str">
        <f t="shared" si="2"/>
        <v>PTO0092-210-25</v>
      </c>
      <c r="E93" s="9" t="s">
        <v>2290</v>
      </c>
      <c r="F93" s="10" t="str" cm="1">
        <f t="array" aca="1" ref="F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93" s="10">
        <v>5.36</v>
      </c>
      <c r="I93" s="12">
        <v>45786</v>
      </c>
      <c r="J93" s="12" t="s">
        <v>189</v>
      </c>
      <c r="K93" s="63">
        <v>45872</v>
      </c>
      <c r="L93" s="37"/>
      <c r="M93" s="10" t="str">
        <f t="shared" ca="1" si="3"/>
        <v>CLOSED</v>
      </c>
    </row>
    <row r="94" spans="1:13" s="4" customFormat="1" ht="18.75" hidden="1" x14ac:dyDescent="0.25">
      <c r="A94" s="9" t="s">
        <v>117</v>
      </c>
      <c r="B94" s="19">
        <f>VLOOKUP(Table27[[#This Row],[Location 
(drop-down)]],'List source'!D$2:E$71,2,FALSE)</f>
        <v>125</v>
      </c>
      <c r="C94" s="178" t="s">
        <v>2291</v>
      </c>
      <c r="D94" s="21" t="str">
        <f t="shared" si="2"/>
        <v>PTO0093-125-25</v>
      </c>
      <c r="E94" s="9" t="s">
        <v>2292</v>
      </c>
      <c r="F94" s="10" t="str" cm="1">
        <f t="array" aca="1" ref="F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94" s="10">
        <v>5</v>
      </c>
      <c r="I94" s="12">
        <v>45796</v>
      </c>
      <c r="J94" s="12" t="s">
        <v>2074</v>
      </c>
      <c r="K94" s="63">
        <v>45873</v>
      </c>
      <c r="L94" s="37" t="s">
        <v>2079</v>
      </c>
      <c r="M94" s="10" t="str">
        <f t="shared" ca="1" si="3"/>
        <v>CLOSED</v>
      </c>
    </row>
    <row r="95" spans="1:13" s="4" customFormat="1" ht="18.75" hidden="1" x14ac:dyDescent="0.25">
      <c r="A95" s="9" t="s">
        <v>117</v>
      </c>
      <c r="B95" s="19">
        <f>VLOOKUP(Table27[[#This Row],[Location 
(drop-down)]],'List source'!D$2:E$71,2,FALSE)</f>
        <v>125</v>
      </c>
      <c r="C95" s="178" t="s">
        <v>2293</v>
      </c>
      <c r="D95" s="21" t="str">
        <f t="shared" si="2"/>
        <v>PTO0094-125-25</v>
      </c>
      <c r="E95" s="9" t="s">
        <v>2294</v>
      </c>
      <c r="F95" s="10" t="str" cm="1">
        <f t="array" aca="1" ref="F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5" s="10">
        <v>2.02</v>
      </c>
      <c r="I95" s="12">
        <v>45796</v>
      </c>
      <c r="J95" s="12" t="s">
        <v>2074</v>
      </c>
      <c r="K95" s="63">
        <v>45873</v>
      </c>
      <c r="L95" s="37" t="s">
        <v>2079</v>
      </c>
      <c r="M95" s="10" t="str">
        <f t="shared" ca="1" si="3"/>
        <v>CLOSED</v>
      </c>
    </row>
    <row r="96" spans="1:13" s="4" customFormat="1" ht="18.75" hidden="1" x14ac:dyDescent="0.25">
      <c r="A96" s="9" t="s">
        <v>117</v>
      </c>
      <c r="B96" s="19">
        <f>VLOOKUP(Table27[[#This Row],[Location 
(drop-down)]],'List source'!D$2:E$71,2,FALSE)</f>
        <v>125</v>
      </c>
      <c r="C96" s="178" t="s">
        <v>2295</v>
      </c>
      <c r="D96" s="21" t="str">
        <f t="shared" si="2"/>
        <v>PTO0095-125-25</v>
      </c>
      <c r="E96" s="133" t="s">
        <v>2296</v>
      </c>
      <c r="F96" s="128" t="str" cm="1">
        <f t="array" aca="1" ref="F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6" s="13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96" s="180" t="s">
        <v>2110</v>
      </c>
      <c r="I96" s="12">
        <v>45796</v>
      </c>
      <c r="J96" s="12"/>
      <c r="K96" s="63"/>
      <c r="L96" s="37"/>
      <c r="M96" s="10">
        <f t="shared" ca="1" si="3"/>
        <v>281</v>
      </c>
    </row>
    <row r="97" spans="1:13" s="4" customFormat="1" ht="18.75" hidden="1" x14ac:dyDescent="0.25">
      <c r="A97" s="9" t="s">
        <v>117</v>
      </c>
      <c r="B97" s="19">
        <f>VLOOKUP(Table27[[#This Row],[Location 
(drop-down)]],'List source'!D$2:E$71,2,FALSE)</f>
        <v>125</v>
      </c>
      <c r="C97" s="178" t="s">
        <v>2297</v>
      </c>
      <c r="D97" s="21" t="str">
        <f t="shared" si="2"/>
        <v>PTO0096-125-25</v>
      </c>
      <c r="E97" s="9" t="s">
        <v>2298</v>
      </c>
      <c r="F97" s="10" t="str" cm="1">
        <f t="array" aca="1" ref="F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7" s="10" t="s">
        <v>2299</v>
      </c>
      <c r="I97" s="12">
        <v>45796</v>
      </c>
      <c r="J97" s="12"/>
      <c r="K97" s="63"/>
      <c r="L97" s="37"/>
      <c r="M97" s="10">
        <f t="shared" ca="1" si="3"/>
        <v>281</v>
      </c>
    </row>
    <row r="98" spans="1:13" s="4" customFormat="1" ht="30" hidden="1" x14ac:dyDescent="0.25">
      <c r="A98" s="9" t="s">
        <v>211</v>
      </c>
      <c r="B98" s="19">
        <f>VLOOKUP(Table27[[#This Row],[Location 
(drop-down)]],'List source'!D$2:E$71,2,FALSE)</f>
        <v>132</v>
      </c>
      <c r="C98" s="178" t="s">
        <v>2300</v>
      </c>
      <c r="D98" s="21" t="str">
        <f t="shared" si="2"/>
        <v>PTO0097-132-25</v>
      </c>
      <c r="E98" s="9" t="s">
        <v>2301</v>
      </c>
      <c r="F98" s="10" t="str" cm="1">
        <f t="array" aca="1" ref="F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8" s="9" t="s">
        <v>2302</v>
      </c>
      <c r="H98" s="10" t="s">
        <v>2303</v>
      </c>
      <c r="I98" s="12">
        <v>45796</v>
      </c>
      <c r="J98" s="12" t="s">
        <v>167</v>
      </c>
      <c r="K98" s="63">
        <v>45821</v>
      </c>
      <c r="L98" s="37"/>
      <c r="M98" s="10" t="str">
        <f t="shared" ca="1" si="3"/>
        <v>CLOSED</v>
      </c>
    </row>
    <row r="99" spans="1:13" s="4" customFormat="1" ht="18.75" hidden="1" x14ac:dyDescent="0.25">
      <c r="A99" s="9" t="s">
        <v>25</v>
      </c>
      <c r="B99" s="19">
        <f>VLOOKUP(Table27[[#This Row],[Location 
(drop-down)]],'List source'!D$2:E$71,2,FALSE)</f>
        <v>158</v>
      </c>
      <c r="C99" s="178" t="s">
        <v>2304</v>
      </c>
      <c r="D99" s="21" t="str">
        <f t="shared" si="2"/>
        <v>PTO0098-158-25</v>
      </c>
      <c r="E99" s="9" t="s">
        <v>2305</v>
      </c>
      <c r="F99" s="10" t="str" cm="1">
        <f t="array" aca="1" ref="F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9" s="10">
        <v>2.58</v>
      </c>
      <c r="I99" s="12">
        <v>45796</v>
      </c>
      <c r="J99" s="12" t="s">
        <v>82</v>
      </c>
      <c r="K99" s="63">
        <v>45915</v>
      </c>
      <c r="L99" s="37"/>
      <c r="M99" s="10" t="str">
        <f t="shared" ca="1" si="3"/>
        <v>CLOSED</v>
      </c>
    </row>
    <row r="100" spans="1:13" s="4" customFormat="1" ht="18.75" hidden="1" x14ac:dyDescent="0.25">
      <c r="A100" s="9" t="s">
        <v>25</v>
      </c>
      <c r="B100" s="19">
        <f>VLOOKUP(Table27[[#This Row],[Location 
(drop-down)]],'List source'!D$2:E$71,2,FALSE)</f>
        <v>158</v>
      </c>
      <c r="C100" s="178" t="s">
        <v>2306</v>
      </c>
      <c r="D100" s="21" t="str">
        <f t="shared" si="2"/>
        <v>PTO0099-158-25</v>
      </c>
      <c r="E100" s="9" t="s">
        <v>2307</v>
      </c>
      <c r="F100" s="10" t="str" cm="1">
        <f t="array" aca="1" ref="F1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00" s="136" t="s">
        <v>2308</v>
      </c>
      <c r="I100" s="12">
        <v>45796</v>
      </c>
      <c r="J100" s="12" t="s">
        <v>82</v>
      </c>
      <c r="K100" s="63">
        <v>45871</v>
      </c>
      <c r="L100" s="37"/>
      <c r="M100" s="10" t="str">
        <f t="shared" ca="1" si="3"/>
        <v>CLOSED</v>
      </c>
    </row>
    <row r="101" spans="1:13" s="4" customFormat="1" ht="30" hidden="1" x14ac:dyDescent="0.25">
      <c r="A101" s="9" t="s">
        <v>79</v>
      </c>
      <c r="B101" s="19">
        <f>VLOOKUP(Table27[[#This Row],[Location 
(drop-down)]],'List source'!D$2:E$71,2,FALSE)</f>
        <v>160</v>
      </c>
      <c r="C101" s="178" t="s">
        <v>2309</v>
      </c>
      <c r="D101" s="21" t="str">
        <f t="shared" si="2"/>
        <v>PTO0100-160-25</v>
      </c>
      <c r="E101" s="9" t="s">
        <v>2310</v>
      </c>
      <c r="F101" s="10" t="str" cm="1">
        <f t="array" aca="1" ref="F1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1" s="10" t="s">
        <v>2311</v>
      </c>
      <c r="I101" s="12">
        <v>45796</v>
      </c>
      <c r="J101" s="12" t="s">
        <v>135</v>
      </c>
      <c r="K101" s="63">
        <v>45825</v>
      </c>
      <c r="L101" s="37"/>
      <c r="M101" s="10" t="str">
        <f t="shared" ca="1" si="3"/>
        <v>CLOSED</v>
      </c>
    </row>
    <row r="102" spans="1:13" s="4" customFormat="1" ht="30" hidden="1" x14ac:dyDescent="0.25">
      <c r="A102" s="9" t="s">
        <v>141</v>
      </c>
      <c r="B102" s="19">
        <f>VLOOKUP(Table27[[#This Row],[Location 
(drop-down)]],'List source'!D$2:E$71,2,FALSE)</f>
        <v>165</v>
      </c>
      <c r="C102" s="178" t="s">
        <v>2312</v>
      </c>
      <c r="D102" s="21" t="str">
        <f t="shared" si="2"/>
        <v>PTO0101-165-25</v>
      </c>
      <c r="E102" s="9" t="s">
        <v>2313</v>
      </c>
      <c r="F102" s="10" t="str" cm="1">
        <f t="array" aca="1" ref="F1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2" s="9" t="s">
        <v>2314</v>
      </c>
      <c r="H102" s="10" t="s">
        <v>2315</v>
      </c>
      <c r="I102" s="12">
        <v>45796</v>
      </c>
      <c r="J102" s="12" t="s">
        <v>18</v>
      </c>
      <c r="K102" s="63">
        <v>45957</v>
      </c>
      <c r="L102" s="37"/>
      <c r="M102" s="10" t="str">
        <f t="shared" ca="1" si="3"/>
        <v>CLOSED</v>
      </c>
    </row>
    <row r="103" spans="1:13" s="4" customFormat="1" ht="30" hidden="1" x14ac:dyDescent="0.25">
      <c r="A103" s="9" t="s">
        <v>141</v>
      </c>
      <c r="B103" s="19">
        <f>VLOOKUP(Table27[[#This Row],[Location 
(drop-down)]],'List source'!D$2:E$71,2,FALSE)</f>
        <v>165</v>
      </c>
      <c r="C103" s="178" t="s">
        <v>2316</v>
      </c>
      <c r="D103" s="21" t="str">
        <f t="shared" si="2"/>
        <v>PTO0102-165-25</v>
      </c>
      <c r="E103" s="9" t="s">
        <v>2317</v>
      </c>
      <c r="F103" s="10" t="str" cm="1">
        <f t="array" aca="1" ref="F1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3" s="9" t="s">
        <v>2318</v>
      </c>
      <c r="H103" s="325" t="s">
        <v>2319</v>
      </c>
      <c r="I103" s="12">
        <v>45796</v>
      </c>
      <c r="J103" s="73"/>
      <c r="K103" s="63"/>
      <c r="L103" s="329"/>
      <c r="M103" s="10">
        <f t="shared" ca="1" si="3"/>
        <v>281</v>
      </c>
    </row>
    <row r="104" spans="1:13" s="4" customFormat="1" ht="30" hidden="1" x14ac:dyDescent="0.25">
      <c r="A104" s="9" t="s">
        <v>141</v>
      </c>
      <c r="B104" s="19">
        <f>VLOOKUP(Table27[[#This Row],[Location 
(drop-down)]],'List source'!D$2:E$71,2,FALSE)</f>
        <v>165</v>
      </c>
      <c r="C104" s="178" t="s">
        <v>2320</v>
      </c>
      <c r="D104" s="21" t="str">
        <f t="shared" si="2"/>
        <v>PTO0103-165-25</v>
      </c>
      <c r="E104" s="70" t="s">
        <v>2321</v>
      </c>
      <c r="F104" s="10" t="str" cm="1">
        <f t="array" aca="1" ref="F1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 s="9" t="s">
        <v>2322</v>
      </c>
      <c r="H104" s="195" t="s">
        <v>2323</v>
      </c>
      <c r="I104" s="188">
        <v>45796</v>
      </c>
      <c r="J104" s="189" t="s">
        <v>18</v>
      </c>
      <c r="K104" s="190">
        <v>45866</v>
      </c>
      <c r="L104" s="329"/>
      <c r="M104" s="10" t="str">
        <f t="shared" ca="1" si="3"/>
        <v>CLOSED</v>
      </c>
    </row>
    <row r="105" spans="1:13" s="4" customFormat="1" ht="18.75" hidden="1" x14ac:dyDescent="0.25">
      <c r="A105" s="9" t="s">
        <v>220</v>
      </c>
      <c r="B105" s="19">
        <f>VLOOKUP(Table27[[#This Row],[Location 
(drop-down)]],'List source'!D$2:E$71,2,FALSE)</f>
        <v>197</v>
      </c>
      <c r="C105" s="178" t="s">
        <v>2324</v>
      </c>
      <c r="D105" s="21" t="str">
        <f t="shared" si="2"/>
        <v>PTO0104-197-25</v>
      </c>
      <c r="E105" s="9" t="s">
        <v>2325</v>
      </c>
      <c r="F105" s="10" t="str" cm="1">
        <f t="array" aca="1" ref="F1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105" s="136" t="s">
        <v>2326</v>
      </c>
      <c r="I105" s="188">
        <v>45796</v>
      </c>
      <c r="J105" s="189" t="s">
        <v>27</v>
      </c>
      <c r="K105" s="190">
        <v>45968</v>
      </c>
      <c r="L105" s="37"/>
      <c r="M105" s="10" t="str">
        <f t="shared" ca="1" si="3"/>
        <v>CLOSED</v>
      </c>
    </row>
    <row r="106" spans="1:13" s="4" customFormat="1" ht="30" hidden="1" x14ac:dyDescent="0.25">
      <c r="A106" s="9" t="s">
        <v>220</v>
      </c>
      <c r="B106" s="19">
        <f>VLOOKUP(Table27[[#This Row],[Location 
(drop-down)]],'List source'!D$2:E$71,2,FALSE)</f>
        <v>197</v>
      </c>
      <c r="C106" s="178" t="s">
        <v>2327</v>
      </c>
      <c r="D106" s="21" t="str">
        <f t="shared" si="2"/>
        <v>PTO0105-197-25</v>
      </c>
      <c r="E106" s="9" t="s">
        <v>2328</v>
      </c>
      <c r="F106" s="10" t="str" cm="1">
        <f t="array" aca="1" ref="F1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06" s="10">
        <v>4.96</v>
      </c>
      <c r="I106" s="188">
        <v>45796</v>
      </c>
      <c r="J106" s="189"/>
      <c r="K106" s="190"/>
      <c r="L106" s="37"/>
      <c r="M106" s="10">
        <f t="shared" ca="1" si="3"/>
        <v>281</v>
      </c>
    </row>
    <row r="107" spans="1:13" s="4" customFormat="1" ht="30" hidden="1" x14ac:dyDescent="0.25">
      <c r="A107" s="9" t="s">
        <v>37</v>
      </c>
      <c r="B107" s="19">
        <f>VLOOKUP(Table27[[#This Row],[Location 
(drop-down)]],'List source'!D$2:E$71,2,FALSE)</f>
        <v>210</v>
      </c>
      <c r="C107" s="178" t="s">
        <v>2329</v>
      </c>
      <c r="D107" s="21" t="str">
        <f t="shared" si="2"/>
        <v>PTO0106-210-25</v>
      </c>
      <c r="E107" s="9" t="s">
        <v>2330</v>
      </c>
      <c r="F107" s="10" t="str" cm="1">
        <f t="array" aca="1" ref="F1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 &amp; Toluene</v>
      </c>
      <c r="H107" s="10" t="s">
        <v>2331</v>
      </c>
      <c r="I107" s="12">
        <v>45796</v>
      </c>
      <c r="J107" s="12" t="s">
        <v>189</v>
      </c>
      <c r="K107" s="63">
        <v>45872</v>
      </c>
      <c r="L107" s="37"/>
      <c r="M107" s="10" t="str">
        <f t="shared" ca="1" si="3"/>
        <v>CLOSED</v>
      </c>
    </row>
    <row r="108" spans="1:13" s="4" customFormat="1" ht="18.75" hidden="1" x14ac:dyDescent="0.25">
      <c r="A108" s="9" t="s">
        <v>37</v>
      </c>
      <c r="B108" s="19">
        <f>VLOOKUP(Table27[[#This Row],[Location 
(drop-down)]],'List source'!D$2:E$71,2,FALSE)</f>
        <v>210</v>
      </c>
      <c r="C108" s="178" t="s">
        <v>2332</v>
      </c>
      <c r="D108" s="21" t="str">
        <f t="shared" si="2"/>
        <v>PTO0107-210-25</v>
      </c>
      <c r="E108" s="9" t="s">
        <v>2333</v>
      </c>
      <c r="F108" s="10" t="str" cm="1">
        <f t="array" aca="1" ref="F1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08" s="10">
        <v>72.900000000000006</v>
      </c>
      <c r="I108" s="12">
        <v>45796</v>
      </c>
      <c r="J108" s="12" t="s">
        <v>189</v>
      </c>
      <c r="K108" s="63">
        <v>45872</v>
      </c>
      <c r="L108" s="37"/>
      <c r="M108" s="10" t="str">
        <f t="shared" ca="1" si="3"/>
        <v>CLOSED</v>
      </c>
    </row>
    <row r="109" spans="1:13" s="4" customFormat="1" ht="18.75" hidden="1" x14ac:dyDescent="0.25">
      <c r="A109" s="9" t="s">
        <v>287</v>
      </c>
      <c r="B109" s="19">
        <f>VLOOKUP(Table27[[#This Row],[Location 
(drop-down)]],'List source'!D$2:E$71,2,FALSE)</f>
        <v>180</v>
      </c>
      <c r="C109" s="178" t="s">
        <v>2334</v>
      </c>
      <c r="D109" s="21" t="str">
        <f t="shared" si="2"/>
        <v>PTO0108-180-25</v>
      </c>
      <c r="E109" s="9" t="s">
        <v>2335</v>
      </c>
      <c r="F109" s="10" t="str" cm="1">
        <f t="array" aca="1" ref="F1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09" s="10">
        <v>-13.43</v>
      </c>
      <c r="I109" s="12">
        <v>45798</v>
      </c>
      <c r="J109" s="189" t="s">
        <v>2074</v>
      </c>
      <c r="K109" s="190">
        <v>45799</v>
      </c>
      <c r="L109" s="37" t="s">
        <v>2079</v>
      </c>
      <c r="M109" s="10" t="str">
        <f t="shared" ca="1" si="3"/>
        <v>CLOSED</v>
      </c>
    </row>
    <row r="110" spans="1:13" s="4" customFormat="1" ht="18.75" hidden="1" x14ac:dyDescent="0.25">
      <c r="A110" s="9" t="s">
        <v>287</v>
      </c>
      <c r="B110" s="19">
        <f>VLOOKUP(Table27[[#This Row],[Location 
(drop-down)]],'List source'!D$2:E$71,2,FALSE)</f>
        <v>180</v>
      </c>
      <c r="C110" s="178" t="s">
        <v>2336</v>
      </c>
      <c r="D110" s="21" t="str">
        <f t="shared" si="2"/>
        <v>PTO0109-180-25</v>
      </c>
      <c r="E110" s="9" t="s">
        <v>2337</v>
      </c>
      <c r="F110" s="10" t="str" cm="1">
        <f t="array" aca="1" ref="F1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0" s="10">
        <v>-4.5199999999999996</v>
      </c>
      <c r="I110" s="12">
        <v>45798</v>
      </c>
      <c r="J110" s="189" t="s">
        <v>48</v>
      </c>
      <c r="K110" s="190">
        <v>45862</v>
      </c>
      <c r="L110" s="37"/>
      <c r="M110" s="10" t="str">
        <f t="shared" ca="1" si="3"/>
        <v>CLOSED</v>
      </c>
    </row>
    <row r="111" spans="1:13" s="4" customFormat="1" ht="18.75" hidden="1" x14ac:dyDescent="0.25">
      <c r="A111" s="9" t="s">
        <v>94</v>
      </c>
      <c r="B111" s="19">
        <f>VLOOKUP(Table27[[#This Row],[Location 
(drop-down)]],'List source'!D$2:E$71,2,FALSE)</f>
        <v>120</v>
      </c>
      <c r="C111" s="178" t="s">
        <v>2338</v>
      </c>
      <c r="D111" s="21" t="str">
        <f t="shared" si="2"/>
        <v>PTO0110-120-25</v>
      </c>
      <c r="E111" s="9" t="s">
        <v>2339</v>
      </c>
      <c r="F111" s="10" t="str" cm="1">
        <f t="array" aca="1" ref="F1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 s="136" t="s">
        <v>2340</v>
      </c>
      <c r="I111" s="12">
        <v>45798</v>
      </c>
      <c r="J111" s="189" t="s">
        <v>2074</v>
      </c>
      <c r="K111" s="190">
        <v>45798</v>
      </c>
      <c r="L111" s="37"/>
      <c r="M111" s="10" t="str">
        <f t="shared" ca="1" si="3"/>
        <v>CLOSED</v>
      </c>
    </row>
    <row r="112" spans="1:13" s="4" customFormat="1" ht="18.75" hidden="1" x14ac:dyDescent="0.25">
      <c r="A112" s="9" t="s">
        <v>76</v>
      </c>
      <c r="B112" s="19">
        <f>VLOOKUP(Table27[[#This Row],[Location 
(drop-down)]],'List source'!D$2:E$71,2,FALSE)</f>
        <v>157</v>
      </c>
      <c r="C112" s="178" t="s">
        <v>2341</v>
      </c>
      <c r="D112" s="21" t="str">
        <f t="shared" si="2"/>
        <v>PTO0111-157-25</v>
      </c>
      <c r="E112" s="71" t="s">
        <v>2342</v>
      </c>
      <c r="F112" s="10" t="str" cm="1">
        <f t="array" aca="1" ref="F1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12" s="29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2" s="136" t="s">
        <v>2343</v>
      </c>
      <c r="I112" s="12">
        <v>45798</v>
      </c>
      <c r="J112" s="189" t="s">
        <v>82</v>
      </c>
      <c r="K112" s="190">
        <v>45874</v>
      </c>
      <c r="L112" s="37"/>
      <c r="M112" s="10" t="str">
        <f t="shared" ca="1" si="3"/>
        <v>CLOSED</v>
      </c>
    </row>
    <row r="113" spans="1:13" s="4" customFormat="1" ht="18.75" hidden="1" x14ac:dyDescent="0.25">
      <c r="A113" s="9" t="s">
        <v>131</v>
      </c>
      <c r="B113" s="19">
        <f>VLOOKUP(Table27[[#This Row],[Location 
(drop-down)]],'List source'!D$2:E$71,2,FALSE)</f>
        <v>145</v>
      </c>
      <c r="C113" s="178" t="s">
        <v>2344</v>
      </c>
      <c r="D113" s="21" t="str">
        <f t="shared" si="2"/>
        <v>PTO0112-145-25</v>
      </c>
      <c r="E113" s="286" t="s">
        <v>2345</v>
      </c>
      <c r="F113" s="299" t="s">
        <v>2070</v>
      </c>
      <c r="G113" s="30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13" s="310">
        <v>2.0099999999999998</v>
      </c>
      <c r="I113" s="12">
        <v>45799</v>
      </c>
      <c r="J113" s="189" t="s">
        <v>18</v>
      </c>
      <c r="K113" s="190">
        <v>45896</v>
      </c>
      <c r="L113" s="37"/>
      <c r="M113" s="10" t="str">
        <f t="shared" ca="1" si="3"/>
        <v>CLOSED</v>
      </c>
    </row>
    <row r="114" spans="1:13" s="4" customFormat="1" ht="30" hidden="1" x14ac:dyDescent="0.25">
      <c r="A114" s="9" t="s">
        <v>107</v>
      </c>
      <c r="B114" s="19">
        <f>VLOOKUP(Table27[[#This Row],[Location 
(drop-down)]],'List source'!D$2:E$71,2,FALSE)</f>
        <v>170</v>
      </c>
      <c r="C114" s="178" t="s">
        <v>2346</v>
      </c>
      <c r="D114" s="21" t="str">
        <f t="shared" si="2"/>
        <v>PTO0113-170-25</v>
      </c>
      <c r="E114" s="133" t="s">
        <v>2347</v>
      </c>
      <c r="F114" s="10" t="s">
        <v>2070</v>
      </c>
      <c r="G1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Residue</v>
      </c>
      <c r="H114" s="10">
        <v>9.26</v>
      </c>
      <c r="I114" s="12">
        <v>45799</v>
      </c>
      <c r="J114" s="189" t="s">
        <v>109</v>
      </c>
      <c r="K114" s="190">
        <v>45831</v>
      </c>
      <c r="L114" s="37"/>
      <c r="M114" s="10" t="str">
        <f t="shared" ca="1" si="3"/>
        <v>CLOSED</v>
      </c>
    </row>
    <row r="115" spans="1:13" s="4" customFormat="1" ht="21" hidden="1" customHeight="1" x14ac:dyDescent="0.25">
      <c r="A115" s="9" t="s">
        <v>107</v>
      </c>
      <c r="B115" s="19">
        <f>VLOOKUP(Table27[[#This Row],[Location 
(drop-down)]],'List source'!D$2:E$71,2,FALSE)</f>
        <v>170</v>
      </c>
      <c r="C115" s="178" t="s">
        <v>2348</v>
      </c>
      <c r="D115" s="21" t="str">
        <f t="shared" si="2"/>
        <v>PTO0114-170-25</v>
      </c>
      <c r="E115" s="9" t="s">
        <v>2349</v>
      </c>
      <c r="F115" s="10" t="s">
        <v>2070</v>
      </c>
      <c r="G1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Aromatic Type</v>
      </c>
      <c r="H115" s="10">
        <v>2.86</v>
      </c>
      <c r="I115" s="12">
        <v>45799</v>
      </c>
      <c r="J115" s="189" t="s">
        <v>109</v>
      </c>
      <c r="K115" s="190">
        <v>45855</v>
      </c>
      <c r="L115" s="37"/>
      <c r="M115" s="10" t="str">
        <f t="shared" ca="1" si="3"/>
        <v>CLOSED</v>
      </c>
    </row>
    <row r="116" spans="1:13" s="4" customFormat="1" ht="18.75" hidden="1" x14ac:dyDescent="0.25">
      <c r="A116" s="9" t="s">
        <v>338</v>
      </c>
      <c r="B116" s="19">
        <f>VLOOKUP(Table27[[#This Row],[Location 
(drop-down)]],'List source'!D$2:E$71,2,FALSE)</f>
        <v>191</v>
      </c>
      <c r="C116" s="178" t="s">
        <v>2350</v>
      </c>
      <c r="D116" s="21" t="str">
        <f t="shared" si="2"/>
        <v>PTO0115-191-25</v>
      </c>
      <c r="E116" s="9" t="s">
        <v>2351</v>
      </c>
      <c r="F116" s="10" t="s">
        <v>2070</v>
      </c>
      <c r="G1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6" s="136" t="s">
        <v>2352</v>
      </c>
      <c r="I116" s="12">
        <v>45799</v>
      </c>
      <c r="J116" s="189" t="s">
        <v>109</v>
      </c>
      <c r="K116" s="190">
        <v>45911</v>
      </c>
      <c r="L116" s="37"/>
      <c r="M116" s="10" t="str">
        <f t="shared" ca="1" si="3"/>
        <v>CLOSED</v>
      </c>
    </row>
    <row r="117" spans="1:13" s="4" customFormat="1" ht="18.75" hidden="1" x14ac:dyDescent="0.25">
      <c r="A117" s="9" t="s">
        <v>131</v>
      </c>
      <c r="B117" s="19">
        <f>VLOOKUP(Table27[[#This Row],[Location 
(drop-down)]],'List source'!D$2:E$71,2,FALSE)</f>
        <v>145</v>
      </c>
      <c r="C117" s="178" t="s">
        <v>2353</v>
      </c>
      <c r="D117" s="21" t="str">
        <f t="shared" si="2"/>
        <v>PTO0116-145-25</v>
      </c>
      <c r="E117" s="9" t="s">
        <v>2354</v>
      </c>
      <c r="F117" s="10" t="s">
        <v>2070</v>
      </c>
      <c r="G1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Olefins</v>
      </c>
      <c r="H117" s="10">
        <v>2.19</v>
      </c>
      <c r="I117" s="12">
        <v>45800</v>
      </c>
      <c r="J117" s="12" t="s">
        <v>18</v>
      </c>
      <c r="K117" s="63">
        <v>45913</v>
      </c>
      <c r="L117" s="37"/>
      <c r="M117" s="10" t="str">
        <f t="shared" ca="1" si="3"/>
        <v>CLOSED</v>
      </c>
    </row>
    <row r="118" spans="1:13" s="4" customFormat="1" ht="18.75" hidden="1" x14ac:dyDescent="0.25">
      <c r="A118" s="9" t="s">
        <v>58</v>
      </c>
      <c r="B118" s="19">
        <f>VLOOKUP(Table27[[#This Row],[Location 
(drop-down)]],'List source'!D$2:E$71,2,FALSE)</f>
        <v>146</v>
      </c>
      <c r="C118" s="178" t="s">
        <v>2355</v>
      </c>
      <c r="D118" s="21" t="str">
        <f t="shared" si="2"/>
        <v>PTO0117-146-25</v>
      </c>
      <c r="E118" s="9" t="s">
        <v>2356</v>
      </c>
      <c r="F118" s="10" t="s">
        <v>2070</v>
      </c>
      <c r="G1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18" s="10">
        <v>3.54</v>
      </c>
      <c r="I118" s="12">
        <v>45800</v>
      </c>
      <c r="J118" s="12" t="s">
        <v>109</v>
      </c>
      <c r="K118" s="63">
        <v>45852</v>
      </c>
      <c r="L118" s="37"/>
      <c r="M118" s="10" t="str">
        <f t="shared" ca="1" si="3"/>
        <v>CLOSED</v>
      </c>
    </row>
    <row r="119" spans="1:13" s="4" customFormat="1" ht="30" hidden="1" x14ac:dyDescent="0.25">
      <c r="A119" s="9" t="s">
        <v>58</v>
      </c>
      <c r="B119" s="19">
        <f>VLOOKUP(Table27[[#This Row],[Location 
(drop-down)]],'List source'!D$2:E$71,2,FALSE)</f>
        <v>146</v>
      </c>
      <c r="C119" s="178" t="s">
        <v>2357</v>
      </c>
      <c r="D119" s="21" t="str">
        <f t="shared" si="2"/>
        <v>PTO0118-146-25</v>
      </c>
      <c r="E119" s="9" t="s">
        <v>2358</v>
      </c>
      <c r="F119" s="10" t="s">
        <v>2070</v>
      </c>
      <c r="G1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9" s="10">
        <v>2.35</v>
      </c>
      <c r="I119" s="12">
        <v>45800</v>
      </c>
      <c r="J119" s="12" t="s">
        <v>2074</v>
      </c>
      <c r="K119" s="63">
        <v>45800</v>
      </c>
      <c r="L119" s="37" t="s">
        <v>2075</v>
      </c>
      <c r="M119" s="10" t="str">
        <f t="shared" ca="1" si="3"/>
        <v>CLOSED</v>
      </c>
    </row>
    <row r="120" spans="1:13" s="4" customFormat="1" ht="30" hidden="1" x14ac:dyDescent="0.25">
      <c r="A120" s="9" t="s">
        <v>107</v>
      </c>
      <c r="B120" s="19">
        <f>VLOOKUP(Table27[[#This Row],[Location 
(drop-down)]],'List source'!D$2:E$71,2,FALSE)</f>
        <v>170</v>
      </c>
      <c r="C120" s="178" t="s">
        <v>2359</v>
      </c>
      <c r="D120" s="21" t="str">
        <f t="shared" si="2"/>
        <v>PTO0119-170-25</v>
      </c>
      <c r="E120" s="9" t="s">
        <v>2360</v>
      </c>
      <c r="F120" s="10" t="s">
        <v>2070</v>
      </c>
      <c r="G1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Digital</v>
      </c>
      <c r="H120" s="10">
        <v>-8.08</v>
      </c>
      <c r="I120" s="12">
        <v>45800</v>
      </c>
      <c r="J120" s="12" t="s">
        <v>109</v>
      </c>
      <c r="K120" s="63">
        <v>45845</v>
      </c>
      <c r="L120" s="37"/>
      <c r="M120" s="10" t="str">
        <f t="shared" ca="1" si="3"/>
        <v>CLOSED</v>
      </c>
    </row>
    <row r="121" spans="1:13" s="4" customFormat="1" ht="30" hidden="1" x14ac:dyDescent="0.25">
      <c r="A121" s="9" t="s">
        <v>338</v>
      </c>
      <c r="B121" s="19">
        <f>VLOOKUP(Table27[[#This Row],[Location 
(drop-down)]],'List source'!D$2:E$71,2,FALSE)</f>
        <v>191</v>
      </c>
      <c r="C121" s="178" t="s">
        <v>2361</v>
      </c>
      <c r="D121" s="21" t="str">
        <f t="shared" si="2"/>
        <v>PTO0120-191-25</v>
      </c>
      <c r="E121" s="9" t="s">
        <v>2362</v>
      </c>
      <c r="F121" s="10" t="s">
        <v>2070</v>
      </c>
      <c r="G1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1" s="136" t="s">
        <v>2363</v>
      </c>
      <c r="I121" s="12">
        <v>45800</v>
      </c>
      <c r="J121" s="12" t="s">
        <v>2074</v>
      </c>
      <c r="K121" s="63">
        <v>45800</v>
      </c>
      <c r="L121" s="37" t="s">
        <v>2075</v>
      </c>
      <c r="M121" s="10" t="str">
        <f t="shared" ca="1" si="3"/>
        <v>CLOSED</v>
      </c>
    </row>
    <row r="122" spans="1:13" s="4" customFormat="1" ht="18.75" hidden="1" x14ac:dyDescent="0.25">
      <c r="A122" s="9" t="s">
        <v>153</v>
      </c>
      <c r="B122" s="19">
        <f>VLOOKUP(Table27[[#This Row],[Location 
(drop-down)]],'List source'!D$2:E$71,2,FALSE)</f>
        <v>110</v>
      </c>
      <c r="C122" s="178" t="s">
        <v>2364</v>
      </c>
      <c r="D122" s="21" t="str">
        <f t="shared" si="2"/>
        <v>PTO0121-110-25</v>
      </c>
      <c r="E122" s="9" t="s">
        <v>2365</v>
      </c>
      <c r="F122" s="10" t="s">
        <v>2070</v>
      </c>
      <c r="G1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22" s="10">
        <v>2.09</v>
      </c>
      <c r="I122" s="12">
        <v>45800</v>
      </c>
      <c r="J122" s="12" t="s">
        <v>2074</v>
      </c>
      <c r="K122" s="63">
        <v>45800</v>
      </c>
      <c r="L122" s="37" t="s">
        <v>2079</v>
      </c>
      <c r="M122" s="10" t="str">
        <f t="shared" ca="1" si="3"/>
        <v>CLOSED</v>
      </c>
    </row>
    <row r="123" spans="1:13" s="4" customFormat="1" ht="30" hidden="1" x14ac:dyDescent="0.25">
      <c r="A123" s="9" t="s">
        <v>186</v>
      </c>
      <c r="B123" s="19">
        <f>VLOOKUP(Table27[[#This Row],[Location 
(drop-down)]],'List source'!D$2:E$71,2,FALSE)</f>
        <v>136</v>
      </c>
      <c r="C123" s="178" t="s">
        <v>2366</v>
      </c>
      <c r="D123" s="21" t="str">
        <f t="shared" si="2"/>
        <v>PTO0122-136-25</v>
      </c>
      <c r="E123" s="9" t="s">
        <v>2367</v>
      </c>
      <c r="F123" s="10" t="s">
        <v>2070</v>
      </c>
      <c r="G1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3" s="10">
        <v>2.62</v>
      </c>
      <c r="I123" s="12">
        <v>45800</v>
      </c>
      <c r="J123" s="12" t="s">
        <v>2074</v>
      </c>
      <c r="K123" s="63">
        <v>45800</v>
      </c>
      <c r="L123" s="37" t="s">
        <v>2075</v>
      </c>
      <c r="M123" s="10" t="str">
        <f t="shared" ca="1" si="3"/>
        <v>CLOSED</v>
      </c>
    </row>
    <row r="124" spans="1:13" s="4" customFormat="1" ht="18.75" hidden="1" x14ac:dyDescent="0.25">
      <c r="A124" s="9" t="s">
        <v>69</v>
      </c>
      <c r="B124" s="19">
        <f>VLOOKUP(Table27[[#This Row],[Location 
(drop-down)]],'List source'!D$2:E$71,2,FALSE)</f>
        <v>141</v>
      </c>
      <c r="C124" s="178" t="s">
        <v>2368</v>
      </c>
      <c r="D124" s="21" t="str">
        <f t="shared" si="2"/>
        <v>PTO0123-141-25</v>
      </c>
      <c r="E124" s="9" t="s">
        <v>2369</v>
      </c>
      <c r="F124" s="10" t="s">
        <v>2070</v>
      </c>
      <c r="G1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4" s="10">
        <v>2.14</v>
      </c>
      <c r="I124" s="12">
        <v>45800</v>
      </c>
      <c r="J124" s="12"/>
      <c r="K124" s="63"/>
      <c r="L124" s="37"/>
      <c r="M124" s="10">
        <f t="shared" ca="1" si="3"/>
        <v>277</v>
      </c>
    </row>
    <row r="125" spans="1:13" s="4" customFormat="1" ht="18.75" hidden="1" x14ac:dyDescent="0.25">
      <c r="A125" s="9" t="s">
        <v>58</v>
      </c>
      <c r="B125" s="19">
        <f>VLOOKUP(Table27[[#This Row],[Location 
(drop-down)]],'List source'!D$2:E$71,2,FALSE)</f>
        <v>146</v>
      </c>
      <c r="C125" s="178" t="s">
        <v>2370</v>
      </c>
      <c r="D125" s="21" t="str">
        <f t="shared" si="2"/>
        <v>PTO0124-146-25</v>
      </c>
      <c r="E125" s="9" t="s">
        <v>2371</v>
      </c>
      <c r="F125" s="10" t="s">
        <v>2070</v>
      </c>
      <c r="G1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5" s="136" t="s">
        <v>2372</v>
      </c>
      <c r="I125" s="12">
        <v>45800</v>
      </c>
      <c r="J125" s="12" t="s">
        <v>2074</v>
      </c>
      <c r="K125" s="63">
        <v>45813</v>
      </c>
      <c r="L125" s="37" t="s">
        <v>2079</v>
      </c>
      <c r="M125" s="10" t="str">
        <f t="shared" ca="1" si="3"/>
        <v>CLOSED</v>
      </c>
    </row>
    <row r="126" spans="1:13" s="4" customFormat="1" ht="18.75" hidden="1" x14ac:dyDescent="0.25">
      <c r="A126" s="9" t="s">
        <v>338</v>
      </c>
      <c r="B126" s="19">
        <f>VLOOKUP(Table27[[#This Row],[Location 
(drop-down)]],'List source'!D$2:E$71,2,FALSE)</f>
        <v>191</v>
      </c>
      <c r="C126" s="178" t="s">
        <v>2373</v>
      </c>
      <c r="D126" s="21" t="str">
        <f t="shared" si="2"/>
        <v>PTO0125-191-25</v>
      </c>
      <c r="E126" s="9" t="s">
        <v>2374</v>
      </c>
      <c r="F126" s="10" t="s">
        <v>2070</v>
      </c>
      <c r="G1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Temp</v>
      </c>
      <c r="H126" s="136" t="s">
        <v>2199</v>
      </c>
      <c r="I126" s="12">
        <v>45800</v>
      </c>
      <c r="J126" s="12" t="s">
        <v>109</v>
      </c>
      <c r="K126" s="63">
        <v>45888</v>
      </c>
      <c r="L126" s="37"/>
      <c r="M126" s="10" t="str">
        <f t="shared" ca="1" si="3"/>
        <v>CLOSED</v>
      </c>
    </row>
    <row r="127" spans="1:13" s="4" customFormat="1" ht="18.75" hidden="1" x14ac:dyDescent="0.25">
      <c r="A127" s="9" t="s">
        <v>151</v>
      </c>
      <c r="B127" s="19">
        <f>VLOOKUP(Table27[[#This Row],[Location 
(drop-down)]],'List source'!D$2:E$71,2,FALSE)</f>
        <v>115</v>
      </c>
      <c r="C127" s="178" t="s">
        <v>2375</v>
      </c>
      <c r="D127" s="21" t="str">
        <f t="shared" si="2"/>
        <v>PTO0126-115-25</v>
      </c>
      <c r="E127" s="9" t="s">
        <v>2376</v>
      </c>
      <c r="F127" s="10" t="str" cm="1">
        <f t="array" aca="1" ref="F1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27" s="136" t="s">
        <v>2377</v>
      </c>
      <c r="I127" s="12">
        <v>45804</v>
      </c>
      <c r="J127" s="12" t="s">
        <v>109</v>
      </c>
      <c r="K127" s="63">
        <v>45807</v>
      </c>
      <c r="L127" s="37"/>
      <c r="M127" s="10" t="str">
        <f t="shared" ca="1" si="3"/>
        <v>CLOSED</v>
      </c>
    </row>
    <row r="128" spans="1:13" s="4" customFormat="1" ht="18.75" hidden="1" x14ac:dyDescent="0.25">
      <c r="A128" s="9" t="s">
        <v>117</v>
      </c>
      <c r="B128" s="19">
        <f>VLOOKUP(Table27[[#This Row],[Location 
(drop-down)]],'List source'!D$2:E$71,2,FALSE)</f>
        <v>125</v>
      </c>
      <c r="C128" s="178" t="s">
        <v>2378</v>
      </c>
      <c r="D128" s="21" t="str">
        <f t="shared" si="2"/>
        <v>PTO0127-125-25</v>
      </c>
      <c r="E128" s="9" t="s">
        <v>2379</v>
      </c>
      <c r="F128" s="10" t="str" cm="1">
        <f t="array" aca="1" ref="F1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8" s="10">
        <v>4.3899999999999997</v>
      </c>
      <c r="I128" s="12">
        <v>45804</v>
      </c>
      <c r="J128" s="12"/>
      <c r="K128" s="63"/>
      <c r="L128" s="37"/>
      <c r="M128" s="10">
        <f t="shared" ca="1" si="3"/>
        <v>273</v>
      </c>
    </row>
    <row r="129" spans="1:13" s="4" customFormat="1" ht="18.75" hidden="1" x14ac:dyDescent="0.25">
      <c r="A129" s="9" t="s">
        <v>177</v>
      </c>
      <c r="B129" s="19">
        <f>VLOOKUP(Table27[[#This Row],[Location 
(drop-down)]],'List source'!D$2:E$71,2,FALSE)</f>
        <v>126</v>
      </c>
      <c r="C129" s="178" t="s">
        <v>2380</v>
      </c>
      <c r="D129" s="21" t="str">
        <f t="shared" si="2"/>
        <v>PTO0128-126-25</v>
      </c>
      <c r="E129" s="9" t="s">
        <v>2381</v>
      </c>
      <c r="F129" s="10" t="str" cm="1">
        <f t="array" aca="1" ref="F1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9" s="136" t="s">
        <v>2382</v>
      </c>
      <c r="I129" s="12">
        <v>45804</v>
      </c>
      <c r="J129" s="12" t="s">
        <v>2074</v>
      </c>
      <c r="K129" s="63">
        <v>45807</v>
      </c>
      <c r="L129" s="37" t="s">
        <v>2079</v>
      </c>
      <c r="M129" s="10" t="str">
        <f t="shared" ca="1" si="3"/>
        <v>CLOSED</v>
      </c>
    </row>
    <row r="130" spans="1:13" s="4" customFormat="1" ht="18.75" hidden="1" x14ac:dyDescent="0.25">
      <c r="A130" s="9" t="s">
        <v>177</v>
      </c>
      <c r="B130" s="19">
        <f>VLOOKUP(Table27[[#This Row],[Location 
(drop-down)]],'List source'!D$2:E$71,2,FALSE)</f>
        <v>126</v>
      </c>
      <c r="C130" s="178" t="s">
        <v>2383</v>
      </c>
      <c r="D130" s="21" t="str">
        <f t="shared" ref="D130:D193" si="4">"PTO" &amp; C130 &amp; "-" &amp; B130 &amp; "-" &amp; "25"</f>
        <v>PTO0129-126-25</v>
      </c>
      <c r="E130" s="9" t="s">
        <v>2384</v>
      </c>
      <c r="F130" s="10" t="str" cm="1">
        <f t="array" aca="1" ref="F1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0" s="10">
        <v>2.0499999999999998</v>
      </c>
      <c r="I130" s="12">
        <v>45804</v>
      </c>
      <c r="J130" s="12" t="s">
        <v>189</v>
      </c>
      <c r="K130" s="63">
        <v>45931</v>
      </c>
      <c r="L130" s="37"/>
      <c r="M130" s="10" t="str">
        <f t="shared" ref="M130:M193" ca="1" si="5">IF(ISBLANK(K130), TODAY()-(I130), "CLOSED")</f>
        <v>CLOSED</v>
      </c>
    </row>
    <row r="131" spans="1:13" s="4" customFormat="1" ht="18.75" hidden="1" x14ac:dyDescent="0.25">
      <c r="A131" s="9" t="s">
        <v>177</v>
      </c>
      <c r="B131" s="19">
        <f>VLOOKUP(Table27[[#This Row],[Location 
(drop-down)]],'List source'!D$2:E$71,2,FALSE)</f>
        <v>126</v>
      </c>
      <c r="C131" s="178" t="s">
        <v>2385</v>
      </c>
      <c r="D131" s="21" t="str">
        <f t="shared" si="4"/>
        <v>PTO0130-126-25</v>
      </c>
      <c r="E131" s="71" t="s">
        <v>2386</v>
      </c>
      <c r="F131" s="75" t="str" cm="1">
        <f t="array" aca="1" ref="F1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31" s="75">
        <v>2.44</v>
      </c>
      <c r="I131" s="12">
        <v>45804</v>
      </c>
      <c r="J131" s="12" t="s">
        <v>252</v>
      </c>
      <c r="K131" s="63">
        <v>45854</v>
      </c>
      <c r="L131" s="37"/>
      <c r="M131" s="10" t="str">
        <f t="shared" ca="1" si="5"/>
        <v>CLOSED</v>
      </c>
    </row>
    <row r="132" spans="1:13" s="4" customFormat="1" ht="18.75" hidden="1" x14ac:dyDescent="0.25">
      <c r="A132" s="9" t="s">
        <v>156</v>
      </c>
      <c r="B132" s="19">
        <f>VLOOKUP(Table27[[#This Row],[Location 
(drop-down)]],'List source'!D$2:E$71,2,FALSE)</f>
        <v>130</v>
      </c>
      <c r="C132" s="178" t="s">
        <v>2387</v>
      </c>
      <c r="D132" s="21" t="str">
        <f t="shared" si="4"/>
        <v>PTO0131-130-25</v>
      </c>
      <c r="E132" s="165" t="s">
        <v>2384</v>
      </c>
      <c r="F132" s="304" t="str" cm="1">
        <f t="array" aca="1" ref="F1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2" s="304">
        <v>2.0499999999999998</v>
      </c>
      <c r="I132" s="12">
        <v>45804</v>
      </c>
      <c r="J132" s="12" t="s">
        <v>2074</v>
      </c>
      <c r="K132" s="63">
        <v>45819</v>
      </c>
      <c r="L132" s="37" t="s">
        <v>2079</v>
      </c>
      <c r="M132" s="10" t="str">
        <f t="shared" ca="1" si="5"/>
        <v>CLOSED</v>
      </c>
    </row>
    <row r="133" spans="1:13" s="4" customFormat="1" ht="30" hidden="1" x14ac:dyDescent="0.25">
      <c r="A133" s="9" t="s">
        <v>156</v>
      </c>
      <c r="B133" s="19">
        <f>VLOOKUP(Table27[[#This Row],[Location 
(drop-down)]],'List source'!D$2:E$71,2,FALSE)</f>
        <v>130</v>
      </c>
      <c r="C133" s="178" t="s">
        <v>2388</v>
      </c>
      <c r="D133" s="21" t="str">
        <f t="shared" si="4"/>
        <v>PTO0132-130-25</v>
      </c>
      <c r="E133" s="133" t="s">
        <v>2389</v>
      </c>
      <c r="F133" s="128" t="str" cm="1">
        <f t="array" aca="1" ref="F1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33" s="180" t="s">
        <v>2390</v>
      </c>
      <c r="I133" s="12">
        <v>45804</v>
      </c>
      <c r="J133" s="12" t="s">
        <v>2074</v>
      </c>
      <c r="K133" s="63">
        <v>45819</v>
      </c>
      <c r="L133" s="37" t="s">
        <v>2288</v>
      </c>
      <c r="M133" s="10" t="str">
        <f t="shared" ca="1" si="5"/>
        <v>CLOSED</v>
      </c>
    </row>
    <row r="134" spans="1:13" s="4" customFormat="1" ht="18.75" hidden="1" x14ac:dyDescent="0.25">
      <c r="A134" s="9" t="s">
        <v>156</v>
      </c>
      <c r="B134" s="19">
        <f>VLOOKUP(Table27[[#This Row],[Location 
(drop-down)]],'List source'!D$2:E$71,2,FALSE)</f>
        <v>130</v>
      </c>
      <c r="C134" s="178" t="s">
        <v>2391</v>
      </c>
      <c r="D134" s="21" t="str">
        <f t="shared" si="4"/>
        <v>PTO0133-130-25</v>
      </c>
      <c r="E134" s="9" t="s">
        <v>2392</v>
      </c>
      <c r="F134" s="37" t="str" cm="1">
        <f t="array" aca="1" ref="F1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34" s="187">
        <v>3.2</v>
      </c>
      <c r="I134" s="12">
        <v>45804</v>
      </c>
      <c r="J134" s="12" t="s">
        <v>18</v>
      </c>
      <c r="K134" s="63">
        <v>45896</v>
      </c>
      <c r="L134" s="37"/>
      <c r="M134" s="10" t="str">
        <f t="shared" ca="1" si="5"/>
        <v>CLOSED</v>
      </c>
    </row>
    <row r="135" spans="1:13" s="4" customFormat="1" ht="18.75" hidden="1" x14ac:dyDescent="0.25">
      <c r="A135" s="9" t="s">
        <v>211</v>
      </c>
      <c r="B135" s="19">
        <f>VLOOKUP(Table27[[#This Row],[Location 
(drop-down)]],'List source'!D$2:E$71,2,FALSE)</f>
        <v>132</v>
      </c>
      <c r="C135" s="178" t="s">
        <v>2393</v>
      </c>
      <c r="D135" s="21" t="str">
        <f t="shared" si="4"/>
        <v>PTO0134-132-25</v>
      </c>
      <c r="E135" s="9" t="s">
        <v>2394</v>
      </c>
      <c r="F135" s="10" t="str" cm="1">
        <f t="array" aca="1" ref="F1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5" s="136">
        <v>4.13</v>
      </c>
      <c r="I135" s="12">
        <v>45805</v>
      </c>
      <c r="J135" s="12" t="s">
        <v>2074</v>
      </c>
      <c r="K135" s="63">
        <v>45811</v>
      </c>
      <c r="L135" s="37" t="s">
        <v>2079</v>
      </c>
      <c r="M135" s="10" t="str">
        <f t="shared" ca="1" si="5"/>
        <v>CLOSED</v>
      </c>
    </row>
    <row r="136" spans="1:13" s="4" customFormat="1" ht="18.75" hidden="1" x14ac:dyDescent="0.25">
      <c r="A136" s="9" t="s">
        <v>211</v>
      </c>
      <c r="B136" s="19">
        <f>VLOOKUP(Table27[[#This Row],[Location 
(drop-down)]],'List source'!D$2:E$71,2,FALSE)</f>
        <v>132</v>
      </c>
      <c r="C136" s="178" t="s">
        <v>2395</v>
      </c>
      <c r="D136" s="21" t="str">
        <f t="shared" si="4"/>
        <v>PTO0135-132-25</v>
      </c>
      <c r="E136" s="9" t="s">
        <v>2396</v>
      </c>
      <c r="F136" s="10" t="str" cm="1">
        <f t="array" aca="1" ref="F1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6" s="313" t="s">
        <v>2397</v>
      </c>
      <c r="I136" s="12">
        <v>45805</v>
      </c>
      <c r="J136" s="12" t="s">
        <v>167</v>
      </c>
      <c r="K136" s="63">
        <v>45838</v>
      </c>
      <c r="L136" s="37"/>
      <c r="M136" s="10" t="str">
        <f t="shared" ca="1" si="5"/>
        <v>CLOSED</v>
      </c>
    </row>
    <row r="137" spans="1:13" s="4" customFormat="1" ht="30" hidden="1" x14ac:dyDescent="0.25">
      <c r="A137" s="9" t="s">
        <v>211</v>
      </c>
      <c r="B137" s="19">
        <f>VLOOKUP(Table27[[#This Row],[Location 
(drop-down)]],'List source'!D$2:E$71,2,FALSE)</f>
        <v>132</v>
      </c>
      <c r="C137" s="178" t="s">
        <v>2398</v>
      </c>
      <c r="D137" s="21" t="str">
        <f t="shared" si="4"/>
        <v>PTO0136-132-25</v>
      </c>
      <c r="E137" s="9" t="s">
        <v>2399</v>
      </c>
      <c r="F137" s="10" t="str" cm="1">
        <f t="array" aca="1" ref="F1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137" s="10" t="s">
        <v>2400</v>
      </c>
      <c r="I137" s="12">
        <v>45805</v>
      </c>
      <c r="J137" s="12" t="s">
        <v>2074</v>
      </c>
      <c r="K137" s="63">
        <v>45811</v>
      </c>
      <c r="L137" s="37" t="s">
        <v>2288</v>
      </c>
      <c r="M137" s="10" t="str">
        <f t="shared" ca="1" si="5"/>
        <v>CLOSED</v>
      </c>
    </row>
    <row r="138" spans="1:13" s="4" customFormat="1" ht="30" hidden="1" x14ac:dyDescent="0.25">
      <c r="A138" s="9" t="s">
        <v>186</v>
      </c>
      <c r="B138" s="19">
        <f>VLOOKUP(Table27[[#This Row],[Location 
(drop-down)]],'List source'!D$2:E$71,2,FALSE)</f>
        <v>136</v>
      </c>
      <c r="C138" s="178" t="s">
        <v>2401</v>
      </c>
      <c r="D138" s="21" t="str">
        <f t="shared" si="4"/>
        <v>PTO0137-136-25</v>
      </c>
      <c r="E138" s="78" t="s">
        <v>2402</v>
      </c>
      <c r="F138" s="303" t="str" cm="1">
        <f t="array" aca="1" ref="F1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8" s="316" t="s">
        <v>2403</v>
      </c>
      <c r="I138" s="166">
        <v>45805</v>
      </c>
      <c r="J138" s="12" t="s">
        <v>109</v>
      </c>
      <c r="K138" s="63">
        <v>45811</v>
      </c>
      <c r="L138" s="37"/>
      <c r="M138" s="10" t="str">
        <f t="shared" ca="1" si="5"/>
        <v>CLOSED</v>
      </c>
    </row>
    <row r="139" spans="1:13" s="4" customFormat="1" ht="18.75" hidden="1" x14ac:dyDescent="0.25">
      <c r="A139" s="9" t="s">
        <v>69</v>
      </c>
      <c r="B139" s="19">
        <f>VLOOKUP(Table27[[#This Row],[Location 
(drop-down)]],'List source'!D$2:E$71,2,FALSE)</f>
        <v>141</v>
      </c>
      <c r="C139" s="178" t="s">
        <v>2404</v>
      </c>
      <c r="D139" s="21" t="str">
        <f t="shared" si="4"/>
        <v>PTO0138-141-25</v>
      </c>
      <c r="E139" s="78" t="s">
        <v>2405</v>
      </c>
      <c r="F139" s="303" t="str" cm="1">
        <f t="array" aca="1" ref="F1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39" s="316">
        <v>217060.25</v>
      </c>
      <c r="I139" s="166">
        <v>45805</v>
      </c>
      <c r="J139" s="12" t="s">
        <v>2074</v>
      </c>
      <c r="K139" s="63">
        <v>45812</v>
      </c>
      <c r="L139" s="37" t="s">
        <v>2079</v>
      </c>
      <c r="M139" s="10" t="str">
        <f t="shared" ca="1" si="5"/>
        <v>CLOSED</v>
      </c>
    </row>
    <row r="140" spans="1:13" s="4" customFormat="1" ht="30" hidden="1" x14ac:dyDescent="0.25">
      <c r="A140" s="9" t="s">
        <v>79</v>
      </c>
      <c r="B140" s="19">
        <f>VLOOKUP(Table27[[#This Row],[Location 
(drop-down)]],'List source'!D$2:E$71,2,FALSE)</f>
        <v>160</v>
      </c>
      <c r="C140" s="178" t="s">
        <v>2406</v>
      </c>
      <c r="D140" s="21" t="str">
        <f t="shared" si="4"/>
        <v>PTO0139-160-25</v>
      </c>
      <c r="E140" s="78" t="s">
        <v>2407</v>
      </c>
      <c r="F140" s="13" t="str" cm="1">
        <f t="array" aca="1" ref="F1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0"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40" s="13" t="s">
        <v>2408</v>
      </c>
      <c r="I140" s="12">
        <v>45805</v>
      </c>
      <c r="J140" s="12" t="s">
        <v>18</v>
      </c>
      <c r="K140" s="63">
        <v>45835</v>
      </c>
      <c r="L140" s="37"/>
      <c r="M140" s="10" t="str">
        <f t="shared" ca="1" si="5"/>
        <v>CLOSED</v>
      </c>
    </row>
    <row r="141" spans="1:13" s="4" customFormat="1" ht="18.75" hidden="1" x14ac:dyDescent="0.25">
      <c r="A141" s="9" t="s">
        <v>79</v>
      </c>
      <c r="B141" s="19">
        <f>VLOOKUP(Table27[[#This Row],[Location 
(drop-down)]],'List source'!D$2:E$71,2,FALSE)</f>
        <v>160</v>
      </c>
      <c r="C141" s="178" t="s">
        <v>2409</v>
      </c>
      <c r="D141" s="21" t="str">
        <f t="shared" si="4"/>
        <v>PTO0140-160-25</v>
      </c>
      <c r="E141" s="78" t="s">
        <v>2410</v>
      </c>
      <c r="F141" s="13" t="str" cm="1">
        <f t="array" aca="1" ref="F1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1"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41" s="11" t="s">
        <v>2411</v>
      </c>
      <c r="I141" s="12">
        <v>45805</v>
      </c>
      <c r="J141" s="12" t="s">
        <v>18</v>
      </c>
      <c r="K141" s="63">
        <v>45825</v>
      </c>
      <c r="L141" s="37"/>
      <c r="M141" s="10" t="str">
        <f t="shared" ca="1" si="5"/>
        <v>CLOSED</v>
      </c>
    </row>
    <row r="142" spans="1:13" s="4" customFormat="1" ht="18.75" hidden="1" x14ac:dyDescent="0.25">
      <c r="A142" s="9" t="s">
        <v>79</v>
      </c>
      <c r="B142" s="19">
        <f>VLOOKUP(Table27[[#This Row],[Location 
(drop-down)]],'List source'!D$2:E$71,2,FALSE)</f>
        <v>160</v>
      </c>
      <c r="C142" s="178" t="s">
        <v>2412</v>
      </c>
      <c r="D142" s="21" t="str">
        <f t="shared" si="4"/>
        <v>PTO0141-160-25</v>
      </c>
      <c r="E142" s="78" t="s">
        <v>2413</v>
      </c>
      <c r="F142" s="13" t="str" cm="1">
        <f t="array" aca="1" ref="F1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2"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D6378 - Vapor Pressure</v>
      </c>
      <c r="H142" s="11" t="s">
        <v>2414</v>
      </c>
      <c r="I142" s="16">
        <v>45805</v>
      </c>
      <c r="J142" s="12" t="s">
        <v>2074</v>
      </c>
      <c r="K142" s="63">
        <v>45825</v>
      </c>
      <c r="L142" s="37" t="s">
        <v>2079</v>
      </c>
      <c r="M142" s="10" t="str">
        <f t="shared" ca="1" si="5"/>
        <v>CLOSED</v>
      </c>
    </row>
    <row r="143" spans="1:13" s="4" customFormat="1" ht="18.75" hidden="1" x14ac:dyDescent="0.25">
      <c r="A143" s="9" t="s">
        <v>141</v>
      </c>
      <c r="B143" s="19">
        <f>VLOOKUP(Table27[[#This Row],[Location 
(drop-down)]],'List source'!D$2:E$71,2,FALSE)</f>
        <v>165</v>
      </c>
      <c r="C143" s="178" t="s">
        <v>2415</v>
      </c>
      <c r="D143" s="21" t="str">
        <f t="shared" si="4"/>
        <v>PTO0142-165-25</v>
      </c>
      <c r="E143" s="78" t="s">
        <v>2416</v>
      </c>
      <c r="F143" s="13" t="str" cm="1">
        <f t="array" aca="1" ref="F1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3"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43" s="11" t="s">
        <v>2417</v>
      </c>
      <c r="I143" s="12">
        <v>45805</v>
      </c>
      <c r="J143" s="12" t="s">
        <v>18</v>
      </c>
      <c r="K143" s="63">
        <v>45853</v>
      </c>
      <c r="L143" s="37"/>
      <c r="M143" s="10" t="str">
        <f t="shared" ca="1" si="5"/>
        <v>CLOSED</v>
      </c>
    </row>
    <row r="144" spans="1:13" s="4" customFormat="1" ht="30" hidden="1" x14ac:dyDescent="0.25">
      <c r="A144" s="9" t="s">
        <v>107</v>
      </c>
      <c r="B144" s="19">
        <f>VLOOKUP(Table27[[#This Row],[Location 
(drop-down)]],'List source'!D$2:E$71,2,FALSE)</f>
        <v>170</v>
      </c>
      <c r="C144" s="178" t="s">
        <v>2418</v>
      </c>
      <c r="D144" s="21" t="str">
        <f t="shared" si="4"/>
        <v>PTO0143-170-25</v>
      </c>
      <c r="E144" s="78" t="s">
        <v>2419</v>
      </c>
      <c r="F144" s="13" t="str" cm="1">
        <f t="array" aca="1" ref="F1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4"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44" s="191" t="s">
        <v>2420</v>
      </c>
      <c r="I144" s="12">
        <v>45804</v>
      </c>
      <c r="J144" s="12" t="s">
        <v>109</v>
      </c>
      <c r="K144" s="63">
        <v>45831</v>
      </c>
      <c r="L144" s="37"/>
      <c r="M144" s="10" t="str">
        <f t="shared" ca="1" si="5"/>
        <v>CLOSED</v>
      </c>
    </row>
    <row r="145" spans="1:13" s="4" customFormat="1" ht="30" hidden="1" x14ac:dyDescent="0.25">
      <c r="A145" s="9" t="s">
        <v>107</v>
      </c>
      <c r="B145" s="19">
        <f>VLOOKUP(Table27[[#This Row],[Location 
(drop-down)]],'List source'!D$2:E$71,2,FALSE)</f>
        <v>170</v>
      </c>
      <c r="C145" s="178" t="s">
        <v>2421</v>
      </c>
      <c r="D145" s="21" t="str">
        <f t="shared" si="4"/>
        <v>PTO0144-170-25</v>
      </c>
      <c r="E145" s="78" t="s">
        <v>2422</v>
      </c>
      <c r="F145" s="13" t="str" cm="1">
        <f t="array" aca="1" ref="F1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5"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5" s="13">
        <v>2.74</v>
      </c>
      <c r="I145" s="12">
        <v>45804</v>
      </c>
      <c r="J145" s="12" t="s">
        <v>109</v>
      </c>
      <c r="K145" s="63">
        <v>45846</v>
      </c>
      <c r="L145" s="37"/>
      <c r="M145" s="10" t="str">
        <f t="shared" ca="1" si="5"/>
        <v>CLOSED</v>
      </c>
    </row>
    <row r="146" spans="1:13" s="4" customFormat="1" ht="30" hidden="1" x14ac:dyDescent="0.25">
      <c r="A146" s="9" t="s">
        <v>107</v>
      </c>
      <c r="B146" s="19">
        <f>VLOOKUP(Table27[[#This Row],[Location 
(drop-down)]],'List source'!D$2:E$71,2,FALSE)</f>
        <v>170</v>
      </c>
      <c r="C146" s="178" t="s">
        <v>2423</v>
      </c>
      <c r="D146" s="21" t="str">
        <f t="shared" si="4"/>
        <v>PTO0145-170-25</v>
      </c>
      <c r="E146" s="78" t="s">
        <v>2424</v>
      </c>
      <c r="F146" s="13" t="str" cm="1">
        <f t="array" aca="1" ref="F1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6"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46" s="11">
        <v>2.71</v>
      </c>
      <c r="I146" s="12">
        <v>45804</v>
      </c>
      <c r="J146" s="12" t="s">
        <v>109</v>
      </c>
      <c r="K146" s="63">
        <v>45856</v>
      </c>
      <c r="L146" s="37"/>
      <c r="M146" s="10" t="str">
        <f t="shared" ca="1" si="5"/>
        <v>CLOSED</v>
      </c>
    </row>
    <row r="147" spans="1:13" s="4" customFormat="1" ht="18.75" hidden="1" x14ac:dyDescent="0.25">
      <c r="A147" s="9" t="s">
        <v>338</v>
      </c>
      <c r="B147" s="19">
        <f>VLOOKUP(Table27[[#This Row],[Location 
(drop-down)]],'List source'!D$2:E$71,2,FALSE)</f>
        <v>191</v>
      </c>
      <c r="C147" s="178" t="s">
        <v>2425</v>
      </c>
      <c r="D147" s="21" t="str">
        <f t="shared" si="4"/>
        <v>PTO0146-191-25</v>
      </c>
      <c r="E147" s="78" t="s">
        <v>2426</v>
      </c>
      <c r="F147" s="13" t="str" cm="1">
        <f t="array" aca="1" ref="F1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7"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47" s="11" t="s">
        <v>2427</v>
      </c>
      <c r="I147" s="12">
        <v>45805</v>
      </c>
      <c r="J147" s="12" t="s">
        <v>109</v>
      </c>
      <c r="K147" s="63">
        <v>45911</v>
      </c>
      <c r="L147" s="37"/>
      <c r="M147" s="10" t="str">
        <f t="shared" ca="1" si="5"/>
        <v>CLOSED</v>
      </c>
    </row>
    <row r="148" spans="1:13" s="4" customFormat="1" ht="18.75" hidden="1" x14ac:dyDescent="0.25">
      <c r="A148" s="9" t="s">
        <v>37</v>
      </c>
      <c r="B148" s="19">
        <f>VLOOKUP(Table27[[#This Row],[Location 
(drop-down)]],'List source'!D$2:E$71,2,FALSE)</f>
        <v>210</v>
      </c>
      <c r="C148" s="178" t="s">
        <v>2428</v>
      </c>
      <c r="D148" s="21" t="str">
        <f t="shared" si="4"/>
        <v>PTO0147-210-25</v>
      </c>
      <c r="E148" s="78" t="s">
        <v>2429</v>
      </c>
      <c r="F148" s="13" t="str" cm="1">
        <f t="array" aca="1" ref="F1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8"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8" s="11">
        <v>4.4800000000000004</v>
      </c>
      <c r="I148" s="12">
        <v>45805</v>
      </c>
      <c r="J148" s="12" t="s">
        <v>252</v>
      </c>
      <c r="K148" s="63">
        <v>45959</v>
      </c>
      <c r="L148" s="37"/>
      <c r="M148" s="10" t="str">
        <f t="shared" ca="1" si="5"/>
        <v>CLOSED</v>
      </c>
    </row>
    <row r="149" spans="1:13" s="4" customFormat="1" ht="30" hidden="1" x14ac:dyDescent="0.25">
      <c r="A149" s="9" t="s">
        <v>71</v>
      </c>
      <c r="B149" s="19">
        <f>VLOOKUP(Table27[[#This Row],[Location 
(drop-down)]],'List source'!D$2:E$71,2,FALSE)</f>
        <v>127</v>
      </c>
      <c r="C149" s="178" t="s">
        <v>2430</v>
      </c>
      <c r="D149" s="21" t="str">
        <f t="shared" si="4"/>
        <v>PTO0148-127-25</v>
      </c>
      <c r="E149" s="78" t="s">
        <v>2431</v>
      </c>
      <c r="F149" s="19" t="str" cm="1">
        <f t="array" aca="1" ref="F1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9"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Benzene &amp; Toluene</v>
      </c>
      <c r="H149" s="17" t="s">
        <v>2432</v>
      </c>
      <c r="I149" s="288">
        <v>45804</v>
      </c>
      <c r="J149" s="12" t="s">
        <v>2074</v>
      </c>
      <c r="K149" s="327">
        <v>45804</v>
      </c>
      <c r="L149" s="37" t="s">
        <v>2288</v>
      </c>
      <c r="M149" s="10" t="str">
        <f t="shared" ca="1" si="5"/>
        <v>CLOSED</v>
      </c>
    </row>
    <row r="150" spans="1:13" s="4" customFormat="1" ht="30" hidden="1" x14ac:dyDescent="0.25">
      <c r="A150" s="9" t="s">
        <v>71</v>
      </c>
      <c r="B150" s="19">
        <f>VLOOKUP(Table27[[#This Row],[Location 
(drop-down)]],'List source'!D$2:E$71,2,FALSE)</f>
        <v>127</v>
      </c>
      <c r="C150" s="178" t="s">
        <v>2433</v>
      </c>
      <c r="D150" s="21" t="str">
        <f t="shared" si="4"/>
        <v>PTO0149-127-25</v>
      </c>
      <c r="E150" s="78" t="s">
        <v>2434</v>
      </c>
      <c r="F150" s="13" t="str" cm="1">
        <f t="array" aca="1" ref="F1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0"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 &amp; Toluene</v>
      </c>
      <c r="H150" s="13" t="s">
        <v>2435</v>
      </c>
      <c r="I150" s="16">
        <v>45804</v>
      </c>
      <c r="J150" s="12" t="s">
        <v>2074</v>
      </c>
      <c r="K150" s="167">
        <v>45804</v>
      </c>
      <c r="L150" s="37" t="s">
        <v>2288</v>
      </c>
      <c r="M150" s="10" t="str">
        <f t="shared" ca="1" si="5"/>
        <v>CLOSED</v>
      </c>
    </row>
    <row r="151" spans="1:13" s="4" customFormat="1" ht="30" hidden="1" x14ac:dyDescent="0.25">
      <c r="A151" s="9" t="s">
        <v>107</v>
      </c>
      <c r="B151" s="19">
        <f>VLOOKUP(Table27[[#This Row],[Location 
(drop-down)]],'List source'!D$2:E$71,2,FALSE)</f>
        <v>170</v>
      </c>
      <c r="C151" s="178" t="s">
        <v>2436</v>
      </c>
      <c r="D151" s="21" t="str">
        <f t="shared" si="4"/>
        <v>PTO0150-170-25</v>
      </c>
      <c r="E151" s="78" t="s">
        <v>2437</v>
      </c>
      <c r="F151" s="13" t="str" cm="1">
        <f t="array" aca="1" ref="F1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51"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D611 - Aniline Point</v>
      </c>
      <c r="H151" s="11" t="s">
        <v>2438</v>
      </c>
      <c r="I151" s="16">
        <v>45806</v>
      </c>
      <c r="J151" s="12" t="s">
        <v>109</v>
      </c>
      <c r="K151" s="167">
        <v>45846</v>
      </c>
      <c r="L151" s="37"/>
      <c r="M151" s="10" t="str">
        <f t="shared" ca="1" si="5"/>
        <v>CLOSED</v>
      </c>
    </row>
    <row r="152" spans="1:13" s="4" customFormat="1" ht="30" hidden="1" x14ac:dyDescent="0.25">
      <c r="A152" s="9" t="s">
        <v>287</v>
      </c>
      <c r="B152" s="19">
        <f>VLOOKUP(Table27[[#This Row],[Location 
(drop-down)]],'List source'!D$2:E$71,2,FALSE)</f>
        <v>180</v>
      </c>
      <c r="C152" s="178" t="s">
        <v>2439</v>
      </c>
      <c r="D152" s="21" t="str">
        <f t="shared" si="4"/>
        <v>PTO0151-180-25</v>
      </c>
      <c r="E152" s="78" t="s">
        <v>2440</v>
      </c>
      <c r="F152" s="13" t="str" cm="1">
        <f t="array" aca="1" ref="F1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52"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D1160 - Distillation</v>
      </c>
      <c r="H152" s="13" t="s">
        <v>2441</v>
      </c>
      <c r="I152" s="16">
        <v>45806</v>
      </c>
      <c r="J152" s="14" t="s">
        <v>2074</v>
      </c>
      <c r="K152" s="167">
        <v>45806</v>
      </c>
      <c r="L152" s="37" t="s">
        <v>2075</v>
      </c>
      <c r="M152" s="10" t="str">
        <f t="shared" ca="1" si="5"/>
        <v>CLOSED</v>
      </c>
    </row>
    <row r="153" spans="1:13" s="4" customFormat="1" ht="30" hidden="1" x14ac:dyDescent="0.25">
      <c r="A153" s="9" t="s">
        <v>94</v>
      </c>
      <c r="B153" s="19">
        <f>VLOOKUP(Table27[[#This Row],[Location 
(drop-down)]],'List source'!D$2:E$71,2,FALSE)</f>
        <v>120</v>
      </c>
      <c r="C153" s="178" t="s">
        <v>2442</v>
      </c>
      <c r="D153" s="21" t="str">
        <f t="shared" si="4"/>
        <v>PTO0152-120-25</v>
      </c>
      <c r="E153" s="78" t="s">
        <v>2443</v>
      </c>
      <c r="F153" s="13" t="str" cm="1">
        <f t="array" aca="1" ref="F1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53"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Diglyceride</v>
      </c>
      <c r="H153" s="11">
        <v>2.44</v>
      </c>
      <c r="I153" s="16">
        <v>45806</v>
      </c>
      <c r="J153" s="14" t="s">
        <v>2074</v>
      </c>
      <c r="K153" s="167">
        <v>45806</v>
      </c>
      <c r="L153" s="37" t="s">
        <v>2075</v>
      </c>
      <c r="M153" s="10" t="str">
        <f t="shared" ca="1" si="5"/>
        <v>CLOSED</v>
      </c>
    </row>
    <row r="154" spans="1:13" s="4" customFormat="1" ht="30" hidden="1" x14ac:dyDescent="0.25">
      <c r="A154" s="9" t="s">
        <v>257</v>
      </c>
      <c r="B154" s="19">
        <f>VLOOKUP(Table27[[#This Row],[Location 
(drop-down)]],'List source'!D$2:E$71,2,FALSE)</f>
        <v>144</v>
      </c>
      <c r="C154" s="178" t="s">
        <v>2444</v>
      </c>
      <c r="D154" s="21" t="str">
        <f t="shared" si="4"/>
        <v>PTO0153-144-25</v>
      </c>
      <c r="E154" s="78" t="s">
        <v>2445</v>
      </c>
      <c r="F154" s="13" t="str" cm="1">
        <f t="array" aca="1" ref="F1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54"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154" s="11" t="s">
        <v>2446</v>
      </c>
      <c r="I154" s="16">
        <v>45806</v>
      </c>
      <c r="J154" s="14" t="s">
        <v>2074</v>
      </c>
      <c r="K154" s="167">
        <v>45806</v>
      </c>
      <c r="L154" s="37" t="s">
        <v>2075</v>
      </c>
      <c r="M154" s="10" t="str">
        <f t="shared" ca="1" si="5"/>
        <v>CLOSED</v>
      </c>
    </row>
    <row r="155" spans="1:13" s="4" customFormat="1" ht="18.75" hidden="1" x14ac:dyDescent="0.25">
      <c r="A155" s="9" t="s">
        <v>179</v>
      </c>
      <c r="B155" s="19">
        <f>VLOOKUP(Table27[[#This Row],[Location 
(drop-down)]],'List source'!D$2:E$71,2,FALSE)</f>
        <v>189</v>
      </c>
      <c r="C155" s="178" t="s">
        <v>2447</v>
      </c>
      <c r="D155" s="21" t="str">
        <f t="shared" si="4"/>
        <v>PTO0154-189-25</v>
      </c>
      <c r="E155" s="78" t="s">
        <v>2448</v>
      </c>
      <c r="F155" s="72" t="str" cm="1">
        <f t="array" aca="1" ref="F1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55" s="18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55" s="163" t="s">
        <v>2449</v>
      </c>
      <c r="I155" s="16">
        <v>45806</v>
      </c>
      <c r="J155" s="14" t="s">
        <v>27</v>
      </c>
      <c r="K155" s="167">
        <v>46052</v>
      </c>
      <c r="L155" s="37"/>
      <c r="M155" s="10" t="str">
        <f t="shared" ca="1" si="5"/>
        <v>CLOSED</v>
      </c>
    </row>
    <row r="156" spans="1:13" s="4" customFormat="1" ht="18.75" hidden="1" x14ac:dyDescent="0.25">
      <c r="A156" s="9" t="s">
        <v>211</v>
      </c>
      <c r="B156" s="19">
        <f>VLOOKUP(Table27[[#This Row],[Location 
(drop-down)]],'List source'!D$2:E$71,2,FALSE)</f>
        <v>132</v>
      </c>
      <c r="C156" s="178" t="s">
        <v>2450</v>
      </c>
      <c r="D156" s="21" t="str">
        <f t="shared" si="4"/>
        <v>PTO0155-132-25</v>
      </c>
      <c r="E156" s="289" t="s">
        <v>2451</v>
      </c>
      <c r="F156" s="300" t="s">
        <v>2452</v>
      </c>
      <c r="G156" s="307"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56" s="300">
        <v>171.99</v>
      </c>
      <c r="I156" s="193">
        <v>45806</v>
      </c>
      <c r="J156" s="14" t="s">
        <v>167</v>
      </c>
      <c r="K156" s="167">
        <v>45861</v>
      </c>
      <c r="L156" s="37"/>
      <c r="M156" s="10" t="str">
        <f t="shared" ca="1" si="5"/>
        <v>CLOSED</v>
      </c>
    </row>
    <row r="157" spans="1:13" s="4" customFormat="1" ht="30" hidden="1" x14ac:dyDescent="0.25">
      <c r="A157" s="9" t="s">
        <v>107</v>
      </c>
      <c r="B157" s="19">
        <f>VLOOKUP(Table27[[#This Row],[Location 
(drop-down)]],'List source'!D$2:E$71,2,FALSE)</f>
        <v>170</v>
      </c>
      <c r="C157" s="178" t="s">
        <v>2453</v>
      </c>
      <c r="D157" s="21" t="str">
        <f t="shared" si="4"/>
        <v>PTO0156-170-25</v>
      </c>
      <c r="E157" s="78" t="s">
        <v>2454</v>
      </c>
      <c r="F157" s="19" t="str" cm="1">
        <f t="array" aca="1" ref="F1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7"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Total Aromatics</v>
      </c>
      <c r="H157" s="17">
        <v>2.0499999999999998</v>
      </c>
      <c r="I157" s="16">
        <v>45804</v>
      </c>
      <c r="J157" s="14" t="s">
        <v>109</v>
      </c>
      <c r="K157" s="167">
        <v>45846</v>
      </c>
      <c r="L157" s="37"/>
      <c r="M157" s="10" t="str">
        <f t="shared" ca="1" si="5"/>
        <v>CLOSED</v>
      </c>
    </row>
    <row r="158" spans="1:13" s="4" customFormat="1" ht="30" hidden="1" x14ac:dyDescent="0.25">
      <c r="A158" s="9" t="s">
        <v>107</v>
      </c>
      <c r="B158" s="19">
        <f>VLOOKUP(Table27[[#This Row],[Location 
(drop-down)]],'List source'!D$2:E$71,2,FALSE)</f>
        <v>170</v>
      </c>
      <c r="C158" s="178" t="s">
        <v>2455</v>
      </c>
      <c r="D158" s="21" t="str">
        <f t="shared" si="4"/>
        <v>PTO0157-170-25</v>
      </c>
      <c r="E158" s="9" t="s">
        <v>2456</v>
      </c>
      <c r="F158" s="10" t="str" cm="1">
        <f t="array" aca="1" ref="F1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58" s="136">
        <v>2.04</v>
      </c>
      <c r="I158" s="16">
        <v>45804</v>
      </c>
      <c r="J158" s="14" t="s">
        <v>109</v>
      </c>
      <c r="K158" s="167">
        <v>45846</v>
      </c>
      <c r="L158" s="37"/>
      <c r="M158" s="10" t="str">
        <f t="shared" ca="1" si="5"/>
        <v>CLOSED</v>
      </c>
    </row>
    <row r="159" spans="1:13" s="4" customFormat="1" ht="30" hidden="1" x14ac:dyDescent="0.25">
      <c r="A159" s="9" t="s">
        <v>107</v>
      </c>
      <c r="B159" s="19">
        <f>VLOOKUP(Table27[[#This Row],[Location 
(drop-down)]],'List source'!D$2:E$71,2,FALSE)</f>
        <v>170</v>
      </c>
      <c r="C159" s="178" t="s">
        <v>2457</v>
      </c>
      <c r="D159" s="21" t="str">
        <f t="shared" si="4"/>
        <v>PTO0158-170-25</v>
      </c>
      <c r="E159" s="78" t="s">
        <v>2458</v>
      </c>
      <c r="F159" s="13" t="str" cm="1">
        <f t="array" aca="1" ref="F1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9"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59" s="11" t="s">
        <v>2459</v>
      </c>
      <c r="I159" s="16">
        <v>45804</v>
      </c>
      <c r="J159" s="14" t="s">
        <v>2074</v>
      </c>
      <c r="K159" s="167">
        <v>45804</v>
      </c>
      <c r="L159" s="37" t="s">
        <v>2075</v>
      </c>
      <c r="M159" s="10" t="str">
        <f t="shared" ca="1" si="5"/>
        <v>CLOSED</v>
      </c>
    </row>
    <row r="160" spans="1:13" s="4" customFormat="1" ht="30" hidden="1" x14ac:dyDescent="0.25">
      <c r="A160" s="9" t="s">
        <v>107</v>
      </c>
      <c r="B160" s="19">
        <f>VLOOKUP(Table27[[#This Row],[Location 
(drop-down)]],'List source'!D$2:E$71,2,FALSE)</f>
        <v>170</v>
      </c>
      <c r="C160" s="178" t="s">
        <v>2460</v>
      </c>
      <c r="D160" s="21" t="str">
        <f t="shared" si="4"/>
        <v>PTO0159-170-25</v>
      </c>
      <c r="E160" s="78" t="s">
        <v>2461</v>
      </c>
      <c r="F160" s="13" t="str" cm="1">
        <f t="array" aca="1" ref="F1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0"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 - Total Oxygen &amp; Ethanol</v>
      </c>
      <c r="H160" s="309" t="s">
        <v>2462</v>
      </c>
      <c r="I160" s="16">
        <v>45804</v>
      </c>
      <c r="J160" s="14" t="s">
        <v>109</v>
      </c>
      <c r="K160" s="167">
        <v>45856</v>
      </c>
      <c r="L160" s="194"/>
      <c r="M160" s="10" t="str">
        <f t="shared" ca="1" si="5"/>
        <v>CLOSED</v>
      </c>
    </row>
    <row r="161" spans="1:13" s="4" customFormat="1" ht="18.75" hidden="1" x14ac:dyDescent="0.25">
      <c r="A161" s="9" t="s">
        <v>179</v>
      </c>
      <c r="B161" s="19">
        <f>VLOOKUP(Table27[[#This Row],[Location 
(drop-down)]],'List source'!D$2:E$71,2,FALSE)</f>
        <v>189</v>
      </c>
      <c r="C161" s="178" t="s">
        <v>2463</v>
      </c>
      <c r="D161" s="21" t="str">
        <f t="shared" si="4"/>
        <v>PTO0160-189-25</v>
      </c>
      <c r="E161" s="78" t="s">
        <v>2464</v>
      </c>
      <c r="F161" s="13" t="s">
        <v>2465</v>
      </c>
      <c r="G161"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 Composition</v>
      </c>
      <c r="H161" s="13">
        <v>82.84</v>
      </c>
      <c r="I161" s="16">
        <v>45806</v>
      </c>
      <c r="J161" s="14"/>
      <c r="K161" s="167"/>
      <c r="L161" s="194"/>
      <c r="M161" s="10">
        <f t="shared" ca="1" si="5"/>
        <v>271</v>
      </c>
    </row>
    <row r="162" spans="1:13" s="4" customFormat="1" ht="18.75" hidden="1" x14ac:dyDescent="0.25">
      <c r="A162" s="9" t="s">
        <v>44</v>
      </c>
      <c r="B162" s="19">
        <f>VLOOKUP(Table27[[#This Row],[Location 
(drop-down)]],'List source'!D$2:E$71,2,FALSE)</f>
        <v>185</v>
      </c>
      <c r="C162" s="178" t="s">
        <v>2466</v>
      </c>
      <c r="D162" s="21" t="str">
        <f t="shared" si="4"/>
        <v>PTO0161-185-25</v>
      </c>
      <c r="E162" s="78" t="s">
        <v>2467</v>
      </c>
      <c r="F162" s="13" t="str" cm="1">
        <f t="array" aca="1" ref="F1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2"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62" s="13">
        <v>2.33</v>
      </c>
      <c r="I162" s="16">
        <v>45804</v>
      </c>
      <c r="J162" s="14" t="s">
        <v>189</v>
      </c>
      <c r="K162" s="167">
        <v>45839</v>
      </c>
      <c r="L162" s="37"/>
      <c r="M162" s="10" t="str">
        <f t="shared" ca="1" si="5"/>
        <v>CLOSED</v>
      </c>
    </row>
    <row r="163" spans="1:13" s="4" customFormat="1" ht="30" hidden="1" x14ac:dyDescent="0.25">
      <c r="A163" s="9" t="s">
        <v>156</v>
      </c>
      <c r="B163" s="19">
        <f>VLOOKUP(Table27[[#This Row],[Location 
(drop-down)]],'List source'!D$2:E$71,2,FALSE)</f>
        <v>130</v>
      </c>
      <c r="C163" s="178" t="s">
        <v>2468</v>
      </c>
      <c r="D163" s="21" t="str">
        <f t="shared" si="4"/>
        <v>PTO0162-130-25</v>
      </c>
      <c r="E163" s="78" t="s">
        <v>2469</v>
      </c>
      <c r="F163" s="13" t="s">
        <v>2470</v>
      </c>
      <c r="G163"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63" s="11" t="s">
        <v>2082</v>
      </c>
      <c r="I163" s="16">
        <v>45806</v>
      </c>
      <c r="J163" s="12" t="s">
        <v>2074</v>
      </c>
      <c r="K163" s="167">
        <v>45806</v>
      </c>
      <c r="L163" s="37" t="s">
        <v>2075</v>
      </c>
      <c r="M163" s="10" t="str">
        <f t="shared" ca="1" si="5"/>
        <v>CLOSED</v>
      </c>
    </row>
    <row r="164" spans="1:13" s="4" customFormat="1" ht="30" hidden="1" x14ac:dyDescent="0.25">
      <c r="A164" s="9" t="s">
        <v>156</v>
      </c>
      <c r="B164" s="19">
        <f>VLOOKUP(Table27[[#This Row],[Location 
(drop-down)]],'List source'!D$2:E$71,2,FALSE)</f>
        <v>130</v>
      </c>
      <c r="C164" s="178" t="s">
        <v>2471</v>
      </c>
      <c r="D164" s="21" t="str">
        <f t="shared" si="4"/>
        <v>PTO0163-130-25</v>
      </c>
      <c r="E164" s="78" t="s">
        <v>2472</v>
      </c>
      <c r="F164" s="13" t="s">
        <v>2470</v>
      </c>
      <c r="G164"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 - Oxygen Content &amp; Ethanol</v>
      </c>
      <c r="H164" s="13" t="s">
        <v>2473</v>
      </c>
      <c r="I164" s="16">
        <v>45806</v>
      </c>
      <c r="J164" s="12" t="s">
        <v>2074</v>
      </c>
      <c r="K164" s="167">
        <v>45819</v>
      </c>
      <c r="L164" s="37" t="s">
        <v>2288</v>
      </c>
      <c r="M164" s="10" t="str">
        <f t="shared" ca="1" si="5"/>
        <v>CLOSED</v>
      </c>
    </row>
    <row r="165" spans="1:13" s="4" customFormat="1" ht="18.75" hidden="1" x14ac:dyDescent="0.25">
      <c r="A165" s="9" t="s">
        <v>14</v>
      </c>
      <c r="B165" s="19">
        <f>VLOOKUP(Table27[[#This Row],[Location 
(drop-down)]],'List source'!D$2:E$71,2,FALSE)</f>
        <v>131</v>
      </c>
      <c r="C165" s="178" t="s">
        <v>2474</v>
      </c>
      <c r="D165" s="21" t="str">
        <f t="shared" si="4"/>
        <v>PTO0164-131-25</v>
      </c>
      <c r="E165" s="78" t="s">
        <v>2475</v>
      </c>
      <c r="F165" s="13" t="s">
        <v>2470</v>
      </c>
      <c r="G165"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165" s="11" t="s">
        <v>2476</v>
      </c>
      <c r="I165" s="16">
        <v>45806</v>
      </c>
      <c r="J165" s="12" t="s">
        <v>167</v>
      </c>
      <c r="K165" s="63">
        <v>45957</v>
      </c>
      <c r="L165" s="37"/>
      <c r="M165" s="10" t="str">
        <f t="shared" ca="1" si="5"/>
        <v>CLOSED</v>
      </c>
    </row>
    <row r="166" spans="1:13" s="4" customFormat="1" ht="23.1" hidden="1" customHeight="1" x14ac:dyDescent="0.25">
      <c r="A166" s="9" t="s">
        <v>71</v>
      </c>
      <c r="B166" s="19">
        <f>VLOOKUP(Table27[[#This Row],[Location 
(drop-down)]],'List source'!D$2:E$71,2,FALSE)</f>
        <v>127</v>
      </c>
      <c r="C166" s="178" t="s">
        <v>2477</v>
      </c>
      <c r="D166" s="21" t="str">
        <f t="shared" si="4"/>
        <v>PTO0165-127-25</v>
      </c>
      <c r="E166" s="78" t="s">
        <v>2478</v>
      </c>
      <c r="F166" s="13" t="str" cm="1">
        <f t="array" aca="1" ref="F1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66"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166" s="11" t="s">
        <v>2479</v>
      </c>
      <c r="I166" s="16">
        <v>45804</v>
      </c>
      <c r="J166" s="12" t="s">
        <v>2074</v>
      </c>
      <c r="K166" s="167">
        <v>45804</v>
      </c>
      <c r="L166" s="37" t="s">
        <v>2075</v>
      </c>
      <c r="M166" s="10" t="str">
        <f t="shared" ca="1" si="5"/>
        <v>CLOSED</v>
      </c>
    </row>
    <row r="167" spans="1:13" s="4" customFormat="1" ht="18.75" hidden="1" x14ac:dyDescent="0.25">
      <c r="A167" s="9" t="s">
        <v>151</v>
      </c>
      <c r="B167" s="19">
        <f>VLOOKUP(Table27[[#This Row],[Location 
(drop-down)]],'List source'!D$2:E$71,2,FALSE)</f>
        <v>115</v>
      </c>
      <c r="C167" s="178" t="s">
        <v>2480</v>
      </c>
      <c r="D167" s="21" t="str">
        <f t="shared" si="4"/>
        <v>PTO0166-115-25</v>
      </c>
      <c r="E167" s="78" t="s">
        <v>2481</v>
      </c>
      <c r="F167" s="13" t="str" cm="1">
        <f t="array" aca="1" ref="F1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7"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167" s="13">
        <v>3.05</v>
      </c>
      <c r="I167" s="16">
        <v>45807</v>
      </c>
      <c r="J167" s="12" t="s">
        <v>109</v>
      </c>
      <c r="K167" s="63">
        <v>45889</v>
      </c>
      <c r="L167" s="37"/>
      <c r="M167" s="10" t="str">
        <f t="shared" ca="1" si="5"/>
        <v>CLOSED</v>
      </c>
    </row>
    <row r="168" spans="1:13" s="4" customFormat="1" ht="18.75" hidden="1" x14ac:dyDescent="0.25">
      <c r="A168" s="9" t="s">
        <v>151</v>
      </c>
      <c r="B168" s="19">
        <f>VLOOKUP(Table27[[#This Row],[Location 
(drop-down)]],'List source'!D$2:E$71,2,FALSE)</f>
        <v>115</v>
      </c>
      <c r="C168" s="178" t="s">
        <v>2482</v>
      </c>
      <c r="D168" s="21" t="str">
        <f t="shared" si="4"/>
        <v>PTO0167-115-25</v>
      </c>
      <c r="E168" s="78" t="s">
        <v>2483</v>
      </c>
      <c r="F168" s="13" t="str" cm="1">
        <f t="array" aca="1" ref="F1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8" s="7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68" s="11" t="s">
        <v>2484</v>
      </c>
      <c r="I168" s="16">
        <v>45807</v>
      </c>
      <c r="J168" s="12" t="s">
        <v>109</v>
      </c>
      <c r="K168" s="167">
        <v>45943</v>
      </c>
      <c r="L168" s="37"/>
      <c r="M168" s="10" t="str">
        <f t="shared" ca="1" si="5"/>
        <v>CLOSED</v>
      </c>
    </row>
    <row r="169" spans="1:13" s="4" customFormat="1" ht="30" hidden="1" x14ac:dyDescent="0.25">
      <c r="A169" s="9" t="s">
        <v>151</v>
      </c>
      <c r="B169" s="19">
        <f>VLOOKUP(Table27[[#This Row],[Location 
(drop-down)]],'List source'!D$2:E$71,2,FALSE)</f>
        <v>115</v>
      </c>
      <c r="C169" s="178" t="s">
        <v>2485</v>
      </c>
      <c r="D169" s="21" t="str">
        <f t="shared" si="4"/>
        <v>PTO0168-115-25</v>
      </c>
      <c r="E169" s="9" t="s">
        <v>2486</v>
      </c>
      <c r="F169" s="10" t="str" cm="1">
        <f t="array" aca="1" ref="F1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69" s="136">
        <v>2.1800000000000002</v>
      </c>
      <c r="I169" s="16">
        <v>45807</v>
      </c>
      <c r="J169" s="12" t="s">
        <v>2074</v>
      </c>
      <c r="K169" s="63">
        <v>45807</v>
      </c>
      <c r="L169" s="37" t="s">
        <v>2075</v>
      </c>
      <c r="M169" s="10" t="str">
        <f t="shared" ca="1" si="5"/>
        <v>CLOSED</v>
      </c>
    </row>
    <row r="170" spans="1:13" s="4" customFormat="1" ht="30" hidden="1" x14ac:dyDescent="0.25">
      <c r="A170" s="9" t="s">
        <v>94</v>
      </c>
      <c r="B170" s="19">
        <f>VLOOKUP(Table27[[#This Row],[Location 
(drop-down)]],'List source'!D$2:E$71,2,FALSE)</f>
        <v>120</v>
      </c>
      <c r="C170" s="178" t="s">
        <v>2487</v>
      </c>
      <c r="D170" s="21" t="str">
        <f t="shared" si="4"/>
        <v>PTO0169-120-25</v>
      </c>
      <c r="E170" s="11" t="s">
        <v>2458</v>
      </c>
      <c r="F170" s="11" t="str" cm="1">
        <f t="array" aca="1" ref="F1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0" s="16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0" s="11" t="s">
        <v>2244</v>
      </c>
      <c r="I170" s="16">
        <v>45807</v>
      </c>
      <c r="J170" s="11" t="s">
        <v>2074</v>
      </c>
      <c r="K170" s="14">
        <v>45807</v>
      </c>
      <c r="L170" s="37" t="s">
        <v>2075</v>
      </c>
      <c r="M170" s="10" t="str">
        <f t="shared" ca="1" si="5"/>
        <v>CLOSED</v>
      </c>
    </row>
    <row r="171" spans="1:13" s="4" customFormat="1" ht="30" hidden="1" x14ac:dyDescent="0.25">
      <c r="A171" s="9" t="s">
        <v>117</v>
      </c>
      <c r="B171" s="19">
        <f>VLOOKUP(Table27[[#This Row],[Location 
(drop-down)]],'List source'!D$2:E$71,2,FALSE)</f>
        <v>125</v>
      </c>
      <c r="C171" s="178" t="s">
        <v>2488</v>
      </c>
      <c r="D171" s="21" t="str">
        <f t="shared" si="4"/>
        <v>PTO0170-125-25</v>
      </c>
      <c r="E171" s="70" t="s">
        <v>2489</v>
      </c>
      <c r="F171" s="29" t="str" cm="1">
        <f t="array" aca="1" ref="F1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1" s="7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1" s="195" t="s">
        <v>2244</v>
      </c>
      <c r="I171" s="16">
        <v>45807</v>
      </c>
      <c r="J171" s="189" t="s">
        <v>2074</v>
      </c>
      <c r="K171" s="190">
        <v>45807</v>
      </c>
      <c r="L171" s="37" t="s">
        <v>2075</v>
      </c>
      <c r="M171" s="10" t="str">
        <f t="shared" ca="1" si="5"/>
        <v>CLOSED</v>
      </c>
    </row>
    <row r="172" spans="1:13" s="4" customFormat="1" ht="18.75" hidden="1" x14ac:dyDescent="0.25">
      <c r="A172" s="9" t="s">
        <v>177</v>
      </c>
      <c r="B172" s="19">
        <f>VLOOKUP(Table27[[#This Row],[Location 
(drop-down)]],'List source'!D$2:E$71,2,FALSE)</f>
        <v>126</v>
      </c>
      <c r="C172" s="178" t="s">
        <v>2490</v>
      </c>
      <c r="D172" s="21" t="str">
        <f t="shared" si="4"/>
        <v>PTO0171-126-25</v>
      </c>
      <c r="E172" s="9" t="s">
        <v>2491</v>
      </c>
      <c r="F172" s="128" t="str" cm="1">
        <f t="array" aca="1" ref="F1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2" s="13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2" s="180" t="s">
        <v>2492</v>
      </c>
      <c r="I172" s="288">
        <v>45807</v>
      </c>
      <c r="J172" s="326" t="s">
        <v>189</v>
      </c>
      <c r="K172" s="327">
        <v>45931</v>
      </c>
      <c r="L172" s="37"/>
      <c r="M172" s="10" t="str">
        <f t="shared" ca="1" si="5"/>
        <v>CLOSED</v>
      </c>
    </row>
    <row r="173" spans="1:13" s="4" customFormat="1" ht="30" hidden="1" x14ac:dyDescent="0.25">
      <c r="A173" s="9" t="s">
        <v>117</v>
      </c>
      <c r="B173" s="19">
        <f>VLOOKUP(Table27[[#This Row],[Location 
(drop-down)]],'List source'!D$2:E$71,2,FALSE)</f>
        <v>125</v>
      </c>
      <c r="C173" s="178" t="s">
        <v>2493</v>
      </c>
      <c r="D173" s="21" t="str">
        <f t="shared" si="4"/>
        <v>PTO0172-125-25</v>
      </c>
      <c r="E173" s="9" t="s">
        <v>2494</v>
      </c>
      <c r="F173" s="10" t="str" cm="1">
        <f t="array" aca="1" ref="F1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73" s="136">
        <v>2.75</v>
      </c>
      <c r="I173" s="16">
        <v>45804</v>
      </c>
      <c r="J173" s="12" t="s">
        <v>2074</v>
      </c>
      <c r="K173" s="63">
        <v>45804</v>
      </c>
      <c r="L173" s="37" t="s">
        <v>2075</v>
      </c>
      <c r="M173" s="10" t="str">
        <f t="shared" ca="1" si="5"/>
        <v>CLOSED</v>
      </c>
    </row>
    <row r="174" spans="1:13" s="4" customFormat="1" ht="30" hidden="1" x14ac:dyDescent="0.25">
      <c r="A174" s="9" t="s">
        <v>211</v>
      </c>
      <c r="B174" s="19">
        <f>VLOOKUP(Table27[[#This Row],[Location 
(drop-down)]],'List source'!D$2:E$71,2,FALSE)</f>
        <v>132</v>
      </c>
      <c r="C174" s="178" t="s">
        <v>2495</v>
      </c>
      <c r="D174" s="21" t="str">
        <f t="shared" si="4"/>
        <v>PTO0173-132-25</v>
      </c>
      <c r="E174" s="9" t="s">
        <v>2496</v>
      </c>
      <c r="F174" s="10" t="str" cm="1">
        <f t="array" aca="1" ref="F1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4" s="136" t="s">
        <v>2497</v>
      </c>
      <c r="I174" s="16">
        <v>45807</v>
      </c>
      <c r="J174" s="12" t="s">
        <v>2074</v>
      </c>
      <c r="K174" s="63">
        <v>45807</v>
      </c>
      <c r="L174" s="37" t="s">
        <v>2075</v>
      </c>
      <c r="M174" s="10" t="str">
        <f t="shared" ca="1" si="5"/>
        <v>CLOSED</v>
      </c>
    </row>
    <row r="175" spans="1:13" s="4" customFormat="1" ht="30" hidden="1" x14ac:dyDescent="0.25">
      <c r="A175" s="9" t="s">
        <v>156</v>
      </c>
      <c r="B175" s="19">
        <f>VLOOKUP(Table27[[#This Row],[Location 
(drop-down)]],'List source'!D$2:E$71,2,FALSE)</f>
        <v>130</v>
      </c>
      <c r="C175" s="178" t="s">
        <v>2498</v>
      </c>
      <c r="D175" s="21" t="str">
        <f t="shared" si="4"/>
        <v>PTO0174-130-25</v>
      </c>
      <c r="E175" s="9" t="s">
        <v>2499</v>
      </c>
      <c r="F175" s="10" t="str" cm="1">
        <f t="array" aca="1" ref="F1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175" s="136" t="s">
        <v>2500</v>
      </c>
      <c r="I175" s="16">
        <v>45804</v>
      </c>
      <c r="J175" s="12" t="s">
        <v>2074</v>
      </c>
      <c r="K175" s="63">
        <v>45804</v>
      </c>
      <c r="L175" s="37" t="s">
        <v>2075</v>
      </c>
      <c r="M175" s="10" t="str">
        <f t="shared" ca="1" si="5"/>
        <v>CLOSED</v>
      </c>
    </row>
    <row r="176" spans="1:13" s="4" customFormat="1" ht="30" hidden="1" x14ac:dyDescent="0.25">
      <c r="A176" s="9" t="s">
        <v>156</v>
      </c>
      <c r="B176" s="19">
        <f>VLOOKUP(Table27[[#This Row],[Location 
(drop-down)]],'List source'!D$2:E$71,2,FALSE)</f>
        <v>130</v>
      </c>
      <c r="C176" s="178" t="s">
        <v>2501</v>
      </c>
      <c r="D176" s="21" t="str">
        <f t="shared" si="4"/>
        <v>PTO0175-130-25</v>
      </c>
      <c r="E176" s="9" t="s">
        <v>2502</v>
      </c>
      <c r="F176" s="10" t="str" cm="1">
        <f t="array" aca="1" ref="F1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Types - Multiple Parameters</v>
      </c>
      <c r="H176" s="10" t="s">
        <v>2400</v>
      </c>
      <c r="I176" s="16">
        <v>45807</v>
      </c>
      <c r="J176" s="12" t="s">
        <v>167</v>
      </c>
      <c r="K176" s="63">
        <v>45863</v>
      </c>
      <c r="L176" s="37"/>
      <c r="M176" s="10" t="str">
        <f t="shared" ca="1" si="5"/>
        <v>CLOSED</v>
      </c>
    </row>
    <row r="177" spans="1:13" s="4" customFormat="1" ht="18.75" hidden="1" x14ac:dyDescent="0.25">
      <c r="A177" s="9" t="s">
        <v>156</v>
      </c>
      <c r="B177" s="19">
        <f>VLOOKUP(Table27[[#This Row],[Location 
(drop-down)]],'List source'!D$2:E$71,2,FALSE)</f>
        <v>130</v>
      </c>
      <c r="C177" s="178" t="s">
        <v>2503</v>
      </c>
      <c r="D177" s="21" t="str">
        <f t="shared" si="4"/>
        <v>PTO0176-130-25</v>
      </c>
      <c r="E177" s="9" t="s">
        <v>2504</v>
      </c>
      <c r="F177" s="10" t="str" cm="1">
        <f t="array" aca="1" ref="F1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77" s="10">
        <v>2.87</v>
      </c>
      <c r="I177" s="16">
        <v>45807</v>
      </c>
      <c r="J177" s="12" t="s">
        <v>18</v>
      </c>
      <c r="K177" s="63">
        <v>45896</v>
      </c>
      <c r="L177" s="37"/>
      <c r="M177" s="10" t="str">
        <f t="shared" ca="1" si="5"/>
        <v>CLOSED</v>
      </c>
    </row>
    <row r="178" spans="1:13" s="4" customFormat="1" ht="30" hidden="1" x14ac:dyDescent="0.25">
      <c r="A178" s="9" t="s">
        <v>257</v>
      </c>
      <c r="B178" s="19">
        <f>VLOOKUP(Table27[[#This Row],[Location 
(drop-down)]],'List source'!D$2:E$71,2,FALSE)</f>
        <v>144</v>
      </c>
      <c r="C178" s="178" t="s">
        <v>2505</v>
      </c>
      <c r="D178" s="21" t="str">
        <f t="shared" si="4"/>
        <v>PTO0177-144-25</v>
      </c>
      <c r="E178" s="9" t="s">
        <v>2506</v>
      </c>
      <c r="F178" s="10" t="str" cm="1">
        <f t="array" aca="1" ref="F1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8" s="136" t="s">
        <v>2190</v>
      </c>
      <c r="I178" s="16">
        <v>45807</v>
      </c>
      <c r="J178" s="12" t="s">
        <v>2074</v>
      </c>
      <c r="K178" s="63">
        <v>45807</v>
      </c>
      <c r="L178" s="37" t="s">
        <v>2075</v>
      </c>
      <c r="M178" s="10" t="str">
        <f t="shared" ca="1" si="5"/>
        <v>CLOSED</v>
      </c>
    </row>
    <row r="179" spans="1:13" s="4" customFormat="1" ht="18.75" hidden="1" x14ac:dyDescent="0.25">
      <c r="A179" s="9" t="s">
        <v>58</v>
      </c>
      <c r="B179" s="19">
        <f>VLOOKUP(Table27[[#This Row],[Location 
(drop-down)]],'List source'!D$2:E$71,2,FALSE)</f>
        <v>146</v>
      </c>
      <c r="C179" s="178" t="s">
        <v>2507</v>
      </c>
      <c r="D179" s="21" t="str">
        <f t="shared" si="4"/>
        <v>PTO0178-146-25</v>
      </c>
      <c r="E179" s="9" t="s">
        <v>2508</v>
      </c>
      <c r="F179" s="10" t="str" cm="1">
        <f t="array" aca="1" ref="F1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79" s="136" t="s">
        <v>2078</v>
      </c>
      <c r="I179" s="16">
        <v>45807</v>
      </c>
      <c r="J179" s="12" t="s">
        <v>109</v>
      </c>
      <c r="K179" s="63">
        <v>45882</v>
      </c>
      <c r="L179" s="37"/>
      <c r="M179" s="10" t="str">
        <f t="shared" ca="1" si="5"/>
        <v>CLOSED</v>
      </c>
    </row>
    <row r="180" spans="1:13" s="4" customFormat="1" ht="18.75" hidden="1" x14ac:dyDescent="0.25">
      <c r="A180" s="9" t="s">
        <v>58</v>
      </c>
      <c r="B180" s="19">
        <f>VLOOKUP(Table27[[#This Row],[Location 
(drop-down)]],'List source'!D$2:E$71,2,FALSE)</f>
        <v>146</v>
      </c>
      <c r="C180" s="178" t="s">
        <v>2509</v>
      </c>
      <c r="D180" s="21" t="str">
        <f t="shared" si="4"/>
        <v>PTO0179-146-25</v>
      </c>
      <c r="E180" s="9" t="s">
        <v>2510</v>
      </c>
      <c r="F180" s="10" t="str" cm="1">
        <f t="array" aca="1" ref="F1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80" s="136" t="s">
        <v>2071</v>
      </c>
      <c r="I180" s="16">
        <v>45807</v>
      </c>
      <c r="J180" s="12" t="s">
        <v>109</v>
      </c>
      <c r="K180" s="63">
        <v>45845</v>
      </c>
      <c r="L180" s="37"/>
      <c r="M180" s="10" t="str">
        <f t="shared" ca="1" si="5"/>
        <v>CLOSED</v>
      </c>
    </row>
    <row r="181" spans="1:13" s="4" customFormat="1" ht="30" hidden="1" x14ac:dyDescent="0.25">
      <c r="A181" s="9" t="s">
        <v>338</v>
      </c>
      <c r="B181" s="19">
        <f>VLOOKUP(Table27[[#This Row],[Location 
(drop-down)]],'List source'!D$2:E$71,2,FALSE)</f>
        <v>191</v>
      </c>
      <c r="C181" s="178" t="s">
        <v>2511</v>
      </c>
      <c r="D181" s="21" t="str">
        <f t="shared" si="4"/>
        <v>PTO0180-191-25</v>
      </c>
      <c r="E181" s="133" t="s">
        <v>2512</v>
      </c>
      <c r="F181" s="10" t="str" cm="1">
        <f t="array" aca="1" ref="F1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1" s="10" t="s">
        <v>2513</v>
      </c>
      <c r="I181" s="16">
        <v>45807</v>
      </c>
      <c r="J181" s="12" t="s">
        <v>2074</v>
      </c>
      <c r="K181" s="63">
        <v>45807</v>
      </c>
      <c r="L181" s="37" t="s">
        <v>2075</v>
      </c>
      <c r="M181" s="10" t="str">
        <f t="shared" ca="1" si="5"/>
        <v>CLOSED</v>
      </c>
    </row>
    <row r="182" spans="1:13" s="4" customFormat="1" ht="30" hidden="1" x14ac:dyDescent="0.25">
      <c r="A182" s="9" t="s">
        <v>44</v>
      </c>
      <c r="B182" s="19">
        <f>VLOOKUP(Table27[[#This Row],[Location 
(drop-down)]],'List source'!D$2:E$71,2,FALSE)</f>
        <v>185</v>
      </c>
      <c r="C182" s="178" t="s">
        <v>2514</v>
      </c>
      <c r="D182" s="21" t="str">
        <f t="shared" si="4"/>
        <v>PTO0181-185-25</v>
      </c>
      <c r="E182" s="9" t="s">
        <v>2515</v>
      </c>
      <c r="F182" s="10" t="str" cm="1">
        <f t="array" aca="1" ref="F1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2" s="136">
        <v>2.38</v>
      </c>
      <c r="I182" s="16">
        <v>45804</v>
      </c>
      <c r="J182" s="12" t="s">
        <v>2074</v>
      </c>
      <c r="K182" s="63">
        <v>45804</v>
      </c>
      <c r="L182" s="37" t="s">
        <v>2075</v>
      </c>
      <c r="M182" s="10" t="str">
        <f t="shared" ca="1" si="5"/>
        <v>CLOSED</v>
      </c>
    </row>
    <row r="183" spans="1:13" s="4" customFormat="1" ht="30" hidden="1" x14ac:dyDescent="0.25">
      <c r="A183" s="9" t="s">
        <v>153</v>
      </c>
      <c r="B183" s="19">
        <f>VLOOKUP(Table27[[#This Row],[Location 
(drop-down)]],'List source'!D$2:E$71,2,FALSE)</f>
        <v>110</v>
      </c>
      <c r="C183" s="178" t="s">
        <v>2516</v>
      </c>
      <c r="D183" s="21" t="str">
        <f t="shared" si="4"/>
        <v>PTO0182-110-25</v>
      </c>
      <c r="E183" s="9" t="s">
        <v>2517</v>
      </c>
      <c r="F183" s="10" t="str" cm="1">
        <f t="array" aca="1" ref="F1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3" s="136">
        <v>2.0299999999999998</v>
      </c>
      <c r="I183" s="16">
        <v>45804</v>
      </c>
      <c r="J183" s="189" t="s">
        <v>2074</v>
      </c>
      <c r="K183" s="190">
        <v>45804</v>
      </c>
      <c r="L183" s="37" t="s">
        <v>2075</v>
      </c>
      <c r="M183" s="10" t="str">
        <f t="shared" ca="1" si="5"/>
        <v>CLOSED</v>
      </c>
    </row>
    <row r="184" spans="1:13" s="4" customFormat="1" ht="18.75" hidden="1" x14ac:dyDescent="0.25">
      <c r="A184" s="9" t="s">
        <v>123</v>
      </c>
      <c r="B184" s="19">
        <f>VLOOKUP(Table27[[#This Row],[Location 
(drop-down)]],'List source'!D$2:E$71,2,FALSE)</f>
        <v>192</v>
      </c>
      <c r="C184" s="178" t="s">
        <v>2518</v>
      </c>
      <c r="D184" s="21" t="str">
        <f t="shared" si="4"/>
        <v>PTO0183-192-25</v>
      </c>
      <c r="E184" s="9" t="s">
        <v>2519</v>
      </c>
      <c r="F184" s="10" t="str" cm="1">
        <f t="array" aca="1" ref="F1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84" s="136" t="s">
        <v>2520</v>
      </c>
      <c r="I184" s="16">
        <v>45807</v>
      </c>
      <c r="J184" s="12" t="s">
        <v>252</v>
      </c>
      <c r="K184" s="63">
        <v>45954</v>
      </c>
      <c r="L184" s="37"/>
      <c r="M184" s="10" t="str">
        <f t="shared" ca="1" si="5"/>
        <v>CLOSED</v>
      </c>
    </row>
    <row r="185" spans="1:13" s="4" customFormat="1" ht="30" hidden="1" x14ac:dyDescent="0.25">
      <c r="A185" s="9" t="s">
        <v>117</v>
      </c>
      <c r="B185" s="19">
        <f>VLOOKUP(Table27[[#This Row],[Location 
(drop-down)]],'List source'!D$2:E$71,2,FALSE)</f>
        <v>125</v>
      </c>
      <c r="C185" s="178" t="s">
        <v>2521</v>
      </c>
      <c r="D185" s="21" t="str">
        <f t="shared" si="4"/>
        <v>PTO0184-125-25</v>
      </c>
      <c r="E185" s="9" t="s">
        <v>2517</v>
      </c>
      <c r="F185" s="10" t="str" cm="1">
        <f t="array" aca="1" ref="F1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5" s="10">
        <v>2.2400000000000002</v>
      </c>
      <c r="I185" s="16">
        <v>45804</v>
      </c>
      <c r="J185" s="12" t="s">
        <v>2074</v>
      </c>
      <c r="K185" s="63">
        <v>45804</v>
      </c>
      <c r="L185" s="37" t="s">
        <v>2075</v>
      </c>
      <c r="M185" s="10" t="str">
        <f t="shared" ca="1" si="5"/>
        <v>CLOSED</v>
      </c>
    </row>
    <row r="186" spans="1:13" s="4" customFormat="1" ht="30" hidden="1" x14ac:dyDescent="0.25">
      <c r="A186" s="9" t="s">
        <v>71</v>
      </c>
      <c r="B186" s="19">
        <f>VLOOKUP(Table27[[#This Row],[Location 
(drop-down)]],'List source'!D$2:E$71,2,FALSE)</f>
        <v>127</v>
      </c>
      <c r="C186" s="178" t="s">
        <v>2522</v>
      </c>
      <c r="D186" s="21" t="str">
        <f t="shared" si="4"/>
        <v>PTO0185-127-25</v>
      </c>
      <c r="E186" s="296" t="s">
        <v>2517</v>
      </c>
      <c r="F186" s="10" t="str" cm="1">
        <f t="array" aca="1" ref="F1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6" s="136" t="s">
        <v>2141</v>
      </c>
      <c r="I186" s="16">
        <v>45804</v>
      </c>
      <c r="J186" s="12" t="s">
        <v>2074</v>
      </c>
      <c r="K186" s="63">
        <v>45804</v>
      </c>
      <c r="L186" s="37" t="s">
        <v>2075</v>
      </c>
      <c r="M186" s="10" t="str">
        <f t="shared" ca="1" si="5"/>
        <v>CLOSED</v>
      </c>
    </row>
    <row r="187" spans="1:13" s="4" customFormat="1" ht="18.75" hidden="1" x14ac:dyDescent="0.25">
      <c r="A187" s="9" t="s">
        <v>86</v>
      </c>
      <c r="B187" s="19">
        <f>VLOOKUP(Table27[[#This Row],[Location 
(drop-down)]],'List source'!D$2:E$71,2,FALSE)</f>
        <v>150</v>
      </c>
      <c r="C187" s="178" t="s">
        <v>2523</v>
      </c>
      <c r="D187" s="21" t="str">
        <f t="shared" si="4"/>
        <v>PTO0186-150-25</v>
      </c>
      <c r="E187" s="9" t="s">
        <v>2524</v>
      </c>
      <c r="F187" s="10" t="str" cm="1">
        <f t="array" aca="1" ref="F1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187" s="136" t="s">
        <v>2525</v>
      </c>
      <c r="I187" s="16">
        <v>45807</v>
      </c>
      <c r="J187" s="12" t="s">
        <v>82</v>
      </c>
      <c r="K187" s="63">
        <v>45896</v>
      </c>
      <c r="L187" s="37"/>
      <c r="M187" s="10" t="str">
        <f t="shared" ca="1" si="5"/>
        <v>CLOSED</v>
      </c>
    </row>
    <row r="188" spans="1:13" s="4" customFormat="1" ht="18.75" hidden="1" x14ac:dyDescent="0.25">
      <c r="A188" s="9" t="s">
        <v>86</v>
      </c>
      <c r="B188" s="19">
        <f>VLOOKUP(Table27[[#This Row],[Location 
(drop-down)]],'List source'!D$2:E$71,2,FALSE)</f>
        <v>150</v>
      </c>
      <c r="C188" s="178" t="s">
        <v>2526</v>
      </c>
      <c r="D188" s="21" t="str">
        <f t="shared" si="4"/>
        <v>PTO0187-150-25</v>
      </c>
      <c r="E188" s="9" t="s">
        <v>2527</v>
      </c>
      <c r="F188" s="10" t="str" cm="1">
        <f t="array" aca="1" ref="F1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188" s="10">
        <v>10.45</v>
      </c>
      <c r="I188" s="16">
        <v>45807</v>
      </c>
      <c r="J188" s="12" t="s">
        <v>2074</v>
      </c>
      <c r="K188" s="63">
        <v>45812</v>
      </c>
      <c r="L188" s="37" t="s">
        <v>2079</v>
      </c>
      <c r="M188" s="10" t="str">
        <f t="shared" ca="1" si="5"/>
        <v>CLOSED</v>
      </c>
    </row>
    <row r="189" spans="1:13" s="4" customFormat="1" ht="18.75" hidden="1" x14ac:dyDescent="0.25">
      <c r="A189" s="9" t="s">
        <v>46</v>
      </c>
      <c r="B189" s="19">
        <f>VLOOKUP(Table27[[#This Row],[Location 
(drop-down)]],'List source'!D$2:E$71,2,FALSE)</f>
        <v>155</v>
      </c>
      <c r="C189" s="178" t="s">
        <v>2528</v>
      </c>
      <c r="D189" s="21" t="str">
        <f t="shared" si="4"/>
        <v>PTO0188-155-25</v>
      </c>
      <c r="E189" s="9" t="s">
        <v>2529</v>
      </c>
      <c r="F189" s="10" t="str" cm="1">
        <f t="array" aca="1" ref="F1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89" s="10" t="s">
        <v>2400</v>
      </c>
      <c r="I189" s="16">
        <v>45807</v>
      </c>
      <c r="J189" s="189" t="s">
        <v>2074</v>
      </c>
      <c r="K189" s="190">
        <v>46003</v>
      </c>
      <c r="L189" s="37" t="s">
        <v>2079</v>
      </c>
      <c r="M189" s="10" t="str">
        <f t="shared" ca="1" si="5"/>
        <v>CLOSED</v>
      </c>
    </row>
    <row r="190" spans="1:13" s="4" customFormat="1" ht="30" hidden="1" x14ac:dyDescent="0.25">
      <c r="A190" s="9" t="s">
        <v>46</v>
      </c>
      <c r="B190" s="19">
        <f>VLOOKUP(Table27[[#This Row],[Location 
(drop-down)]],'List source'!D$2:E$71,2,FALSE)</f>
        <v>155</v>
      </c>
      <c r="C190" s="178" t="s">
        <v>2530</v>
      </c>
      <c r="D190" s="21" t="str">
        <f t="shared" si="4"/>
        <v>PTO0189-155-25</v>
      </c>
      <c r="E190" s="9" t="s">
        <v>2531</v>
      </c>
      <c r="F190" s="10" t="str" cm="1">
        <f t="array" aca="1" ref="F1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 - Multiple Parameters</v>
      </c>
      <c r="H190" s="10" t="s">
        <v>2400</v>
      </c>
      <c r="I190" s="16">
        <v>45807</v>
      </c>
      <c r="J190" s="189" t="s">
        <v>82</v>
      </c>
      <c r="K190" s="190">
        <v>45884</v>
      </c>
      <c r="L190" s="37"/>
      <c r="M190" s="10" t="str">
        <f t="shared" ca="1" si="5"/>
        <v>CLOSED</v>
      </c>
    </row>
    <row r="191" spans="1:13" s="4" customFormat="1" ht="18.75" hidden="1" x14ac:dyDescent="0.25">
      <c r="A191" s="9" t="s">
        <v>79</v>
      </c>
      <c r="B191" s="19">
        <f>VLOOKUP(Table27[[#This Row],[Location 
(drop-down)]],'List source'!D$2:E$71,2,FALSE)</f>
        <v>160</v>
      </c>
      <c r="C191" s="178" t="s">
        <v>2532</v>
      </c>
      <c r="D191" s="21" t="str">
        <f t="shared" si="4"/>
        <v>PTO0190-160-25</v>
      </c>
      <c r="E191" s="9" t="s">
        <v>2533</v>
      </c>
      <c r="F191" s="10" t="str" cm="1">
        <f t="array" aca="1" ref="F1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Total Aromatics</v>
      </c>
      <c r="H191" s="136" t="s">
        <v>2479</v>
      </c>
      <c r="I191" s="16">
        <v>45807</v>
      </c>
      <c r="J191" s="189"/>
      <c r="K191" s="190"/>
      <c r="L191" s="37"/>
      <c r="M191" s="10">
        <f t="shared" ca="1" si="5"/>
        <v>270</v>
      </c>
    </row>
    <row r="192" spans="1:13" s="4" customFormat="1" ht="30" hidden="1" x14ac:dyDescent="0.25">
      <c r="A192" s="9" t="s">
        <v>79</v>
      </c>
      <c r="B192" s="19">
        <f>VLOOKUP(Table27[[#This Row],[Location 
(drop-down)]],'List source'!D$2:E$71,2,FALSE)</f>
        <v>160</v>
      </c>
      <c r="C192" s="178" t="s">
        <v>2534</v>
      </c>
      <c r="D192" s="21" t="str">
        <f t="shared" si="4"/>
        <v>PTO0191-160-25</v>
      </c>
      <c r="E192" s="9" t="s">
        <v>2535</v>
      </c>
      <c r="F192" s="10" t="str" cm="1">
        <f t="array" aca="1" ref="F1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92" s="10">
        <v>2.62</v>
      </c>
      <c r="I192" s="16">
        <v>45807</v>
      </c>
      <c r="J192" s="189" t="s">
        <v>2074</v>
      </c>
      <c r="K192" s="190">
        <v>45807</v>
      </c>
      <c r="L192" s="37" t="s">
        <v>2075</v>
      </c>
      <c r="M192" s="10" t="str">
        <f t="shared" ca="1" si="5"/>
        <v>CLOSED</v>
      </c>
    </row>
    <row r="193" spans="1:13" s="4" customFormat="1" ht="30" hidden="1" x14ac:dyDescent="0.25">
      <c r="A193" s="9" t="s">
        <v>287</v>
      </c>
      <c r="B193" s="19">
        <f>VLOOKUP(Table27[[#This Row],[Location 
(drop-down)]],'List source'!D$2:E$71,2,FALSE)</f>
        <v>180</v>
      </c>
      <c r="C193" s="178" t="s">
        <v>2536</v>
      </c>
      <c r="D193" s="21" t="str">
        <f t="shared" si="4"/>
        <v>PTO0192-180-25</v>
      </c>
      <c r="E193" s="9" t="s">
        <v>2537</v>
      </c>
      <c r="F193" s="10" t="str" cm="1">
        <f t="array" aca="1" ref="F1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3" s="136" t="s">
        <v>2538</v>
      </c>
      <c r="I193" s="16">
        <v>45807</v>
      </c>
      <c r="J193" s="189" t="s">
        <v>2074</v>
      </c>
      <c r="K193" s="190">
        <v>45807</v>
      </c>
      <c r="L193" s="37" t="s">
        <v>2075</v>
      </c>
      <c r="M193" s="10" t="str">
        <f t="shared" ca="1" si="5"/>
        <v>CLOSED</v>
      </c>
    </row>
    <row r="194" spans="1:13" s="4" customFormat="1" ht="18.75" hidden="1" x14ac:dyDescent="0.25">
      <c r="A194" s="9" t="s">
        <v>287</v>
      </c>
      <c r="B194" s="19">
        <f>VLOOKUP(Table27[[#This Row],[Location 
(drop-down)]],'List source'!D$2:E$71,2,FALSE)</f>
        <v>180</v>
      </c>
      <c r="C194" s="178" t="s">
        <v>2539</v>
      </c>
      <c r="D194" s="21" t="str">
        <f t="shared" ref="D194:D257" si="6">"PTO" &amp; C194 &amp; "-" &amp; B194 &amp; "-" &amp; "25"</f>
        <v>PTO0193-180-25</v>
      </c>
      <c r="E194" s="9" t="s">
        <v>2540</v>
      </c>
      <c r="F194" s="10" t="str" cm="1">
        <f t="array" aca="1" ref="F1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194" s="136" t="s">
        <v>2541</v>
      </c>
      <c r="I194" s="16">
        <v>45807</v>
      </c>
      <c r="J194" s="189"/>
      <c r="K194" s="190"/>
      <c r="L194" s="328"/>
      <c r="M194" s="10">
        <f t="shared" ref="M194:M257" ca="1" si="7">IF(ISBLANK(K194), TODAY()-(I194), "CLOSED")</f>
        <v>270</v>
      </c>
    </row>
    <row r="195" spans="1:13" s="4" customFormat="1" ht="18.75" hidden="1" x14ac:dyDescent="0.25">
      <c r="A195" s="9" t="s">
        <v>37</v>
      </c>
      <c r="B195" s="19">
        <f>VLOOKUP(Table27[[#This Row],[Location 
(drop-down)]],'List source'!D$2:E$71,2,FALSE)</f>
        <v>210</v>
      </c>
      <c r="C195" s="178" t="s">
        <v>2542</v>
      </c>
      <c r="D195" s="21" t="str">
        <f t="shared" si="6"/>
        <v>PTO0194-210-25</v>
      </c>
      <c r="E195" s="9" t="s">
        <v>2543</v>
      </c>
      <c r="F195" s="10" t="str" cm="1">
        <f t="array" aca="1" ref="F1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5" s="10">
        <v>3.04</v>
      </c>
      <c r="I195" s="16">
        <v>45807</v>
      </c>
      <c r="J195" s="189" t="s">
        <v>252</v>
      </c>
      <c r="K195" s="190">
        <v>46007</v>
      </c>
      <c r="L195" s="328"/>
      <c r="M195" s="10" t="str">
        <f t="shared" ca="1" si="7"/>
        <v>CLOSED</v>
      </c>
    </row>
    <row r="196" spans="1:13" s="4" customFormat="1" ht="30" hidden="1" x14ac:dyDescent="0.25">
      <c r="A196" s="9" t="s">
        <v>37</v>
      </c>
      <c r="B196" s="19">
        <f>VLOOKUP(Table27[[#This Row],[Location 
(drop-down)]],'List source'!D$2:E$71,2,FALSE)</f>
        <v>210</v>
      </c>
      <c r="C196" s="178" t="s">
        <v>2544</v>
      </c>
      <c r="D196" s="21" t="str">
        <f t="shared" si="6"/>
        <v>PTO0195-210-25</v>
      </c>
      <c r="E196" s="9" t="s">
        <v>2545</v>
      </c>
      <c r="F196" s="10" t="str" cm="1">
        <f t="array" aca="1" ref="F1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96" s="136" t="s">
        <v>2546</v>
      </c>
      <c r="I196" s="16">
        <v>45807</v>
      </c>
      <c r="J196" s="189" t="s">
        <v>252</v>
      </c>
      <c r="K196" s="190">
        <v>45877</v>
      </c>
      <c r="L196" s="37"/>
      <c r="M196" s="10" t="str">
        <f t="shared" ca="1" si="7"/>
        <v>CLOSED</v>
      </c>
    </row>
    <row r="197" spans="1:13" s="4" customFormat="1" ht="18.75" hidden="1" x14ac:dyDescent="0.25">
      <c r="A197" s="9" t="s">
        <v>37</v>
      </c>
      <c r="B197" s="19">
        <f>VLOOKUP(Table27[[#This Row],[Location 
(drop-down)]],'List source'!D$2:E$71,2,FALSE)</f>
        <v>210</v>
      </c>
      <c r="C197" s="178" t="s">
        <v>2547</v>
      </c>
      <c r="D197" s="21" t="str">
        <f t="shared" si="6"/>
        <v>PTO0196-210-25</v>
      </c>
      <c r="E197" s="9" t="s">
        <v>2548</v>
      </c>
      <c r="F197" s="10" t="str" cm="1">
        <f t="array" aca="1" ref="F1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97" s="136" t="s">
        <v>2549</v>
      </c>
      <c r="I197" s="16">
        <v>45807</v>
      </c>
      <c r="J197" s="189" t="s">
        <v>189</v>
      </c>
      <c r="K197" s="190">
        <v>45845</v>
      </c>
      <c r="L197" s="37"/>
      <c r="M197" s="10" t="str">
        <f t="shared" ca="1" si="7"/>
        <v>CLOSED</v>
      </c>
    </row>
    <row r="198" spans="1:13" s="4" customFormat="1" ht="18.75" hidden="1" x14ac:dyDescent="0.25">
      <c r="A198" s="9" t="s">
        <v>94</v>
      </c>
      <c r="B198" s="19">
        <f>VLOOKUP(Table27[[#This Row],[Location 
(drop-down)]],'List source'!D$2:E$71,2,FALSE)</f>
        <v>120</v>
      </c>
      <c r="C198" s="178" t="s">
        <v>2550</v>
      </c>
      <c r="D198" s="21" t="str">
        <f t="shared" si="6"/>
        <v>PTO0197-120-25</v>
      </c>
      <c r="E198" s="9" t="s">
        <v>2551</v>
      </c>
      <c r="F198" s="10" t="str" cm="1">
        <f t="array" aca="1" ref="F1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SAF</v>
      </c>
      <c r="G198" s="30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8" s="136" t="s">
        <v>2552</v>
      </c>
      <c r="I198" s="16">
        <v>45807</v>
      </c>
      <c r="J198" s="189" t="s">
        <v>18</v>
      </c>
      <c r="K198" s="190">
        <v>45869</v>
      </c>
      <c r="L198" s="37"/>
      <c r="M198" s="10" t="str">
        <f t="shared" ca="1" si="7"/>
        <v>CLOSED</v>
      </c>
    </row>
    <row r="199" spans="1:13" s="4" customFormat="1" ht="18.75" hidden="1" x14ac:dyDescent="0.25">
      <c r="A199" s="9" t="s">
        <v>156</v>
      </c>
      <c r="B199" s="19">
        <f>VLOOKUP(Table27[[#This Row],[Location 
(drop-down)]],'List source'!D$2:E$71,2,FALSE)</f>
        <v>130</v>
      </c>
      <c r="C199" s="178" t="s">
        <v>2553</v>
      </c>
      <c r="D199" s="21" t="str">
        <f t="shared" si="6"/>
        <v>PTO0198-130-25</v>
      </c>
      <c r="E199" s="9" t="s">
        <v>2554</v>
      </c>
      <c r="F199" s="10" t="str" cm="1">
        <f t="array" aca="1" ref="F1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SAF</v>
      </c>
      <c r="G1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199" s="136">
        <v>2.23</v>
      </c>
      <c r="I199" s="16">
        <v>45807</v>
      </c>
      <c r="J199" s="12" t="s">
        <v>2074</v>
      </c>
      <c r="K199" s="63">
        <v>45819</v>
      </c>
      <c r="L199" s="37" t="s">
        <v>2079</v>
      </c>
      <c r="M199" s="10" t="str">
        <f t="shared" ca="1" si="7"/>
        <v>CLOSED</v>
      </c>
    </row>
    <row r="200" spans="1:13" s="4" customFormat="1" ht="30" hidden="1" x14ac:dyDescent="0.25">
      <c r="A200" s="9" t="s">
        <v>156</v>
      </c>
      <c r="B200" s="19">
        <f>VLOOKUP(Table27[[#This Row],[Location 
(drop-down)]],'List source'!D$2:E$71,2,FALSE)</f>
        <v>130</v>
      </c>
      <c r="C200" s="178" t="s">
        <v>2555</v>
      </c>
      <c r="D200" s="21" t="str">
        <f t="shared" si="6"/>
        <v>PTO0199-130-25</v>
      </c>
      <c r="E200" s="9" t="s">
        <v>2556</v>
      </c>
      <c r="F200" s="10" t="str" cm="1">
        <f t="array" aca="1" ref="F2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SAF</v>
      </c>
      <c r="G2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00" s="10">
        <v>2.12</v>
      </c>
      <c r="I200" s="16">
        <v>45807</v>
      </c>
      <c r="J200" s="189" t="s">
        <v>2074</v>
      </c>
      <c r="K200" s="190">
        <v>45807</v>
      </c>
      <c r="L200" s="37" t="s">
        <v>2075</v>
      </c>
      <c r="M200" s="10" t="str">
        <f t="shared" ca="1" si="7"/>
        <v>CLOSED</v>
      </c>
    </row>
    <row r="201" spans="1:13" s="4" customFormat="1" ht="30" hidden="1" x14ac:dyDescent="0.25">
      <c r="A201" s="9" t="s">
        <v>14</v>
      </c>
      <c r="B201" s="19">
        <f>VLOOKUP(Table27[[#This Row],[Location 
(drop-down)]],'List source'!D$2:E$71,2,FALSE)</f>
        <v>131</v>
      </c>
      <c r="C201" s="178" t="s">
        <v>2557</v>
      </c>
      <c r="D201" s="21" t="str">
        <f t="shared" si="6"/>
        <v>PTO0200-131-25</v>
      </c>
      <c r="E201" s="9" t="s">
        <v>2558</v>
      </c>
      <c r="F201" s="10" t="str" cm="1">
        <f t="array" aca="1" ref="F2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SAF</v>
      </c>
      <c r="G2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01" s="10" t="s">
        <v>2559</v>
      </c>
      <c r="I201" s="16">
        <v>45807</v>
      </c>
      <c r="J201" s="189" t="s">
        <v>2074</v>
      </c>
      <c r="K201" s="190">
        <v>45807</v>
      </c>
      <c r="L201" s="37" t="s">
        <v>2075</v>
      </c>
      <c r="M201" s="10" t="str">
        <f t="shared" ca="1" si="7"/>
        <v>CLOSED</v>
      </c>
    </row>
    <row r="202" spans="1:13" s="4" customFormat="1" ht="30" hidden="1" x14ac:dyDescent="0.25">
      <c r="A202" s="9" t="s">
        <v>14</v>
      </c>
      <c r="B202" s="19">
        <f>VLOOKUP(Table27[[#This Row],[Location 
(drop-down)]],'List source'!D$2:E$71,2,FALSE)</f>
        <v>131</v>
      </c>
      <c r="C202" s="178" t="s">
        <v>2560</v>
      </c>
      <c r="D202" s="21" t="str">
        <f t="shared" si="6"/>
        <v>PTO0201-131-25</v>
      </c>
      <c r="E202" s="9" t="s">
        <v>2561</v>
      </c>
      <c r="F202" s="10" t="str" cm="1">
        <f t="array" aca="1" ref="F2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SAF</v>
      </c>
      <c r="G2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D7359 - Halogens</v>
      </c>
      <c r="H202" s="10">
        <v>2.04</v>
      </c>
      <c r="I202" s="16">
        <v>45807</v>
      </c>
      <c r="J202" s="189" t="s">
        <v>2074</v>
      </c>
      <c r="K202" s="190">
        <v>45807</v>
      </c>
      <c r="L202" s="37" t="s">
        <v>2075</v>
      </c>
      <c r="M202" s="10" t="str">
        <f t="shared" ca="1" si="7"/>
        <v>CLOSED</v>
      </c>
    </row>
    <row r="203" spans="1:13" s="4" customFormat="1" ht="18.75" hidden="1" x14ac:dyDescent="0.25">
      <c r="A203" s="9" t="s">
        <v>46</v>
      </c>
      <c r="B203" s="19">
        <f>VLOOKUP(Table27[[#This Row],[Location 
(drop-down)]],'List source'!D$2:E$71,2,FALSE)</f>
        <v>155</v>
      </c>
      <c r="C203" s="178" t="s">
        <v>2562</v>
      </c>
      <c r="D203" s="21" t="str">
        <f t="shared" si="6"/>
        <v>PTO0202-155-25</v>
      </c>
      <c r="E203" s="9" t="s">
        <v>2563</v>
      </c>
      <c r="F203" s="10" t="str" cm="1">
        <f t="array" aca="1" ref="F2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03" s="136">
        <v>-144.77000000000001</v>
      </c>
      <c r="I203" s="16">
        <v>45807</v>
      </c>
      <c r="J203" s="12" t="s">
        <v>2074</v>
      </c>
      <c r="K203" s="63">
        <v>45812</v>
      </c>
      <c r="L203" s="37" t="s">
        <v>2079</v>
      </c>
      <c r="M203" s="10" t="str">
        <f t="shared" ca="1" si="7"/>
        <v>CLOSED</v>
      </c>
    </row>
    <row r="204" spans="1:13" s="4" customFormat="1" ht="30" hidden="1" x14ac:dyDescent="0.25">
      <c r="A204" s="9" t="s">
        <v>46</v>
      </c>
      <c r="B204" s="19">
        <f>VLOOKUP(Table27[[#This Row],[Location 
(drop-down)]],'List source'!D$2:E$71,2,FALSE)</f>
        <v>155</v>
      </c>
      <c r="C204" s="178" t="s">
        <v>2564</v>
      </c>
      <c r="D204" s="21" t="str">
        <f t="shared" si="6"/>
        <v>PTO0203-155-25</v>
      </c>
      <c r="E204" s="9" t="s">
        <v>2565</v>
      </c>
      <c r="F204" s="10" t="str" cm="1">
        <f t="array" aca="1" ref="F2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04" s="10" t="s">
        <v>2566</v>
      </c>
      <c r="I204" s="16">
        <v>45807</v>
      </c>
      <c r="J204" s="12" t="s">
        <v>2074</v>
      </c>
      <c r="K204" s="196">
        <v>45812</v>
      </c>
      <c r="L204" s="334" t="s">
        <v>2288</v>
      </c>
      <c r="M204" s="10" t="str">
        <f t="shared" ca="1" si="7"/>
        <v>CLOSED</v>
      </c>
    </row>
    <row r="205" spans="1:13" s="4" customFormat="1" ht="18.75" hidden="1" x14ac:dyDescent="0.25">
      <c r="A205" s="9" t="s">
        <v>46</v>
      </c>
      <c r="B205" s="19">
        <f>VLOOKUP(Table27[[#This Row],[Location 
(drop-down)]],'List source'!D$2:E$71,2,FALSE)</f>
        <v>155</v>
      </c>
      <c r="C205" s="178" t="s">
        <v>2567</v>
      </c>
      <c r="D205" s="21" t="str">
        <f t="shared" si="6"/>
        <v>PTO0204-155-25</v>
      </c>
      <c r="E205" s="9" t="s">
        <v>2568</v>
      </c>
      <c r="F205" s="10" t="str" cm="1">
        <f t="array" aca="1" ref="F2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05" s="136" t="s">
        <v>2569</v>
      </c>
      <c r="I205" s="16">
        <v>45807</v>
      </c>
      <c r="J205" s="12" t="s">
        <v>2074</v>
      </c>
      <c r="K205" s="196">
        <v>45812</v>
      </c>
      <c r="L205" s="335" t="s">
        <v>2079</v>
      </c>
      <c r="M205" s="10" t="str">
        <f t="shared" ca="1" si="7"/>
        <v>CLOSED</v>
      </c>
    </row>
    <row r="206" spans="1:13" s="4" customFormat="1" ht="30" hidden="1" x14ac:dyDescent="0.25">
      <c r="A206" s="9" t="s">
        <v>107</v>
      </c>
      <c r="B206" s="19">
        <f>VLOOKUP(Table27[[#This Row],[Location 
(drop-down)]],'List source'!D$2:E$71,2,FALSE)</f>
        <v>170</v>
      </c>
      <c r="C206" s="178" t="s">
        <v>2570</v>
      </c>
      <c r="D206" s="21" t="str">
        <f t="shared" si="6"/>
        <v>PTO0205-170-25</v>
      </c>
      <c r="E206" s="9" t="s">
        <v>2571</v>
      </c>
      <c r="F206" s="10" t="str" cm="1">
        <f t="array" aca="1" ref="F2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06" s="136" t="s">
        <v>2572</v>
      </c>
      <c r="I206" s="16">
        <v>45807</v>
      </c>
      <c r="J206" s="12" t="s">
        <v>2074</v>
      </c>
      <c r="K206" s="63">
        <v>45807</v>
      </c>
      <c r="L206" s="37" t="s">
        <v>2075</v>
      </c>
      <c r="M206" s="10" t="str">
        <f t="shared" ca="1" si="7"/>
        <v>CLOSED</v>
      </c>
    </row>
    <row r="207" spans="1:13" s="4" customFormat="1" ht="30" hidden="1" x14ac:dyDescent="0.25">
      <c r="A207" s="9" t="s">
        <v>107</v>
      </c>
      <c r="B207" s="19">
        <f>VLOOKUP(Table27[[#This Row],[Location 
(drop-down)]],'List source'!D$2:E$71,2,FALSE)</f>
        <v>170</v>
      </c>
      <c r="C207" s="178" t="s">
        <v>2573</v>
      </c>
      <c r="D207" s="21" t="str">
        <f t="shared" si="6"/>
        <v>PTO0206-170-25</v>
      </c>
      <c r="E207" s="9" t="s">
        <v>2574</v>
      </c>
      <c r="F207" s="10" t="str" cm="1">
        <f t="array" aca="1" ref="F2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207" s="10" t="s">
        <v>2575</v>
      </c>
      <c r="I207" s="16">
        <v>45807</v>
      </c>
      <c r="J207" s="12" t="s">
        <v>109</v>
      </c>
      <c r="K207" s="63">
        <v>45847</v>
      </c>
      <c r="L207" s="328"/>
      <c r="M207" s="10" t="str">
        <f t="shared" ca="1" si="7"/>
        <v>CLOSED</v>
      </c>
    </row>
    <row r="208" spans="1:13" s="4" customFormat="1" ht="30" hidden="1" x14ac:dyDescent="0.25">
      <c r="A208" s="9" t="s">
        <v>107</v>
      </c>
      <c r="B208" s="19">
        <f>VLOOKUP(Table27[[#This Row],[Location 
(drop-down)]],'List source'!D$2:E$71,2,FALSE)</f>
        <v>170</v>
      </c>
      <c r="C208" s="178" t="s">
        <v>2576</v>
      </c>
      <c r="D208" s="21" t="str">
        <f t="shared" si="6"/>
        <v>PTO0207-170-25</v>
      </c>
      <c r="E208" s="9" t="s">
        <v>2577</v>
      </c>
      <c r="F208" s="10" t="str" cm="1">
        <f t="array" aca="1" ref="F2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08" s="136" t="s">
        <v>2578</v>
      </c>
      <c r="I208" s="16">
        <v>45807</v>
      </c>
      <c r="J208" s="12" t="s">
        <v>2074</v>
      </c>
      <c r="K208" s="63">
        <v>45807</v>
      </c>
      <c r="L208" s="37" t="s">
        <v>2075</v>
      </c>
      <c r="M208" s="10" t="str">
        <f t="shared" ca="1" si="7"/>
        <v>CLOSED</v>
      </c>
    </row>
    <row r="209" spans="1:13" s="4" customFormat="1" ht="30" hidden="1" x14ac:dyDescent="0.25">
      <c r="A209" s="9" t="s">
        <v>44</v>
      </c>
      <c r="B209" s="19">
        <f>VLOOKUP(Table27[[#This Row],[Location 
(drop-down)]],'List source'!D$2:E$71,2,FALSE)</f>
        <v>185</v>
      </c>
      <c r="C209" s="178" t="s">
        <v>2579</v>
      </c>
      <c r="D209" s="21" t="str">
        <f t="shared" si="6"/>
        <v>PTO0208-185-25</v>
      </c>
      <c r="E209" s="9" t="s">
        <v>2580</v>
      </c>
      <c r="F209" s="10" t="str" cm="1">
        <f t="array" aca="1" ref="F2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209" s="10">
        <v>2.1800000000000002</v>
      </c>
      <c r="I209" s="16">
        <v>45804</v>
      </c>
      <c r="J209" s="12" t="s">
        <v>2074</v>
      </c>
      <c r="K209" s="63">
        <v>45804</v>
      </c>
      <c r="L209" s="37" t="s">
        <v>2075</v>
      </c>
      <c r="M209" s="10" t="str">
        <f t="shared" ca="1" si="7"/>
        <v>CLOSED</v>
      </c>
    </row>
    <row r="210" spans="1:13" s="4" customFormat="1" ht="18.75" hidden="1" x14ac:dyDescent="0.25">
      <c r="A210" s="9" t="s">
        <v>46</v>
      </c>
      <c r="B210" s="19">
        <f>VLOOKUP(Table27[[#This Row],[Location 
(drop-down)]],'List source'!D$2:E$71,2,FALSE)</f>
        <v>155</v>
      </c>
      <c r="C210" s="178" t="s">
        <v>2581</v>
      </c>
      <c r="D210" s="21" t="str">
        <f t="shared" si="6"/>
        <v>PTO0209-155-25</v>
      </c>
      <c r="E210" s="9" t="s">
        <v>2582</v>
      </c>
      <c r="F210" s="10" t="str" cm="1">
        <f t="array" aca="1" ref="F2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D287 - API Gravity</v>
      </c>
      <c r="H210" s="136" t="s">
        <v>2446</v>
      </c>
      <c r="I210" s="16">
        <v>45807</v>
      </c>
      <c r="J210" s="12" t="s">
        <v>82</v>
      </c>
      <c r="K210" s="63">
        <v>45847</v>
      </c>
      <c r="L210" s="37"/>
      <c r="M210" s="10" t="str">
        <f t="shared" ca="1" si="7"/>
        <v>CLOSED</v>
      </c>
    </row>
    <row r="211" spans="1:13" s="4" customFormat="1" ht="30" hidden="1" x14ac:dyDescent="0.25">
      <c r="A211" s="9" t="s">
        <v>46</v>
      </c>
      <c r="B211" s="19">
        <f>VLOOKUP(Table27[[#This Row],[Location 
(drop-down)]],'List source'!D$2:E$71,2,FALSE)</f>
        <v>155</v>
      </c>
      <c r="C211" s="178" t="s">
        <v>2583</v>
      </c>
      <c r="D211" s="21" t="str">
        <f t="shared" si="6"/>
        <v>PTO0210-155-25</v>
      </c>
      <c r="E211" s="9" t="s">
        <v>2584</v>
      </c>
      <c r="F211" s="10" t="str" cm="1">
        <f t="array" aca="1" ref="F2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1" s="10" t="s">
        <v>2400</v>
      </c>
      <c r="I211" s="16">
        <v>45807</v>
      </c>
      <c r="J211" s="12" t="s">
        <v>2074</v>
      </c>
      <c r="K211" s="63">
        <v>45807</v>
      </c>
      <c r="L211" s="37" t="s">
        <v>2075</v>
      </c>
      <c r="M211" s="10" t="str">
        <f t="shared" ca="1" si="7"/>
        <v>CLOSED</v>
      </c>
    </row>
    <row r="212" spans="1:13" s="4" customFormat="1" ht="30" hidden="1" x14ac:dyDescent="0.25">
      <c r="A212" s="9" t="s">
        <v>46</v>
      </c>
      <c r="B212" s="19">
        <f>VLOOKUP(Table27[[#This Row],[Location 
(drop-down)]],'List source'!D$2:E$71,2,FALSE)</f>
        <v>155</v>
      </c>
      <c r="C212" s="178" t="s">
        <v>2585</v>
      </c>
      <c r="D212" s="21" t="str">
        <f t="shared" si="6"/>
        <v>PTO0211-155-25</v>
      </c>
      <c r="E212" s="170" t="s">
        <v>2586</v>
      </c>
      <c r="F212" s="197" t="str" cm="1">
        <f t="array" aca="1" ref="F2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2" s="17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12" s="197">
        <v>2.77</v>
      </c>
      <c r="I212" s="16">
        <v>45807</v>
      </c>
      <c r="J212" s="12" t="s">
        <v>2074</v>
      </c>
      <c r="K212" s="63">
        <v>45807</v>
      </c>
      <c r="L212" s="37" t="s">
        <v>2075</v>
      </c>
      <c r="M212" s="10" t="str">
        <f t="shared" ca="1" si="7"/>
        <v>CLOSED</v>
      </c>
    </row>
    <row r="213" spans="1:13" s="4" customFormat="1" ht="30" hidden="1" x14ac:dyDescent="0.25">
      <c r="A213" s="9" t="s">
        <v>107</v>
      </c>
      <c r="B213" s="19">
        <f>VLOOKUP(Table27[[#This Row],[Location 
(drop-down)]],'List source'!D$2:E$71,2,FALSE)</f>
        <v>170</v>
      </c>
      <c r="C213" s="178" t="s">
        <v>2587</v>
      </c>
      <c r="D213" s="21" t="str">
        <f t="shared" si="6"/>
        <v>PTO0212-170-25</v>
      </c>
      <c r="E213" s="9" t="s">
        <v>2588</v>
      </c>
      <c r="F213" s="10" t="str" cm="1">
        <f t="array" aca="1" ref="F2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213" s="136" t="s">
        <v>2589</v>
      </c>
      <c r="I213" s="16">
        <v>45807</v>
      </c>
      <c r="J213" s="12"/>
      <c r="K213" s="63"/>
      <c r="L213" s="37"/>
      <c r="M213" s="10">
        <f t="shared" ca="1" si="7"/>
        <v>270</v>
      </c>
    </row>
    <row r="214" spans="1:13" s="4" customFormat="1" ht="30" hidden="1" x14ac:dyDescent="0.25">
      <c r="A214" s="9" t="s">
        <v>107</v>
      </c>
      <c r="B214" s="19">
        <f>VLOOKUP(Table27[[#This Row],[Location 
(drop-down)]],'List source'!D$2:E$71,2,FALSE)</f>
        <v>170</v>
      </c>
      <c r="C214" s="178" t="s">
        <v>2590</v>
      </c>
      <c r="D214" s="21" t="str">
        <f t="shared" si="6"/>
        <v>PTO0213-170-25</v>
      </c>
      <c r="E214" s="9" t="s">
        <v>2591</v>
      </c>
      <c r="F214" s="10" t="str" cm="1">
        <f t="array" aca="1" ref="F2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14" s="10">
        <v>2.17</v>
      </c>
      <c r="I214" s="16">
        <v>45807</v>
      </c>
      <c r="J214" s="12" t="s">
        <v>2074</v>
      </c>
      <c r="K214" s="63">
        <v>45807</v>
      </c>
      <c r="L214" s="37" t="s">
        <v>2592</v>
      </c>
      <c r="M214" s="10" t="str">
        <f t="shared" ca="1" si="7"/>
        <v>CLOSED</v>
      </c>
    </row>
    <row r="215" spans="1:13" s="4" customFormat="1" ht="18.75" hidden="1" x14ac:dyDescent="0.25">
      <c r="A215" s="9" t="s">
        <v>46</v>
      </c>
      <c r="B215" s="19">
        <f>VLOOKUP(Table27[[#This Row],[Location 
(drop-down)]],'List source'!D$2:E$71,2,FALSE)</f>
        <v>155</v>
      </c>
      <c r="C215" s="178" t="s">
        <v>2593</v>
      </c>
      <c r="D215" s="21" t="str">
        <f t="shared" si="6"/>
        <v>PTO0214-155-25</v>
      </c>
      <c r="E215" s="91" t="s">
        <v>2594</v>
      </c>
      <c r="F215" s="10" t="str" cm="1">
        <f t="array" aca="1" ref="F2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5" s="136" t="s">
        <v>2595</v>
      </c>
      <c r="I215" s="16">
        <v>45807</v>
      </c>
      <c r="J215" s="12"/>
      <c r="K215" s="63"/>
      <c r="L215" s="328"/>
      <c r="M215" s="10">
        <f t="shared" ca="1" si="7"/>
        <v>270</v>
      </c>
    </row>
    <row r="216" spans="1:13" s="4" customFormat="1" ht="30" hidden="1" x14ac:dyDescent="0.25">
      <c r="A216" s="9" t="s">
        <v>46</v>
      </c>
      <c r="B216" s="19">
        <f>VLOOKUP(Table27[[#This Row],[Location 
(drop-down)]],'List source'!D$2:E$71,2,FALSE)</f>
        <v>155</v>
      </c>
      <c r="C216" s="178" t="s">
        <v>2596</v>
      </c>
      <c r="D216" s="21" t="str">
        <f t="shared" si="6"/>
        <v>PTO0215-155-25</v>
      </c>
      <c r="E216" s="9" t="s">
        <v>2597</v>
      </c>
      <c r="F216" s="10" t="str" cm="1">
        <f t="array" aca="1" ref="F2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16" s="136" t="s">
        <v>2400</v>
      </c>
      <c r="I216" s="16">
        <v>45807</v>
      </c>
      <c r="J216" s="12" t="s">
        <v>82</v>
      </c>
      <c r="K216" s="63">
        <v>45885</v>
      </c>
      <c r="L216" s="37"/>
      <c r="M216" s="10" t="str">
        <f t="shared" ca="1" si="7"/>
        <v>CLOSED</v>
      </c>
    </row>
    <row r="217" spans="1:13" s="4" customFormat="1" ht="18.75" hidden="1" x14ac:dyDescent="0.25">
      <c r="A217" s="9" t="s">
        <v>46</v>
      </c>
      <c r="B217" s="19">
        <f>VLOOKUP(Table27[[#This Row],[Location 
(drop-down)]],'List source'!D$2:E$71,2,FALSE)</f>
        <v>155</v>
      </c>
      <c r="C217" s="178" t="s">
        <v>2598</v>
      </c>
      <c r="D217" s="21" t="str">
        <f t="shared" si="6"/>
        <v>PTO0216-155-25</v>
      </c>
      <c r="E217" s="9" t="s">
        <v>2599</v>
      </c>
      <c r="F217" s="10" t="str" cm="1">
        <f t="array" aca="1" ref="F2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17" s="10">
        <v>5.29</v>
      </c>
      <c r="I217" s="16">
        <v>45807</v>
      </c>
      <c r="J217" s="12" t="s">
        <v>82</v>
      </c>
      <c r="K217" s="63">
        <v>46065</v>
      </c>
      <c r="L217" s="68"/>
      <c r="M217" s="10" t="str">
        <f t="shared" ca="1" si="7"/>
        <v>CLOSED</v>
      </c>
    </row>
    <row r="218" spans="1:13" s="4" customFormat="1" ht="18.75" hidden="1" x14ac:dyDescent="0.25">
      <c r="A218" s="9" t="s">
        <v>76</v>
      </c>
      <c r="B218" s="19">
        <f>VLOOKUP(Table27[[#This Row],[Location 
(drop-down)]],'List source'!D$2:E$71,2,FALSE)</f>
        <v>157</v>
      </c>
      <c r="C218" s="178" t="s">
        <v>2600</v>
      </c>
      <c r="D218" s="21" t="str">
        <f t="shared" si="6"/>
        <v>PTO0217-157-25</v>
      </c>
      <c r="E218" s="9" t="s">
        <v>2601</v>
      </c>
      <c r="F218" s="10" t="str" cm="1">
        <f t="array" aca="1" ref="F2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2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218" s="10">
        <v>3.17</v>
      </c>
      <c r="I218" s="16">
        <v>45810</v>
      </c>
      <c r="J218" s="12" t="s">
        <v>82</v>
      </c>
      <c r="K218" s="196">
        <v>45874</v>
      </c>
      <c r="L218" s="336"/>
      <c r="M218" s="10" t="str">
        <f t="shared" ca="1" si="7"/>
        <v>CLOSED</v>
      </c>
    </row>
    <row r="219" spans="1:13" s="4" customFormat="1" ht="18.75" hidden="1" x14ac:dyDescent="0.25">
      <c r="A219" s="9" t="s">
        <v>76</v>
      </c>
      <c r="B219" s="19">
        <f>VLOOKUP(Table27[[#This Row],[Location 
(drop-down)]],'List source'!D$2:E$71,2,FALSE)</f>
        <v>157</v>
      </c>
      <c r="C219" s="178" t="s">
        <v>2602</v>
      </c>
      <c r="D219" s="21" t="str">
        <f t="shared" si="6"/>
        <v>PTO0218-157-25</v>
      </c>
      <c r="E219" s="9" t="s">
        <v>2603</v>
      </c>
      <c r="F219" s="10" t="str" cm="1">
        <f t="array" aca="1" ref="F2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2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219" s="136" t="s">
        <v>2604</v>
      </c>
      <c r="I219" s="16">
        <v>45810</v>
      </c>
      <c r="J219" s="12" t="s">
        <v>82</v>
      </c>
      <c r="K219" s="63">
        <v>45847</v>
      </c>
      <c r="L219" s="328"/>
      <c r="M219" s="10" t="str">
        <f t="shared" ca="1" si="7"/>
        <v>CLOSED</v>
      </c>
    </row>
    <row r="220" spans="1:13" s="4" customFormat="1" ht="18.75" hidden="1" x14ac:dyDescent="0.25">
      <c r="A220" s="9" t="s">
        <v>179</v>
      </c>
      <c r="B220" s="19">
        <f>VLOOKUP(Table27[[#This Row],[Location 
(drop-down)]],'List source'!D$2:E$71,2,FALSE)</f>
        <v>189</v>
      </c>
      <c r="C220" s="178" t="s">
        <v>2605</v>
      </c>
      <c r="D220" s="21" t="str">
        <f t="shared" si="6"/>
        <v>PTO0219-189-25</v>
      </c>
      <c r="E220" s="9" t="s">
        <v>2606</v>
      </c>
      <c r="F220" s="10" t="str" cm="1">
        <f t="array" aca="1" ref="F2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2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220" s="10">
        <v>6.64</v>
      </c>
      <c r="I220" s="16">
        <v>45810</v>
      </c>
      <c r="J220" s="12"/>
      <c r="K220" s="196"/>
      <c r="L220" s="336"/>
      <c r="M220" s="10">
        <f t="shared" ca="1" si="7"/>
        <v>267</v>
      </c>
    </row>
    <row r="221" spans="1:13" s="4" customFormat="1" ht="30" hidden="1" x14ac:dyDescent="0.25">
      <c r="A221" s="9" t="s">
        <v>179</v>
      </c>
      <c r="B221" s="19">
        <f>VLOOKUP(Table27[[#This Row],[Location 
(drop-down)]],'List source'!D$2:E$71,2,FALSE)</f>
        <v>189</v>
      </c>
      <c r="C221" s="178" t="s">
        <v>2607</v>
      </c>
      <c r="D221" s="21" t="str">
        <f t="shared" si="6"/>
        <v>PTO0220-189-25</v>
      </c>
      <c r="E221" s="9" t="s">
        <v>2608</v>
      </c>
      <c r="F221" s="10" t="s">
        <v>2609</v>
      </c>
      <c r="G2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 Number</v>
      </c>
      <c r="H221" s="10">
        <v>2.25</v>
      </c>
      <c r="I221" s="16">
        <v>45810</v>
      </c>
      <c r="J221" s="12" t="s">
        <v>2074</v>
      </c>
      <c r="K221" s="63">
        <v>45810</v>
      </c>
      <c r="L221" s="328" t="s">
        <v>2075</v>
      </c>
      <c r="M221" s="10" t="str">
        <f t="shared" ca="1" si="7"/>
        <v>CLOSED</v>
      </c>
    </row>
    <row r="222" spans="1:13" s="4" customFormat="1" ht="18.75" hidden="1" x14ac:dyDescent="0.25">
      <c r="A222" s="9" t="s">
        <v>220</v>
      </c>
      <c r="B222" s="19">
        <f>VLOOKUP(Table27[[#This Row],[Location 
(drop-down)]],'List source'!D$2:E$71,2,FALSE)</f>
        <v>197</v>
      </c>
      <c r="C222" s="178" t="s">
        <v>2610</v>
      </c>
      <c r="D222" s="21" t="str">
        <f t="shared" si="6"/>
        <v>PTO0221-197-25</v>
      </c>
      <c r="E222" s="9" t="s">
        <v>2611</v>
      </c>
      <c r="F222" s="10" t="s">
        <v>2609</v>
      </c>
      <c r="G2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 Number</v>
      </c>
      <c r="H222" s="10">
        <v>4.92</v>
      </c>
      <c r="I222" s="16">
        <v>45810</v>
      </c>
      <c r="J222" s="12"/>
      <c r="K222" s="196"/>
      <c r="L222" s="336"/>
      <c r="M222" s="10">
        <f t="shared" ca="1" si="7"/>
        <v>267</v>
      </c>
    </row>
    <row r="223" spans="1:13" s="4" customFormat="1" ht="18.75" hidden="1" x14ac:dyDescent="0.25">
      <c r="A223" s="9" t="s">
        <v>151</v>
      </c>
      <c r="B223" s="19">
        <f>VLOOKUP(Table27[[#This Row],[Location 
(drop-down)]],'List source'!D$2:E$71,2,FALSE)</f>
        <v>115</v>
      </c>
      <c r="C223" s="178" t="s">
        <v>2612</v>
      </c>
      <c r="D223" s="21" t="str">
        <f t="shared" si="6"/>
        <v>PTO0222-115-25</v>
      </c>
      <c r="E223" s="9" t="s">
        <v>2613</v>
      </c>
      <c r="F223" s="10" t="str" cm="1">
        <f t="array" aca="1" ref="F2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223" s="10">
        <v>2.67</v>
      </c>
      <c r="I223" s="16">
        <v>45810</v>
      </c>
      <c r="J223" s="12" t="s">
        <v>109</v>
      </c>
      <c r="K223" s="63">
        <v>45889</v>
      </c>
      <c r="L223" s="330"/>
      <c r="M223" s="10" t="str">
        <f t="shared" ca="1" si="7"/>
        <v>CLOSED</v>
      </c>
    </row>
    <row r="224" spans="1:13" s="4" customFormat="1" ht="18.75" hidden="1" x14ac:dyDescent="0.25">
      <c r="A224" s="9" t="s">
        <v>117</v>
      </c>
      <c r="B224" s="19">
        <f>VLOOKUP(Table27[[#This Row],[Location 
(drop-down)]],'List source'!D$2:E$71,2,FALSE)</f>
        <v>125</v>
      </c>
      <c r="C224" s="178" t="s">
        <v>2614</v>
      </c>
      <c r="D224" s="21" t="str">
        <f t="shared" si="6"/>
        <v>PTO0223-125-25</v>
      </c>
      <c r="E224" s="9" t="s">
        <v>2615</v>
      </c>
      <c r="F224" s="10" t="str" cm="1">
        <f t="array" aca="1" ref="F2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4" s="10">
        <v>5.95</v>
      </c>
      <c r="I224" s="16">
        <v>45810</v>
      </c>
      <c r="J224" s="12"/>
      <c r="K224" s="63"/>
      <c r="L224" s="37"/>
      <c r="M224" s="10">
        <f t="shared" ca="1" si="7"/>
        <v>267</v>
      </c>
    </row>
    <row r="225" spans="1:13" s="4" customFormat="1" ht="18.75" hidden="1" x14ac:dyDescent="0.25">
      <c r="A225" s="9" t="s">
        <v>177</v>
      </c>
      <c r="B225" s="19">
        <f>VLOOKUP(Table27[[#This Row],[Location 
(drop-down)]],'List source'!D$2:E$71,2,FALSE)</f>
        <v>126</v>
      </c>
      <c r="C225" s="178" t="s">
        <v>2616</v>
      </c>
      <c r="D225" s="21" t="str">
        <f t="shared" si="6"/>
        <v>PTO0224-126-25</v>
      </c>
      <c r="E225" s="9" t="s">
        <v>2617</v>
      </c>
      <c r="F225" s="10" t="str" cm="1">
        <f t="array" aca="1" ref="F2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5" s="136" t="s">
        <v>2618</v>
      </c>
      <c r="I225" s="16">
        <v>45810</v>
      </c>
      <c r="J225" s="12" t="s">
        <v>252</v>
      </c>
      <c r="K225" s="63">
        <v>45827</v>
      </c>
      <c r="L225" s="336"/>
      <c r="M225" s="10" t="str">
        <f t="shared" ca="1" si="7"/>
        <v>CLOSED</v>
      </c>
    </row>
    <row r="226" spans="1:13" s="4" customFormat="1" ht="18.75" hidden="1" x14ac:dyDescent="0.25">
      <c r="A226" s="9" t="s">
        <v>211</v>
      </c>
      <c r="B226" s="19">
        <f>VLOOKUP(Table27[[#This Row],[Location 
(drop-down)]],'List source'!D$2:E$71,2,FALSE)</f>
        <v>132</v>
      </c>
      <c r="C226" s="178" t="s">
        <v>2619</v>
      </c>
      <c r="D226" s="21" t="str">
        <f t="shared" si="6"/>
        <v>PTO0225-132-25</v>
      </c>
      <c r="E226" s="9" t="s">
        <v>2620</v>
      </c>
      <c r="F226" s="10" t="str" cm="1">
        <f t="array" aca="1" ref="F2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226" s="10" t="s">
        <v>2621</v>
      </c>
      <c r="I226" s="16">
        <v>45810</v>
      </c>
      <c r="J226" s="12" t="s">
        <v>167</v>
      </c>
      <c r="K226" s="63">
        <v>45821</v>
      </c>
      <c r="L226" s="37"/>
      <c r="M226" s="10" t="str">
        <f t="shared" ca="1" si="7"/>
        <v>CLOSED</v>
      </c>
    </row>
    <row r="227" spans="1:13" s="4" customFormat="1" ht="30" hidden="1" x14ac:dyDescent="0.25">
      <c r="A227" s="9" t="s">
        <v>211</v>
      </c>
      <c r="B227" s="19">
        <f>VLOOKUP(Table27[[#This Row],[Location 
(drop-down)]],'List source'!D$2:E$71,2,FALSE)</f>
        <v>132</v>
      </c>
      <c r="C227" s="178" t="s">
        <v>2622</v>
      </c>
      <c r="D227" s="21" t="str">
        <f t="shared" si="6"/>
        <v>PTO0226-132-25</v>
      </c>
      <c r="E227" s="9" t="s">
        <v>2623</v>
      </c>
      <c r="F227" s="10" t="str" cm="1">
        <f t="array" aca="1" ref="F2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7" s="136" t="s">
        <v>2624</v>
      </c>
      <c r="I227" s="16">
        <v>45810</v>
      </c>
      <c r="J227" s="12" t="s">
        <v>2074</v>
      </c>
      <c r="K227" s="63">
        <v>45810</v>
      </c>
      <c r="L227" s="37" t="s">
        <v>2592</v>
      </c>
      <c r="M227" s="10" t="str">
        <f t="shared" ca="1" si="7"/>
        <v>CLOSED</v>
      </c>
    </row>
    <row r="228" spans="1:13" s="4" customFormat="1" ht="18.75" hidden="1" x14ac:dyDescent="0.25">
      <c r="A228" s="9" t="s">
        <v>211</v>
      </c>
      <c r="B228" s="19">
        <f>VLOOKUP(Table27[[#This Row],[Location 
(drop-down)]],'List source'!D$2:E$71,2,FALSE)</f>
        <v>132</v>
      </c>
      <c r="C228" s="178" t="s">
        <v>2625</v>
      </c>
      <c r="D228" s="21" t="str">
        <f t="shared" si="6"/>
        <v>PTO0227-132-25</v>
      </c>
      <c r="E228" s="9" t="s">
        <v>2626</v>
      </c>
      <c r="F228" s="10" t="str" cm="1">
        <f t="array" aca="1" ref="F2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28" s="136" t="s">
        <v>2538</v>
      </c>
      <c r="I228" s="16">
        <v>45810</v>
      </c>
      <c r="J228" s="12" t="s">
        <v>167</v>
      </c>
      <c r="K228" s="63">
        <v>45862</v>
      </c>
      <c r="L228" s="37"/>
      <c r="M228" s="10" t="str">
        <f t="shared" ca="1" si="7"/>
        <v>CLOSED</v>
      </c>
    </row>
    <row r="229" spans="1:13" s="4" customFormat="1" ht="30" hidden="1" x14ac:dyDescent="0.25">
      <c r="A229" s="9" t="s">
        <v>211</v>
      </c>
      <c r="B229" s="19">
        <f>VLOOKUP(Table27[[#This Row],[Location 
(drop-down)]],'List source'!D$2:E$71,2,FALSE)</f>
        <v>132</v>
      </c>
      <c r="C229" s="178" t="s">
        <v>2627</v>
      </c>
      <c r="D229" s="21" t="str">
        <f t="shared" si="6"/>
        <v>PTO0228-132-25</v>
      </c>
      <c r="E229" s="9" t="s">
        <v>2628</v>
      </c>
      <c r="F229" s="10" t="str" cm="1">
        <f t="array" aca="1" ref="F2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29" s="10" t="s">
        <v>2629</v>
      </c>
      <c r="I229" s="16">
        <v>45810</v>
      </c>
      <c r="J229" s="12" t="s">
        <v>167</v>
      </c>
      <c r="K229" s="265">
        <v>45911</v>
      </c>
      <c r="L229" s="337"/>
      <c r="M229" s="10" t="str">
        <f t="shared" ca="1" si="7"/>
        <v>CLOSED</v>
      </c>
    </row>
    <row r="230" spans="1:13" s="4" customFormat="1" ht="30" hidden="1" x14ac:dyDescent="0.25">
      <c r="A230" s="9" t="s">
        <v>257</v>
      </c>
      <c r="B230" s="19">
        <f>VLOOKUP(Table27[[#This Row],[Location 
(drop-down)]],'List source'!D$2:E$71,2,FALSE)</f>
        <v>144</v>
      </c>
      <c r="C230" s="178" t="s">
        <v>2630</v>
      </c>
      <c r="D230" s="21" t="str">
        <f t="shared" si="6"/>
        <v>PTO0229-144-25</v>
      </c>
      <c r="E230" s="9" t="s">
        <v>2631</v>
      </c>
      <c r="F230" s="10" t="str" cm="1">
        <f t="array" aca="1" ref="F2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0" s="136" t="s">
        <v>2244</v>
      </c>
      <c r="I230" s="16">
        <v>45810</v>
      </c>
      <c r="J230" s="12" t="s">
        <v>2074</v>
      </c>
      <c r="K230" s="63">
        <v>45810</v>
      </c>
      <c r="L230" s="37" t="s">
        <v>2592</v>
      </c>
      <c r="M230" s="10" t="str">
        <f t="shared" ca="1" si="7"/>
        <v>CLOSED</v>
      </c>
    </row>
    <row r="231" spans="1:13" s="4" customFormat="1" ht="30" hidden="1" x14ac:dyDescent="0.25">
      <c r="A231" s="9" t="s">
        <v>131</v>
      </c>
      <c r="B231" s="19">
        <f>VLOOKUP(Table27[[#This Row],[Location 
(drop-down)]],'List source'!D$2:E$71,2,FALSE)</f>
        <v>145</v>
      </c>
      <c r="C231" s="178" t="s">
        <v>2632</v>
      </c>
      <c r="D231" s="21" t="str">
        <f t="shared" si="6"/>
        <v>PTO0230-145-25</v>
      </c>
      <c r="E231" s="9" t="s">
        <v>2633</v>
      </c>
      <c r="F231" s="10" t="str" cm="1">
        <f t="array" aca="1" ref="F2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31" s="10">
        <v>2.8</v>
      </c>
      <c r="I231" s="16">
        <v>45810</v>
      </c>
      <c r="J231" s="12" t="s">
        <v>2074</v>
      </c>
      <c r="K231" s="63">
        <v>45810</v>
      </c>
      <c r="L231" s="37" t="s">
        <v>2592</v>
      </c>
      <c r="M231" s="10" t="str">
        <f t="shared" ca="1" si="7"/>
        <v>CLOSED</v>
      </c>
    </row>
    <row r="232" spans="1:13" s="4" customFormat="1" ht="30" hidden="1" x14ac:dyDescent="0.25">
      <c r="A232" s="9" t="s">
        <v>86</v>
      </c>
      <c r="B232" s="19">
        <f>VLOOKUP(Table27[[#This Row],[Location 
(drop-down)]],'List source'!D$2:E$71,2,FALSE)</f>
        <v>150</v>
      </c>
      <c r="C232" s="178" t="s">
        <v>2634</v>
      </c>
      <c r="D232" s="21" t="str">
        <f t="shared" si="6"/>
        <v>PTO0231-150-25</v>
      </c>
      <c r="E232" s="9" t="s">
        <v>2635</v>
      </c>
      <c r="F232" s="10" t="str" cm="1">
        <f t="array" aca="1" ref="F2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2" s="10">
        <v>2.68</v>
      </c>
      <c r="I232" s="16">
        <v>45810</v>
      </c>
      <c r="J232" s="12" t="s">
        <v>2074</v>
      </c>
      <c r="K232" s="63">
        <v>45810</v>
      </c>
      <c r="L232" s="37" t="s">
        <v>2592</v>
      </c>
      <c r="M232" s="10" t="str">
        <f t="shared" ca="1" si="7"/>
        <v>CLOSED</v>
      </c>
    </row>
    <row r="233" spans="1:13" s="4" customFormat="1" ht="18.75" hidden="1" x14ac:dyDescent="0.25">
      <c r="A233" s="9" t="s">
        <v>79</v>
      </c>
      <c r="B233" s="19">
        <f>VLOOKUP(Table27[[#This Row],[Location 
(drop-down)]],'List source'!D$2:E$71,2,FALSE)</f>
        <v>160</v>
      </c>
      <c r="C233" s="178" t="s">
        <v>2636</v>
      </c>
      <c r="D233" s="21" t="str">
        <f t="shared" si="6"/>
        <v>PTO0232-160-25</v>
      </c>
      <c r="E233" s="9" t="s">
        <v>2637</v>
      </c>
      <c r="F233" s="10" t="str" cm="1">
        <f t="array" aca="1" ref="F2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233" s="10">
        <v>2.19</v>
      </c>
      <c r="I233" s="16">
        <v>45810</v>
      </c>
      <c r="J233" s="12" t="s">
        <v>82</v>
      </c>
      <c r="K233" s="63">
        <v>45848</v>
      </c>
      <c r="L233" s="37"/>
      <c r="M233" s="10" t="str">
        <f t="shared" ca="1" si="7"/>
        <v>CLOSED</v>
      </c>
    </row>
    <row r="234" spans="1:13" s="4" customFormat="1" ht="18.75" hidden="1" x14ac:dyDescent="0.25">
      <c r="A234" s="9" t="s">
        <v>287</v>
      </c>
      <c r="B234" s="19">
        <f>VLOOKUP(Table27[[#This Row],[Location 
(drop-down)]],'List source'!D$2:E$71,2,FALSE)</f>
        <v>180</v>
      </c>
      <c r="C234" s="178" t="s">
        <v>2638</v>
      </c>
      <c r="D234" s="21" t="str">
        <f t="shared" si="6"/>
        <v>PTO0233-180-25</v>
      </c>
      <c r="E234" s="9" t="s">
        <v>2639</v>
      </c>
      <c r="F234" s="10" t="str" cm="1">
        <f t="array" aca="1" ref="F2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234" s="10">
        <v>2.1</v>
      </c>
      <c r="I234" s="16">
        <v>45810</v>
      </c>
      <c r="J234" s="12" t="s">
        <v>48</v>
      </c>
      <c r="K234" s="63">
        <v>45839</v>
      </c>
      <c r="L234" s="37"/>
      <c r="M234" s="10" t="str">
        <f t="shared" ca="1" si="7"/>
        <v>CLOSED</v>
      </c>
    </row>
    <row r="235" spans="1:13" s="4" customFormat="1" ht="18.75" hidden="1" x14ac:dyDescent="0.25">
      <c r="A235" s="9" t="s">
        <v>44</v>
      </c>
      <c r="B235" s="19">
        <f>VLOOKUP(Table27[[#This Row],[Location 
(drop-down)]],'List source'!D$2:E$71,2,FALSE)</f>
        <v>185</v>
      </c>
      <c r="C235" s="178" t="s">
        <v>2640</v>
      </c>
      <c r="D235" s="21" t="str">
        <f t="shared" si="6"/>
        <v>PTO0234-185-25</v>
      </c>
      <c r="E235" s="9" t="s">
        <v>2641</v>
      </c>
      <c r="F235" s="10" t="str" cm="1">
        <f t="array" aca="1" ref="F2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5" s="10">
        <v>3.08</v>
      </c>
      <c r="I235" s="16">
        <v>45810</v>
      </c>
      <c r="J235" s="12" t="s">
        <v>189</v>
      </c>
      <c r="K235" s="63">
        <v>45859</v>
      </c>
      <c r="L235" s="37"/>
      <c r="M235" s="10" t="str">
        <f t="shared" ca="1" si="7"/>
        <v>CLOSED</v>
      </c>
    </row>
    <row r="236" spans="1:13" s="4" customFormat="1" ht="18.75" hidden="1" x14ac:dyDescent="0.25">
      <c r="A236" s="9" t="s">
        <v>123</v>
      </c>
      <c r="B236" s="19">
        <f>VLOOKUP(Table27[[#This Row],[Location 
(drop-down)]],'List source'!D$2:E$71,2,FALSE)</f>
        <v>192</v>
      </c>
      <c r="C236" s="178" t="s">
        <v>2642</v>
      </c>
      <c r="D236" s="21" t="str">
        <f t="shared" si="6"/>
        <v>PTO0235-192-25</v>
      </c>
      <c r="E236" s="9" t="s">
        <v>2643</v>
      </c>
      <c r="F236" s="10" t="str" cm="1">
        <f t="array" aca="1" ref="F2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236" s="10">
        <v>2.08</v>
      </c>
      <c r="I236" s="16">
        <v>45810</v>
      </c>
      <c r="J236" s="12" t="s">
        <v>2074</v>
      </c>
      <c r="K236" s="63">
        <v>45810</v>
      </c>
      <c r="L236" s="194" t="s">
        <v>2592</v>
      </c>
      <c r="M236" s="10" t="str">
        <f t="shared" ca="1" si="7"/>
        <v>CLOSED</v>
      </c>
    </row>
    <row r="237" spans="1:13" s="4" customFormat="1" ht="18.75" hidden="1" x14ac:dyDescent="0.25">
      <c r="A237" s="9" t="s">
        <v>37</v>
      </c>
      <c r="B237" s="19">
        <f>VLOOKUP(Table27[[#This Row],[Location 
(drop-down)]],'List source'!D$2:E$71,2,FALSE)</f>
        <v>210</v>
      </c>
      <c r="C237" s="178" t="s">
        <v>2644</v>
      </c>
      <c r="D237" s="21" t="str">
        <f t="shared" si="6"/>
        <v>PTO0236-210-25</v>
      </c>
      <c r="E237" s="9" t="s">
        <v>2645</v>
      </c>
      <c r="F237" s="10" t="str" cm="1">
        <f t="array" aca="1" ref="F2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237" s="136" t="s">
        <v>2646</v>
      </c>
      <c r="I237" s="16">
        <v>45810</v>
      </c>
      <c r="J237" s="12" t="s">
        <v>252</v>
      </c>
      <c r="K237" s="63">
        <v>45961</v>
      </c>
      <c r="L237" s="37"/>
      <c r="M237" s="10" t="str">
        <f t="shared" ca="1" si="7"/>
        <v>CLOSED</v>
      </c>
    </row>
    <row r="238" spans="1:13" s="4" customFormat="1" ht="18.75" hidden="1" x14ac:dyDescent="0.25">
      <c r="A238" s="9" t="s">
        <v>46</v>
      </c>
      <c r="B238" s="19">
        <f>VLOOKUP(Table27[[#This Row],[Location 
(drop-down)]],'List source'!D$2:E$71,2,FALSE)</f>
        <v>155</v>
      </c>
      <c r="C238" s="178" t="s">
        <v>2647</v>
      </c>
      <c r="D238" s="21" t="str">
        <f t="shared" si="6"/>
        <v>PTO0237-155-25</v>
      </c>
      <c r="E238" s="9" t="s">
        <v>2648</v>
      </c>
      <c r="F238" s="10" t="str" cm="1">
        <f t="array" aca="1" ref="F2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38" s="136">
        <v>133387.98000000001</v>
      </c>
      <c r="I238" s="16">
        <v>45819</v>
      </c>
      <c r="J238" s="12" t="s">
        <v>2074</v>
      </c>
      <c r="K238" s="63">
        <v>45826</v>
      </c>
      <c r="L238" s="37" t="s">
        <v>2079</v>
      </c>
      <c r="M238" s="10" t="str">
        <f t="shared" ca="1" si="7"/>
        <v>CLOSED</v>
      </c>
    </row>
    <row r="239" spans="1:13" s="4" customFormat="1" ht="18.75" hidden="1" x14ac:dyDescent="0.25">
      <c r="A239" s="9" t="s">
        <v>46</v>
      </c>
      <c r="B239" s="19">
        <f>VLOOKUP(Table27[[#This Row],[Location 
(drop-down)]],'List source'!D$2:E$71,2,FALSE)</f>
        <v>155</v>
      </c>
      <c r="C239" s="178" t="s">
        <v>2649</v>
      </c>
      <c r="D239" s="21" t="str">
        <f t="shared" si="6"/>
        <v>PTO0238-155-25</v>
      </c>
      <c r="E239" s="9" t="s">
        <v>2650</v>
      </c>
      <c r="F239" s="10" t="str" cm="1">
        <f t="array" aca="1" ref="F2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9" s="10" t="s">
        <v>2651</v>
      </c>
      <c r="I239" s="16">
        <v>45819</v>
      </c>
      <c r="J239" s="12" t="s">
        <v>2074</v>
      </c>
      <c r="K239" s="63">
        <v>45826</v>
      </c>
      <c r="L239" s="37" t="s">
        <v>2079</v>
      </c>
      <c r="M239" s="10" t="str">
        <f t="shared" ca="1" si="7"/>
        <v>CLOSED</v>
      </c>
    </row>
    <row r="240" spans="1:13" s="4" customFormat="1" ht="18.75" hidden="1" x14ac:dyDescent="0.25">
      <c r="A240" s="9" t="s">
        <v>46</v>
      </c>
      <c r="B240" s="19">
        <f>VLOOKUP(Table27[[#This Row],[Location 
(drop-down)]],'List source'!D$2:E$71,2,FALSE)</f>
        <v>155</v>
      </c>
      <c r="C240" s="178" t="s">
        <v>2652</v>
      </c>
      <c r="D240" s="21" t="str">
        <f t="shared" si="6"/>
        <v>PTO0239-155-25</v>
      </c>
      <c r="E240" s="9" t="s">
        <v>2653</v>
      </c>
      <c r="F240" s="10" t="str" cm="1">
        <f t="array" aca="1" ref="F2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40" s="227" t="s">
        <v>2654</v>
      </c>
      <c r="I240" s="16">
        <v>45819</v>
      </c>
      <c r="J240" s="12" t="s">
        <v>2074</v>
      </c>
      <c r="K240" s="63">
        <v>45826</v>
      </c>
      <c r="L240" s="37" t="s">
        <v>2079</v>
      </c>
      <c r="M240" s="10" t="str">
        <f t="shared" ca="1" si="7"/>
        <v>CLOSED</v>
      </c>
    </row>
    <row r="241" spans="1:13" s="4" customFormat="1" ht="30" hidden="1" x14ac:dyDescent="0.25">
      <c r="A241" s="9" t="s">
        <v>107</v>
      </c>
      <c r="B241" s="19">
        <f>VLOOKUP(Table27[[#This Row],[Location 
(drop-down)]],'List source'!D$2:E$71,2,FALSE)</f>
        <v>170</v>
      </c>
      <c r="C241" s="178" t="s">
        <v>2655</v>
      </c>
      <c r="D241" s="21" t="str">
        <f t="shared" si="6"/>
        <v>PTO0240-170-25</v>
      </c>
      <c r="E241" s="9" t="s">
        <v>2656</v>
      </c>
      <c r="F241" s="10" t="str" cm="1">
        <f t="array" aca="1" ref="F2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41" s="10">
        <v>2.75</v>
      </c>
      <c r="I241" s="16">
        <v>45810</v>
      </c>
      <c r="J241" s="12" t="s">
        <v>2074</v>
      </c>
      <c r="K241" s="63">
        <v>45810</v>
      </c>
      <c r="L241" s="194" t="s">
        <v>2592</v>
      </c>
      <c r="M241" s="10" t="str">
        <f t="shared" ca="1" si="7"/>
        <v>CLOSED</v>
      </c>
    </row>
    <row r="242" spans="1:13" s="4" customFormat="1" ht="30" hidden="1" x14ac:dyDescent="0.25">
      <c r="A242" s="9" t="s">
        <v>107</v>
      </c>
      <c r="B242" s="19">
        <f>VLOOKUP(Table27[[#This Row],[Location 
(drop-down)]],'List source'!D$2:E$71,2,FALSE)</f>
        <v>170</v>
      </c>
      <c r="C242" s="178" t="s">
        <v>2657</v>
      </c>
      <c r="D242" s="226" t="str">
        <f t="shared" si="6"/>
        <v>PTO0241-170-25</v>
      </c>
      <c r="E242" s="9" t="s">
        <v>2658</v>
      </c>
      <c r="F242" s="10" t="str" cm="1">
        <f t="array" aca="1" ref="F2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42" s="10">
        <v>2.4900000000000002</v>
      </c>
      <c r="I242" s="16">
        <v>45810</v>
      </c>
      <c r="J242" s="12" t="s">
        <v>109</v>
      </c>
      <c r="K242" s="63">
        <v>45868</v>
      </c>
      <c r="L242" s="338" t="s">
        <v>2659</v>
      </c>
      <c r="M242" s="10" t="str">
        <f t="shared" ca="1" si="7"/>
        <v>CLOSED</v>
      </c>
    </row>
    <row r="243" spans="1:13" s="4" customFormat="1" ht="30" hidden="1" x14ac:dyDescent="0.25">
      <c r="A243" s="9" t="s">
        <v>107</v>
      </c>
      <c r="B243" s="19">
        <f>VLOOKUP(Table27[[#This Row],[Location 
(drop-down)]],'List source'!D$2:E$71,2,FALSE)</f>
        <v>170</v>
      </c>
      <c r="C243" s="178" t="s">
        <v>2660</v>
      </c>
      <c r="D243" s="21" t="str">
        <f t="shared" si="6"/>
        <v>PTO0242-170-25</v>
      </c>
      <c r="E243" s="9" t="s">
        <v>2661</v>
      </c>
      <c r="F243" s="10" t="str" cm="1">
        <f t="array" aca="1" ref="F2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243" s="10">
        <v>2.31</v>
      </c>
      <c r="I243" s="16">
        <v>45810</v>
      </c>
      <c r="J243" s="12" t="s">
        <v>2074</v>
      </c>
      <c r="K243" s="63">
        <v>45810</v>
      </c>
      <c r="L243" s="194" t="s">
        <v>2592</v>
      </c>
      <c r="M243" s="10" t="str">
        <f t="shared" ca="1" si="7"/>
        <v>CLOSED</v>
      </c>
    </row>
    <row r="244" spans="1:13" s="4" customFormat="1" ht="30" hidden="1" x14ac:dyDescent="0.25">
      <c r="A244" s="9" t="s">
        <v>151</v>
      </c>
      <c r="B244" s="19">
        <f>VLOOKUP(Table27[[#This Row],[Location 
(drop-down)]],'List source'!D$2:E$71,2,FALSE)</f>
        <v>115</v>
      </c>
      <c r="C244" s="178" t="s">
        <v>2662</v>
      </c>
      <c r="D244" s="21" t="str">
        <f t="shared" si="6"/>
        <v>PTO0243-115-25</v>
      </c>
      <c r="E244" s="9" t="s">
        <v>2663</v>
      </c>
      <c r="F244" s="10" t="s">
        <v>2664</v>
      </c>
      <c r="G2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&amp; TM12-24; D2699 - Octane Number</v>
      </c>
      <c r="H244" s="136" t="s">
        <v>2665</v>
      </c>
      <c r="I244" s="16">
        <v>45811</v>
      </c>
      <c r="J244" s="12" t="s">
        <v>109</v>
      </c>
      <c r="K244" s="167">
        <v>45869</v>
      </c>
      <c r="L244" s="200"/>
      <c r="M244" s="10" t="str">
        <f t="shared" ca="1" si="7"/>
        <v>CLOSED</v>
      </c>
    </row>
    <row r="245" spans="1:13" s="4" customFormat="1" ht="18.75" hidden="1" x14ac:dyDescent="0.25">
      <c r="A245" s="9" t="s">
        <v>86</v>
      </c>
      <c r="B245" s="19">
        <f>VLOOKUP(Table27[[#This Row],[Location 
(drop-down)]],'List source'!D$2:E$71,2,FALSE)</f>
        <v>150</v>
      </c>
      <c r="C245" s="178" t="s">
        <v>2666</v>
      </c>
      <c r="D245" s="21" t="str">
        <f t="shared" si="6"/>
        <v>PTO0244-150-25</v>
      </c>
      <c r="E245" s="9" t="s">
        <v>2667</v>
      </c>
      <c r="F245" s="10" t="s">
        <v>2664</v>
      </c>
      <c r="G2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245" s="136" t="s">
        <v>2668</v>
      </c>
      <c r="I245" s="16">
        <v>45811</v>
      </c>
      <c r="J245" s="14" t="s">
        <v>18</v>
      </c>
      <c r="K245" s="167">
        <v>46022</v>
      </c>
      <c r="L245" s="328"/>
      <c r="M245" s="10" t="str">
        <f t="shared" ca="1" si="7"/>
        <v>CLOSED</v>
      </c>
    </row>
    <row r="246" spans="1:13" s="4" customFormat="1" ht="30" hidden="1" x14ac:dyDescent="0.25">
      <c r="A246" s="9" t="s">
        <v>46</v>
      </c>
      <c r="B246" s="19">
        <f>VLOOKUP(Table27[[#This Row],[Location 
(drop-down)]],'List source'!D$2:E$71,2,FALSE)</f>
        <v>155</v>
      </c>
      <c r="C246" s="178" t="s">
        <v>2669</v>
      </c>
      <c r="D246" s="21" t="str">
        <f t="shared" si="6"/>
        <v>PTO0245-155-25</v>
      </c>
      <c r="E246" s="9" t="s">
        <v>2670</v>
      </c>
      <c r="F246" s="10" t="s">
        <v>2664</v>
      </c>
      <c r="G246" s="9" t="s">
        <v>2671</v>
      </c>
      <c r="H246" s="10" t="s">
        <v>2672</v>
      </c>
      <c r="I246" s="16">
        <v>45811</v>
      </c>
      <c r="J246" s="12"/>
      <c r="K246" s="63"/>
      <c r="L246" s="37"/>
      <c r="M246" s="10">
        <f t="shared" ca="1" si="7"/>
        <v>266</v>
      </c>
    </row>
    <row r="247" spans="1:13" s="4" customFormat="1" ht="30" hidden="1" x14ac:dyDescent="0.25">
      <c r="A247" s="9" t="s">
        <v>79</v>
      </c>
      <c r="B247" s="19">
        <f>VLOOKUP(Table27[[#This Row],[Location 
(drop-down)]],'List source'!D$2:E$71,2,FALSE)</f>
        <v>160</v>
      </c>
      <c r="C247" s="178" t="s">
        <v>2673</v>
      </c>
      <c r="D247" s="21" t="str">
        <f t="shared" si="6"/>
        <v>PTO0246-160-25</v>
      </c>
      <c r="E247" s="291" t="s">
        <v>2674</v>
      </c>
      <c r="F247" s="10" t="s">
        <v>2664</v>
      </c>
      <c r="G2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47" s="136" t="s">
        <v>2181</v>
      </c>
      <c r="I247" s="16">
        <v>45811</v>
      </c>
      <c r="J247" s="12" t="s">
        <v>2074</v>
      </c>
      <c r="K247" s="63">
        <v>45811</v>
      </c>
      <c r="L247" s="37" t="s">
        <v>2075</v>
      </c>
      <c r="M247" s="10" t="str">
        <f t="shared" ca="1" si="7"/>
        <v>CLOSED</v>
      </c>
    </row>
    <row r="248" spans="1:13" s="4" customFormat="1" ht="30" hidden="1" x14ac:dyDescent="0.25">
      <c r="A248" s="9" t="s">
        <v>107</v>
      </c>
      <c r="B248" s="19">
        <f>VLOOKUP(Table27[[#This Row],[Location 
(drop-down)]],'List source'!D$2:E$71,2,FALSE)</f>
        <v>170</v>
      </c>
      <c r="C248" s="178" t="s">
        <v>2675</v>
      </c>
      <c r="D248" s="21" t="str">
        <f t="shared" si="6"/>
        <v>PTO0247-170-25</v>
      </c>
      <c r="E248" s="9" t="s">
        <v>2676</v>
      </c>
      <c r="F248" s="10" t="s">
        <v>2664</v>
      </c>
      <c r="G2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248" s="10">
        <v>2.42</v>
      </c>
      <c r="I248" s="12">
        <v>45811</v>
      </c>
      <c r="J248" s="12" t="s">
        <v>109</v>
      </c>
      <c r="K248" s="63">
        <v>45847</v>
      </c>
      <c r="L248" s="37"/>
      <c r="M248" s="10" t="str">
        <f t="shared" ca="1" si="7"/>
        <v>CLOSED</v>
      </c>
    </row>
    <row r="249" spans="1:13" s="4" customFormat="1" ht="18.75" hidden="1" x14ac:dyDescent="0.25">
      <c r="A249" s="9" t="s">
        <v>86</v>
      </c>
      <c r="B249" s="19">
        <f>VLOOKUP(Table27[[#This Row],[Location 
(drop-down)]],'List source'!D$2:E$71,2,FALSE)</f>
        <v>150</v>
      </c>
      <c r="C249" s="178" t="s">
        <v>2677</v>
      </c>
      <c r="D249" s="21" t="str">
        <f t="shared" si="6"/>
        <v>PTO0248-150-25</v>
      </c>
      <c r="E249" s="9" t="s">
        <v>2678</v>
      </c>
      <c r="F249" s="10" t="s">
        <v>2664</v>
      </c>
      <c r="G2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249" s="10">
        <v>2.58</v>
      </c>
      <c r="I249" s="12">
        <v>45811</v>
      </c>
      <c r="J249" s="12" t="s">
        <v>18</v>
      </c>
      <c r="K249" s="63">
        <v>46022</v>
      </c>
      <c r="L249" s="37"/>
      <c r="M249" s="10" t="str">
        <f t="shared" ca="1" si="7"/>
        <v>CLOSED</v>
      </c>
    </row>
    <row r="250" spans="1:13" s="4" customFormat="1" ht="18.75" hidden="1" x14ac:dyDescent="0.25">
      <c r="A250" s="9" t="s">
        <v>25</v>
      </c>
      <c r="B250" s="19">
        <f>VLOOKUP(Table27[[#This Row],[Location 
(drop-down)]],'List source'!D$2:E$71,2,FALSE)</f>
        <v>158</v>
      </c>
      <c r="C250" s="178" t="s">
        <v>2679</v>
      </c>
      <c r="D250" s="21" t="str">
        <f t="shared" si="6"/>
        <v>PTO0249-158-25</v>
      </c>
      <c r="E250" s="9" t="s">
        <v>2680</v>
      </c>
      <c r="F250" s="10" t="s">
        <v>2664</v>
      </c>
      <c r="G2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250" s="136" t="s">
        <v>2681</v>
      </c>
      <c r="I250" s="12">
        <v>45811</v>
      </c>
      <c r="J250" s="12" t="s">
        <v>82</v>
      </c>
      <c r="K250" s="63">
        <v>45824</v>
      </c>
      <c r="L250" s="37"/>
      <c r="M250" s="10" t="str">
        <f t="shared" ca="1" si="7"/>
        <v>CLOSED</v>
      </c>
    </row>
    <row r="251" spans="1:13" s="4" customFormat="1" ht="18.75" hidden="1" x14ac:dyDescent="0.25">
      <c r="A251" s="9" t="s">
        <v>79</v>
      </c>
      <c r="B251" s="19">
        <f>VLOOKUP(Table27[[#This Row],[Location 
(drop-down)]],'List source'!D$2:E$71,2,FALSE)</f>
        <v>160</v>
      </c>
      <c r="C251" s="178" t="s">
        <v>2682</v>
      </c>
      <c r="D251" s="21" t="str">
        <f t="shared" si="6"/>
        <v>PTO0250-160-25</v>
      </c>
      <c r="E251" s="9" t="s">
        <v>2683</v>
      </c>
      <c r="F251" s="10" t="s">
        <v>2664</v>
      </c>
      <c r="G2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51" s="136" t="s">
        <v>2684</v>
      </c>
      <c r="I251" s="12">
        <v>45811</v>
      </c>
      <c r="J251" s="12" t="s">
        <v>18</v>
      </c>
      <c r="K251" s="63">
        <v>45874</v>
      </c>
      <c r="L251" s="37"/>
      <c r="M251" s="10" t="str">
        <f t="shared" ca="1" si="7"/>
        <v>CLOSED</v>
      </c>
    </row>
    <row r="252" spans="1:13" s="4" customFormat="1" ht="18.75" hidden="1" x14ac:dyDescent="0.25">
      <c r="A252" s="9" t="s">
        <v>151</v>
      </c>
      <c r="B252" s="19">
        <f>VLOOKUP(Table27[[#This Row],[Location 
(drop-down)]],'List source'!D$2:E$71,2,FALSE)</f>
        <v>115</v>
      </c>
      <c r="C252" s="178" t="s">
        <v>2685</v>
      </c>
      <c r="D252" s="21" t="str">
        <f t="shared" si="6"/>
        <v>PTO0251-115-25</v>
      </c>
      <c r="E252" s="9" t="s">
        <v>2686</v>
      </c>
      <c r="F252" s="10" t="s">
        <v>2664</v>
      </c>
      <c r="G2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252" s="10">
        <v>4.0999999999999996</v>
      </c>
      <c r="I252" s="12">
        <v>45811</v>
      </c>
      <c r="J252" s="12" t="s">
        <v>109</v>
      </c>
      <c r="K252" s="63">
        <v>45890</v>
      </c>
      <c r="L252" s="37"/>
      <c r="M252" s="10" t="str">
        <f t="shared" ca="1" si="7"/>
        <v>CLOSED</v>
      </c>
    </row>
    <row r="253" spans="1:13" s="4" customFormat="1" ht="18.75" hidden="1" x14ac:dyDescent="0.25">
      <c r="A253" s="9" t="s">
        <v>151</v>
      </c>
      <c r="B253" s="19">
        <f>VLOOKUP(Table27[[#This Row],[Location 
(drop-down)]],'List source'!D$2:E$71,2,FALSE)</f>
        <v>115</v>
      </c>
      <c r="C253" s="178" t="s">
        <v>2687</v>
      </c>
      <c r="D253" s="21" t="str">
        <f t="shared" si="6"/>
        <v>PTO0252-115-25</v>
      </c>
      <c r="E253" s="9" t="s">
        <v>2688</v>
      </c>
      <c r="F253" s="10" t="s">
        <v>2664</v>
      </c>
      <c r="G2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53" s="10">
        <v>2.4300000000000002</v>
      </c>
      <c r="I253" s="12">
        <v>45811</v>
      </c>
      <c r="J253" s="12" t="s">
        <v>109</v>
      </c>
      <c r="K253" s="63">
        <v>45951</v>
      </c>
      <c r="L253" s="328"/>
      <c r="M253" s="10" t="str">
        <f t="shared" ca="1" si="7"/>
        <v>CLOSED</v>
      </c>
    </row>
    <row r="254" spans="1:13" s="4" customFormat="1" ht="30" hidden="1" x14ac:dyDescent="0.25">
      <c r="A254" s="9" t="s">
        <v>107</v>
      </c>
      <c r="B254" s="19">
        <f>VLOOKUP(Table27[[#This Row],[Location 
(drop-down)]],'List source'!D$2:E$71,2,FALSE)</f>
        <v>170</v>
      </c>
      <c r="C254" s="178" t="s">
        <v>2689</v>
      </c>
      <c r="D254" s="21" t="str">
        <f t="shared" si="6"/>
        <v>PTO0253-170-25</v>
      </c>
      <c r="E254" s="171" t="s">
        <v>2690</v>
      </c>
      <c r="F254" s="10" t="s">
        <v>2664</v>
      </c>
      <c r="G2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54" s="228" t="s">
        <v>2411</v>
      </c>
      <c r="I254" s="12">
        <v>45811</v>
      </c>
      <c r="J254" s="12" t="s">
        <v>2074</v>
      </c>
      <c r="K254" s="63">
        <v>45847</v>
      </c>
      <c r="L254" s="37" t="s">
        <v>2079</v>
      </c>
      <c r="M254" s="10" t="str">
        <f t="shared" ca="1" si="7"/>
        <v>CLOSED</v>
      </c>
    </row>
    <row r="255" spans="1:13" s="4" customFormat="1" ht="30" hidden="1" x14ac:dyDescent="0.25">
      <c r="A255" s="9" t="s">
        <v>151</v>
      </c>
      <c r="B255" s="19">
        <f>VLOOKUP(Table27[[#This Row],[Location 
(drop-down)]],'List source'!D$2:E$71,2,FALSE)</f>
        <v>115</v>
      </c>
      <c r="C255" s="178" t="s">
        <v>2691</v>
      </c>
      <c r="D255" s="21" t="str">
        <f t="shared" si="6"/>
        <v>PTO0254-115-25</v>
      </c>
      <c r="E255" s="171" t="s">
        <v>2692</v>
      </c>
      <c r="F255" s="10" t="s">
        <v>2664</v>
      </c>
      <c r="G2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55" s="229">
        <v>2.7</v>
      </c>
      <c r="I255" s="12">
        <v>45811</v>
      </c>
      <c r="J255" s="12" t="s">
        <v>2074</v>
      </c>
      <c r="K255" s="63">
        <v>45811</v>
      </c>
      <c r="L255" s="37" t="s">
        <v>2592</v>
      </c>
      <c r="M255" s="10" t="str">
        <f t="shared" ca="1" si="7"/>
        <v>CLOSED</v>
      </c>
    </row>
    <row r="256" spans="1:13" s="4" customFormat="1" ht="30" hidden="1" x14ac:dyDescent="0.25">
      <c r="A256" s="9" t="s">
        <v>86</v>
      </c>
      <c r="B256" s="19">
        <f>VLOOKUP(Table27[[#This Row],[Location 
(drop-down)]],'List source'!D$2:E$71,2,FALSE)</f>
        <v>150</v>
      </c>
      <c r="C256" s="178" t="s">
        <v>2693</v>
      </c>
      <c r="D256" s="21" t="str">
        <f t="shared" si="6"/>
        <v>PTO0255-150-25</v>
      </c>
      <c r="E256" s="172" t="s">
        <v>2694</v>
      </c>
      <c r="F256" s="10" t="s">
        <v>2664</v>
      </c>
      <c r="G2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256" s="287" t="s">
        <v>2695</v>
      </c>
      <c r="I256" s="12">
        <v>45811</v>
      </c>
      <c r="J256" s="12" t="s">
        <v>2074</v>
      </c>
      <c r="K256" s="63">
        <v>45811</v>
      </c>
      <c r="L256" s="37" t="s">
        <v>2288</v>
      </c>
      <c r="M256" s="10" t="str">
        <f t="shared" ca="1" si="7"/>
        <v>CLOSED</v>
      </c>
    </row>
    <row r="257" spans="1:13" s="4" customFormat="1" ht="18.75" hidden="1" x14ac:dyDescent="0.25">
      <c r="A257" s="9" t="s">
        <v>46</v>
      </c>
      <c r="B257" s="19">
        <f>VLOOKUP(Table27[[#This Row],[Location 
(drop-down)]],'List source'!D$2:E$71,2,FALSE)</f>
        <v>155</v>
      </c>
      <c r="C257" s="178" t="s">
        <v>2696</v>
      </c>
      <c r="D257" s="21" t="str">
        <f t="shared" si="6"/>
        <v>PTO0256-155-25</v>
      </c>
      <c r="E257" s="9" t="s">
        <v>2697</v>
      </c>
      <c r="F257" s="10" t="s">
        <v>2664</v>
      </c>
      <c r="G2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257" s="136" t="s">
        <v>2698</v>
      </c>
      <c r="I257" s="12">
        <v>45811</v>
      </c>
      <c r="J257" s="12" t="s">
        <v>82</v>
      </c>
      <c r="K257" s="63">
        <v>45871</v>
      </c>
      <c r="L257" s="37"/>
      <c r="M257" s="10" t="str">
        <f t="shared" ca="1" si="7"/>
        <v>CLOSED</v>
      </c>
    </row>
    <row r="258" spans="1:13" s="4" customFormat="1" ht="18.75" hidden="1" x14ac:dyDescent="0.25">
      <c r="A258" s="9" t="s">
        <v>46</v>
      </c>
      <c r="B258" s="19">
        <f>VLOOKUP(Table27[[#This Row],[Location 
(drop-down)]],'List source'!D$2:E$71,2,FALSE)</f>
        <v>155</v>
      </c>
      <c r="C258" s="178" t="s">
        <v>2699</v>
      </c>
      <c r="D258" s="21" t="str">
        <f t="shared" ref="D258:D321" si="8">"PTO" &amp; C258 &amp; "-" &amp; B258 &amp; "-" &amp; "25"</f>
        <v>PTO0257-155-25</v>
      </c>
      <c r="E258" s="9" t="s">
        <v>2700</v>
      </c>
      <c r="F258" s="10" t="s">
        <v>2664</v>
      </c>
      <c r="G2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58" s="136" t="s">
        <v>2701</v>
      </c>
      <c r="I258" s="12">
        <v>45811</v>
      </c>
      <c r="J258" s="12" t="s">
        <v>2074</v>
      </c>
      <c r="K258" s="63">
        <v>46005</v>
      </c>
      <c r="L258" s="37" t="s">
        <v>2079</v>
      </c>
      <c r="M258" s="10" t="str">
        <f t="shared" ref="M258:M321" ca="1" si="9">IF(ISBLANK(K258), TODAY()-(I258), "CLOSED")</f>
        <v>CLOSED</v>
      </c>
    </row>
    <row r="259" spans="1:13" s="4" customFormat="1" ht="30" hidden="1" x14ac:dyDescent="0.25">
      <c r="A259" s="9" t="s">
        <v>94</v>
      </c>
      <c r="B259" s="19">
        <f>VLOOKUP(Table27[[#This Row],[Location 
(drop-down)]],'List source'!D$2:E$71,2,FALSE)</f>
        <v>120</v>
      </c>
      <c r="C259" s="178" t="s">
        <v>2702</v>
      </c>
      <c r="D259" s="21" t="str">
        <f t="shared" si="8"/>
        <v>PTO0258-120-25</v>
      </c>
      <c r="E259" s="291" t="s">
        <v>2703</v>
      </c>
      <c r="F259" s="10" t="s">
        <v>2704</v>
      </c>
      <c r="G2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D5006 - Fuel System Icing Inhibitors</v>
      </c>
      <c r="H259" s="321">
        <v>-10.61</v>
      </c>
      <c r="I259" s="166">
        <v>45813</v>
      </c>
      <c r="J259" s="12" t="s">
        <v>82</v>
      </c>
      <c r="K259" s="63">
        <v>45887</v>
      </c>
      <c r="L259" s="328"/>
      <c r="M259" s="10" t="str">
        <f t="shared" ca="1" si="9"/>
        <v>CLOSED</v>
      </c>
    </row>
    <row r="260" spans="1:13" s="4" customFormat="1" ht="18.75" hidden="1" x14ac:dyDescent="0.25">
      <c r="A260" s="9" t="s">
        <v>94</v>
      </c>
      <c r="B260" s="19">
        <f>VLOOKUP(Table27[[#This Row],[Location 
(drop-down)]],'List source'!D$2:E$71,2,FALSE)</f>
        <v>120</v>
      </c>
      <c r="C260" s="178" t="s">
        <v>2705</v>
      </c>
      <c r="D260" s="21" t="str">
        <f t="shared" si="8"/>
        <v>PTO0259-120-25</v>
      </c>
      <c r="E260" s="9" t="s">
        <v>2706</v>
      </c>
      <c r="F260" s="10" t="s">
        <v>2704</v>
      </c>
      <c r="G2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260" s="136" t="s">
        <v>2707</v>
      </c>
      <c r="I260" s="12">
        <v>45813</v>
      </c>
      <c r="J260" s="12" t="s">
        <v>82</v>
      </c>
      <c r="K260" s="63">
        <v>45887</v>
      </c>
      <c r="L260" s="37"/>
      <c r="M260" s="10" t="str">
        <f t="shared" ca="1" si="9"/>
        <v>CLOSED</v>
      </c>
    </row>
    <row r="261" spans="1:13" s="4" customFormat="1" ht="18.75" hidden="1" x14ac:dyDescent="0.25">
      <c r="A261" s="9" t="s">
        <v>94</v>
      </c>
      <c r="B261" s="19">
        <f>VLOOKUP(Table27[[#This Row],[Location 
(drop-down)]],'List source'!D$2:E$71,2,FALSE)</f>
        <v>120</v>
      </c>
      <c r="C261" s="178" t="s">
        <v>2708</v>
      </c>
      <c r="D261" s="21" t="str">
        <f t="shared" si="8"/>
        <v>PTO0260-120-25</v>
      </c>
      <c r="E261" s="294" t="s">
        <v>2709</v>
      </c>
      <c r="F261" s="10" t="s">
        <v>2704</v>
      </c>
      <c r="G2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D1094 - Water Reaction</v>
      </c>
      <c r="H261" s="317">
        <v>3.47</v>
      </c>
      <c r="I261" s="12">
        <v>45813</v>
      </c>
      <c r="J261" s="12" t="s">
        <v>82</v>
      </c>
      <c r="K261" s="63">
        <v>45915</v>
      </c>
      <c r="L261" s="37"/>
      <c r="M261" s="10" t="str">
        <f t="shared" ca="1" si="9"/>
        <v>CLOSED</v>
      </c>
    </row>
    <row r="262" spans="1:13" s="4" customFormat="1" ht="30" hidden="1" x14ac:dyDescent="0.25">
      <c r="A262" s="9" t="s">
        <v>46</v>
      </c>
      <c r="B262" s="19">
        <f>VLOOKUP(Table27[[#This Row],[Location 
(drop-down)]],'List source'!D$2:E$71,2,FALSE)</f>
        <v>155</v>
      </c>
      <c r="C262" s="178" t="s">
        <v>2710</v>
      </c>
      <c r="D262" s="21" t="str">
        <f t="shared" si="8"/>
        <v>PTOn-155-25</v>
      </c>
      <c r="E262" s="79" t="s">
        <v>2711</v>
      </c>
      <c r="F262" s="10" t="s">
        <v>2704</v>
      </c>
      <c r="G2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62" s="183" t="s">
        <v>2712</v>
      </c>
      <c r="I262" s="12">
        <v>45813</v>
      </c>
      <c r="J262" s="12" t="s">
        <v>18</v>
      </c>
      <c r="K262" s="63">
        <v>45973</v>
      </c>
      <c r="L262" s="37"/>
      <c r="M262" s="10" t="str">
        <f t="shared" ca="1" si="9"/>
        <v>CLOSED</v>
      </c>
    </row>
    <row r="263" spans="1:13" s="4" customFormat="1" ht="30" hidden="1" x14ac:dyDescent="0.25">
      <c r="A263" s="9" t="s">
        <v>46</v>
      </c>
      <c r="B263" s="19">
        <f>VLOOKUP(Table27[[#This Row],[Location 
(drop-down)]],'List source'!D$2:E$71,2,FALSE)</f>
        <v>155</v>
      </c>
      <c r="C263" s="178" t="s">
        <v>2713</v>
      </c>
      <c r="D263" s="21" t="str">
        <f t="shared" si="8"/>
        <v>PTO0262-155-25</v>
      </c>
      <c r="E263" s="79" t="s">
        <v>2714</v>
      </c>
      <c r="F263" s="10" t="s">
        <v>2704</v>
      </c>
      <c r="G2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D3338/D3338M - Net Heta of Combustion</v>
      </c>
      <c r="H263" s="183" t="s">
        <v>2715</v>
      </c>
      <c r="I263" s="12">
        <v>45813</v>
      </c>
      <c r="J263" s="12" t="s">
        <v>82</v>
      </c>
      <c r="K263" s="63">
        <v>46065</v>
      </c>
      <c r="L263" s="37"/>
      <c r="M263" s="10" t="str">
        <f t="shared" ca="1" si="9"/>
        <v>CLOSED</v>
      </c>
    </row>
    <row r="264" spans="1:13" s="4" customFormat="1" ht="30" hidden="1" x14ac:dyDescent="0.25">
      <c r="A264" s="9" t="s">
        <v>151</v>
      </c>
      <c r="B264" s="19">
        <f>VLOOKUP(Table27[[#This Row],[Location 
(drop-down)]],'List source'!D$2:E$71,2,FALSE)</f>
        <v>115</v>
      </c>
      <c r="C264" s="178" t="s">
        <v>2716</v>
      </c>
      <c r="D264" s="21" t="str">
        <f t="shared" si="8"/>
        <v>PTO0263-115-25</v>
      </c>
      <c r="E264" s="79" t="s">
        <v>2717</v>
      </c>
      <c r="F264" s="10" t="str" cm="1">
        <f t="array" aca="1" ref="F2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264" s="160">
        <v>2.65</v>
      </c>
      <c r="I264" s="12">
        <v>45813</v>
      </c>
      <c r="J264" s="12" t="s">
        <v>109</v>
      </c>
      <c r="K264" s="63">
        <v>45852</v>
      </c>
      <c r="L264" s="37"/>
      <c r="M264" s="10" t="str">
        <f t="shared" ca="1" si="9"/>
        <v>CLOSED</v>
      </c>
    </row>
    <row r="265" spans="1:13" s="4" customFormat="1" ht="18.75" hidden="1" x14ac:dyDescent="0.25">
      <c r="A265" s="9" t="s">
        <v>151</v>
      </c>
      <c r="B265" s="19">
        <f>VLOOKUP(Table27[[#This Row],[Location 
(drop-down)]],'List source'!D$2:E$71,2,FALSE)</f>
        <v>115</v>
      </c>
      <c r="C265" s="178" t="s">
        <v>2718</v>
      </c>
      <c r="D265" s="21" t="str">
        <f t="shared" si="8"/>
        <v>PTO0264-115-25</v>
      </c>
      <c r="E265" s="79" t="s">
        <v>2719</v>
      </c>
      <c r="F265" s="10" t="str" cm="1">
        <f t="array" aca="1" ref="F2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265" s="183" t="s">
        <v>2720</v>
      </c>
      <c r="I265" s="12">
        <v>45813</v>
      </c>
      <c r="J265" s="12" t="s">
        <v>109</v>
      </c>
      <c r="K265" s="63">
        <v>45923</v>
      </c>
      <c r="L265" s="37"/>
      <c r="M265" s="10" t="str">
        <f t="shared" ca="1" si="9"/>
        <v>CLOSED</v>
      </c>
    </row>
    <row r="266" spans="1:13" s="4" customFormat="1" ht="30" hidden="1" x14ac:dyDescent="0.25">
      <c r="A266" s="9" t="s">
        <v>151</v>
      </c>
      <c r="B266" s="19">
        <f>VLOOKUP(Table27[[#This Row],[Location 
(drop-down)]],'List source'!D$2:E$71,2,FALSE)</f>
        <v>115</v>
      </c>
      <c r="C266" s="178" t="s">
        <v>2721</v>
      </c>
      <c r="D266" s="21" t="str">
        <f t="shared" si="8"/>
        <v>PTO0265-115-25</v>
      </c>
      <c r="E266" s="79" t="s">
        <v>2722</v>
      </c>
      <c r="F266" s="10" t="str" cm="1">
        <f t="array" aca="1" ref="F2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66" s="183" t="s">
        <v>2723</v>
      </c>
      <c r="I266" s="12">
        <v>45813</v>
      </c>
      <c r="J266" s="12" t="s">
        <v>2074</v>
      </c>
      <c r="K266" s="63">
        <v>45813</v>
      </c>
      <c r="L266" s="37" t="s">
        <v>2592</v>
      </c>
      <c r="M266" s="10" t="str">
        <f t="shared" ca="1" si="9"/>
        <v>CLOSED</v>
      </c>
    </row>
    <row r="267" spans="1:13" s="4" customFormat="1" ht="18.75" hidden="1" x14ac:dyDescent="0.25">
      <c r="A267" s="9" t="s">
        <v>117</v>
      </c>
      <c r="B267" s="19">
        <f>VLOOKUP(Table27[[#This Row],[Location 
(drop-down)]],'List source'!D$2:E$71,2,FALSE)</f>
        <v>125</v>
      </c>
      <c r="C267" s="178" t="s">
        <v>2724</v>
      </c>
      <c r="D267" s="21" t="str">
        <f t="shared" si="8"/>
        <v>PTO0266-125-25</v>
      </c>
      <c r="E267" s="79" t="s">
        <v>2725</v>
      </c>
      <c r="F267" s="10" t="str" cm="1">
        <f t="array" aca="1" ref="F2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67" s="160">
        <v>8.9600000000000009</v>
      </c>
      <c r="I267" s="12">
        <v>45813</v>
      </c>
      <c r="J267" s="12"/>
      <c r="K267" s="63"/>
      <c r="L267" s="328"/>
      <c r="M267" s="10">
        <f t="shared" ca="1" si="9"/>
        <v>264</v>
      </c>
    </row>
    <row r="268" spans="1:13" s="4" customFormat="1" ht="30" hidden="1" x14ac:dyDescent="0.25">
      <c r="A268" s="9" t="s">
        <v>117</v>
      </c>
      <c r="B268" s="19">
        <f>VLOOKUP(Table27[[#This Row],[Location 
(drop-down)]],'List source'!D$2:E$71,2,FALSE)</f>
        <v>125</v>
      </c>
      <c r="C268" s="178" t="s">
        <v>2726</v>
      </c>
      <c r="D268" s="21" t="str">
        <f t="shared" si="8"/>
        <v>PTO0267-125-25</v>
      </c>
      <c r="E268" s="79" t="s">
        <v>2727</v>
      </c>
      <c r="F268" s="10" t="str" cm="1">
        <f t="array" aca="1" ref="F2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68" s="183" t="s">
        <v>2728</v>
      </c>
      <c r="I268" s="12">
        <v>45813</v>
      </c>
      <c r="J268" s="12"/>
      <c r="K268" s="63"/>
      <c r="L268" s="37"/>
      <c r="M268" s="10">
        <f t="shared" ca="1" si="9"/>
        <v>264</v>
      </c>
    </row>
    <row r="269" spans="1:13" s="4" customFormat="1" ht="30" hidden="1" x14ac:dyDescent="0.25">
      <c r="A269" s="9" t="s">
        <v>117</v>
      </c>
      <c r="B269" s="19">
        <f>VLOOKUP(Table27[[#This Row],[Location 
(drop-down)]],'List source'!D$2:E$71,2,FALSE)</f>
        <v>125</v>
      </c>
      <c r="C269" s="178" t="s">
        <v>2729</v>
      </c>
      <c r="D269" s="21" t="str">
        <f t="shared" si="8"/>
        <v>PTO0268-125-25</v>
      </c>
      <c r="E269" s="79" t="s">
        <v>2730</v>
      </c>
      <c r="F269" s="10" t="str" cm="1">
        <f t="array" aca="1" ref="F2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9"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69" s="160">
        <v>2.0099999999999998</v>
      </c>
      <c r="I269" s="12">
        <v>45813</v>
      </c>
      <c r="J269" s="12" t="s">
        <v>2074</v>
      </c>
      <c r="K269" s="63">
        <v>45813</v>
      </c>
      <c r="L269" s="37" t="s">
        <v>2592</v>
      </c>
      <c r="M269" s="10" t="str">
        <f t="shared" ca="1" si="9"/>
        <v>CLOSED</v>
      </c>
    </row>
    <row r="270" spans="1:13" s="4" customFormat="1" ht="30" hidden="1" x14ac:dyDescent="0.25">
      <c r="A270" s="9" t="s">
        <v>177</v>
      </c>
      <c r="B270" s="19">
        <f>VLOOKUP(Table27[[#This Row],[Location 
(drop-down)]],'List source'!D$2:E$71,2,FALSE)</f>
        <v>126</v>
      </c>
      <c r="C270" s="178" t="s">
        <v>2731</v>
      </c>
      <c r="D270" s="21" t="str">
        <f t="shared" si="8"/>
        <v>PTO0269-126-25</v>
      </c>
      <c r="E270" s="79" t="s">
        <v>2732</v>
      </c>
      <c r="F270" s="10" t="str" cm="1">
        <f t="array" aca="1" ref="F2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0"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0" s="160">
        <v>-2.2599999999999998</v>
      </c>
      <c r="I270" s="12">
        <v>45813</v>
      </c>
      <c r="J270" s="12" t="s">
        <v>2074</v>
      </c>
      <c r="K270" s="63">
        <v>45813</v>
      </c>
      <c r="L270" s="37" t="s">
        <v>2592</v>
      </c>
      <c r="M270" s="10" t="str">
        <f t="shared" ca="1" si="9"/>
        <v>CLOSED</v>
      </c>
    </row>
    <row r="271" spans="1:13" s="4" customFormat="1" ht="18.75" hidden="1" x14ac:dyDescent="0.25">
      <c r="A271" s="9" t="s">
        <v>177</v>
      </c>
      <c r="B271" s="19">
        <f>VLOOKUP(Table27[[#This Row],[Location 
(drop-down)]],'List source'!D$2:E$71,2,FALSE)</f>
        <v>126</v>
      </c>
      <c r="C271" s="178" t="s">
        <v>2733</v>
      </c>
      <c r="D271" s="21" t="str">
        <f t="shared" si="8"/>
        <v>PTO0270-126-25</v>
      </c>
      <c r="E271" s="79" t="s">
        <v>2734</v>
      </c>
      <c r="F271" s="10" t="str" cm="1">
        <f t="array" aca="1" ref="F2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1"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71" s="160">
        <v>2.12</v>
      </c>
      <c r="I271" s="12">
        <v>45813</v>
      </c>
      <c r="J271" s="12" t="s">
        <v>189</v>
      </c>
      <c r="K271" s="63">
        <v>45931</v>
      </c>
      <c r="L271" s="328"/>
      <c r="M271" s="10" t="str">
        <f t="shared" ca="1" si="9"/>
        <v>CLOSED</v>
      </c>
    </row>
    <row r="272" spans="1:13" s="4" customFormat="1" ht="30" hidden="1" x14ac:dyDescent="0.25">
      <c r="A272" s="9" t="s">
        <v>203</v>
      </c>
      <c r="B272" s="19">
        <f>VLOOKUP(Table27[[#This Row],[Location 
(drop-down)]],'List source'!D$2:E$71,2,FALSE)</f>
        <v>140</v>
      </c>
      <c r="C272" s="178" t="s">
        <v>2735</v>
      </c>
      <c r="D272" s="21" t="str">
        <f t="shared" si="8"/>
        <v>PTO0271-140-25</v>
      </c>
      <c r="E272" s="79" t="s">
        <v>2736</v>
      </c>
      <c r="F272" s="10" t="str" cm="1">
        <f t="array" aca="1" ref="F2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2"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2" s="160">
        <v>2.59</v>
      </c>
      <c r="I272" s="12">
        <v>45813</v>
      </c>
      <c r="J272" s="12" t="s">
        <v>2074</v>
      </c>
      <c r="K272" s="63">
        <v>45813</v>
      </c>
      <c r="L272" s="37" t="s">
        <v>2592</v>
      </c>
      <c r="M272" s="10" t="str">
        <f t="shared" ca="1" si="9"/>
        <v>CLOSED</v>
      </c>
    </row>
    <row r="273" spans="1:13" s="4" customFormat="1" ht="18.75" hidden="1" x14ac:dyDescent="0.25">
      <c r="A273" s="9" t="s">
        <v>73</v>
      </c>
      <c r="B273" s="19">
        <f>VLOOKUP(Table27[[#This Row],[Location 
(drop-down)]],'List source'!D$2:E$71,2,FALSE)</f>
        <v>142</v>
      </c>
      <c r="C273" s="178" t="s">
        <v>2737</v>
      </c>
      <c r="D273" s="21" t="str">
        <f t="shared" si="8"/>
        <v>PTO0272-142-25</v>
      </c>
      <c r="E273" s="79" t="s">
        <v>2738</v>
      </c>
      <c r="F273" s="10" t="str" cm="1">
        <f t="array" aca="1" ref="F2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3"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3" s="160">
        <v>4.0999999999999996</v>
      </c>
      <c r="I273" s="12">
        <v>45813</v>
      </c>
      <c r="J273" s="12"/>
      <c r="K273" s="63"/>
      <c r="L273" s="37"/>
      <c r="M273" s="10">
        <f t="shared" ca="1" si="9"/>
        <v>264</v>
      </c>
    </row>
    <row r="274" spans="1:13" s="4" customFormat="1" ht="30" hidden="1" x14ac:dyDescent="0.25">
      <c r="A274" s="9" t="s">
        <v>257</v>
      </c>
      <c r="B274" s="19">
        <f>VLOOKUP(Table27[[#This Row],[Location 
(drop-down)]],'List source'!D$2:E$71,2,FALSE)</f>
        <v>144</v>
      </c>
      <c r="C274" s="178" t="s">
        <v>2739</v>
      </c>
      <c r="D274" s="21" t="str">
        <f t="shared" si="8"/>
        <v>PTO0273-144-25</v>
      </c>
      <c r="E274" s="70" t="s">
        <v>2740</v>
      </c>
      <c r="F274" s="10" t="str" cm="1">
        <f t="array" aca="1" ref="F2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4" s="7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4" s="160">
        <v>3.17</v>
      </c>
      <c r="I274" s="12">
        <v>45813</v>
      </c>
      <c r="J274" s="12"/>
      <c r="K274" s="63"/>
      <c r="L274" s="37"/>
      <c r="M274" s="10">
        <f t="shared" ca="1" si="9"/>
        <v>264</v>
      </c>
    </row>
    <row r="275" spans="1:13" s="4" customFormat="1" ht="30" hidden="1" x14ac:dyDescent="0.25">
      <c r="A275" s="9" t="s">
        <v>86</v>
      </c>
      <c r="B275" s="19">
        <f>VLOOKUP(Table27[[#This Row],[Location 
(drop-down)]],'List source'!D$2:E$71,2,FALSE)</f>
        <v>150</v>
      </c>
      <c r="C275" s="178" t="s">
        <v>2741</v>
      </c>
      <c r="D275" s="21" t="str">
        <f t="shared" si="8"/>
        <v>PTO0274-150-25</v>
      </c>
      <c r="E275" s="70" t="s">
        <v>2742</v>
      </c>
      <c r="F275" s="10" t="str" cm="1">
        <f t="array" aca="1" ref="F2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5" s="7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75" s="160" t="s">
        <v>2743</v>
      </c>
      <c r="I275" s="12">
        <v>45813</v>
      </c>
      <c r="J275" s="12" t="s">
        <v>82</v>
      </c>
      <c r="K275" s="63">
        <v>46050</v>
      </c>
      <c r="L275" s="37"/>
      <c r="M275" s="10" t="str">
        <f t="shared" ca="1" si="9"/>
        <v>CLOSED</v>
      </c>
    </row>
    <row r="276" spans="1:13" s="4" customFormat="1" ht="30" hidden="1" x14ac:dyDescent="0.25">
      <c r="A276" s="9" t="s">
        <v>79</v>
      </c>
      <c r="B276" s="19">
        <f>VLOOKUP(Table27[[#This Row],[Location 
(drop-down)]],'List source'!D$2:E$71,2,FALSE)</f>
        <v>160</v>
      </c>
      <c r="C276" s="178" t="s">
        <v>2744</v>
      </c>
      <c r="D276" s="21" t="str">
        <f t="shared" si="8"/>
        <v>PTO0275-160-25</v>
      </c>
      <c r="E276" s="9" t="s">
        <v>2745</v>
      </c>
      <c r="F276" s="10" t="str" cm="1">
        <f t="array" aca="1" ref="F2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276" s="136" t="s">
        <v>2746</v>
      </c>
      <c r="I276" s="12">
        <v>45813</v>
      </c>
      <c r="J276" s="12" t="s">
        <v>2074</v>
      </c>
      <c r="K276" s="63">
        <v>45813</v>
      </c>
      <c r="L276" s="37" t="s">
        <v>2592</v>
      </c>
      <c r="M276" s="10" t="str">
        <f t="shared" ca="1" si="9"/>
        <v>CLOSED</v>
      </c>
    </row>
    <row r="277" spans="1:13" s="4" customFormat="1" ht="30" hidden="1" x14ac:dyDescent="0.25">
      <c r="A277" s="9" t="s">
        <v>44</v>
      </c>
      <c r="B277" s="19">
        <f>VLOOKUP(Table27[[#This Row],[Location 
(drop-down)]],'List source'!D$2:E$71,2,FALSE)</f>
        <v>185</v>
      </c>
      <c r="C277" s="178" t="s">
        <v>2747</v>
      </c>
      <c r="D277" s="21" t="str">
        <f t="shared" si="8"/>
        <v>PTO0276-185-25</v>
      </c>
      <c r="E277" s="292" t="s">
        <v>2748</v>
      </c>
      <c r="F277" s="10" t="str" cm="1">
        <f t="array" aca="1" ref="F2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7" s="7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7" s="136" t="s">
        <v>2749</v>
      </c>
      <c r="I277" s="12">
        <v>45813</v>
      </c>
      <c r="J277" s="12" t="s">
        <v>2074</v>
      </c>
      <c r="K277" s="63">
        <v>45813</v>
      </c>
      <c r="L277" s="37" t="s">
        <v>2592</v>
      </c>
      <c r="M277" s="10" t="str">
        <f t="shared" ca="1" si="9"/>
        <v>CLOSED</v>
      </c>
    </row>
    <row r="278" spans="1:13" s="4" customFormat="1" ht="18.75" hidden="1" x14ac:dyDescent="0.25">
      <c r="A278" s="9" t="s">
        <v>338</v>
      </c>
      <c r="B278" s="19">
        <f>VLOOKUP(Table27[[#This Row],[Location 
(drop-down)]],'List source'!D$2:E$71,2,FALSE)</f>
        <v>191</v>
      </c>
      <c r="C278" s="178" t="s">
        <v>2750</v>
      </c>
      <c r="D278" s="21" t="str">
        <f t="shared" si="8"/>
        <v>PTO0277-191-25</v>
      </c>
      <c r="E278" s="9" t="s">
        <v>2751</v>
      </c>
      <c r="F278" s="10" t="str" cm="1">
        <f t="array" aca="1" ref="F2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8" s="10">
        <v>3.61</v>
      </c>
      <c r="I278" s="12">
        <v>45813</v>
      </c>
      <c r="J278" s="12" t="s">
        <v>109</v>
      </c>
      <c r="K278" s="63">
        <v>45939</v>
      </c>
      <c r="L278" s="328"/>
      <c r="M278" s="10" t="str">
        <f t="shared" ca="1" si="9"/>
        <v>CLOSED</v>
      </c>
    </row>
    <row r="279" spans="1:13" s="4" customFormat="1" ht="18.75" hidden="1" x14ac:dyDescent="0.25">
      <c r="A279" s="9" t="s">
        <v>37</v>
      </c>
      <c r="B279" s="19">
        <f>VLOOKUP(Table27[[#This Row],[Location 
(drop-down)]],'List source'!D$2:E$71,2,FALSE)</f>
        <v>210</v>
      </c>
      <c r="C279" s="178" t="s">
        <v>2752</v>
      </c>
      <c r="D279" s="21" t="str">
        <f t="shared" si="8"/>
        <v>PTO0278-210-25</v>
      </c>
      <c r="E279" s="9" t="s">
        <v>2753</v>
      </c>
      <c r="F279" s="10" t="str" cm="1">
        <f t="array" aca="1" ref="F2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9" s="10">
        <v>68.319999999999993</v>
      </c>
      <c r="I279" s="12">
        <v>45813</v>
      </c>
      <c r="J279" s="12" t="s">
        <v>2074</v>
      </c>
      <c r="K279" s="63">
        <v>45817</v>
      </c>
      <c r="L279" s="328" t="s">
        <v>2079</v>
      </c>
      <c r="M279" s="10" t="str">
        <f t="shared" ca="1" si="9"/>
        <v>CLOSED</v>
      </c>
    </row>
    <row r="280" spans="1:13" s="4" customFormat="1" ht="30" hidden="1" x14ac:dyDescent="0.25">
      <c r="A280" s="9" t="s">
        <v>105</v>
      </c>
      <c r="B280" s="19">
        <f>VLOOKUP(Table27[[#This Row],[Location 
(drop-down)]],'List source'!D$2:E$71,2,FALSE)</f>
        <v>215</v>
      </c>
      <c r="C280" s="178" t="s">
        <v>2754</v>
      </c>
      <c r="D280" s="21" t="str">
        <f t="shared" si="8"/>
        <v>PTO0279-215-25</v>
      </c>
      <c r="E280" s="9" t="s">
        <v>2755</v>
      </c>
      <c r="F280" s="10" t="str" cm="1">
        <f t="array" aca="1" ref="F2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80" s="10" t="s">
        <v>2756</v>
      </c>
      <c r="I280" s="12">
        <v>45813</v>
      </c>
      <c r="J280" s="12" t="s">
        <v>252</v>
      </c>
      <c r="K280" s="63">
        <v>45881</v>
      </c>
      <c r="L280" s="37"/>
      <c r="M280" s="10" t="str">
        <f t="shared" ca="1" si="9"/>
        <v>CLOSED</v>
      </c>
    </row>
    <row r="281" spans="1:13" s="4" customFormat="1" ht="30" hidden="1" x14ac:dyDescent="0.25">
      <c r="A281" s="9" t="s">
        <v>151</v>
      </c>
      <c r="B281" s="19">
        <f>VLOOKUP(Table27[[#This Row],[Location 
(drop-down)]],'List source'!D$2:E$71,2,FALSE)</f>
        <v>115</v>
      </c>
      <c r="C281" s="178" t="s">
        <v>2757</v>
      </c>
      <c r="D281" s="21" t="str">
        <f t="shared" si="8"/>
        <v>PTO0280-115-25</v>
      </c>
      <c r="E281" s="9" t="s">
        <v>2758</v>
      </c>
      <c r="F281" s="10" t="str" cm="1">
        <f t="array" aca="1" ref="F2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TM</v>
      </c>
      <c r="G2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1" s="136" t="s">
        <v>2759</v>
      </c>
      <c r="I281" s="12">
        <v>45814</v>
      </c>
      <c r="J281" s="12" t="s">
        <v>2074</v>
      </c>
      <c r="K281" s="63">
        <v>45814</v>
      </c>
      <c r="L281" s="328" t="s">
        <v>2592</v>
      </c>
      <c r="M281" s="10" t="str">
        <f t="shared" ca="1" si="9"/>
        <v>CLOSED</v>
      </c>
    </row>
    <row r="282" spans="1:13" s="4" customFormat="1" ht="18.75" hidden="1" x14ac:dyDescent="0.25">
      <c r="A282" s="9" t="s">
        <v>86</v>
      </c>
      <c r="B282" s="19">
        <f>VLOOKUP(Table27[[#This Row],[Location 
(drop-down)]],'List source'!D$2:E$71,2,FALSE)</f>
        <v>150</v>
      </c>
      <c r="C282" s="178" t="s">
        <v>2760</v>
      </c>
      <c r="D282" s="21" t="str">
        <f t="shared" si="8"/>
        <v>PTO0281-150-25</v>
      </c>
      <c r="E282" s="9" t="s">
        <v>2761</v>
      </c>
      <c r="F282" s="10" t="str" cm="1">
        <f t="array" aca="1" ref="F2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TM</v>
      </c>
      <c r="G2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2" s="136" t="s">
        <v>2762</v>
      </c>
      <c r="I282" s="12">
        <v>45814</v>
      </c>
      <c r="J282" s="12" t="s">
        <v>82</v>
      </c>
      <c r="K282" s="63">
        <v>46052</v>
      </c>
      <c r="L282" s="37"/>
      <c r="M282" s="10" t="str">
        <f t="shared" ca="1" si="9"/>
        <v>CLOSED</v>
      </c>
    </row>
    <row r="283" spans="1:13" s="4" customFormat="1" ht="18.75" hidden="1" x14ac:dyDescent="0.25">
      <c r="A283" s="9" t="s">
        <v>46</v>
      </c>
      <c r="B283" s="19">
        <f>VLOOKUP(Table27[[#This Row],[Location 
(drop-down)]],'List source'!D$2:E$71,2,FALSE)</f>
        <v>155</v>
      </c>
      <c r="C283" s="178" t="s">
        <v>2763</v>
      </c>
      <c r="D283" s="21" t="str">
        <f t="shared" si="8"/>
        <v>PTO0282-155-25</v>
      </c>
      <c r="E283" s="9" t="s">
        <v>2764</v>
      </c>
      <c r="F283" s="10" t="str" cm="1">
        <f t="array" aca="1" ref="F2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TM</v>
      </c>
      <c r="G2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283" s="136" t="s">
        <v>2765</v>
      </c>
      <c r="I283" s="12">
        <v>45814</v>
      </c>
      <c r="J283" s="12" t="s">
        <v>82</v>
      </c>
      <c r="K283" s="63">
        <v>45871</v>
      </c>
      <c r="L283" s="37"/>
      <c r="M283" s="10" t="str">
        <f t="shared" ca="1" si="9"/>
        <v>CLOSED</v>
      </c>
    </row>
    <row r="284" spans="1:13" s="4" customFormat="1" ht="30" hidden="1" x14ac:dyDescent="0.25">
      <c r="A284" s="9" t="s">
        <v>46</v>
      </c>
      <c r="B284" s="19">
        <f>VLOOKUP(Table27[[#This Row],[Location 
(drop-down)]],'List source'!D$2:E$71,2,FALSE)</f>
        <v>155</v>
      </c>
      <c r="C284" s="178" t="s">
        <v>2766</v>
      </c>
      <c r="D284" s="21" t="str">
        <f t="shared" si="8"/>
        <v>PTO0283-155-25</v>
      </c>
      <c r="E284" s="9" t="s">
        <v>2767</v>
      </c>
      <c r="F284" s="10" t="str" cm="1">
        <f t="array" aca="1" ref="F2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TM</v>
      </c>
      <c r="G2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4" s="136" t="s">
        <v>2427</v>
      </c>
      <c r="I284" s="12">
        <v>45814</v>
      </c>
      <c r="J284" s="12" t="s">
        <v>2074</v>
      </c>
      <c r="K284" s="63">
        <v>45814</v>
      </c>
      <c r="L284" s="328" t="s">
        <v>2592</v>
      </c>
      <c r="M284" s="10" t="str">
        <f t="shared" ca="1" si="9"/>
        <v>CLOSED</v>
      </c>
    </row>
    <row r="285" spans="1:13" s="4" customFormat="1" ht="30" hidden="1" x14ac:dyDescent="0.25">
      <c r="A285" s="9" t="s">
        <v>107</v>
      </c>
      <c r="B285" s="19">
        <f>VLOOKUP(Table27[[#This Row],[Location 
(drop-down)]],'List source'!D$2:E$71,2,FALSE)</f>
        <v>170</v>
      </c>
      <c r="C285" s="178" t="s">
        <v>2768</v>
      </c>
      <c r="D285" s="21" t="str">
        <f t="shared" si="8"/>
        <v>PTO0284-170-25</v>
      </c>
      <c r="E285" s="9" t="s">
        <v>2769</v>
      </c>
      <c r="F285" s="10" t="str" cm="1">
        <f t="array" aca="1" ref="F2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TM</v>
      </c>
      <c r="G2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285" s="10">
        <v>2.04</v>
      </c>
      <c r="I285" s="12">
        <v>45814</v>
      </c>
      <c r="J285" s="12" t="s">
        <v>109</v>
      </c>
      <c r="K285" s="63">
        <v>45847</v>
      </c>
      <c r="L285" s="37"/>
      <c r="M285" s="10" t="str">
        <f t="shared" ca="1" si="9"/>
        <v>CLOSED</v>
      </c>
    </row>
    <row r="286" spans="1:13" s="4" customFormat="1" ht="30" hidden="1" x14ac:dyDescent="0.25">
      <c r="A286" s="9" t="s">
        <v>94</v>
      </c>
      <c r="B286" s="19">
        <f>VLOOKUP(Table27[[#This Row],[Location 
(drop-down)]],'List source'!D$2:E$71,2,FALSE)</f>
        <v>120</v>
      </c>
      <c r="C286" s="178" t="s">
        <v>2770</v>
      </c>
      <c r="D286" s="21" t="str">
        <f t="shared" si="8"/>
        <v>PTO0285-120-25</v>
      </c>
      <c r="E286" s="9" t="s">
        <v>2771</v>
      </c>
      <c r="F286" s="10" t="str" cm="1">
        <f t="array" aca="1" ref="F2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6" s="10">
        <v>2.2200000000000002</v>
      </c>
      <c r="I286" s="12">
        <v>45818</v>
      </c>
      <c r="J286" s="12" t="s">
        <v>2074</v>
      </c>
      <c r="K286" s="63">
        <v>45818</v>
      </c>
      <c r="L286" s="37" t="s">
        <v>2075</v>
      </c>
      <c r="M286" s="10" t="str">
        <f t="shared" ca="1" si="9"/>
        <v>CLOSED</v>
      </c>
    </row>
    <row r="287" spans="1:13" s="4" customFormat="1" ht="30" hidden="1" x14ac:dyDescent="0.25">
      <c r="A287" s="9" t="s">
        <v>117</v>
      </c>
      <c r="B287" s="19">
        <f>VLOOKUP(Table27[[#This Row],[Location 
(drop-down)]],'List source'!D$2:E$71,2,FALSE)</f>
        <v>125</v>
      </c>
      <c r="C287" s="178" t="s">
        <v>2772</v>
      </c>
      <c r="D287" s="21" t="str">
        <f t="shared" si="8"/>
        <v>PTO0286-125-25</v>
      </c>
      <c r="E287" s="9" t="s">
        <v>2773</v>
      </c>
      <c r="F287" s="10" t="str" cm="1">
        <f t="array" aca="1" ref="F2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7" s="10" t="s">
        <v>2774</v>
      </c>
      <c r="I287" s="12">
        <v>45818</v>
      </c>
      <c r="J287" s="12"/>
      <c r="K287" s="63"/>
      <c r="L287" s="37"/>
      <c r="M287" s="10">
        <f t="shared" ca="1" si="9"/>
        <v>259</v>
      </c>
    </row>
    <row r="288" spans="1:13" s="4" customFormat="1" ht="18.75" hidden="1" x14ac:dyDescent="0.25">
      <c r="A288" s="9" t="s">
        <v>177</v>
      </c>
      <c r="B288" s="19">
        <f>VLOOKUP(Table27[[#This Row],[Location 
(drop-down)]],'List source'!D$2:E$71,2,FALSE)</f>
        <v>126</v>
      </c>
      <c r="C288" s="178" t="s">
        <v>2775</v>
      </c>
      <c r="D288" s="21" t="str">
        <f t="shared" si="8"/>
        <v>PTO0287-126-25</v>
      </c>
      <c r="E288" s="9" t="s">
        <v>2776</v>
      </c>
      <c r="F288" s="10" t="str" cm="1">
        <f t="array" aca="1" ref="F2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8" s="136" t="s">
        <v>2777</v>
      </c>
      <c r="I288" s="12">
        <v>45818</v>
      </c>
      <c r="J288" s="12" t="s">
        <v>252</v>
      </c>
      <c r="K288" s="63">
        <v>45846</v>
      </c>
      <c r="L288" s="37"/>
      <c r="M288" s="10" t="str">
        <f t="shared" ca="1" si="9"/>
        <v>CLOSED</v>
      </c>
    </row>
    <row r="289" spans="1:13" s="4" customFormat="1" ht="30" hidden="1" x14ac:dyDescent="0.25">
      <c r="A289" s="9" t="s">
        <v>156</v>
      </c>
      <c r="B289" s="19">
        <f>VLOOKUP(Table27[[#This Row],[Location 
(drop-down)]],'List source'!D$2:E$71,2,FALSE)</f>
        <v>130</v>
      </c>
      <c r="C289" s="178" t="s">
        <v>2778</v>
      </c>
      <c r="D289" s="21" t="str">
        <f t="shared" si="8"/>
        <v>PTO0288-130-25</v>
      </c>
      <c r="E289" s="9" t="s">
        <v>2779</v>
      </c>
      <c r="F289" s="10" t="str" cm="1">
        <f t="array" aca="1" ref="F2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89" s="10">
        <v>2.87</v>
      </c>
      <c r="I289" s="12">
        <v>45818</v>
      </c>
      <c r="J289" s="12" t="s">
        <v>2074</v>
      </c>
      <c r="K289" s="63">
        <v>45818</v>
      </c>
      <c r="L289" s="37" t="s">
        <v>2075</v>
      </c>
      <c r="M289" s="10" t="str">
        <f t="shared" ca="1" si="9"/>
        <v>CLOSED</v>
      </c>
    </row>
    <row r="290" spans="1:13" s="4" customFormat="1" ht="30" hidden="1" x14ac:dyDescent="0.25">
      <c r="A290" s="9" t="s">
        <v>14</v>
      </c>
      <c r="B290" s="19">
        <f>VLOOKUP(Table27[[#This Row],[Location 
(drop-down)]],'List source'!D$2:E$71,2,FALSE)</f>
        <v>131</v>
      </c>
      <c r="C290" s="178" t="s">
        <v>2780</v>
      </c>
      <c r="D290" s="21" t="str">
        <f t="shared" si="8"/>
        <v>PTO0289-131-25</v>
      </c>
      <c r="E290" s="9" t="s">
        <v>2781</v>
      </c>
      <c r="F290" s="10" t="str" cm="1">
        <f t="array" aca="1" ref="F2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0" s="136" t="s">
        <v>2782</v>
      </c>
      <c r="I290" s="12">
        <v>45818</v>
      </c>
      <c r="J290" s="12" t="s">
        <v>2074</v>
      </c>
      <c r="K290" s="63">
        <v>45818</v>
      </c>
      <c r="L290" s="37" t="s">
        <v>2075</v>
      </c>
      <c r="M290" s="10" t="str">
        <f t="shared" ca="1" si="9"/>
        <v>CLOSED</v>
      </c>
    </row>
    <row r="291" spans="1:13" ht="30" hidden="1" x14ac:dyDescent="0.25">
      <c r="A291" s="9" t="s">
        <v>211</v>
      </c>
      <c r="B291" s="19">
        <f>VLOOKUP(Table27[[#This Row],[Location 
(drop-down)]],'List source'!D$2:E$71,2,FALSE)</f>
        <v>132</v>
      </c>
      <c r="C291" s="178" t="s">
        <v>2783</v>
      </c>
      <c r="D291" s="21" t="str">
        <f t="shared" si="8"/>
        <v>PTO0290-132-25</v>
      </c>
      <c r="E291" s="9" t="s">
        <v>2784</v>
      </c>
      <c r="F291" s="10" t="str" cm="1">
        <f t="array" aca="1" ref="F2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1" s="10">
        <v>2.36</v>
      </c>
      <c r="I291" s="12">
        <v>45818</v>
      </c>
      <c r="J291" s="12" t="s">
        <v>2074</v>
      </c>
      <c r="K291" s="63">
        <v>45818</v>
      </c>
      <c r="L291" s="37" t="s">
        <v>2075</v>
      </c>
      <c r="M291" s="10" t="str">
        <f t="shared" ca="1" si="9"/>
        <v>CLOSED</v>
      </c>
    </row>
    <row r="292" spans="1:13" ht="18.75" hidden="1" x14ac:dyDescent="0.25">
      <c r="A292" s="9" t="s">
        <v>211</v>
      </c>
      <c r="B292" s="19">
        <f>VLOOKUP(Table27[[#This Row],[Location 
(drop-down)]],'List source'!D$2:E$71,2,FALSE)</f>
        <v>132</v>
      </c>
      <c r="C292" s="178" t="s">
        <v>2785</v>
      </c>
      <c r="D292" s="21" t="str">
        <f t="shared" si="8"/>
        <v>PTO0291-132-25</v>
      </c>
      <c r="E292" s="9" t="s">
        <v>2786</v>
      </c>
      <c r="F292" s="10" t="str" cm="1">
        <f t="array" aca="1" ref="F2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92" s="136" t="s">
        <v>2071</v>
      </c>
      <c r="I292" s="12">
        <v>45818</v>
      </c>
      <c r="J292" s="12" t="s">
        <v>35</v>
      </c>
      <c r="K292" s="63">
        <v>45869</v>
      </c>
      <c r="L292" s="37"/>
      <c r="M292" s="10" t="str">
        <f t="shared" ca="1" si="9"/>
        <v>CLOSED</v>
      </c>
    </row>
    <row r="293" spans="1:13" ht="30" hidden="1" x14ac:dyDescent="0.25">
      <c r="A293" s="9" t="s">
        <v>186</v>
      </c>
      <c r="B293" s="19">
        <f>VLOOKUP(Table27[[#This Row],[Location 
(drop-down)]],'List source'!D$2:E$71,2,FALSE)</f>
        <v>136</v>
      </c>
      <c r="C293" s="178" t="s">
        <v>2787</v>
      </c>
      <c r="D293" s="21" t="str">
        <f t="shared" si="8"/>
        <v>PTO0292-136-25</v>
      </c>
      <c r="E293" s="9" t="s">
        <v>2788</v>
      </c>
      <c r="F293" s="10" t="str" cm="1">
        <f t="array" aca="1" ref="F2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3" s="10">
        <v>2.54</v>
      </c>
      <c r="I293" s="12">
        <v>45818</v>
      </c>
      <c r="J293" s="12" t="s">
        <v>2074</v>
      </c>
      <c r="K293" s="63">
        <v>45818</v>
      </c>
      <c r="L293" s="37" t="s">
        <v>2075</v>
      </c>
      <c r="M293" s="10" t="str">
        <f t="shared" ca="1" si="9"/>
        <v>CLOSED</v>
      </c>
    </row>
    <row r="294" spans="1:13" ht="30" hidden="1" x14ac:dyDescent="0.25">
      <c r="A294" s="9" t="s">
        <v>203</v>
      </c>
      <c r="B294" s="19">
        <f>VLOOKUP(Table27[[#This Row],[Location 
(drop-down)]],'List source'!D$2:E$71,2,FALSE)</f>
        <v>140</v>
      </c>
      <c r="C294" s="178" t="s">
        <v>2789</v>
      </c>
      <c r="D294" s="21" t="str">
        <f t="shared" si="8"/>
        <v>PTO0293-140-25</v>
      </c>
      <c r="E294" s="9" t="s">
        <v>2790</v>
      </c>
      <c r="F294" s="10" t="str" cm="1">
        <f t="array" aca="1" ref="F2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94" s="136" t="s">
        <v>2308</v>
      </c>
      <c r="I294" s="12">
        <v>45818</v>
      </c>
      <c r="J294" s="12" t="s">
        <v>2074</v>
      </c>
      <c r="K294" s="63">
        <v>45818</v>
      </c>
      <c r="L294" s="37" t="s">
        <v>2075</v>
      </c>
      <c r="M294" s="10" t="str">
        <f t="shared" ca="1" si="9"/>
        <v>CLOSED</v>
      </c>
    </row>
    <row r="295" spans="1:13" ht="30" hidden="1" x14ac:dyDescent="0.25">
      <c r="A295" s="9" t="s">
        <v>69</v>
      </c>
      <c r="B295" s="19">
        <f>VLOOKUP(Table27[[#This Row],[Location 
(drop-down)]],'List source'!D$2:E$71,2,FALSE)</f>
        <v>141</v>
      </c>
      <c r="C295" s="178" t="s">
        <v>2791</v>
      </c>
      <c r="D295" s="21" t="str">
        <f t="shared" si="8"/>
        <v>PTO0294-141-25</v>
      </c>
      <c r="E295" s="9" t="s">
        <v>2792</v>
      </c>
      <c r="F295" s="10" t="str" cm="1">
        <f t="array" aca="1" ref="F2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5" s="136" t="s">
        <v>2446</v>
      </c>
      <c r="I295" s="12">
        <v>45818</v>
      </c>
      <c r="J295" s="12" t="s">
        <v>2074</v>
      </c>
      <c r="K295" s="63">
        <v>45818</v>
      </c>
      <c r="L295" s="37" t="s">
        <v>2075</v>
      </c>
      <c r="M295" s="10" t="str">
        <f t="shared" ca="1" si="9"/>
        <v>CLOSED</v>
      </c>
    </row>
    <row r="296" spans="1:13" ht="30" hidden="1" x14ac:dyDescent="0.25">
      <c r="A296" s="9" t="s">
        <v>257</v>
      </c>
      <c r="B296" s="19">
        <f>VLOOKUP(Table27[[#This Row],[Location 
(drop-down)]],'List source'!D$2:E$71,2,FALSE)</f>
        <v>144</v>
      </c>
      <c r="C296" s="178" t="s">
        <v>2793</v>
      </c>
      <c r="D296" s="21" t="str">
        <f t="shared" si="8"/>
        <v>PTO0295-144-25</v>
      </c>
      <c r="E296" s="9" t="s">
        <v>2794</v>
      </c>
      <c r="F296" s="10" t="str" cm="1">
        <f t="array" aca="1" ref="F2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6" s="136" t="s">
        <v>2308</v>
      </c>
      <c r="I296" s="12">
        <v>45818</v>
      </c>
      <c r="J296" s="12" t="s">
        <v>2074</v>
      </c>
      <c r="K296" s="63">
        <v>45818</v>
      </c>
      <c r="L296" s="37" t="s">
        <v>2075</v>
      </c>
      <c r="M296" s="10" t="str">
        <f t="shared" ca="1" si="9"/>
        <v>CLOSED</v>
      </c>
    </row>
    <row r="297" spans="1:13" ht="30" hidden="1" x14ac:dyDescent="0.25">
      <c r="A297" s="9" t="s">
        <v>86</v>
      </c>
      <c r="B297" s="19">
        <f>VLOOKUP(Table27[[#This Row],[Location 
(drop-down)]],'List source'!D$2:E$71,2,FALSE)</f>
        <v>150</v>
      </c>
      <c r="C297" s="178" t="s">
        <v>2795</v>
      </c>
      <c r="D297" s="21" t="str">
        <f t="shared" si="8"/>
        <v>PTO0296-150-25</v>
      </c>
      <c r="E297" s="9" t="s">
        <v>2796</v>
      </c>
      <c r="F297" s="10" t="str" cm="1">
        <f t="array" aca="1" ref="F2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97" s="136" t="s">
        <v>2797</v>
      </c>
      <c r="I297" s="12">
        <v>45818</v>
      </c>
      <c r="J297" s="12" t="s">
        <v>2074</v>
      </c>
      <c r="K297" s="63">
        <v>45818</v>
      </c>
      <c r="L297" s="37" t="s">
        <v>2075</v>
      </c>
      <c r="M297" s="10" t="str">
        <f t="shared" ca="1" si="9"/>
        <v>CLOSED</v>
      </c>
    </row>
    <row r="298" spans="1:13" ht="18.75" hidden="1" x14ac:dyDescent="0.25">
      <c r="A298" s="9" t="s">
        <v>79</v>
      </c>
      <c r="B298" s="19">
        <f>VLOOKUP(Table27[[#This Row],[Location 
(drop-down)]],'List source'!D$2:E$71,2,FALSE)</f>
        <v>160</v>
      </c>
      <c r="C298" s="178" t="s">
        <v>2798</v>
      </c>
      <c r="D298" s="21" t="str">
        <f t="shared" si="8"/>
        <v>PTO0297-160-25</v>
      </c>
      <c r="E298" s="9" t="s">
        <v>2799</v>
      </c>
      <c r="F298" s="10" t="str" cm="1">
        <f t="array" aca="1" ref="F2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8" s="136" t="s">
        <v>2800</v>
      </c>
      <c r="I298" s="12">
        <v>45818</v>
      </c>
      <c r="J298" s="12" t="s">
        <v>82</v>
      </c>
      <c r="K298" s="63">
        <v>45895</v>
      </c>
      <c r="L298" s="37"/>
      <c r="M298" s="10" t="str">
        <f t="shared" ca="1" si="9"/>
        <v>CLOSED</v>
      </c>
    </row>
    <row r="299" spans="1:13" ht="30" hidden="1" x14ac:dyDescent="0.25">
      <c r="A299" s="9" t="s">
        <v>79</v>
      </c>
      <c r="B299" s="19">
        <f>VLOOKUP(Table27[[#This Row],[Location 
(drop-down)]],'List source'!D$2:E$71,2,FALSE)</f>
        <v>160</v>
      </c>
      <c r="C299" s="178" t="s">
        <v>2801</v>
      </c>
      <c r="D299" s="21" t="str">
        <f t="shared" si="8"/>
        <v>PTO0298-160-25</v>
      </c>
      <c r="E299" s="9" t="s">
        <v>2802</v>
      </c>
      <c r="F299" s="10" t="str" cm="1">
        <f t="array" aca="1" ref="F2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299" s="10">
        <v>2.12</v>
      </c>
      <c r="I299" s="12">
        <v>45818</v>
      </c>
      <c r="J299" s="12" t="s">
        <v>2074</v>
      </c>
      <c r="K299" s="63">
        <v>45818</v>
      </c>
      <c r="L299" s="37" t="s">
        <v>2075</v>
      </c>
      <c r="M299" s="10" t="str">
        <f t="shared" ca="1" si="9"/>
        <v>CLOSED</v>
      </c>
    </row>
    <row r="300" spans="1:13" ht="18.75" hidden="1" x14ac:dyDescent="0.25">
      <c r="A300" s="9" t="s">
        <v>79</v>
      </c>
      <c r="B300" s="19">
        <f>VLOOKUP(Table27[[#This Row],[Location 
(drop-down)]],'List source'!D$2:E$71,2,FALSE)</f>
        <v>160</v>
      </c>
      <c r="C300" s="178" t="s">
        <v>2803</v>
      </c>
      <c r="D300" s="21" t="str">
        <f t="shared" si="8"/>
        <v>PTO0299-160-25</v>
      </c>
      <c r="E300" s="9" t="s">
        <v>2804</v>
      </c>
      <c r="F300" s="10" t="str" cm="1">
        <f t="array" aca="1" ref="F3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D6378 - Vapor Pressure</v>
      </c>
      <c r="H300" s="10">
        <v>11.23</v>
      </c>
      <c r="I300" s="12">
        <v>45818</v>
      </c>
      <c r="J300" s="12" t="s">
        <v>2074</v>
      </c>
      <c r="K300" s="63">
        <v>45825</v>
      </c>
      <c r="L300" s="37" t="s">
        <v>2079</v>
      </c>
      <c r="M300" s="10" t="str">
        <f t="shared" ca="1" si="9"/>
        <v>CLOSED</v>
      </c>
    </row>
    <row r="301" spans="1:13" ht="30" hidden="1" x14ac:dyDescent="0.25">
      <c r="A301" s="9" t="s">
        <v>141</v>
      </c>
      <c r="B301" s="19">
        <f>VLOOKUP(Table27[[#This Row],[Location 
(drop-down)]],'List source'!D$2:E$71,2,FALSE)</f>
        <v>165</v>
      </c>
      <c r="C301" s="178" t="s">
        <v>2805</v>
      </c>
      <c r="D301" s="21" t="str">
        <f t="shared" si="8"/>
        <v>PTO0300-165-25</v>
      </c>
      <c r="E301" s="9" t="s">
        <v>2806</v>
      </c>
      <c r="F301" s="10" t="str" cm="1">
        <f t="array" aca="1" ref="F3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301" s="136" t="s">
        <v>2807</v>
      </c>
      <c r="I301" s="12">
        <v>45818</v>
      </c>
      <c r="J301" s="12" t="s">
        <v>2074</v>
      </c>
      <c r="K301" s="63">
        <v>45818</v>
      </c>
      <c r="L301" s="37" t="s">
        <v>2075</v>
      </c>
      <c r="M301" s="10" t="str">
        <f t="shared" ca="1" si="9"/>
        <v>CLOSED</v>
      </c>
    </row>
    <row r="302" spans="1:13" ht="18.75" hidden="1" x14ac:dyDescent="0.25">
      <c r="A302" s="9" t="s">
        <v>141</v>
      </c>
      <c r="B302" s="19">
        <f>VLOOKUP(Table27[[#This Row],[Location 
(drop-down)]],'List source'!D$2:E$71,2,FALSE)</f>
        <v>165</v>
      </c>
      <c r="C302" s="178" t="s">
        <v>2808</v>
      </c>
      <c r="D302" s="21" t="str">
        <f t="shared" si="8"/>
        <v>PTO0301-165-25</v>
      </c>
      <c r="E302" s="9" t="s">
        <v>2809</v>
      </c>
      <c r="F302" s="10" t="str" cm="1">
        <f t="array" aca="1" ref="F3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02" s="10">
        <v>3.2</v>
      </c>
      <c r="I302" s="12">
        <v>45818</v>
      </c>
      <c r="J302" s="12" t="s">
        <v>18</v>
      </c>
      <c r="K302" s="63">
        <v>45896</v>
      </c>
      <c r="L302" s="37"/>
      <c r="M302" s="10" t="str">
        <f t="shared" ca="1" si="9"/>
        <v>CLOSED</v>
      </c>
    </row>
    <row r="303" spans="1:13" ht="30" hidden="1" x14ac:dyDescent="0.25">
      <c r="A303" s="9" t="s">
        <v>287</v>
      </c>
      <c r="B303" s="19">
        <f>VLOOKUP(Table27[[#This Row],[Location 
(drop-down)]],'List source'!D$2:E$71,2,FALSE)</f>
        <v>180</v>
      </c>
      <c r="C303" s="178" t="s">
        <v>2810</v>
      </c>
      <c r="D303" s="21" t="str">
        <f t="shared" si="8"/>
        <v>PTO0302-180-25</v>
      </c>
      <c r="E303" s="9" t="s">
        <v>2811</v>
      </c>
      <c r="F303" s="10" t="str" cm="1">
        <f t="array" aca="1" ref="F3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03" s="10">
        <v>2.2400000000000002</v>
      </c>
      <c r="I303" s="12">
        <v>45818</v>
      </c>
      <c r="J303" s="12" t="s">
        <v>2074</v>
      </c>
      <c r="K303" s="63">
        <v>45818</v>
      </c>
      <c r="L303" s="37" t="s">
        <v>2075</v>
      </c>
      <c r="M303" s="10" t="str">
        <f t="shared" ca="1" si="9"/>
        <v>CLOSED</v>
      </c>
    </row>
    <row r="304" spans="1:13" ht="18.75" hidden="1" x14ac:dyDescent="0.25">
      <c r="A304" s="9" t="s">
        <v>44</v>
      </c>
      <c r="B304" s="19">
        <f>VLOOKUP(Table27[[#This Row],[Location 
(drop-down)]],'List source'!D$2:E$71,2,FALSE)</f>
        <v>185</v>
      </c>
      <c r="C304" s="178" t="s">
        <v>2812</v>
      </c>
      <c r="D304" s="21" t="str">
        <f t="shared" si="8"/>
        <v>PTO0303-185-25</v>
      </c>
      <c r="E304" s="9" t="s">
        <v>2813</v>
      </c>
      <c r="F304" s="10" t="str" cm="1">
        <f t="array" aca="1" ref="F3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04" s="136" t="s">
        <v>2814</v>
      </c>
      <c r="I304" s="12">
        <v>45818</v>
      </c>
      <c r="J304" s="12" t="s">
        <v>189</v>
      </c>
      <c r="K304" s="63">
        <v>45859</v>
      </c>
      <c r="L304" s="37"/>
      <c r="M304" s="10" t="str">
        <f t="shared" ca="1" si="9"/>
        <v>CLOSED</v>
      </c>
    </row>
    <row r="305" spans="1:13" ht="30" hidden="1" x14ac:dyDescent="0.25">
      <c r="A305" s="9" t="s">
        <v>338</v>
      </c>
      <c r="B305" s="19">
        <f>VLOOKUP(Table27[[#This Row],[Location 
(drop-down)]],'List source'!D$2:E$71,2,FALSE)</f>
        <v>191</v>
      </c>
      <c r="C305" s="178" t="s">
        <v>2815</v>
      </c>
      <c r="D305" s="21" t="str">
        <f t="shared" si="8"/>
        <v>PTO0304-191-25</v>
      </c>
      <c r="E305" s="9" t="s">
        <v>2811</v>
      </c>
      <c r="F305" s="10" t="str" cm="1">
        <f t="array" aca="1" ref="F3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05" s="10">
        <v>2.2400000000000002</v>
      </c>
      <c r="I305" s="12">
        <v>45818</v>
      </c>
      <c r="J305" s="12" t="s">
        <v>2074</v>
      </c>
      <c r="K305" s="63">
        <v>45818</v>
      </c>
      <c r="L305" s="37" t="s">
        <v>2075</v>
      </c>
      <c r="M305" s="10" t="str">
        <f t="shared" ca="1" si="9"/>
        <v>CLOSED</v>
      </c>
    </row>
    <row r="306" spans="1:13" ht="18.75" hidden="1" x14ac:dyDescent="0.25">
      <c r="A306" s="9" t="s">
        <v>151</v>
      </c>
      <c r="B306" s="19">
        <f>VLOOKUP(Table27[[#This Row],[Location 
(drop-down)]],'List source'!D$2:E$71,2,FALSE)</f>
        <v>115</v>
      </c>
      <c r="C306" s="178" t="s">
        <v>2816</v>
      </c>
      <c r="D306" s="21" t="str">
        <f t="shared" si="8"/>
        <v>PTO0305-115-25</v>
      </c>
      <c r="E306" s="9" t="s">
        <v>2817</v>
      </c>
      <c r="F306" s="10" t="str" cm="1">
        <f t="array" aca="1" ref="F3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306" s="10">
        <v>2.91</v>
      </c>
      <c r="I306" s="12">
        <v>45818</v>
      </c>
      <c r="J306" s="12" t="s">
        <v>109</v>
      </c>
      <c r="K306" s="63">
        <v>45889</v>
      </c>
      <c r="L306" s="37"/>
      <c r="M306" s="10" t="str">
        <f t="shared" ca="1" si="9"/>
        <v>CLOSED</v>
      </c>
    </row>
    <row r="307" spans="1:13" ht="30" hidden="1" x14ac:dyDescent="0.25">
      <c r="A307" s="9" t="s">
        <v>94</v>
      </c>
      <c r="B307" s="19">
        <f>VLOOKUP(Table27[[#This Row],[Location 
(drop-down)]],'List source'!D$2:E$71,2,FALSE)</f>
        <v>120</v>
      </c>
      <c r="C307" s="178" t="s">
        <v>2818</v>
      </c>
      <c r="D307" s="21" t="str">
        <f t="shared" si="8"/>
        <v>PTO0306-120-25</v>
      </c>
      <c r="E307" s="9" t="s">
        <v>2819</v>
      </c>
      <c r="F307" s="10" t="str" cm="1">
        <f t="array" aca="1" ref="F3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07" s="10">
        <v>2.33</v>
      </c>
      <c r="I307" s="12">
        <v>45818</v>
      </c>
      <c r="J307" s="12" t="s">
        <v>2074</v>
      </c>
      <c r="K307" s="63">
        <v>45818</v>
      </c>
      <c r="L307" s="37" t="s">
        <v>2075</v>
      </c>
      <c r="M307" s="10" t="str">
        <f t="shared" ca="1" si="9"/>
        <v>CLOSED</v>
      </c>
    </row>
    <row r="308" spans="1:13" ht="18.75" hidden="1" x14ac:dyDescent="0.25">
      <c r="A308" s="9" t="s">
        <v>117</v>
      </c>
      <c r="B308" s="19">
        <f>VLOOKUP(Table27[[#This Row],[Location 
(drop-down)]],'List source'!D$2:E$71,2,FALSE)</f>
        <v>125</v>
      </c>
      <c r="C308" s="178" t="s">
        <v>2820</v>
      </c>
      <c r="D308" s="21" t="str">
        <f t="shared" si="8"/>
        <v>PTO0307-125-25</v>
      </c>
      <c r="E308" s="9" t="s">
        <v>2821</v>
      </c>
      <c r="F308" s="10" t="str" cm="1">
        <f t="array" aca="1" ref="F3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08" s="10">
        <v>4.8</v>
      </c>
      <c r="I308" s="12">
        <v>45818</v>
      </c>
      <c r="J308" s="12" t="s">
        <v>2074</v>
      </c>
      <c r="K308" s="63">
        <v>45852</v>
      </c>
      <c r="L308" s="37" t="s">
        <v>2079</v>
      </c>
      <c r="M308" s="10" t="str">
        <f t="shared" ca="1" si="9"/>
        <v>CLOSED</v>
      </c>
    </row>
    <row r="309" spans="1:13" ht="30" hidden="1" x14ac:dyDescent="0.25">
      <c r="A309" s="9" t="s">
        <v>177</v>
      </c>
      <c r="B309" s="19">
        <f>VLOOKUP(Table27[[#This Row],[Location 
(drop-down)]],'List source'!D$2:E$71,2,FALSE)</f>
        <v>126</v>
      </c>
      <c r="C309" s="178" t="s">
        <v>2822</v>
      </c>
      <c r="D309" s="21" t="str">
        <f t="shared" si="8"/>
        <v>PTO0308-126-25</v>
      </c>
      <c r="E309" s="9" t="s">
        <v>2823</v>
      </c>
      <c r="F309" s="10" t="str" cm="1">
        <f t="array" aca="1" ref="F3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09" s="10">
        <v>2.33</v>
      </c>
      <c r="I309" s="12">
        <v>45818</v>
      </c>
      <c r="J309" s="12" t="s">
        <v>2074</v>
      </c>
      <c r="K309" s="63">
        <v>45818</v>
      </c>
      <c r="L309" s="37" t="s">
        <v>2075</v>
      </c>
      <c r="M309" s="10" t="str">
        <f t="shared" ca="1" si="9"/>
        <v>CLOSED</v>
      </c>
    </row>
    <row r="310" spans="1:13" ht="18.75" hidden="1" x14ac:dyDescent="0.25">
      <c r="A310" s="9" t="s">
        <v>156</v>
      </c>
      <c r="B310" s="19">
        <f>VLOOKUP(Table27[[#This Row],[Location 
(drop-down)]],'List source'!D$2:E$71,2,FALSE)</f>
        <v>130</v>
      </c>
      <c r="C310" s="178" t="s">
        <v>2824</v>
      </c>
      <c r="D310" s="21" t="str">
        <f t="shared" si="8"/>
        <v>PTO0309-130-25</v>
      </c>
      <c r="E310" s="9" t="s">
        <v>2825</v>
      </c>
      <c r="F310" s="10" t="str" cm="1">
        <f t="array" aca="1" ref="F3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10" s="10">
        <v>2.58</v>
      </c>
      <c r="I310" s="12">
        <v>45818</v>
      </c>
      <c r="J310" s="12" t="s">
        <v>18</v>
      </c>
      <c r="K310" s="63">
        <v>45870</v>
      </c>
      <c r="L310" s="37"/>
      <c r="M310" s="10" t="str">
        <f t="shared" ca="1" si="9"/>
        <v>CLOSED</v>
      </c>
    </row>
    <row r="311" spans="1:13" ht="18.75" hidden="1" x14ac:dyDescent="0.25">
      <c r="A311" s="9" t="s">
        <v>156</v>
      </c>
      <c r="B311" s="19">
        <f>VLOOKUP(Table27[[#This Row],[Location 
(drop-down)]],'List source'!D$2:E$71,2,FALSE)</f>
        <v>130</v>
      </c>
      <c r="C311" s="178" t="s">
        <v>2826</v>
      </c>
      <c r="D311" s="21" t="str">
        <f t="shared" si="8"/>
        <v>PTO0310-130-25</v>
      </c>
      <c r="E311" s="9" t="s">
        <v>2827</v>
      </c>
      <c r="F311" s="10" t="str" cm="1">
        <f t="array" aca="1" ref="F3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311" s="10">
        <v>5.73</v>
      </c>
      <c r="I311" s="12">
        <v>45818</v>
      </c>
      <c r="J311" s="12" t="s">
        <v>135</v>
      </c>
      <c r="K311" s="63">
        <v>45870</v>
      </c>
      <c r="L311" s="37"/>
      <c r="M311" s="10" t="str">
        <f t="shared" ca="1" si="9"/>
        <v>CLOSED</v>
      </c>
    </row>
    <row r="312" spans="1:13" ht="18.75" hidden="1" x14ac:dyDescent="0.25">
      <c r="A312" s="9" t="s">
        <v>156</v>
      </c>
      <c r="B312" s="19">
        <f>VLOOKUP(Table27[[#This Row],[Location 
(drop-down)]],'List source'!D$2:E$71,2,FALSE)</f>
        <v>130</v>
      </c>
      <c r="C312" s="178" t="s">
        <v>2828</v>
      </c>
      <c r="D312" s="21" t="str">
        <f t="shared" si="8"/>
        <v>PTO0311-130-25</v>
      </c>
      <c r="E312" s="9" t="s">
        <v>2829</v>
      </c>
      <c r="F312" s="10" t="str" cm="1">
        <f t="array" aca="1" ref="F3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312" s="10">
        <v>3.59</v>
      </c>
      <c r="I312" s="12">
        <v>45818</v>
      </c>
      <c r="J312" s="12" t="s">
        <v>18</v>
      </c>
      <c r="K312" s="63">
        <v>45904</v>
      </c>
      <c r="L312" s="37"/>
      <c r="M312" s="10" t="str">
        <f t="shared" ca="1" si="9"/>
        <v>CLOSED</v>
      </c>
    </row>
    <row r="313" spans="1:13" ht="18.75" hidden="1" x14ac:dyDescent="0.25">
      <c r="A313" s="9" t="s">
        <v>156</v>
      </c>
      <c r="B313" s="19">
        <f>VLOOKUP(Table27[[#This Row],[Location 
(drop-down)]],'List source'!D$2:E$71,2,FALSE)</f>
        <v>130</v>
      </c>
      <c r="C313" s="178" t="s">
        <v>2830</v>
      </c>
      <c r="D313" s="21" t="str">
        <f t="shared" si="8"/>
        <v>PTO0312-130-25</v>
      </c>
      <c r="E313" s="9" t="s">
        <v>2831</v>
      </c>
      <c r="F313" s="10" t="str" cm="1">
        <f t="array" aca="1" ref="F3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313" s="10">
        <v>2.19</v>
      </c>
      <c r="I313" s="12">
        <v>45818</v>
      </c>
      <c r="J313" s="12" t="s">
        <v>18</v>
      </c>
      <c r="K313" s="63">
        <v>45904</v>
      </c>
      <c r="L313" s="37"/>
      <c r="M313" s="10" t="str">
        <f t="shared" ca="1" si="9"/>
        <v>CLOSED</v>
      </c>
    </row>
    <row r="314" spans="1:13" ht="18.75" hidden="1" x14ac:dyDescent="0.25">
      <c r="A314" s="9" t="s">
        <v>14</v>
      </c>
      <c r="B314" s="19">
        <f>VLOOKUP(Table27[[#This Row],[Location 
(drop-down)]],'List source'!D$2:E$71,2,FALSE)</f>
        <v>131</v>
      </c>
      <c r="C314" s="178" t="s">
        <v>2832</v>
      </c>
      <c r="D314" s="21" t="str">
        <f t="shared" si="8"/>
        <v>PTO0313-131-25</v>
      </c>
      <c r="E314" s="9" t="s">
        <v>2833</v>
      </c>
      <c r="F314" s="10" t="str" cm="1">
        <f t="array" aca="1" ref="F3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314" s="136" t="s">
        <v>2091</v>
      </c>
      <c r="I314" s="12">
        <v>45818</v>
      </c>
      <c r="J314" s="12" t="s">
        <v>167</v>
      </c>
      <c r="K314" s="63">
        <v>45959</v>
      </c>
      <c r="L314" s="37"/>
      <c r="M314" s="10" t="str">
        <f t="shared" ca="1" si="9"/>
        <v>CLOSED</v>
      </c>
    </row>
    <row r="315" spans="1:13" ht="18.75" hidden="1" x14ac:dyDescent="0.25">
      <c r="A315" s="9" t="s">
        <v>211</v>
      </c>
      <c r="B315" s="19">
        <f>VLOOKUP(Table27[[#This Row],[Location 
(drop-down)]],'List source'!D$2:E$71,2,FALSE)</f>
        <v>132</v>
      </c>
      <c r="C315" s="178" t="s">
        <v>2834</v>
      </c>
      <c r="D315" s="21" t="str">
        <f t="shared" si="8"/>
        <v>PTO0314-132-25</v>
      </c>
      <c r="E315" s="9" t="s">
        <v>2835</v>
      </c>
      <c r="F315" s="10" t="str" cm="1">
        <f t="array" aca="1" ref="F3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15" s="136" t="s">
        <v>2836</v>
      </c>
      <c r="I315" s="12">
        <v>45818</v>
      </c>
      <c r="J315" s="12" t="s">
        <v>35</v>
      </c>
      <c r="K315" s="63">
        <v>45882</v>
      </c>
      <c r="L315" s="37"/>
      <c r="M315" s="10" t="str">
        <f t="shared" ca="1" si="9"/>
        <v>CLOSED</v>
      </c>
    </row>
    <row r="316" spans="1:13" ht="30" hidden="1" x14ac:dyDescent="0.25">
      <c r="A316" s="9" t="s">
        <v>186</v>
      </c>
      <c r="B316" s="19">
        <f>VLOOKUP(Table27[[#This Row],[Location 
(drop-down)]],'List source'!D$2:E$71,2,FALSE)</f>
        <v>136</v>
      </c>
      <c r="C316" s="178" t="s">
        <v>2837</v>
      </c>
      <c r="D316" s="21" t="str">
        <f t="shared" si="8"/>
        <v>PTO0315-136-25</v>
      </c>
      <c r="E316" s="9" t="s">
        <v>2838</v>
      </c>
      <c r="F316" s="10" t="str" cm="1">
        <f t="array" aca="1" ref="F3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16" s="10" t="s">
        <v>2400</v>
      </c>
      <c r="I316" s="12">
        <v>45818</v>
      </c>
      <c r="J316" s="12" t="s">
        <v>2074</v>
      </c>
      <c r="K316" s="63">
        <v>45819</v>
      </c>
      <c r="L316" s="37" t="s">
        <v>2288</v>
      </c>
      <c r="M316" s="10" t="str">
        <f t="shared" ca="1" si="9"/>
        <v>CLOSED</v>
      </c>
    </row>
    <row r="317" spans="1:13" ht="30" hidden="1" x14ac:dyDescent="0.25">
      <c r="A317" s="9" t="s">
        <v>203</v>
      </c>
      <c r="B317" s="19">
        <f>VLOOKUP(Table27[[#This Row],[Location 
(drop-down)]],'List source'!D$2:E$71,2,FALSE)</f>
        <v>140</v>
      </c>
      <c r="C317" s="178" t="s">
        <v>2839</v>
      </c>
      <c r="D317" s="21" t="str">
        <f t="shared" si="8"/>
        <v>PTO0316-140-25</v>
      </c>
      <c r="E317" s="9" t="s">
        <v>2840</v>
      </c>
      <c r="F317" s="10" t="str" cm="1">
        <f t="array" aca="1" ref="F3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317" s="10">
        <v>2.1</v>
      </c>
      <c r="I317" s="12">
        <v>45818</v>
      </c>
      <c r="J317" s="12" t="s">
        <v>2074</v>
      </c>
      <c r="K317" s="63">
        <v>45818</v>
      </c>
      <c r="L317" s="37" t="s">
        <v>2075</v>
      </c>
      <c r="M317" s="10" t="str">
        <f t="shared" ca="1" si="9"/>
        <v>CLOSED</v>
      </c>
    </row>
    <row r="318" spans="1:13" ht="30" hidden="1" x14ac:dyDescent="0.25">
      <c r="A318" s="9" t="s">
        <v>58</v>
      </c>
      <c r="B318" s="19">
        <f>VLOOKUP(Table27[[#This Row],[Location 
(drop-down)]],'List source'!D$2:E$71,2,FALSE)</f>
        <v>146</v>
      </c>
      <c r="C318" s="178" t="s">
        <v>2841</v>
      </c>
      <c r="D318" s="21" t="str">
        <f t="shared" si="8"/>
        <v>PTO0317-146-25</v>
      </c>
      <c r="E318" s="9" t="s">
        <v>2842</v>
      </c>
      <c r="F318" s="10" t="str" cm="1">
        <f t="array" aca="1" ref="F3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318" s="136" t="s">
        <v>2141</v>
      </c>
      <c r="I318" s="12">
        <v>45818</v>
      </c>
      <c r="J318" s="12" t="s">
        <v>2074</v>
      </c>
      <c r="K318" s="63">
        <v>45818</v>
      </c>
      <c r="L318" s="37" t="s">
        <v>2075</v>
      </c>
      <c r="M318" s="10" t="str">
        <f t="shared" ca="1" si="9"/>
        <v>CLOSED</v>
      </c>
    </row>
    <row r="319" spans="1:13" ht="30" hidden="1" x14ac:dyDescent="0.25">
      <c r="A319" s="9" t="s">
        <v>79</v>
      </c>
      <c r="B319" s="19">
        <f>VLOOKUP(Table27[[#This Row],[Location 
(drop-down)]],'List source'!D$2:E$71,2,FALSE)</f>
        <v>160</v>
      </c>
      <c r="C319" s="178" t="s">
        <v>2843</v>
      </c>
      <c r="D319" s="21" t="str">
        <f t="shared" si="8"/>
        <v>PTO0318-160-25</v>
      </c>
      <c r="E319" s="9" t="s">
        <v>2844</v>
      </c>
      <c r="F319" s="10" t="str" cm="1">
        <f t="array" aca="1" ref="F3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319" s="136" t="s">
        <v>2845</v>
      </c>
      <c r="I319" s="12">
        <v>45818</v>
      </c>
      <c r="J319" s="12"/>
      <c r="K319" s="63"/>
      <c r="L319" s="37"/>
      <c r="M319" s="10">
        <f t="shared" ca="1" si="9"/>
        <v>259</v>
      </c>
    </row>
    <row r="320" spans="1:13" ht="18.75" hidden="1" x14ac:dyDescent="0.25">
      <c r="A320" s="9" t="s">
        <v>79</v>
      </c>
      <c r="B320" s="19">
        <f>VLOOKUP(Table27[[#This Row],[Location 
(drop-down)]],'List source'!D$2:E$71,2,FALSE)</f>
        <v>160</v>
      </c>
      <c r="C320" s="178" t="s">
        <v>2846</v>
      </c>
      <c r="D320" s="21" t="str">
        <f t="shared" si="8"/>
        <v>PTO0319-160-25</v>
      </c>
      <c r="E320" s="70" t="s">
        <v>2847</v>
      </c>
      <c r="F320" s="10" t="str" cm="1">
        <f t="array" aca="1" ref="F3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320" s="198" t="s">
        <v>2848</v>
      </c>
      <c r="I320" s="12">
        <v>45818</v>
      </c>
      <c r="J320" s="12" t="s">
        <v>82</v>
      </c>
      <c r="K320" s="63">
        <v>45994</v>
      </c>
      <c r="L320" s="37"/>
      <c r="M320" s="10" t="str">
        <f t="shared" ca="1" si="9"/>
        <v>CLOSED</v>
      </c>
    </row>
    <row r="321" spans="1:13" ht="18.75" hidden="1" x14ac:dyDescent="0.25">
      <c r="A321" s="9" t="s">
        <v>79</v>
      </c>
      <c r="B321" s="19">
        <f>VLOOKUP(Table27[[#This Row],[Location 
(drop-down)]],'List source'!D$2:E$71,2,FALSE)</f>
        <v>160</v>
      </c>
      <c r="C321" s="178" t="s">
        <v>2849</v>
      </c>
      <c r="D321" s="21" t="str">
        <f t="shared" si="8"/>
        <v>PTO0320-160-25</v>
      </c>
      <c r="E321" s="146" t="s">
        <v>2850</v>
      </c>
      <c r="F321" s="10" t="str" cm="1">
        <f t="array" aca="1" ref="F3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D6378 - Vapor Pressure</v>
      </c>
      <c r="H321" s="198">
        <v>8.3000000000000007</v>
      </c>
      <c r="I321" s="12">
        <v>45818</v>
      </c>
      <c r="J321" s="12" t="s">
        <v>2074</v>
      </c>
      <c r="K321" s="63">
        <v>45870</v>
      </c>
      <c r="L321" s="37" t="s">
        <v>2079</v>
      </c>
      <c r="M321" s="10" t="str">
        <f t="shared" ca="1" si="9"/>
        <v>CLOSED</v>
      </c>
    </row>
    <row r="322" spans="1:13" ht="30" hidden="1" x14ac:dyDescent="0.25">
      <c r="A322" s="9" t="s">
        <v>141</v>
      </c>
      <c r="B322" s="19">
        <f>VLOOKUP(Table27[[#This Row],[Location 
(drop-down)]],'List source'!D$2:E$71,2,FALSE)</f>
        <v>165</v>
      </c>
      <c r="C322" s="178" t="s">
        <v>2851</v>
      </c>
      <c r="D322" s="21" t="str">
        <f t="shared" ref="D322:D385" si="10">"PTO" &amp; C322 &amp; "-" &amp; B322 &amp; "-" &amp; "25"</f>
        <v>PTO0321-165-25</v>
      </c>
      <c r="E322" s="9" t="s">
        <v>2852</v>
      </c>
      <c r="F322" s="10" t="str" cm="1">
        <f t="array" aca="1" ref="F3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Distillation</v>
      </c>
      <c r="H322" s="136" t="s">
        <v>2853</v>
      </c>
      <c r="I322" s="12">
        <v>45818</v>
      </c>
      <c r="J322" s="12" t="s">
        <v>2074</v>
      </c>
      <c r="K322" s="63">
        <v>45818</v>
      </c>
      <c r="L322" s="37" t="s">
        <v>2075</v>
      </c>
      <c r="M322" s="10" t="str">
        <f t="shared" ref="M322:M385" ca="1" si="11">IF(ISBLANK(K322), TODAY()-(I322), "CLOSED")</f>
        <v>CLOSED</v>
      </c>
    </row>
    <row r="323" spans="1:13" ht="18.75" hidden="1" x14ac:dyDescent="0.25">
      <c r="A323" s="9" t="s">
        <v>141</v>
      </c>
      <c r="B323" s="19">
        <f>VLOOKUP(Table27[[#This Row],[Location 
(drop-down)]],'List source'!D$2:E$71,2,FALSE)</f>
        <v>165</v>
      </c>
      <c r="C323" s="178" t="s">
        <v>2854</v>
      </c>
      <c r="D323" s="21" t="str">
        <f t="shared" si="10"/>
        <v>PTO0322-165-25</v>
      </c>
      <c r="E323" s="9" t="s">
        <v>2855</v>
      </c>
      <c r="F323" s="10" t="str" cm="1">
        <f t="array" aca="1" ref="F3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323" s="10">
        <v>2.4</v>
      </c>
      <c r="I323" s="12">
        <v>45818</v>
      </c>
      <c r="J323" s="12" t="s">
        <v>18</v>
      </c>
      <c r="K323" s="63">
        <v>45972</v>
      </c>
      <c r="L323" s="37"/>
      <c r="M323" s="10" t="str">
        <f t="shared" ca="1" si="11"/>
        <v>CLOSED</v>
      </c>
    </row>
    <row r="324" spans="1:13" ht="18.75" hidden="1" x14ac:dyDescent="0.25">
      <c r="A324" s="9" t="s">
        <v>123</v>
      </c>
      <c r="B324" s="19">
        <f>VLOOKUP(Table27[[#This Row],[Location 
(drop-down)]],'List source'!D$2:E$71,2,FALSE)</f>
        <v>192</v>
      </c>
      <c r="C324" s="178" t="s">
        <v>2856</v>
      </c>
      <c r="D324" s="21" t="str">
        <f t="shared" si="10"/>
        <v>PTO0323-192-25</v>
      </c>
      <c r="E324" s="9" t="s">
        <v>2857</v>
      </c>
      <c r="F324" s="10" t="str" cm="1">
        <f t="array" aca="1" ref="F3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24" s="10">
        <v>3.19</v>
      </c>
      <c r="I324" s="12">
        <v>45818</v>
      </c>
      <c r="J324" s="12" t="s">
        <v>189</v>
      </c>
      <c r="K324" s="63">
        <v>45911</v>
      </c>
      <c r="L324" s="37"/>
      <c r="M324" s="10" t="str">
        <f t="shared" ca="1" si="11"/>
        <v>CLOSED</v>
      </c>
    </row>
    <row r="325" spans="1:13" ht="30" hidden="1" x14ac:dyDescent="0.25">
      <c r="A325" s="9" t="s">
        <v>37</v>
      </c>
      <c r="B325" s="19">
        <f>VLOOKUP(Table27[[#This Row],[Location 
(drop-down)]],'List source'!D$2:E$71,2,FALSE)</f>
        <v>210</v>
      </c>
      <c r="C325" s="178" t="s">
        <v>2858</v>
      </c>
      <c r="D325" s="21" t="str">
        <f t="shared" si="10"/>
        <v>PTO0324-210-25</v>
      </c>
      <c r="E325" s="9" t="s">
        <v>2859</v>
      </c>
      <c r="F325" s="10" t="str" cm="1">
        <f t="array" aca="1" ref="F3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25" s="10" t="s">
        <v>2860</v>
      </c>
      <c r="I325" s="12">
        <v>45818</v>
      </c>
      <c r="J325" s="12" t="s">
        <v>252</v>
      </c>
      <c r="K325" s="63">
        <v>45960</v>
      </c>
      <c r="L325" s="37"/>
      <c r="M325" s="10" t="str">
        <f t="shared" ca="1" si="11"/>
        <v>CLOSED</v>
      </c>
    </row>
    <row r="326" spans="1:13" ht="30" hidden="1" x14ac:dyDescent="0.25">
      <c r="A326" s="9" t="s">
        <v>105</v>
      </c>
      <c r="B326" s="19">
        <f>VLOOKUP(Table27[[#This Row],[Location 
(drop-down)]],'List source'!D$2:E$71,2,FALSE)</f>
        <v>215</v>
      </c>
      <c r="C326" s="178" t="s">
        <v>2861</v>
      </c>
      <c r="D326" s="21" t="str">
        <f t="shared" si="10"/>
        <v>PTO0325-215-25</v>
      </c>
      <c r="E326" s="9" t="s">
        <v>2862</v>
      </c>
      <c r="F326" s="10" t="str" cm="1">
        <f t="array" aca="1" ref="F3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26" s="136" t="s">
        <v>2863</v>
      </c>
      <c r="I326" s="12">
        <v>45818</v>
      </c>
      <c r="J326" s="12" t="s">
        <v>252</v>
      </c>
      <c r="K326" s="63">
        <v>45973</v>
      </c>
      <c r="L326" s="37"/>
      <c r="M326" s="10" t="str">
        <f t="shared" ca="1" si="11"/>
        <v>CLOSED</v>
      </c>
    </row>
    <row r="327" spans="1:13" ht="18.75" hidden="1" x14ac:dyDescent="0.25">
      <c r="A327" s="9" t="s">
        <v>105</v>
      </c>
      <c r="B327" s="19">
        <f>VLOOKUP(Table27[[#This Row],[Location 
(drop-down)]],'List source'!D$2:E$71,2,FALSE)</f>
        <v>215</v>
      </c>
      <c r="C327" s="178" t="s">
        <v>2864</v>
      </c>
      <c r="D327" s="21" t="str">
        <f t="shared" si="10"/>
        <v>PTO0326-215-25</v>
      </c>
      <c r="E327" s="9" t="s">
        <v>2865</v>
      </c>
      <c r="F327" s="10" t="str" cm="1">
        <f t="array" aca="1" ref="F3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327" s="136" t="s">
        <v>2866</v>
      </c>
      <c r="I327" s="12">
        <v>45818</v>
      </c>
      <c r="J327" s="12" t="s">
        <v>252</v>
      </c>
      <c r="K327" s="63">
        <v>46034</v>
      </c>
      <c r="L327" s="37"/>
      <c r="M327" s="10" t="str">
        <f t="shared" ca="1" si="11"/>
        <v>CLOSED</v>
      </c>
    </row>
    <row r="328" spans="1:13" ht="11.1" hidden="1" customHeight="1" x14ac:dyDescent="0.25">
      <c r="A328" s="9" t="s">
        <v>153</v>
      </c>
      <c r="B328" s="19">
        <f>VLOOKUP(Table27[[#This Row],[Location 
(drop-down)]],'List source'!D$2:E$71,2,FALSE)</f>
        <v>110</v>
      </c>
      <c r="C328" s="178" t="s">
        <v>2867</v>
      </c>
      <c r="D328" s="21" t="str">
        <f t="shared" si="10"/>
        <v>PTO0327-110-25</v>
      </c>
      <c r="E328" s="9" t="s">
        <v>2868</v>
      </c>
      <c r="F328" s="10" t="s">
        <v>2065</v>
      </c>
      <c r="G3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328" s="136" t="s">
        <v>2869</v>
      </c>
      <c r="I328" s="12">
        <v>45819</v>
      </c>
      <c r="J328" s="12"/>
      <c r="K328" s="63"/>
      <c r="L328" s="37"/>
      <c r="M328" s="10">
        <f t="shared" ca="1" si="11"/>
        <v>258</v>
      </c>
    </row>
    <row r="329" spans="1:13" ht="18.75" hidden="1" x14ac:dyDescent="0.25">
      <c r="A329" s="9" t="s">
        <v>361</v>
      </c>
      <c r="B329" s="19">
        <f>VLOOKUP(Table27[[#This Row],[Location 
(drop-down)]],'List source'!D$2:E$71,2,FALSE)</f>
        <v>116</v>
      </c>
      <c r="C329" s="178" t="s">
        <v>2870</v>
      </c>
      <c r="D329" s="21" t="str">
        <f t="shared" si="10"/>
        <v>PTO0328-116-25</v>
      </c>
      <c r="E329" s="9" t="s">
        <v>2871</v>
      </c>
      <c r="F329" s="10" t="s">
        <v>2065</v>
      </c>
      <c r="G3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29" s="136">
        <v>2.0099999999999998</v>
      </c>
      <c r="I329" s="12">
        <v>45819</v>
      </c>
      <c r="J329" s="12" t="s">
        <v>109</v>
      </c>
      <c r="K329" s="63">
        <v>45994</v>
      </c>
      <c r="L329" s="37"/>
      <c r="M329" s="10" t="str">
        <f t="shared" ca="1" si="11"/>
        <v>CLOSED</v>
      </c>
    </row>
    <row r="330" spans="1:13" ht="30" hidden="1" x14ac:dyDescent="0.25">
      <c r="A330" s="9" t="s">
        <v>361</v>
      </c>
      <c r="B330" s="19">
        <f>VLOOKUP(Table27[[#This Row],[Location 
(drop-down)]],'List source'!D$2:E$71,2,FALSE)</f>
        <v>116</v>
      </c>
      <c r="C330" s="178" t="s">
        <v>2872</v>
      </c>
      <c r="D330" s="21" t="str">
        <f t="shared" si="10"/>
        <v>PTO0329-116-25</v>
      </c>
      <c r="E330" s="9" t="s">
        <v>2873</v>
      </c>
      <c r="F330" s="10" t="s">
        <v>2065</v>
      </c>
      <c r="G3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330" s="10"/>
      <c r="I330" s="12">
        <v>45819</v>
      </c>
      <c r="J330" s="12" t="s">
        <v>2074</v>
      </c>
      <c r="K330" s="63">
        <v>45819</v>
      </c>
      <c r="L330" s="37" t="s">
        <v>2075</v>
      </c>
      <c r="M330" s="10" t="str">
        <f t="shared" ca="1" si="11"/>
        <v>CLOSED</v>
      </c>
    </row>
    <row r="331" spans="1:13" ht="18.75" hidden="1" x14ac:dyDescent="0.25">
      <c r="A331" s="9" t="s">
        <v>361</v>
      </c>
      <c r="B331" s="19">
        <f>VLOOKUP(Table27[[#This Row],[Location 
(drop-down)]],'List source'!D$2:E$71,2,FALSE)</f>
        <v>116</v>
      </c>
      <c r="C331" s="178" t="s">
        <v>2874</v>
      </c>
      <c r="D331" s="21" t="str">
        <f t="shared" si="10"/>
        <v>PTO0330-116-25</v>
      </c>
      <c r="E331" s="9" t="s">
        <v>2875</v>
      </c>
      <c r="F331" s="10" t="s">
        <v>2065</v>
      </c>
      <c r="G3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31" s="136" t="s">
        <v>2876</v>
      </c>
      <c r="I331" s="12">
        <v>45819</v>
      </c>
      <c r="J331" s="12" t="s">
        <v>109</v>
      </c>
      <c r="K331" s="63">
        <v>45994</v>
      </c>
      <c r="L331" s="37"/>
      <c r="M331" s="10" t="str">
        <f t="shared" ca="1" si="11"/>
        <v>CLOSED</v>
      </c>
    </row>
    <row r="332" spans="1:13" ht="18.75" hidden="1" x14ac:dyDescent="0.25">
      <c r="A332" s="9" t="s">
        <v>94</v>
      </c>
      <c r="B332" s="19">
        <f>VLOOKUP(Table27[[#This Row],[Location 
(drop-down)]],'List source'!D$2:E$71,2,FALSE)</f>
        <v>120</v>
      </c>
      <c r="C332" s="178" t="s">
        <v>2877</v>
      </c>
      <c r="D332" s="21" t="str">
        <f t="shared" si="10"/>
        <v>PTO0331-120-25</v>
      </c>
      <c r="E332" s="9" t="s">
        <v>2878</v>
      </c>
      <c r="F332" s="10" t="s">
        <v>2065</v>
      </c>
      <c r="G3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D7094 - Flash Point</v>
      </c>
      <c r="H332" s="10">
        <v>2.19</v>
      </c>
      <c r="I332" s="12">
        <v>45819</v>
      </c>
      <c r="J332" s="12" t="s">
        <v>2074</v>
      </c>
      <c r="K332" s="63">
        <v>45824</v>
      </c>
      <c r="L332" s="37" t="s">
        <v>2079</v>
      </c>
      <c r="M332" s="10" t="str">
        <f t="shared" ca="1" si="11"/>
        <v>CLOSED</v>
      </c>
    </row>
    <row r="333" spans="1:13" ht="18.75" hidden="1" x14ac:dyDescent="0.25">
      <c r="A333" s="9" t="s">
        <v>177</v>
      </c>
      <c r="B333" s="19">
        <f>VLOOKUP(Table27[[#This Row],[Location 
(drop-down)]],'List source'!D$2:E$71,2,FALSE)</f>
        <v>126</v>
      </c>
      <c r="C333" s="178" t="s">
        <v>2879</v>
      </c>
      <c r="D333" s="21" t="str">
        <f t="shared" si="10"/>
        <v>PTO0332-126-25</v>
      </c>
      <c r="E333" s="9" t="s">
        <v>2880</v>
      </c>
      <c r="F333" s="10" t="s">
        <v>2065</v>
      </c>
      <c r="G3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33" s="136" t="s">
        <v>2881</v>
      </c>
      <c r="I333" s="12">
        <v>45819</v>
      </c>
      <c r="J333" s="12" t="s">
        <v>189</v>
      </c>
      <c r="K333" s="63">
        <v>45931</v>
      </c>
      <c r="L333" s="37"/>
      <c r="M333" s="10" t="str">
        <f t="shared" ca="1" si="11"/>
        <v>CLOSED</v>
      </c>
    </row>
    <row r="334" spans="1:13" ht="18.75" hidden="1" x14ac:dyDescent="0.25">
      <c r="A334" s="9" t="s">
        <v>14</v>
      </c>
      <c r="B334" s="19">
        <f>VLOOKUP(Table27[[#This Row],[Location 
(drop-down)]],'List source'!D$2:E$71,2,FALSE)</f>
        <v>131</v>
      </c>
      <c r="C334" s="178" t="s">
        <v>2882</v>
      </c>
      <c r="D334" s="21" t="str">
        <f t="shared" si="10"/>
        <v>PTO0333-131-25</v>
      </c>
      <c r="E334" s="9" t="s">
        <v>2883</v>
      </c>
      <c r="F334" s="10" t="s">
        <v>2065</v>
      </c>
      <c r="G3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334" s="136" t="s">
        <v>2884</v>
      </c>
      <c r="I334" s="12">
        <v>45819</v>
      </c>
      <c r="J334" s="12" t="s">
        <v>167</v>
      </c>
      <c r="K334" s="63">
        <v>45915</v>
      </c>
      <c r="L334" s="37"/>
      <c r="M334" s="10" t="str">
        <f t="shared" ca="1" si="11"/>
        <v>CLOSED</v>
      </c>
    </row>
    <row r="335" spans="1:13" ht="18.75" hidden="1" x14ac:dyDescent="0.25">
      <c r="A335" s="9" t="s">
        <v>14</v>
      </c>
      <c r="B335" s="19">
        <f>VLOOKUP(Table27[[#This Row],[Location 
(drop-down)]],'List source'!D$2:E$71,2,FALSE)</f>
        <v>131</v>
      </c>
      <c r="C335" s="178" t="s">
        <v>2885</v>
      </c>
      <c r="D335" s="21" t="str">
        <f t="shared" si="10"/>
        <v>PTO0334-131-25</v>
      </c>
      <c r="E335" s="9" t="s">
        <v>2886</v>
      </c>
      <c r="F335" s="10" t="s">
        <v>2065</v>
      </c>
      <c r="G3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335" s="10">
        <v>2.2000000000000002</v>
      </c>
      <c r="I335" s="12">
        <v>45819</v>
      </c>
      <c r="J335" s="12" t="s">
        <v>167</v>
      </c>
      <c r="K335" s="63">
        <v>45924</v>
      </c>
      <c r="L335" s="37"/>
      <c r="M335" s="10" t="str">
        <f t="shared" ca="1" si="11"/>
        <v>CLOSED</v>
      </c>
    </row>
    <row r="336" spans="1:13" ht="18.75" hidden="1" x14ac:dyDescent="0.25">
      <c r="A336" s="9" t="s">
        <v>14</v>
      </c>
      <c r="B336" s="19">
        <f>VLOOKUP(Table27[[#This Row],[Location 
(drop-down)]],'List source'!D$2:E$71,2,FALSE)</f>
        <v>131</v>
      </c>
      <c r="C336" s="178" t="s">
        <v>2887</v>
      </c>
      <c r="D336" s="21" t="str">
        <f t="shared" si="10"/>
        <v>PTO0335-131-25</v>
      </c>
      <c r="E336" s="9" t="s">
        <v>2888</v>
      </c>
      <c r="F336" s="10" t="s">
        <v>2065</v>
      </c>
      <c r="G3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36" s="10">
        <v>2.25</v>
      </c>
      <c r="I336" s="12">
        <v>45819</v>
      </c>
      <c r="J336" s="12" t="s">
        <v>167</v>
      </c>
      <c r="K336" s="63">
        <v>45924</v>
      </c>
      <c r="L336" s="37"/>
      <c r="M336" s="10" t="str">
        <f t="shared" ca="1" si="11"/>
        <v>CLOSED</v>
      </c>
    </row>
    <row r="337" spans="1:13" ht="18.75" hidden="1" x14ac:dyDescent="0.25">
      <c r="A337" s="9" t="s">
        <v>14</v>
      </c>
      <c r="B337" s="19">
        <f>VLOOKUP(Table27[[#This Row],[Location 
(drop-down)]],'List source'!D$2:E$71,2,FALSE)</f>
        <v>131</v>
      </c>
      <c r="C337" s="178" t="s">
        <v>2889</v>
      </c>
      <c r="D337" s="21" t="str">
        <f t="shared" si="10"/>
        <v>PTO0336-131-25</v>
      </c>
      <c r="E337" s="9" t="s">
        <v>2890</v>
      </c>
      <c r="F337" s="10" t="s">
        <v>2065</v>
      </c>
      <c r="G3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37" s="10">
        <v>10.99</v>
      </c>
      <c r="I337" s="12">
        <v>45819</v>
      </c>
      <c r="J337" s="12" t="s">
        <v>167</v>
      </c>
      <c r="K337" s="63">
        <v>45918</v>
      </c>
      <c r="L337" s="37"/>
      <c r="M337" s="10" t="str">
        <f t="shared" ca="1" si="11"/>
        <v>CLOSED</v>
      </c>
    </row>
    <row r="338" spans="1:13" ht="30" hidden="1" x14ac:dyDescent="0.25">
      <c r="A338" s="9" t="s">
        <v>211</v>
      </c>
      <c r="B338" s="19">
        <f>VLOOKUP(Table27[[#This Row],[Location 
(drop-down)]],'List source'!D$2:E$71,2,FALSE)</f>
        <v>132</v>
      </c>
      <c r="C338" s="178" t="s">
        <v>2891</v>
      </c>
      <c r="D338" s="21" t="str">
        <f t="shared" si="10"/>
        <v>PTO0337-132-25</v>
      </c>
      <c r="E338" s="9" t="s">
        <v>2892</v>
      </c>
      <c r="F338" s="10" t="s">
        <v>2065</v>
      </c>
      <c r="G3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38" s="10"/>
      <c r="I338" s="12">
        <v>45819</v>
      </c>
      <c r="J338" s="12" t="s">
        <v>2074</v>
      </c>
      <c r="K338" s="63">
        <v>45819</v>
      </c>
      <c r="L338" s="37" t="s">
        <v>2075</v>
      </c>
      <c r="M338" s="10" t="str">
        <f t="shared" ca="1" si="11"/>
        <v>CLOSED</v>
      </c>
    </row>
    <row r="339" spans="1:13" ht="18.75" hidden="1" x14ac:dyDescent="0.25">
      <c r="A339" s="9" t="s">
        <v>211</v>
      </c>
      <c r="B339" s="19">
        <f>VLOOKUP(Table27[[#This Row],[Location 
(drop-down)]],'List source'!D$2:E$71,2,FALSE)</f>
        <v>132</v>
      </c>
      <c r="C339" s="178" t="s">
        <v>2893</v>
      </c>
      <c r="D339" s="21" t="str">
        <f t="shared" si="10"/>
        <v>PTO0338-132-25</v>
      </c>
      <c r="E339" s="9" t="s">
        <v>2894</v>
      </c>
      <c r="F339" s="10" t="s">
        <v>2065</v>
      </c>
      <c r="G3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339" s="10">
        <v>3</v>
      </c>
      <c r="I339" s="12">
        <v>45819</v>
      </c>
      <c r="J339" s="12" t="s">
        <v>167</v>
      </c>
      <c r="K339" s="63">
        <v>45922</v>
      </c>
      <c r="L339" s="37"/>
      <c r="M339" s="10" t="str">
        <f t="shared" ca="1" si="11"/>
        <v>CLOSED</v>
      </c>
    </row>
    <row r="340" spans="1:13" ht="30" hidden="1" x14ac:dyDescent="0.25">
      <c r="A340" s="9" t="s">
        <v>211</v>
      </c>
      <c r="B340" s="19">
        <f>VLOOKUP(Table27[[#This Row],[Location 
(drop-down)]],'List source'!D$2:E$71,2,FALSE)</f>
        <v>132</v>
      </c>
      <c r="C340" s="178" t="s">
        <v>2895</v>
      </c>
      <c r="D340" s="21" t="str">
        <f t="shared" si="10"/>
        <v>PTO0339-132-25</v>
      </c>
      <c r="E340" s="9" t="s">
        <v>2896</v>
      </c>
      <c r="F340" s="10" t="s">
        <v>2065</v>
      </c>
      <c r="G3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40" s="136"/>
      <c r="I340" s="12">
        <v>45819</v>
      </c>
      <c r="J340" s="12" t="s">
        <v>2074</v>
      </c>
      <c r="K340" s="63">
        <v>45819</v>
      </c>
      <c r="L340" s="37" t="s">
        <v>2075</v>
      </c>
      <c r="M340" s="10" t="str">
        <f t="shared" ca="1" si="11"/>
        <v>CLOSED</v>
      </c>
    </row>
    <row r="341" spans="1:13" ht="30" hidden="1" x14ac:dyDescent="0.25">
      <c r="A341" s="9" t="s">
        <v>86</v>
      </c>
      <c r="B341" s="19">
        <f>VLOOKUP(Table27[[#This Row],[Location 
(drop-down)]],'List source'!D$2:E$71,2,FALSE)</f>
        <v>150</v>
      </c>
      <c r="C341" s="178" t="s">
        <v>2897</v>
      </c>
      <c r="D341" s="21" t="str">
        <f t="shared" si="10"/>
        <v>PTO0340-150-25</v>
      </c>
      <c r="E341" s="9" t="s">
        <v>2898</v>
      </c>
      <c r="F341" s="10" t="s">
        <v>2065</v>
      </c>
      <c r="G3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D5949 - Pour Point</v>
      </c>
      <c r="H341" s="136" t="s">
        <v>2446</v>
      </c>
      <c r="I341" s="12">
        <v>45819</v>
      </c>
      <c r="J341" s="12" t="s">
        <v>82</v>
      </c>
      <c r="K341" s="63">
        <v>45973</v>
      </c>
      <c r="L341" s="37"/>
      <c r="M341" s="10" t="str">
        <f t="shared" ca="1" si="11"/>
        <v>CLOSED</v>
      </c>
    </row>
    <row r="342" spans="1:13" ht="30" hidden="1" x14ac:dyDescent="0.25">
      <c r="A342" s="9" t="s">
        <v>86</v>
      </c>
      <c r="B342" s="19">
        <f>VLOOKUP(Table27[[#This Row],[Location 
(drop-down)]],'List source'!D$2:E$71,2,FALSE)</f>
        <v>150</v>
      </c>
      <c r="C342" s="178" t="s">
        <v>2899</v>
      </c>
      <c r="D342" s="21" t="str">
        <f t="shared" si="10"/>
        <v>PTO0341-150-25</v>
      </c>
      <c r="E342" s="9" t="s">
        <v>2900</v>
      </c>
      <c r="F342" s="10" t="s">
        <v>2065</v>
      </c>
      <c r="G3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342" s="136" t="s">
        <v>2901</v>
      </c>
      <c r="I342" s="12">
        <v>45819</v>
      </c>
      <c r="J342" s="12" t="s">
        <v>82</v>
      </c>
      <c r="K342" s="63">
        <v>45916</v>
      </c>
      <c r="L342" s="37"/>
      <c r="M342" s="10" t="str">
        <f t="shared" ca="1" si="11"/>
        <v>CLOSED</v>
      </c>
    </row>
    <row r="343" spans="1:13" ht="18.75" hidden="1" x14ac:dyDescent="0.25">
      <c r="A343" s="9" t="s">
        <v>46</v>
      </c>
      <c r="B343" s="19">
        <f>VLOOKUP(Table27[[#This Row],[Location 
(drop-down)]],'List source'!D$2:E$71,2,FALSE)</f>
        <v>155</v>
      </c>
      <c r="C343" s="178" t="s">
        <v>2902</v>
      </c>
      <c r="D343" s="21" t="str">
        <f t="shared" si="10"/>
        <v>PTO0342-155-25</v>
      </c>
      <c r="E343" s="9" t="s">
        <v>2903</v>
      </c>
      <c r="F343" s="10" t="s">
        <v>2065</v>
      </c>
      <c r="G3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343" s="136" t="s">
        <v>2904</v>
      </c>
      <c r="I343" s="12">
        <v>45819</v>
      </c>
      <c r="J343" s="12"/>
      <c r="K343" s="63"/>
      <c r="L343" s="37"/>
      <c r="M343" s="10">
        <f t="shared" ca="1" si="11"/>
        <v>258</v>
      </c>
    </row>
    <row r="344" spans="1:13" ht="18.75" hidden="1" x14ac:dyDescent="0.25">
      <c r="A344" s="9" t="s">
        <v>46</v>
      </c>
      <c r="B344" s="19">
        <f>VLOOKUP(Table27[[#This Row],[Location 
(drop-down)]],'List source'!D$2:E$71,2,FALSE)</f>
        <v>155</v>
      </c>
      <c r="C344" s="178" t="s">
        <v>2905</v>
      </c>
      <c r="D344" s="21" t="str">
        <f t="shared" si="10"/>
        <v>PTO0343-155-25</v>
      </c>
      <c r="E344" s="9" t="s">
        <v>2906</v>
      </c>
      <c r="F344" s="10" t="s">
        <v>2065</v>
      </c>
      <c r="G3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344" s="10">
        <v>83.12</v>
      </c>
      <c r="I344" s="12">
        <v>45819</v>
      </c>
      <c r="J344" s="12"/>
      <c r="K344" s="63"/>
      <c r="L344" s="37"/>
      <c r="M344" s="10">
        <f t="shared" ca="1" si="11"/>
        <v>258</v>
      </c>
    </row>
    <row r="345" spans="1:13" ht="18.75" hidden="1" x14ac:dyDescent="0.25">
      <c r="A345" s="9" t="s">
        <v>25</v>
      </c>
      <c r="B345" s="19">
        <f>VLOOKUP(Table27[[#This Row],[Location 
(drop-down)]],'List source'!D$2:E$71,2,FALSE)</f>
        <v>158</v>
      </c>
      <c r="C345" s="178" t="s">
        <v>2907</v>
      </c>
      <c r="D345" s="21" t="str">
        <f t="shared" si="10"/>
        <v>PTO0344-158-25</v>
      </c>
      <c r="E345" s="9" t="s">
        <v>2908</v>
      </c>
      <c r="F345" s="10" t="s">
        <v>2065</v>
      </c>
      <c r="G3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345" s="136">
        <v>27.09</v>
      </c>
      <c r="I345" s="12">
        <v>45819</v>
      </c>
      <c r="J345" s="12" t="s">
        <v>82</v>
      </c>
      <c r="K345" s="63">
        <v>45885</v>
      </c>
      <c r="L345" s="37"/>
      <c r="M345" s="10" t="str">
        <f t="shared" ca="1" si="11"/>
        <v>CLOSED</v>
      </c>
    </row>
    <row r="346" spans="1:13" ht="30" hidden="1" x14ac:dyDescent="0.25">
      <c r="A346" s="9" t="s">
        <v>79</v>
      </c>
      <c r="B346" s="19">
        <f>VLOOKUP(Table27[[#This Row],[Location 
(drop-down)]],'List source'!D$2:E$71,2,FALSE)</f>
        <v>160</v>
      </c>
      <c r="C346" s="178" t="s">
        <v>2909</v>
      </c>
      <c r="D346" s="21" t="str">
        <f t="shared" si="10"/>
        <v>PTO0345-160-25</v>
      </c>
      <c r="E346" s="9" t="s">
        <v>2910</v>
      </c>
      <c r="F346" s="10" t="s">
        <v>2065</v>
      </c>
      <c r="G3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346" s="10"/>
      <c r="I346" s="12">
        <v>45819</v>
      </c>
      <c r="J346" s="12" t="s">
        <v>2074</v>
      </c>
      <c r="K346" s="63">
        <v>45819</v>
      </c>
      <c r="L346" s="37" t="s">
        <v>2075</v>
      </c>
      <c r="M346" s="10" t="str">
        <f t="shared" ca="1" si="11"/>
        <v>CLOSED</v>
      </c>
    </row>
    <row r="347" spans="1:13" ht="18.75" hidden="1" x14ac:dyDescent="0.25">
      <c r="A347" s="9" t="s">
        <v>79</v>
      </c>
      <c r="B347" s="19">
        <f>VLOOKUP(Table27[[#This Row],[Location 
(drop-down)]],'List source'!D$2:E$71,2,FALSE)</f>
        <v>160</v>
      </c>
      <c r="C347" s="178" t="s">
        <v>2911</v>
      </c>
      <c r="D347" s="21" t="str">
        <f t="shared" si="10"/>
        <v>PTO0346-160-25</v>
      </c>
      <c r="E347" s="9" t="s">
        <v>2912</v>
      </c>
      <c r="F347" s="10" t="s">
        <v>2065</v>
      </c>
      <c r="G3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47" s="136" t="s">
        <v>2497</v>
      </c>
      <c r="I347" s="12">
        <v>45819</v>
      </c>
      <c r="J347" s="12" t="s">
        <v>82</v>
      </c>
      <c r="K347" s="63">
        <v>45916</v>
      </c>
      <c r="L347" s="37"/>
      <c r="M347" s="10" t="str">
        <f t="shared" ca="1" si="11"/>
        <v>CLOSED</v>
      </c>
    </row>
    <row r="348" spans="1:13" ht="18.75" hidden="1" x14ac:dyDescent="0.25">
      <c r="A348" s="9" t="s">
        <v>79</v>
      </c>
      <c r="B348" s="19">
        <f>VLOOKUP(Table27[[#This Row],[Location 
(drop-down)]],'List source'!D$2:E$71,2,FALSE)</f>
        <v>160</v>
      </c>
      <c r="C348" s="178" t="s">
        <v>2913</v>
      </c>
      <c r="D348" s="21" t="str">
        <f t="shared" si="10"/>
        <v>PTO0347-160-25</v>
      </c>
      <c r="E348" s="9" t="s">
        <v>2914</v>
      </c>
      <c r="F348" s="10" t="s">
        <v>2065</v>
      </c>
      <c r="G3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48" s="136">
        <v>2.37</v>
      </c>
      <c r="I348" s="12">
        <v>45819</v>
      </c>
      <c r="J348" s="12" t="s">
        <v>82</v>
      </c>
      <c r="K348" s="63">
        <v>45916</v>
      </c>
      <c r="L348" s="37"/>
      <c r="M348" s="10" t="str">
        <f t="shared" ca="1" si="11"/>
        <v>CLOSED</v>
      </c>
    </row>
    <row r="349" spans="1:13" ht="30" hidden="1" x14ac:dyDescent="0.25">
      <c r="A349" s="9" t="s">
        <v>141</v>
      </c>
      <c r="B349" s="19">
        <f>VLOOKUP(Table27[[#This Row],[Location 
(drop-down)]],'List source'!D$2:E$71,2,FALSE)</f>
        <v>165</v>
      </c>
      <c r="C349" s="178" t="s">
        <v>2915</v>
      </c>
      <c r="D349" s="21" t="str">
        <f t="shared" si="10"/>
        <v>PTO0348-165-25</v>
      </c>
      <c r="E349" s="9" t="s">
        <v>2916</v>
      </c>
      <c r="F349" s="10" t="s">
        <v>2065</v>
      </c>
      <c r="G3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349" s="136"/>
      <c r="I349" s="12">
        <v>45819</v>
      </c>
      <c r="J349" s="12" t="s">
        <v>2074</v>
      </c>
      <c r="K349" s="63">
        <v>45819</v>
      </c>
      <c r="L349" s="37" t="s">
        <v>2075</v>
      </c>
      <c r="M349" s="10" t="str">
        <f t="shared" ca="1" si="11"/>
        <v>CLOSED</v>
      </c>
    </row>
    <row r="350" spans="1:13" ht="30" hidden="1" x14ac:dyDescent="0.25">
      <c r="A350" s="9" t="s">
        <v>141</v>
      </c>
      <c r="B350" s="19">
        <f>VLOOKUP(Table27[[#This Row],[Location 
(drop-down)]],'List source'!D$2:E$71,2,FALSE)</f>
        <v>165</v>
      </c>
      <c r="C350" s="178" t="s">
        <v>2917</v>
      </c>
      <c r="D350" s="21" t="str">
        <f t="shared" si="10"/>
        <v>PTO0349-165-25</v>
      </c>
      <c r="E350" s="9" t="s">
        <v>2918</v>
      </c>
      <c r="F350" s="10" t="s">
        <v>2065</v>
      </c>
      <c r="G3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350" s="10"/>
      <c r="I350" s="12">
        <v>45819</v>
      </c>
      <c r="J350" s="12" t="s">
        <v>2074</v>
      </c>
      <c r="K350" s="63">
        <v>45819</v>
      </c>
      <c r="L350" s="37" t="s">
        <v>2075</v>
      </c>
      <c r="M350" s="10" t="str">
        <f t="shared" ca="1" si="11"/>
        <v>CLOSED</v>
      </c>
    </row>
    <row r="351" spans="1:13" ht="30" hidden="1" x14ac:dyDescent="0.25">
      <c r="A351" s="9" t="s">
        <v>141</v>
      </c>
      <c r="B351" s="19">
        <f>VLOOKUP(Table27[[#This Row],[Location 
(drop-down)]],'List source'!D$2:E$71,2,FALSE)</f>
        <v>165</v>
      </c>
      <c r="C351" s="178" t="s">
        <v>2919</v>
      </c>
      <c r="D351" s="21" t="str">
        <f t="shared" si="10"/>
        <v>PTO0350-165-25</v>
      </c>
      <c r="E351" s="131" t="s">
        <v>2920</v>
      </c>
      <c r="F351" s="10" t="s">
        <v>2065</v>
      </c>
      <c r="G3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351" s="69"/>
      <c r="I351" s="12">
        <v>45819</v>
      </c>
      <c r="J351" s="12" t="s">
        <v>2074</v>
      </c>
      <c r="K351" s="63">
        <v>45819</v>
      </c>
      <c r="L351" s="37" t="s">
        <v>2075</v>
      </c>
      <c r="M351" s="10" t="str">
        <f t="shared" ca="1" si="11"/>
        <v>CLOSED</v>
      </c>
    </row>
    <row r="352" spans="1:13" ht="18.75" x14ac:dyDescent="0.25">
      <c r="A352" s="9" t="s">
        <v>141</v>
      </c>
      <c r="B352" s="19">
        <f>VLOOKUP(Table27[[#This Row],[Location 
(drop-down)]],'List source'!D$2:E$71,2,FALSE)</f>
        <v>165</v>
      </c>
      <c r="C352" s="178" t="s">
        <v>2921</v>
      </c>
      <c r="D352" s="21" t="str">
        <f t="shared" si="10"/>
        <v>PTO0351-165-25</v>
      </c>
      <c r="E352" s="131" t="s">
        <v>2922</v>
      </c>
      <c r="F352" s="10" t="s">
        <v>2065</v>
      </c>
      <c r="G3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52" s="199">
        <v>2.69</v>
      </c>
      <c r="I352" s="12">
        <v>45819</v>
      </c>
      <c r="J352" s="12" t="s">
        <v>18</v>
      </c>
      <c r="K352" s="63">
        <v>45932</v>
      </c>
      <c r="L352" s="37"/>
      <c r="M352" s="10" t="str">
        <f t="shared" ca="1" si="11"/>
        <v>CLOSED</v>
      </c>
    </row>
    <row r="353" spans="1:13" ht="30" hidden="1" x14ac:dyDescent="0.25">
      <c r="A353" s="9" t="s">
        <v>107</v>
      </c>
      <c r="B353" s="19">
        <f>VLOOKUP(Table27[[#This Row],[Location 
(drop-down)]],'List source'!D$2:E$71,2,FALSE)</f>
        <v>170</v>
      </c>
      <c r="C353" s="178" t="s">
        <v>2923</v>
      </c>
      <c r="D353" s="21" t="str">
        <f t="shared" si="10"/>
        <v>PTO0352-170-25</v>
      </c>
      <c r="E353" s="131" t="s">
        <v>2924</v>
      </c>
      <c r="F353" s="10" t="s">
        <v>2065</v>
      </c>
      <c r="G3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53" s="199" t="s">
        <v>2925</v>
      </c>
      <c r="I353" s="12">
        <v>45819</v>
      </c>
      <c r="J353" s="12" t="s">
        <v>109</v>
      </c>
      <c r="K353" s="63">
        <v>45847</v>
      </c>
      <c r="L353" s="37"/>
      <c r="M353" s="10" t="str">
        <f t="shared" ca="1" si="11"/>
        <v>CLOSED</v>
      </c>
    </row>
    <row r="354" spans="1:13" ht="30" hidden="1" x14ac:dyDescent="0.25">
      <c r="A354" s="9" t="s">
        <v>107</v>
      </c>
      <c r="B354" s="19">
        <f>VLOOKUP(Table27[[#This Row],[Location 
(drop-down)]],'List source'!D$2:E$71,2,FALSE)</f>
        <v>170</v>
      </c>
      <c r="C354" s="178" t="s">
        <v>2926</v>
      </c>
      <c r="D354" s="21" t="str">
        <f t="shared" si="10"/>
        <v>PTO0353-170-25</v>
      </c>
      <c r="E354" s="131" t="s">
        <v>2927</v>
      </c>
      <c r="F354" s="10" t="s">
        <v>2065</v>
      </c>
      <c r="G3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D6591 - HC Type</v>
      </c>
      <c r="H354" s="69" t="s">
        <v>2928</v>
      </c>
      <c r="I354" s="12">
        <v>45819</v>
      </c>
      <c r="J354" s="12" t="s">
        <v>109</v>
      </c>
      <c r="K354" s="63">
        <v>46052</v>
      </c>
      <c r="L354" s="37"/>
      <c r="M354" s="10" t="str">
        <f t="shared" ca="1" si="11"/>
        <v>CLOSED</v>
      </c>
    </row>
    <row r="355" spans="1:13" ht="30" hidden="1" x14ac:dyDescent="0.25">
      <c r="A355" s="9" t="s">
        <v>107</v>
      </c>
      <c r="B355" s="19">
        <f>VLOOKUP(Table27[[#This Row],[Location 
(drop-down)]],'List source'!D$2:E$71,2,FALSE)</f>
        <v>170</v>
      </c>
      <c r="C355" s="178" t="s">
        <v>2929</v>
      </c>
      <c r="D355" s="21" t="str">
        <f t="shared" si="10"/>
        <v>PTO0354-170-25</v>
      </c>
      <c r="E355" s="131" t="s">
        <v>2930</v>
      </c>
      <c r="F355" s="10" t="s">
        <v>2065</v>
      </c>
      <c r="G3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355" s="69">
        <v>4.32</v>
      </c>
      <c r="I355" s="12">
        <v>45819</v>
      </c>
      <c r="J355" s="12" t="s">
        <v>109</v>
      </c>
      <c r="K355" s="63">
        <v>45868</v>
      </c>
      <c r="L355" s="37"/>
      <c r="M355" s="10" t="str">
        <f t="shared" ca="1" si="11"/>
        <v>CLOSED</v>
      </c>
    </row>
    <row r="356" spans="1:13" ht="30" hidden="1" x14ac:dyDescent="0.25">
      <c r="A356" s="9" t="s">
        <v>287</v>
      </c>
      <c r="B356" s="19">
        <f>VLOOKUP(Table27[[#This Row],[Location 
(drop-down)]],'List source'!D$2:E$71,2,FALSE)</f>
        <v>180</v>
      </c>
      <c r="C356" s="178" t="s">
        <v>2931</v>
      </c>
      <c r="D356" s="21" t="str">
        <f t="shared" si="10"/>
        <v>PTO0355-180-25</v>
      </c>
      <c r="E356" s="9" t="s">
        <v>2932</v>
      </c>
      <c r="F356" s="10" t="s">
        <v>2065</v>
      </c>
      <c r="G3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D240 - Heat of Combustion</v>
      </c>
      <c r="H356" s="136">
        <v>7.91</v>
      </c>
      <c r="I356" s="12">
        <v>45819</v>
      </c>
      <c r="J356" s="12" t="s">
        <v>2074</v>
      </c>
      <c r="K356" s="63">
        <v>45820</v>
      </c>
      <c r="L356" s="37" t="s">
        <v>2079</v>
      </c>
      <c r="M356" s="10" t="str">
        <f t="shared" ca="1" si="11"/>
        <v>CLOSED</v>
      </c>
    </row>
    <row r="357" spans="1:13" ht="18.75" hidden="1" x14ac:dyDescent="0.25">
      <c r="A357" s="9" t="s">
        <v>91</v>
      </c>
      <c r="B357" s="19">
        <f>VLOOKUP(Table27[[#This Row],[Location 
(drop-down)]],'List source'!D$2:E$71,2,FALSE)</f>
        <v>190</v>
      </c>
      <c r="C357" s="178" t="s">
        <v>2933</v>
      </c>
      <c r="D357" s="21" t="str">
        <f t="shared" si="10"/>
        <v>PTO0356-190-25</v>
      </c>
      <c r="E357" s="9" t="s">
        <v>2934</v>
      </c>
      <c r="F357" s="10" t="s">
        <v>2065</v>
      </c>
      <c r="G3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57" s="10" t="s">
        <v>2935</v>
      </c>
      <c r="I357" s="12">
        <v>45819</v>
      </c>
      <c r="J357" s="12" t="s">
        <v>109</v>
      </c>
      <c r="K357" s="63">
        <v>45853</v>
      </c>
      <c r="L357" s="37"/>
      <c r="M357" s="10" t="str">
        <f t="shared" ca="1" si="11"/>
        <v>CLOSED</v>
      </c>
    </row>
    <row r="358" spans="1:13" ht="18.75" hidden="1" x14ac:dyDescent="0.25">
      <c r="A358" s="9" t="s">
        <v>338</v>
      </c>
      <c r="B358" s="19">
        <f>VLOOKUP(Table27[[#This Row],[Location 
(drop-down)]],'List source'!D$2:E$71,2,FALSE)</f>
        <v>191</v>
      </c>
      <c r="C358" s="178" t="s">
        <v>2936</v>
      </c>
      <c r="D358" s="21" t="str">
        <f t="shared" si="10"/>
        <v>PTO0357-191-25</v>
      </c>
      <c r="E358" s="9" t="s">
        <v>2937</v>
      </c>
      <c r="F358" s="10" t="s">
        <v>2065</v>
      </c>
      <c r="G3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58" s="10">
        <v>3.39</v>
      </c>
      <c r="I358" s="12">
        <v>45819</v>
      </c>
      <c r="J358" s="12" t="s">
        <v>2074</v>
      </c>
      <c r="K358" s="63">
        <v>45834</v>
      </c>
      <c r="L358" s="37" t="s">
        <v>2079</v>
      </c>
      <c r="M358" s="10" t="str">
        <f t="shared" ca="1" si="11"/>
        <v>CLOSED</v>
      </c>
    </row>
    <row r="359" spans="1:13" ht="18.75" hidden="1" x14ac:dyDescent="0.25">
      <c r="A359" s="9" t="s">
        <v>338</v>
      </c>
      <c r="B359" s="19">
        <f>VLOOKUP(Table27[[#This Row],[Location 
(drop-down)]],'List source'!D$2:E$71,2,FALSE)</f>
        <v>191</v>
      </c>
      <c r="C359" s="178" t="s">
        <v>2938</v>
      </c>
      <c r="D359" s="21" t="str">
        <f t="shared" si="10"/>
        <v>PTO0358-191-25</v>
      </c>
      <c r="E359" s="9" t="s">
        <v>2939</v>
      </c>
      <c r="F359" s="10" t="s">
        <v>2065</v>
      </c>
      <c r="G3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59" s="10" t="s">
        <v>2940</v>
      </c>
      <c r="I359" s="12">
        <v>45819</v>
      </c>
      <c r="J359" s="12" t="s">
        <v>109</v>
      </c>
      <c r="K359" s="63">
        <v>45911</v>
      </c>
      <c r="L359" s="37"/>
      <c r="M359" s="10" t="str">
        <f t="shared" ca="1" si="11"/>
        <v>CLOSED</v>
      </c>
    </row>
    <row r="360" spans="1:13" ht="30" hidden="1" x14ac:dyDescent="0.25">
      <c r="A360" s="9" t="s">
        <v>220</v>
      </c>
      <c r="B360" s="19">
        <f>VLOOKUP(Table27[[#This Row],[Location 
(drop-down)]],'List source'!D$2:E$71,2,FALSE)</f>
        <v>197</v>
      </c>
      <c r="C360" s="178" t="s">
        <v>2941</v>
      </c>
      <c r="D360" s="21" t="str">
        <f t="shared" si="10"/>
        <v>PTO0359-197-25</v>
      </c>
      <c r="E360" s="131" t="s">
        <v>2942</v>
      </c>
      <c r="F360" s="10" t="s">
        <v>2065</v>
      </c>
      <c r="G3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60" s="69"/>
      <c r="I360" s="12">
        <v>45819</v>
      </c>
      <c r="J360" s="12" t="s">
        <v>2074</v>
      </c>
      <c r="K360" s="63">
        <v>45819</v>
      </c>
      <c r="L360" s="37" t="s">
        <v>2075</v>
      </c>
      <c r="M360" s="10" t="str">
        <f t="shared" ca="1" si="11"/>
        <v>CLOSED</v>
      </c>
    </row>
    <row r="361" spans="1:13" ht="18.75" hidden="1" x14ac:dyDescent="0.25">
      <c r="A361" s="9" t="s">
        <v>220</v>
      </c>
      <c r="B361" s="19">
        <f>VLOOKUP(Table27[[#This Row],[Location 
(drop-down)]],'List source'!D$2:E$71,2,FALSE)</f>
        <v>197</v>
      </c>
      <c r="C361" s="178" t="s">
        <v>2943</v>
      </c>
      <c r="D361" s="21" t="str">
        <f t="shared" si="10"/>
        <v>PTO0360-197-25</v>
      </c>
      <c r="E361" s="131" t="s">
        <v>2944</v>
      </c>
      <c r="F361" s="10" t="s">
        <v>2065</v>
      </c>
      <c r="G3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D6371 - Cold Filter Plugging Point</v>
      </c>
      <c r="H361" s="69">
        <v>2.9</v>
      </c>
      <c r="I361" s="12">
        <v>45819</v>
      </c>
      <c r="J361" s="12" t="s">
        <v>27</v>
      </c>
      <c r="K361" s="63">
        <v>46045</v>
      </c>
      <c r="L361" s="37"/>
      <c r="M361" s="10" t="str">
        <f t="shared" ca="1" si="11"/>
        <v>CLOSED</v>
      </c>
    </row>
    <row r="362" spans="1:13" ht="30" hidden="1" x14ac:dyDescent="0.25">
      <c r="A362" s="9" t="s">
        <v>220</v>
      </c>
      <c r="B362" s="19">
        <f>VLOOKUP(Table27[[#This Row],[Location 
(drop-down)]],'List source'!D$2:E$71,2,FALSE)</f>
        <v>197</v>
      </c>
      <c r="C362" s="178" t="s">
        <v>2945</v>
      </c>
      <c r="D362" s="21" t="str">
        <f t="shared" si="10"/>
        <v>PTO0361-197-25</v>
      </c>
      <c r="E362" s="9" t="s">
        <v>2918</v>
      </c>
      <c r="F362" s="10" t="s">
        <v>2065</v>
      </c>
      <c r="G3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362" s="10"/>
      <c r="I362" s="12">
        <v>45819</v>
      </c>
      <c r="J362" s="12" t="s">
        <v>2074</v>
      </c>
      <c r="K362" s="63">
        <v>45819</v>
      </c>
      <c r="L362" s="37" t="s">
        <v>2075</v>
      </c>
      <c r="M362" s="10" t="str">
        <f t="shared" ca="1" si="11"/>
        <v>CLOSED</v>
      </c>
    </row>
    <row r="363" spans="1:13" ht="30" hidden="1" x14ac:dyDescent="0.25">
      <c r="A363" s="9" t="s">
        <v>37</v>
      </c>
      <c r="B363" s="19">
        <f>VLOOKUP(Table27[[#This Row],[Location 
(drop-down)]],'List source'!D$2:E$71,2,FALSE)</f>
        <v>210</v>
      </c>
      <c r="C363" s="178" t="s">
        <v>2946</v>
      </c>
      <c r="D363" s="21" t="str">
        <f t="shared" si="10"/>
        <v>PTO0362-210-25</v>
      </c>
      <c r="E363" s="9" t="s">
        <v>2947</v>
      </c>
      <c r="F363" s="10" t="s">
        <v>2065</v>
      </c>
      <c r="G3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D5771 - Cloud Point</v>
      </c>
      <c r="H363" s="10"/>
      <c r="I363" s="12">
        <v>45819</v>
      </c>
      <c r="J363" s="12" t="s">
        <v>2074</v>
      </c>
      <c r="K363" s="63">
        <v>45819</v>
      </c>
      <c r="L363" s="37" t="s">
        <v>2075</v>
      </c>
      <c r="M363" s="10" t="str">
        <f t="shared" ca="1" si="11"/>
        <v>CLOSED</v>
      </c>
    </row>
    <row r="364" spans="1:13" ht="18.75" hidden="1" x14ac:dyDescent="0.25">
      <c r="A364" s="9" t="s">
        <v>37</v>
      </c>
      <c r="B364" s="19">
        <f>VLOOKUP(Table27[[#This Row],[Location 
(drop-down)]],'List source'!D$2:E$71,2,FALSE)</f>
        <v>210</v>
      </c>
      <c r="C364" s="178" t="s">
        <v>2948</v>
      </c>
      <c r="D364" s="21" t="str">
        <f t="shared" si="10"/>
        <v>PTO0363-210-25</v>
      </c>
      <c r="E364" s="9" t="s">
        <v>2949</v>
      </c>
      <c r="F364" s="10" t="s">
        <v>2065</v>
      </c>
      <c r="G3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364" s="136" t="s">
        <v>2654</v>
      </c>
      <c r="I364" s="12">
        <v>45819</v>
      </c>
      <c r="J364" s="12" t="s">
        <v>252</v>
      </c>
      <c r="K364" s="63">
        <v>46007</v>
      </c>
      <c r="L364" s="37"/>
      <c r="M364" s="10" t="str">
        <f t="shared" ca="1" si="11"/>
        <v>CLOSED</v>
      </c>
    </row>
    <row r="365" spans="1:13" ht="18.75" hidden="1" x14ac:dyDescent="0.25">
      <c r="A365" s="9" t="s">
        <v>14</v>
      </c>
      <c r="B365" s="19">
        <f>VLOOKUP(Table27[[#This Row],[Location 
(drop-down)]],'List source'!D$2:E$71,2,FALSE)</f>
        <v>131</v>
      </c>
      <c r="C365" s="178" t="s">
        <v>2950</v>
      </c>
      <c r="D365" s="21" t="str">
        <f t="shared" si="10"/>
        <v>PTO0364-131-25</v>
      </c>
      <c r="E365" s="9" t="s">
        <v>2951</v>
      </c>
      <c r="F365" s="10" t="s">
        <v>2952</v>
      </c>
      <c r="G3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365" s="10">
        <v>4.8600000000000003</v>
      </c>
      <c r="I365" s="12">
        <v>45820</v>
      </c>
      <c r="J365" s="12" t="s">
        <v>167</v>
      </c>
      <c r="K365" s="63">
        <v>45957</v>
      </c>
      <c r="L365" s="37"/>
      <c r="M365" s="10" t="str">
        <f t="shared" ca="1" si="11"/>
        <v>CLOSED</v>
      </c>
    </row>
    <row r="366" spans="1:13" ht="30" hidden="1" x14ac:dyDescent="0.25">
      <c r="A366" s="9" t="s">
        <v>156</v>
      </c>
      <c r="B366" s="19">
        <f>VLOOKUP(Table27[[#This Row],[Location 
(drop-down)]],'List source'!D$2:E$71,2,FALSE)</f>
        <v>130</v>
      </c>
      <c r="C366" s="178" t="s">
        <v>2953</v>
      </c>
      <c r="D366" s="21" t="str">
        <f t="shared" si="10"/>
        <v>PTO0365-130-25</v>
      </c>
      <c r="E366" s="9" t="s">
        <v>2954</v>
      </c>
      <c r="F366" s="10" t="s">
        <v>2952</v>
      </c>
      <c r="G3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66" s="10">
        <v>2.84</v>
      </c>
      <c r="I366" s="12">
        <v>45820</v>
      </c>
      <c r="J366" s="12" t="s">
        <v>2074</v>
      </c>
      <c r="K366" s="63">
        <v>45820</v>
      </c>
      <c r="L366" s="37" t="s">
        <v>2075</v>
      </c>
      <c r="M366" s="10" t="str">
        <f t="shared" ca="1" si="11"/>
        <v>CLOSED</v>
      </c>
    </row>
    <row r="367" spans="1:13" ht="30" hidden="1" x14ac:dyDescent="0.25">
      <c r="A367" s="9" t="s">
        <v>14</v>
      </c>
      <c r="B367" s="19">
        <f>VLOOKUP(Table27[[#This Row],[Location 
(drop-down)]],'List source'!D$2:E$71,2,FALSE)</f>
        <v>131</v>
      </c>
      <c r="C367" s="178" t="s">
        <v>2955</v>
      </c>
      <c r="D367" s="21" t="str">
        <f t="shared" si="10"/>
        <v>PTO0366-131-25</v>
      </c>
      <c r="E367" s="9" t="s">
        <v>2956</v>
      </c>
      <c r="F367" s="10" t="s">
        <v>2952</v>
      </c>
      <c r="G3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367" s="10">
        <v>2.1</v>
      </c>
      <c r="I367" s="12">
        <v>45820</v>
      </c>
      <c r="J367" s="12" t="s">
        <v>2074</v>
      </c>
      <c r="K367" s="63">
        <v>45820</v>
      </c>
      <c r="L367" s="37" t="s">
        <v>2075</v>
      </c>
      <c r="M367" s="10" t="str">
        <f t="shared" ca="1" si="11"/>
        <v>CLOSED</v>
      </c>
    </row>
    <row r="368" spans="1:13" ht="30" hidden="1" x14ac:dyDescent="0.25">
      <c r="A368" s="9" t="s">
        <v>211</v>
      </c>
      <c r="B368" s="19">
        <f>VLOOKUP(Table27[[#This Row],[Location 
(drop-down)]],'List source'!D$2:E$71,2,FALSE)</f>
        <v>132</v>
      </c>
      <c r="C368" s="178" t="s">
        <v>2957</v>
      </c>
      <c r="D368" s="21" t="str">
        <f t="shared" si="10"/>
        <v>PTO0367-132-25</v>
      </c>
      <c r="E368" s="9" t="s">
        <v>2958</v>
      </c>
      <c r="F368" s="10" t="s">
        <v>2952</v>
      </c>
      <c r="G3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68" s="136" t="s">
        <v>2959</v>
      </c>
      <c r="I368" s="12">
        <v>45820</v>
      </c>
      <c r="J368" s="12" t="s">
        <v>2074</v>
      </c>
      <c r="K368" s="63">
        <v>45820</v>
      </c>
      <c r="L368" s="37" t="s">
        <v>2075</v>
      </c>
      <c r="M368" s="10" t="str">
        <f t="shared" ca="1" si="11"/>
        <v>CLOSED</v>
      </c>
    </row>
    <row r="369" spans="1:13" ht="30" hidden="1" x14ac:dyDescent="0.25">
      <c r="A369" s="9" t="s">
        <v>211</v>
      </c>
      <c r="B369" s="19">
        <f>VLOOKUP(Table27[[#This Row],[Location 
(drop-down)]],'List source'!D$2:E$71,2,FALSE)</f>
        <v>132</v>
      </c>
      <c r="C369" s="178" t="s">
        <v>2960</v>
      </c>
      <c r="D369" s="21" t="str">
        <f t="shared" si="10"/>
        <v>PTO0368-132-25</v>
      </c>
      <c r="E369" s="9" t="s">
        <v>2961</v>
      </c>
      <c r="F369" s="10" t="s">
        <v>2952</v>
      </c>
      <c r="G3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69" s="10">
        <v>2.1</v>
      </c>
      <c r="I369" s="12">
        <v>45820</v>
      </c>
      <c r="J369" s="12" t="s">
        <v>2074</v>
      </c>
      <c r="K369" s="63">
        <v>45820</v>
      </c>
      <c r="L369" s="37" t="s">
        <v>2075</v>
      </c>
      <c r="M369" s="10" t="str">
        <f t="shared" ca="1" si="11"/>
        <v>CLOSED</v>
      </c>
    </row>
    <row r="370" spans="1:13" ht="30" hidden="1" x14ac:dyDescent="0.25">
      <c r="A370" s="9" t="s">
        <v>117</v>
      </c>
      <c r="B370" s="19">
        <f>VLOOKUP(Table27[[#This Row],[Location 
(drop-down)]],'List source'!D$2:E$71,2,FALSE)</f>
        <v>125</v>
      </c>
      <c r="C370" s="178" t="s">
        <v>2962</v>
      </c>
      <c r="D370" s="21" t="str">
        <f t="shared" si="10"/>
        <v>PTO0369-125-25</v>
      </c>
      <c r="E370" s="9" t="s">
        <v>2963</v>
      </c>
      <c r="F370" s="10" t="str" cm="1">
        <f t="array" aca="1" ref="F3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370" s="10">
        <v>2.2400000000000002</v>
      </c>
      <c r="I370" s="12">
        <v>45820</v>
      </c>
      <c r="J370" s="12" t="s">
        <v>2074</v>
      </c>
      <c r="K370" s="63">
        <v>45820</v>
      </c>
      <c r="L370" s="37" t="s">
        <v>2075</v>
      </c>
      <c r="M370" s="10" t="str">
        <f t="shared" ca="1" si="11"/>
        <v>CLOSED</v>
      </c>
    </row>
    <row r="371" spans="1:13" ht="18.75" hidden="1" x14ac:dyDescent="0.25">
      <c r="A371" s="9" t="s">
        <v>156</v>
      </c>
      <c r="B371" s="19">
        <f>VLOOKUP(Table27[[#This Row],[Location 
(drop-down)]],'List source'!D$2:E$71,2,FALSE)</f>
        <v>130</v>
      </c>
      <c r="C371" s="178" t="s">
        <v>2964</v>
      </c>
      <c r="D371" s="21" t="str">
        <f t="shared" si="10"/>
        <v>PTO0370-130-25</v>
      </c>
      <c r="E371" s="9" t="s">
        <v>2965</v>
      </c>
      <c r="F371" s="10" t="str" cm="1">
        <f t="array" aca="1" ref="F3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371" s="10">
        <v>7.21</v>
      </c>
      <c r="I371" s="12">
        <v>45820</v>
      </c>
      <c r="J371" s="12" t="s">
        <v>18</v>
      </c>
      <c r="K371" s="63">
        <v>45897</v>
      </c>
      <c r="L371" s="37"/>
      <c r="M371" s="10" t="str">
        <f t="shared" ca="1" si="11"/>
        <v>CLOSED</v>
      </c>
    </row>
    <row r="372" spans="1:13" ht="30" hidden="1" x14ac:dyDescent="0.25">
      <c r="A372" s="9" t="s">
        <v>156</v>
      </c>
      <c r="B372" s="19">
        <f>VLOOKUP(Table27[[#This Row],[Location 
(drop-down)]],'List source'!D$2:E$71,2,FALSE)</f>
        <v>130</v>
      </c>
      <c r="C372" s="178" t="s">
        <v>2966</v>
      </c>
      <c r="D372" s="21" t="str">
        <f t="shared" si="10"/>
        <v>PTO0371-130-25</v>
      </c>
      <c r="E372" s="171" t="s">
        <v>2967</v>
      </c>
      <c r="F372" s="10" t="str" cm="1">
        <f t="array" aca="1" ref="F3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72" s="228" t="s">
        <v>2968</v>
      </c>
      <c r="I372" s="12">
        <v>45820</v>
      </c>
      <c r="J372" s="12" t="s">
        <v>2074</v>
      </c>
      <c r="K372" s="63">
        <v>45820</v>
      </c>
      <c r="L372" s="37" t="s">
        <v>2075</v>
      </c>
      <c r="M372" s="10" t="str">
        <f t="shared" ca="1" si="11"/>
        <v>CLOSED</v>
      </c>
    </row>
    <row r="373" spans="1:13" ht="30" hidden="1" x14ac:dyDescent="0.25">
      <c r="A373" s="9" t="s">
        <v>156</v>
      </c>
      <c r="B373" s="19">
        <f>VLOOKUP(Table27[[#This Row],[Location 
(drop-down)]],'List source'!D$2:E$71,2,FALSE)</f>
        <v>130</v>
      </c>
      <c r="C373" s="178" t="s">
        <v>2969</v>
      </c>
      <c r="D373" s="21" t="str">
        <f t="shared" si="10"/>
        <v>PTO0372-130-25</v>
      </c>
      <c r="E373" s="9" t="s">
        <v>2970</v>
      </c>
      <c r="F373" s="10" t="str" cm="1">
        <f t="array" aca="1" ref="F3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373" s="10">
        <v>2.34</v>
      </c>
      <c r="I373" s="12">
        <v>45820</v>
      </c>
      <c r="J373" s="12" t="s">
        <v>2074</v>
      </c>
      <c r="K373" s="63">
        <v>45820</v>
      </c>
      <c r="L373" s="37" t="s">
        <v>2075</v>
      </c>
      <c r="M373" s="10" t="str">
        <f t="shared" ca="1" si="11"/>
        <v>CLOSED</v>
      </c>
    </row>
    <row r="374" spans="1:13" ht="18.75" hidden="1" x14ac:dyDescent="0.25">
      <c r="A374" s="9" t="s">
        <v>156</v>
      </c>
      <c r="B374" s="19">
        <f>VLOOKUP(Table27[[#This Row],[Location 
(drop-down)]],'List source'!D$2:E$71,2,FALSE)</f>
        <v>130</v>
      </c>
      <c r="C374" s="178" t="s">
        <v>2971</v>
      </c>
      <c r="D374" s="21" t="str">
        <f t="shared" si="10"/>
        <v>PTO0373-130-25</v>
      </c>
      <c r="E374" s="9" t="s">
        <v>2972</v>
      </c>
      <c r="F374" s="10" t="str" cm="1">
        <f t="array" aca="1" ref="F3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374" s="10">
        <v>4.1399999999999997</v>
      </c>
      <c r="I374" s="12">
        <v>45820</v>
      </c>
      <c r="J374" s="12" t="s">
        <v>18</v>
      </c>
      <c r="K374" s="63">
        <v>45898</v>
      </c>
      <c r="L374" s="37"/>
      <c r="M374" s="10" t="str">
        <f t="shared" ca="1" si="11"/>
        <v>CLOSED</v>
      </c>
    </row>
    <row r="375" spans="1:13" ht="18.75" hidden="1" x14ac:dyDescent="0.25">
      <c r="A375" s="9" t="s">
        <v>14</v>
      </c>
      <c r="B375" s="19">
        <f>VLOOKUP(Table27[[#This Row],[Location 
(drop-down)]],'List source'!D$2:E$71,2,FALSE)</f>
        <v>131</v>
      </c>
      <c r="C375" s="178" t="s">
        <v>2973</v>
      </c>
      <c r="D375" s="21" t="str">
        <f t="shared" si="10"/>
        <v>PTO0374-131-25</v>
      </c>
      <c r="E375" s="9" t="s">
        <v>2974</v>
      </c>
      <c r="F375" s="10" t="str" cm="1">
        <f t="array" aca="1" ref="F3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375" s="136" t="s">
        <v>2975</v>
      </c>
      <c r="I375" s="12">
        <v>45820</v>
      </c>
      <c r="J375" s="12" t="s">
        <v>167</v>
      </c>
      <c r="K375" s="63">
        <v>45958</v>
      </c>
      <c r="L375" s="37"/>
      <c r="M375" s="10" t="str">
        <f t="shared" ca="1" si="11"/>
        <v>CLOSED</v>
      </c>
    </row>
    <row r="376" spans="1:13" ht="30" hidden="1" x14ac:dyDescent="0.25">
      <c r="A376" s="9" t="s">
        <v>211</v>
      </c>
      <c r="B376" s="19">
        <f>VLOOKUP(Table27[[#This Row],[Location 
(drop-down)]],'List source'!D$2:E$71,2,FALSE)</f>
        <v>132</v>
      </c>
      <c r="C376" s="178" t="s">
        <v>2976</v>
      </c>
      <c r="D376" s="21" t="str">
        <f t="shared" si="10"/>
        <v>PTO0375-132-25</v>
      </c>
      <c r="E376" s="9" t="s">
        <v>2977</v>
      </c>
      <c r="F376" s="10" t="str" cm="1">
        <f t="array" aca="1" ref="F3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376" s="136" t="s">
        <v>2199</v>
      </c>
      <c r="I376" s="12">
        <v>45820</v>
      </c>
      <c r="J376" s="12" t="s">
        <v>2074</v>
      </c>
      <c r="K376" s="63">
        <v>45820</v>
      </c>
      <c r="L376" s="37" t="s">
        <v>2075</v>
      </c>
      <c r="M376" s="10" t="str">
        <f t="shared" ca="1" si="11"/>
        <v>CLOSED</v>
      </c>
    </row>
    <row r="377" spans="1:13" ht="30" hidden="1" x14ac:dyDescent="0.25">
      <c r="A377" s="9" t="s">
        <v>86</v>
      </c>
      <c r="B377" s="19">
        <f>VLOOKUP(Table27[[#This Row],[Location 
(drop-down)]],'List source'!D$2:E$71,2,FALSE)</f>
        <v>150</v>
      </c>
      <c r="C377" s="178" t="s">
        <v>2978</v>
      </c>
      <c r="D377" s="21" t="str">
        <f t="shared" si="10"/>
        <v>PTO0376-150-25</v>
      </c>
      <c r="E377" s="9" t="s">
        <v>2979</v>
      </c>
      <c r="F377" s="10" t="str" cm="1">
        <f t="array" aca="1" ref="F3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E203 - Water</v>
      </c>
      <c r="H377" s="136" t="s">
        <v>2115</v>
      </c>
      <c r="I377" s="12">
        <v>45820</v>
      </c>
      <c r="J377" s="12" t="s">
        <v>2074</v>
      </c>
      <c r="K377" s="63">
        <v>45820</v>
      </c>
      <c r="L377" s="37" t="s">
        <v>2075</v>
      </c>
      <c r="M377" s="10" t="str">
        <f t="shared" ca="1" si="11"/>
        <v>CLOSED</v>
      </c>
    </row>
    <row r="378" spans="1:13" ht="30" hidden="1" x14ac:dyDescent="0.25">
      <c r="A378" s="9" t="s">
        <v>338</v>
      </c>
      <c r="B378" s="19">
        <f>VLOOKUP(Table27[[#This Row],[Location 
(drop-down)]],'List source'!D$2:E$71,2,FALSE)</f>
        <v>191</v>
      </c>
      <c r="C378" s="178" t="s">
        <v>2980</v>
      </c>
      <c r="D378" s="21" t="str">
        <f t="shared" si="10"/>
        <v>PTO0377-191-25</v>
      </c>
      <c r="E378" s="9" t="s">
        <v>2981</v>
      </c>
      <c r="F378" s="10" t="str" cm="1">
        <f t="array" aca="1" ref="F3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Chloride</v>
      </c>
      <c r="H378" s="136">
        <v>2.39</v>
      </c>
      <c r="I378" s="12">
        <v>45820</v>
      </c>
      <c r="J378" s="12" t="s">
        <v>2074</v>
      </c>
      <c r="K378" s="63">
        <v>45820</v>
      </c>
      <c r="L378" s="37" t="s">
        <v>2075</v>
      </c>
      <c r="M378" s="10" t="str">
        <f t="shared" ca="1" si="11"/>
        <v>CLOSED</v>
      </c>
    </row>
    <row r="379" spans="1:13" ht="18.75" hidden="1" x14ac:dyDescent="0.25">
      <c r="A379" s="9" t="s">
        <v>220</v>
      </c>
      <c r="B379" s="19">
        <f>VLOOKUP(Table27[[#This Row],[Location 
(drop-down)]],'List source'!D$2:E$71,2,FALSE)</f>
        <v>197</v>
      </c>
      <c r="C379" s="178" t="s">
        <v>2982</v>
      </c>
      <c r="D379" s="21" t="str">
        <f t="shared" si="10"/>
        <v>PTO0378-197-25</v>
      </c>
      <c r="E379" s="9" t="s">
        <v>2983</v>
      </c>
      <c r="F379" s="10" t="str" cm="1">
        <f t="array" aca="1" ref="F3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379" s="136" t="s">
        <v>2984</v>
      </c>
      <c r="I379" s="12">
        <v>45820</v>
      </c>
      <c r="J379" s="12"/>
      <c r="K379" s="63"/>
      <c r="L379" s="37"/>
      <c r="M379" s="10">
        <f t="shared" ca="1" si="11"/>
        <v>257</v>
      </c>
    </row>
    <row r="380" spans="1:13" ht="18.75" hidden="1" x14ac:dyDescent="0.25">
      <c r="A380" s="9" t="s">
        <v>99</v>
      </c>
      <c r="B380" s="19">
        <f>VLOOKUP(Table27[[#This Row],[Location 
(drop-down)]],'List source'!D$2:E$71,2,FALSE)</f>
        <v>198</v>
      </c>
      <c r="C380" s="178" t="s">
        <v>2985</v>
      </c>
      <c r="D380" s="21" t="str">
        <f t="shared" si="10"/>
        <v>PTO0379-198-25</v>
      </c>
      <c r="E380" s="9" t="s">
        <v>2986</v>
      </c>
      <c r="F380" s="10" t="str" cm="1">
        <f t="array" aca="1" ref="F3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Ethanol</v>
      </c>
      <c r="H380" s="10">
        <v>4.3899999999999997</v>
      </c>
      <c r="I380" s="12">
        <v>45820</v>
      </c>
      <c r="J380" s="12" t="s">
        <v>2074</v>
      </c>
      <c r="K380" s="63">
        <v>45821</v>
      </c>
      <c r="L380" s="37" t="s">
        <v>2079</v>
      </c>
      <c r="M380" s="10" t="str">
        <f t="shared" ca="1" si="11"/>
        <v>CLOSED</v>
      </c>
    </row>
    <row r="381" spans="1:13" ht="18.75" hidden="1" x14ac:dyDescent="0.25">
      <c r="A381" s="9" t="s">
        <v>117</v>
      </c>
      <c r="B381" s="19">
        <f>VLOOKUP(Table27[[#This Row],[Location 
(drop-down)]],'List source'!D$2:E$71,2,FALSE)</f>
        <v>125</v>
      </c>
      <c r="C381" s="178" t="s">
        <v>2987</v>
      </c>
      <c r="D381" s="21" t="str">
        <f t="shared" si="10"/>
        <v>PTO0380-125-25</v>
      </c>
      <c r="E381" s="9" t="s">
        <v>2988</v>
      </c>
      <c r="F381" s="10" t="str" cm="1">
        <f t="array" aca="1" ref="F3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81" s="136">
        <v>6.75</v>
      </c>
      <c r="I381" s="12">
        <v>45825</v>
      </c>
      <c r="J381" s="12" t="s">
        <v>189</v>
      </c>
      <c r="K381" s="63">
        <v>45931</v>
      </c>
      <c r="L381" s="37"/>
      <c r="M381" s="10" t="str">
        <f t="shared" ca="1" si="11"/>
        <v>CLOSED</v>
      </c>
    </row>
    <row r="382" spans="1:13" ht="18.75" hidden="1" x14ac:dyDescent="0.25">
      <c r="A382" s="9" t="s">
        <v>71</v>
      </c>
      <c r="B382" s="19">
        <f>VLOOKUP(Table27[[#This Row],[Location 
(drop-down)]],'List source'!D$2:E$71,2,FALSE)</f>
        <v>127</v>
      </c>
      <c r="C382" s="178" t="s">
        <v>2989</v>
      </c>
      <c r="D382" s="21" t="str">
        <f t="shared" si="10"/>
        <v>PTO0381-127-25</v>
      </c>
      <c r="E382" s="9" t="s">
        <v>2990</v>
      </c>
      <c r="F382" s="10" t="str" cm="1">
        <f t="array" aca="1" ref="F3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82" s="10">
        <v>3.28</v>
      </c>
      <c r="I382" s="12">
        <v>45825</v>
      </c>
      <c r="J382" s="12" t="s">
        <v>2074</v>
      </c>
      <c r="K382" s="63">
        <v>45825</v>
      </c>
      <c r="L382" s="37" t="s">
        <v>2079</v>
      </c>
      <c r="M382" s="10" t="str">
        <f t="shared" ca="1" si="11"/>
        <v>CLOSED</v>
      </c>
    </row>
    <row r="383" spans="1:13" ht="30" hidden="1" x14ac:dyDescent="0.25">
      <c r="A383" s="9" t="s">
        <v>86</v>
      </c>
      <c r="B383" s="19">
        <f>VLOOKUP(Table27[[#This Row],[Location 
(drop-down)]],'List source'!D$2:E$71,2,FALSE)</f>
        <v>150</v>
      </c>
      <c r="C383" s="178" t="s">
        <v>2991</v>
      </c>
      <c r="D383" s="21" t="str">
        <f t="shared" si="10"/>
        <v>PTO0382-150-25</v>
      </c>
      <c r="E383" s="9" t="s">
        <v>2992</v>
      </c>
      <c r="F383" s="10" t="str" cm="1">
        <f t="array" aca="1" ref="F3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83" s="10">
        <v>2.4</v>
      </c>
      <c r="I383" s="12">
        <v>45825</v>
      </c>
      <c r="J383" s="12" t="s">
        <v>2074</v>
      </c>
      <c r="K383" s="63">
        <v>45825</v>
      </c>
      <c r="L383" s="37" t="s">
        <v>2075</v>
      </c>
      <c r="M383" s="10" t="str">
        <f t="shared" ca="1" si="11"/>
        <v>CLOSED</v>
      </c>
    </row>
    <row r="384" spans="1:13" ht="18.75" hidden="1" x14ac:dyDescent="0.25">
      <c r="A384" s="9" t="s">
        <v>79</v>
      </c>
      <c r="B384" s="19">
        <f>VLOOKUP(Table27[[#This Row],[Location 
(drop-down)]],'List source'!D$2:E$71,2,FALSE)</f>
        <v>160</v>
      </c>
      <c r="C384" s="178" t="s">
        <v>2993</v>
      </c>
      <c r="D384" s="21" t="str">
        <f t="shared" si="10"/>
        <v>PTO0383-160-25</v>
      </c>
      <c r="E384" s="9" t="s">
        <v>2994</v>
      </c>
      <c r="F384" s="10" t="str" cm="1">
        <f t="array" aca="1" ref="F3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384" s="10">
        <v>3.28</v>
      </c>
      <c r="I384" s="12">
        <v>45825</v>
      </c>
      <c r="J384" s="12" t="s">
        <v>82</v>
      </c>
      <c r="K384" s="63">
        <v>45887</v>
      </c>
      <c r="L384" s="37"/>
      <c r="M384" s="10" t="str">
        <f t="shared" ca="1" si="11"/>
        <v>CLOSED</v>
      </c>
    </row>
    <row r="385" spans="1:13" ht="30" hidden="1" x14ac:dyDescent="0.25">
      <c r="A385" s="9" t="s">
        <v>37</v>
      </c>
      <c r="B385" s="19">
        <f>VLOOKUP(Table27[[#This Row],[Location 
(drop-down)]],'List source'!D$2:E$71,2,FALSE)</f>
        <v>210</v>
      </c>
      <c r="C385" s="178" t="s">
        <v>2995</v>
      </c>
      <c r="D385" s="21" t="str">
        <f t="shared" si="10"/>
        <v>PTO0384-210-25</v>
      </c>
      <c r="E385" s="9" t="s">
        <v>2996</v>
      </c>
      <c r="F385" s="10" t="str" cm="1">
        <f t="array" aca="1" ref="F3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385" s="10" t="s">
        <v>2997</v>
      </c>
      <c r="I385" s="12">
        <v>45825</v>
      </c>
      <c r="J385" s="12" t="s">
        <v>189</v>
      </c>
      <c r="K385" s="63">
        <v>45872</v>
      </c>
      <c r="L385" s="37"/>
      <c r="M385" s="10" t="str">
        <f t="shared" ca="1" si="11"/>
        <v>CLOSED</v>
      </c>
    </row>
    <row r="386" spans="1:13" ht="18.75" hidden="1" x14ac:dyDescent="0.25">
      <c r="A386" s="9" t="s">
        <v>105</v>
      </c>
      <c r="B386" s="19">
        <f>VLOOKUP(Table27[[#This Row],[Location 
(drop-down)]],'List source'!D$2:E$71,2,FALSE)</f>
        <v>215</v>
      </c>
      <c r="C386" s="178" t="s">
        <v>2998</v>
      </c>
      <c r="D386" s="21" t="str">
        <f t="shared" ref="D386:D449" si="12">"PTO" &amp; C386 &amp; "-" &amp; B386 &amp; "-" &amp; "25"</f>
        <v>PTO0385-215-25</v>
      </c>
      <c r="E386" s="9" t="s">
        <v>2999</v>
      </c>
      <c r="F386" s="10" t="str" cm="1">
        <f t="array" aca="1" ref="F3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3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386" s="136">
        <v>2.25</v>
      </c>
      <c r="I386" s="12">
        <v>45825</v>
      </c>
      <c r="J386" s="12" t="s">
        <v>252</v>
      </c>
      <c r="K386" s="63">
        <v>45873</v>
      </c>
      <c r="L386" s="37"/>
      <c r="M386" s="10" t="str">
        <f t="shared" ref="M386:M449" ca="1" si="13">IF(ISBLANK(K386), TODAY()-(I386), "CLOSED")</f>
        <v>CLOSED</v>
      </c>
    </row>
    <row r="387" spans="1:13" ht="18.75" hidden="1" x14ac:dyDescent="0.25">
      <c r="A387" s="9" t="s">
        <v>94</v>
      </c>
      <c r="B387" s="19">
        <f>VLOOKUP(Table27[[#This Row],[Location 
(drop-down)]],'List source'!D$2:E$71,2,FALSE)</f>
        <v>120</v>
      </c>
      <c r="C387" s="178" t="s">
        <v>3000</v>
      </c>
      <c r="D387" s="21" t="str">
        <f t="shared" si="12"/>
        <v>PTO0386-120-25</v>
      </c>
      <c r="E387" s="9" t="s">
        <v>3001</v>
      </c>
      <c r="F387" s="10" t="str" cm="1">
        <f t="array" aca="1" ref="F3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v>
      </c>
      <c r="H387" s="136" t="s">
        <v>2118</v>
      </c>
      <c r="I387" s="12">
        <v>45826</v>
      </c>
      <c r="J387" s="12" t="s">
        <v>135</v>
      </c>
      <c r="K387" s="63">
        <v>45904</v>
      </c>
      <c r="L387" s="37"/>
      <c r="M387" s="10" t="str">
        <f t="shared" ca="1" si="13"/>
        <v>CLOSED</v>
      </c>
    </row>
    <row r="388" spans="1:13" ht="30" hidden="1" x14ac:dyDescent="0.25">
      <c r="A388" s="9" t="s">
        <v>94</v>
      </c>
      <c r="B388" s="19">
        <f>VLOOKUP(Table27[[#This Row],[Location 
(drop-down)]],'List source'!D$2:E$71,2,FALSE)</f>
        <v>120</v>
      </c>
      <c r="C388" s="178" t="s">
        <v>3002</v>
      </c>
      <c r="D388" s="21" t="str">
        <f t="shared" si="12"/>
        <v>PTO0387-120-25</v>
      </c>
      <c r="E388" s="9" t="s">
        <v>3003</v>
      </c>
      <c r="F388" s="10" t="str" cm="1">
        <f t="array" aca="1" ref="F3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388" s="136" t="s">
        <v>3004</v>
      </c>
      <c r="I388" s="12">
        <v>45826</v>
      </c>
      <c r="J388" s="12" t="s">
        <v>2074</v>
      </c>
      <c r="K388" s="63">
        <v>45826</v>
      </c>
      <c r="L388" s="37" t="s">
        <v>2075</v>
      </c>
      <c r="M388" s="10" t="str">
        <f t="shared" ca="1" si="13"/>
        <v>CLOSED</v>
      </c>
    </row>
    <row r="389" spans="1:13" ht="30" hidden="1" x14ac:dyDescent="0.25">
      <c r="A389" s="9" t="s">
        <v>94</v>
      </c>
      <c r="B389" s="19">
        <f>VLOOKUP(Table27[[#This Row],[Location 
(drop-down)]],'List source'!D$2:E$71,2,FALSE)</f>
        <v>120</v>
      </c>
      <c r="C389" s="178" t="s">
        <v>3005</v>
      </c>
      <c r="D389" s="21" t="str">
        <f t="shared" si="12"/>
        <v>PTO0388-120-25</v>
      </c>
      <c r="E389" s="9" t="s">
        <v>3006</v>
      </c>
      <c r="F389" s="10" t="str" cm="1">
        <f t="array" aca="1" ref="F3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389" s="136" t="s">
        <v>2107</v>
      </c>
      <c r="I389" s="12">
        <v>45826</v>
      </c>
      <c r="J389" s="12" t="s">
        <v>2074</v>
      </c>
      <c r="K389" s="63">
        <v>45826</v>
      </c>
      <c r="L389" s="37" t="s">
        <v>2075</v>
      </c>
      <c r="M389" s="10" t="str">
        <f t="shared" ca="1" si="13"/>
        <v>CLOSED</v>
      </c>
    </row>
    <row r="390" spans="1:13" ht="18.75" hidden="1" x14ac:dyDescent="0.25">
      <c r="A390" s="9" t="s">
        <v>156</v>
      </c>
      <c r="B390" s="19">
        <f>VLOOKUP(Table27[[#This Row],[Location 
(drop-down)]],'List source'!D$2:E$71,2,FALSE)</f>
        <v>130</v>
      </c>
      <c r="C390" s="178" t="s">
        <v>3007</v>
      </c>
      <c r="D390" s="21" t="str">
        <f t="shared" si="12"/>
        <v>PTO0389-130-25</v>
      </c>
      <c r="E390" s="9" t="s">
        <v>3008</v>
      </c>
      <c r="F390" s="10" t="str" cm="1">
        <f t="array" aca="1" ref="F3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390" s="10">
        <v>4.3</v>
      </c>
      <c r="I390" s="12">
        <v>45826</v>
      </c>
      <c r="J390" s="12" t="s">
        <v>18</v>
      </c>
      <c r="K390" s="63">
        <v>45911</v>
      </c>
      <c r="L390" s="37"/>
      <c r="M390" s="10" t="str">
        <f t="shared" ca="1" si="13"/>
        <v>CLOSED</v>
      </c>
    </row>
    <row r="391" spans="1:13" ht="18.75" hidden="1" x14ac:dyDescent="0.25">
      <c r="A391" s="9" t="s">
        <v>156</v>
      </c>
      <c r="B391" s="19">
        <f>VLOOKUP(Table27[[#This Row],[Location 
(drop-down)]],'List source'!D$2:E$71,2,FALSE)</f>
        <v>130</v>
      </c>
      <c r="C391" s="178" t="s">
        <v>3009</v>
      </c>
      <c r="D391" s="21" t="str">
        <f t="shared" si="12"/>
        <v>PTO0390-130-25</v>
      </c>
      <c r="E391" s="9" t="s">
        <v>3010</v>
      </c>
      <c r="F391" s="10" t="str" cm="1">
        <f t="array" aca="1" ref="F3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391" s="10">
        <v>10.47</v>
      </c>
      <c r="I391" s="12">
        <v>45826</v>
      </c>
      <c r="J391" s="12"/>
      <c r="K391" s="63"/>
      <c r="L391" s="37"/>
      <c r="M391" s="10">
        <f t="shared" ca="1" si="13"/>
        <v>251</v>
      </c>
    </row>
    <row r="392" spans="1:13" ht="18.75" hidden="1" x14ac:dyDescent="0.25">
      <c r="A392" s="9" t="s">
        <v>156</v>
      </c>
      <c r="B392" s="19">
        <f>VLOOKUP(Table27[[#This Row],[Location 
(drop-down)]],'List source'!D$2:E$71,2,FALSE)</f>
        <v>130</v>
      </c>
      <c r="C392" s="178" t="s">
        <v>3011</v>
      </c>
      <c r="D392" s="21" t="str">
        <f t="shared" si="12"/>
        <v>PTO0391-130-25</v>
      </c>
      <c r="E392" s="9" t="s">
        <v>3012</v>
      </c>
      <c r="F392" s="10" t="str" cm="1">
        <f t="array" aca="1" ref="F3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392" s="10">
        <v>13</v>
      </c>
      <c r="I392" s="12">
        <v>45826</v>
      </c>
      <c r="J392" s="12" t="s">
        <v>18</v>
      </c>
      <c r="K392" s="63">
        <v>45904</v>
      </c>
      <c r="L392" s="37"/>
      <c r="M392" s="10" t="str">
        <f t="shared" ca="1" si="13"/>
        <v>CLOSED</v>
      </c>
    </row>
    <row r="393" spans="1:13" ht="18.75" hidden="1" x14ac:dyDescent="0.25">
      <c r="A393" s="9" t="s">
        <v>14</v>
      </c>
      <c r="B393" s="19">
        <f>VLOOKUP(Table27[[#This Row],[Location 
(drop-down)]],'List source'!D$2:E$71,2,FALSE)</f>
        <v>131</v>
      </c>
      <c r="C393" s="178" t="s">
        <v>3013</v>
      </c>
      <c r="D393" s="21" t="str">
        <f t="shared" si="12"/>
        <v>PTO0392-131-25</v>
      </c>
      <c r="E393" s="9" t="s">
        <v>3014</v>
      </c>
      <c r="F393" s="10" t="str" cm="1">
        <f t="array" aca="1" ref="F3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393" s="10">
        <v>8.9</v>
      </c>
      <c r="I393" s="12">
        <v>45826</v>
      </c>
      <c r="J393" s="12"/>
      <c r="K393" s="63"/>
      <c r="L393" s="37"/>
      <c r="M393" s="10">
        <f t="shared" ca="1" si="13"/>
        <v>251</v>
      </c>
    </row>
    <row r="394" spans="1:13" ht="18.75" hidden="1" x14ac:dyDescent="0.25">
      <c r="A394" s="9" t="s">
        <v>211</v>
      </c>
      <c r="B394" s="19">
        <f>VLOOKUP(Table27[[#This Row],[Location 
(drop-down)]],'List source'!D$2:E$71,2,FALSE)</f>
        <v>132</v>
      </c>
      <c r="C394" s="178" t="s">
        <v>3015</v>
      </c>
      <c r="D394" s="21" t="str">
        <f t="shared" si="12"/>
        <v>PTO0393-132-25</v>
      </c>
      <c r="E394" s="9" t="s">
        <v>3016</v>
      </c>
      <c r="F394" s="10" t="str" cm="1">
        <f t="array" aca="1" ref="F3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94" s="10">
        <v>11.22</v>
      </c>
      <c r="I394" s="12">
        <v>45826</v>
      </c>
      <c r="J394" s="12"/>
      <c r="K394" s="63"/>
      <c r="L394" s="37"/>
      <c r="M394" s="10">
        <f t="shared" ca="1" si="13"/>
        <v>251</v>
      </c>
    </row>
    <row r="395" spans="1:13" ht="18.75" hidden="1" x14ac:dyDescent="0.25">
      <c r="A395" s="9" t="s">
        <v>211</v>
      </c>
      <c r="B395" s="19">
        <f>VLOOKUP(Table27[[#This Row],[Location 
(drop-down)]],'List source'!D$2:E$71,2,FALSE)</f>
        <v>132</v>
      </c>
      <c r="C395" s="178" t="s">
        <v>3017</v>
      </c>
      <c r="D395" s="21" t="str">
        <f t="shared" si="12"/>
        <v>PTO0394-132-25</v>
      </c>
      <c r="E395" s="9" t="s">
        <v>3018</v>
      </c>
      <c r="F395" s="10" t="str" cm="1">
        <f t="array" aca="1" ref="F3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395" s="10">
        <v>2.25</v>
      </c>
      <c r="I395" s="12">
        <v>45826</v>
      </c>
      <c r="J395" s="12" t="s">
        <v>167</v>
      </c>
      <c r="K395" s="63">
        <v>45960</v>
      </c>
      <c r="L395" s="37"/>
      <c r="M395" s="10" t="str">
        <f t="shared" ca="1" si="13"/>
        <v>CLOSED</v>
      </c>
    </row>
    <row r="396" spans="1:13" ht="18.75" hidden="1" x14ac:dyDescent="0.25">
      <c r="A396" s="9" t="s">
        <v>211</v>
      </c>
      <c r="B396" s="19">
        <f>VLOOKUP(Table27[[#This Row],[Location 
(drop-down)]],'List source'!D$2:E$71,2,FALSE)</f>
        <v>132</v>
      </c>
      <c r="C396" s="178" t="s">
        <v>3019</v>
      </c>
      <c r="D396" s="21" t="str">
        <f t="shared" si="12"/>
        <v>PTO0395-132-25</v>
      </c>
      <c r="E396" s="9" t="s">
        <v>3020</v>
      </c>
      <c r="F396" s="10" t="str" cm="1">
        <f t="array" aca="1" ref="F3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396" s="10">
        <v>2.0099999999999998</v>
      </c>
      <c r="I396" s="12">
        <v>45826</v>
      </c>
      <c r="J396" s="12" t="s">
        <v>167</v>
      </c>
      <c r="K396" s="63">
        <v>46044</v>
      </c>
      <c r="L396" s="37"/>
      <c r="M396" s="10" t="str">
        <f t="shared" ca="1" si="13"/>
        <v>CLOSED</v>
      </c>
    </row>
    <row r="397" spans="1:13" ht="18.75" hidden="1" x14ac:dyDescent="0.25">
      <c r="A397" s="9" t="s">
        <v>46</v>
      </c>
      <c r="B397" s="19">
        <f>VLOOKUP(Table27[[#This Row],[Location 
(drop-down)]],'List source'!D$2:E$71,2,FALSE)</f>
        <v>155</v>
      </c>
      <c r="C397" s="178" t="s">
        <v>3021</v>
      </c>
      <c r="D397" s="21" t="str">
        <f t="shared" si="12"/>
        <v>PTO0396-155-25</v>
      </c>
      <c r="E397" s="9" t="s">
        <v>3022</v>
      </c>
      <c r="F397" s="10" t="str" cm="1">
        <f t="array" aca="1" ref="F3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D8252 - Element</v>
      </c>
      <c r="H397" s="136" t="s">
        <v>3023</v>
      </c>
      <c r="I397" s="12">
        <v>45826</v>
      </c>
      <c r="J397" s="12" t="s">
        <v>82</v>
      </c>
      <c r="K397" s="63">
        <v>45874</v>
      </c>
      <c r="L397" s="37"/>
      <c r="M397" s="10" t="str">
        <f t="shared" ca="1" si="13"/>
        <v>CLOSED</v>
      </c>
    </row>
    <row r="398" spans="1:13" ht="18.75" hidden="1" x14ac:dyDescent="0.25">
      <c r="A398" s="9" t="s">
        <v>46</v>
      </c>
      <c r="B398" s="19">
        <f>VLOOKUP(Table27[[#This Row],[Location 
(drop-down)]],'List source'!D$2:E$71,2,FALSE)</f>
        <v>155</v>
      </c>
      <c r="C398" s="178" t="s">
        <v>3024</v>
      </c>
      <c r="D398" s="21" t="str">
        <f t="shared" si="12"/>
        <v>PTO0397-155-25</v>
      </c>
      <c r="E398" s="9" t="s">
        <v>3025</v>
      </c>
      <c r="F398" s="10" t="str" cm="1">
        <f t="array" aca="1" ref="F3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398" s="10">
        <v>7.48</v>
      </c>
      <c r="I398" s="12">
        <v>45826</v>
      </c>
      <c r="J398" s="12" t="s">
        <v>135</v>
      </c>
      <c r="K398" s="63">
        <v>45882</v>
      </c>
      <c r="L398" s="37"/>
      <c r="M398" s="10" t="str">
        <f t="shared" ca="1" si="13"/>
        <v>CLOSED</v>
      </c>
    </row>
    <row r="399" spans="1:13" ht="18.75" hidden="1" x14ac:dyDescent="0.25">
      <c r="A399" s="9" t="s">
        <v>46</v>
      </c>
      <c r="B399" s="19">
        <f>VLOOKUP(Table27[[#This Row],[Location 
(drop-down)]],'List source'!D$2:E$71,2,FALSE)</f>
        <v>155</v>
      </c>
      <c r="C399" s="178" t="s">
        <v>3026</v>
      </c>
      <c r="D399" s="21" t="str">
        <f t="shared" si="12"/>
        <v>PTO0398-155-25</v>
      </c>
      <c r="E399" s="9" t="s">
        <v>3027</v>
      </c>
      <c r="F399" s="10" t="str" cm="1">
        <f t="array" aca="1" ref="F3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3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 in Crude Oil</v>
      </c>
      <c r="H399" s="10">
        <v>2.04</v>
      </c>
      <c r="I399" s="12">
        <v>45826</v>
      </c>
      <c r="J399" s="12"/>
      <c r="K399" s="63"/>
      <c r="L399" s="37"/>
      <c r="M399" s="10">
        <f t="shared" ca="1" si="13"/>
        <v>251</v>
      </c>
    </row>
    <row r="400" spans="1:13" ht="18.75" hidden="1" x14ac:dyDescent="0.25">
      <c r="A400" s="9" t="s">
        <v>79</v>
      </c>
      <c r="B400" s="19">
        <f>VLOOKUP(Table27[[#This Row],[Location 
(drop-down)]],'List source'!D$2:E$71,2,FALSE)</f>
        <v>160</v>
      </c>
      <c r="C400" s="178" t="s">
        <v>3028</v>
      </c>
      <c r="D400" s="21" t="str">
        <f t="shared" si="12"/>
        <v>PTO0399-160-25</v>
      </c>
      <c r="E400" s="9" t="s">
        <v>3029</v>
      </c>
      <c r="F400" s="10" t="str" cm="1">
        <f t="array" aca="1" ref="F4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400" s="10">
        <v>5.56</v>
      </c>
      <c r="I400" s="12">
        <v>45826</v>
      </c>
      <c r="J400" s="12" t="s">
        <v>82</v>
      </c>
      <c r="K400" s="63">
        <v>46058</v>
      </c>
      <c r="L400" s="37"/>
      <c r="M400" s="10" t="str">
        <f t="shared" ca="1" si="13"/>
        <v>CLOSED</v>
      </c>
    </row>
    <row r="401" spans="1:13" ht="18.75" hidden="1" x14ac:dyDescent="0.25">
      <c r="A401" s="9" t="s">
        <v>79</v>
      </c>
      <c r="B401" s="19">
        <f>VLOOKUP(Table27[[#This Row],[Location 
(drop-down)]],'List source'!D$2:E$71,2,FALSE)</f>
        <v>160</v>
      </c>
      <c r="C401" s="178" t="s">
        <v>3030</v>
      </c>
      <c r="D401" s="21" t="str">
        <f t="shared" si="12"/>
        <v>PTO0400-160-25</v>
      </c>
      <c r="E401" s="9" t="s">
        <v>3031</v>
      </c>
      <c r="F401" s="10" t="str" cm="1">
        <f t="array" aca="1" ref="F4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401" s="136" t="s">
        <v>3032</v>
      </c>
      <c r="I401" s="12">
        <v>45826</v>
      </c>
      <c r="J401" s="12" t="s">
        <v>82</v>
      </c>
      <c r="K401" s="63">
        <v>45883</v>
      </c>
      <c r="L401" s="37"/>
      <c r="M401" s="10" t="str">
        <f t="shared" ca="1" si="13"/>
        <v>CLOSED</v>
      </c>
    </row>
    <row r="402" spans="1:13" ht="18.75" x14ac:dyDescent="0.25">
      <c r="A402" s="9" t="s">
        <v>141</v>
      </c>
      <c r="B402" s="19">
        <f>VLOOKUP(Table27[[#This Row],[Location 
(drop-down)]],'List source'!D$2:E$71,2,FALSE)</f>
        <v>165</v>
      </c>
      <c r="C402" s="178" t="s">
        <v>3033</v>
      </c>
      <c r="D402" s="21" t="str">
        <f t="shared" si="12"/>
        <v>PTO0401-165-25</v>
      </c>
      <c r="E402" s="9" t="s">
        <v>3034</v>
      </c>
      <c r="F402" s="10" t="str" cm="1">
        <f t="array" aca="1" ref="F4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02" s="10">
        <v>5.16</v>
      </c>
      <c r="I402" s="12">
        <v>45826</v>
      </c>
      <c r="J402" s="12"/>
      <c r="K402" s="63"/>
      <c r="L402" s="37"/>
      <c r="M402" s="10">
        <f t="shared" ca="1" si="13"/>
        <v>251</v>
      </c>
    </row>
    <row r="403" spans="1:13" ht="30" hidden="1" x14ac:dyDescent="0.25">
      <c r="A403" s="9" t="s">
        <v>107</v>
      </c>
      <c r="B403" s="19">
        <f>VLOOKUP(Table27[[#This Row],[Location 
(drop-down)]],'List source'!D$2:E$71,2,FALSE)</f>
        <v>170</v>
      </c>
      <c r="C403" s="178" t="s">
        <v>3035</v>
      </c>
      <c r="D403" s="21" t="str">
        <f t="shared" si="12"/>
        <v>PTO0402-170-25</v>
      </c>
      <c r="E403" s="9" t="s">
        <v>3036</v>
      </c>
      <c r="F403" s="10" t="str" cm="1">
        <f t="array" aca="1" ref="F4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403" s="10">
        <v>4.7300000000000004</v>
      </c>
      <c r="I403" s="12">
        <v>45826</v>
      </c>
      <c r="J403" s="12" t="s">
        <v>109</v>
      </c>
      <c r="K403" s="63">
        <v>45869</v>
      </c>
      <c r="L403" s="37"/>
      <c r="M403" s="10" t="str">
        <f t="shared" ca="1" si="13"/>
        <v>CLOSED</v>
      </c>
    </row>
    <row r="404" spans="1:13" ht="30" hidden="1" x14ac:dyDescent="0.25">
      <c r="A404" s="9" t="s">
        <v>107</v>
      </c>
      <c r="B404" s="19">
        <f>VLOOKUP(Table27[[#This Row],[Location 
(drop-down)]],'List source'!D$2:E$71,2,FALSE)</f>
        <v>170</v>
      </c>
      <c r="C404" s="178" t="s">
        <v>3037</v>
      </c>
      <c r="D404" s="21" t="str">
        <f t="shared" si="12"/>
        <v>PTO0403-170-25</v>
      </c>
      <c r="E404" s="9" t="s">
        <v>3038</v>
      </c>
      <c r="F404" s="10" t="str" cm="1">
        <f t="array" aca="1" ref="F4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404" s="10">
        <v>5.0599999999999996</v>
      </c>
      <c r="I404" s="12">
        <v>45826</v>
      </c>
      <c r="J404" s="12" t="s">
        <v>109</v>
      </c>
      <c r="K404" s="63">
        <v>45869</v>
      </c>
      <c r="L404" s="37"/>
      <c r="M404" s="10" t="str">
        <f t="shared" ca="1" si="13"/>
        <v>CLOSED</v>
      </c>
    </row>
    <row r="405" spans="1:13" ht="18.75" hidden="1" x14ac:dyDescent="0.25">
      <c r="A405" s="9" t="s">
        <v>338</v>
      </c>
      <c r="B405" s="19">
        <f>VLOOKUP(Table27[[#This Row],[Location 
(drop-down)]],'List source'!D$2:E$71,2,FALSE)</f>
        <v>191</v>
      </c>
      <c r="C405" s="178" t="s">
        <v>3039</v>
      </c>
      <c r="D405" s="21" t="str">
        <f t="shared" si="12"/>
        <v>PTO0404-191-25</v>
      </c>
      <c r="E405" s="9" t="s">
        <v>3040</v>
      </c>
      <c r="F405" s="10" t="str" cm="1">
        <f t="array" aca="1" ref="F4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405" s="136" t="s">
        <v>3041</v>
      </c>
      <c r="I405" s="12">
        <v>45826</v>
      </c>
      <c r="J405" s="12" t="s">
        <v>109</v>
      </c>
      <c r="K405" s="63">
        <v>45943</v>
      </c>
      <c r="L405" s="37"/>
      <c r="M405" s="10" t="str">
        <f t="shared" ca="1" si="13"/>
        <v>CLOSED</v>
      </c>
    </row>
    <row r="406" spans="1:13" ht="18.75" hidden="1" x14ac:dyDescent="0.25">
      <c r="A406" s="9" t="s">
        <v>211</v>
      </c>
      <c r="B406" s="19">
        <f>VLOOKUP(Table27[[#This Row],[Location 
(drop-down)]],'List source'!D$2:E$71,2,FALSE)</f>
        <v>132</v>
      </c>
      <c r="C406" s="178" t="s">
        <v>3042</v>
      </c>
      <c r="D406" s="21" t="str">
        <f t="shared" si="12"/>
        <v>PTO0405-132-25</v>
      </c>
      <c r="E406" s="9" t="s">
        <v>3043</v>
      </c>
      <c r="F406" s="10" t="s">
        <v>3044</v>
      </c>
      <c r="G4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06" s="10">
        <v>5.45</v>
      </c>
      <c r="I406" s="12">
        <v>45826</v>
      </c>
      <c r="J406" s="12" t="s">
        <v>167</v>
      </c>
      <c r="K406" s="63">
        <v>45861</v>
      </c>
      <c r="L406" s="37"/>
      <c r="M406" s="10" t="str">
        <f t="shared" ca="1" si="13"/>
        <v>CLOSED</v>
      </c>
    </row>
    <row r="407" spans="1:13" ht="30" hidden="1" x14ac:dyDescent="0.25">
      <c r="A407" s="9" t="s">
        <v>220</v>
      </c>
      <c r="B407" s="19">
        <f>VLOOKUP(Table27[[#This Row],[Location 
(drop-down)]],'List source'!D$2:E$71,2,FALSE)</f>
        <v>197</v>
      </c>
      <c r="C407" s="178" t="s">
        <v>3045</v>
      </c>
      <c r="D407" s="21" t="str">
        <f t="shared" si="12"/>
        <v>PTO0406-197-25</v>
      </c>
      <c r="E407" s="9" t="s">
        <v>3046</v>
      </c>
      <c r="F407" s="10" t="s">
        <v>3047</v>
      </c>
      <c r="G4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407" s="136" t="s">
        <v>2107</v>
      </c>
      <c r="I407" s="12">
        <v>45826</v>
      </c>
      <c r="J407" s="12" t="s">
        <v>2074</v>
      </c>
      <c r="K407" s="63">
        <v>45826</v>
      </c>
      <c r="L407" s="37" t="s">
        <v>2075</v>
      </c>
      <c r="M407" s="10" t="str">
        <f t="shared" ca="1" si="13"/>
        <v>CLOSED</v>
      </c>
    </row>
    <row r="408" spans="1:13" ht="18.75" hidden="1" x14ac:dyDescent="0.25">
      <c r="A408" s="9" t="s">
        <v>220</v>
      </c>
      <c r="B408" s="19">
        <f>VLOOKUP(Table27[[#This Row],[Location 
(drop-down)]],'List source'!D$2:E$71,2,FALSE)</f>
        <v>197</v>
      </c>
      <c r="C408" s="178" t="s">
        <v>3048</v>
      </c>
      <c r="D408" s="21" t="str">
        <f t="shared" si="12"/>
        <v>PTO0407-197-25</v>
      </c>
      <c r="E408" s="9" t="s">
        <v>3049</v>
      </c>
      <c r="F408" s="10" t="s">
        <v>3047</v>
      </c>
      <c r="G4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Sulfur</v>
      </c>
      <c r="H408" s="136" t="s">
        <v>3050</v>
      </c>
      <c r="I408" s="12">
        <v>45826</v>
      </c>
      <c r="J408" s="12"/>
      <c r="K408" s="63"/>
      <c r="L408" s="37"/>
      <c r="M408" s="10">
        <f t="shared" ca="1" si="13"/>
        <v>251</v>
      </c>
    </row>
    <row r="409" spans="1:13" ht="18.75" hidden="1" x14ac:dyDescent="0.25">
      <c r="A409" s="9" t="s">
        <v>220</v>
      </c>
      <c r="B409" s="19">
        <f>VLOOKUP(Table27[[#This Row],[Location 
(drop-down)]],'List source'!D$2:E$71,2,FALSE)</f>
        <v>197</v>
      </c>
      <c r="C409" s="178" t="s">
        <v>3051</v>
      </c>
      <c r="D409" s="21" t="str">
        <f t="shared" si="12"/>
        <v>PTO0408-197-25</v>
      </c>
      <c r="E409" s="9" t="s">
        <v>3052</v>
      </c>
      <c r="F409" s="10" t="s">
        <v>3047</v>
      </c>
      <c r="G4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409" s="10">
        <v>4.45</v>
      </c>
      <c r="I409" s="12">
        <v>45826</v>
      </c>
      <c r="J409" s="12" t="s">
        <v>27</v>
      </c>
      <c r="K409" s="63">
        <v>46029</v>
      </c>
      <c r="L409" s="37"/>
      <c r="M409" s="10" t="str">
        <f t="shared" ca="1" si="13"/>
        <v>CLOSED</v>
      </c>
    </row>
    <row r="410" spans="1:13" ht="18.75" hidden="1" x14ac:dyDescent="0.25">
      <c r="A410" s="9" t="s">
        <v>156</v>
      </c>
      <c r="B410" s="19">
        <f>VLOOKUP(Table27[[#This Row],[Location 
(drop-down)]],'List source'!D$2:E$71,2,FALSE)</f>
        <v>130</v>
      </c>
      <c r="C410" s="178" t="s">
        <v>3053</v>
      </c>
      <c r="D410" s="21" t="str">
        <f t="shared" si="12"/>
        <v>PTO0409-130-25</v>
      </c>
      <c r="E410" s="9" t="s">
        <v>3054</v>
      </c>
      <c r="F410" s="10" t="s">
        <v>2952</v>
      </c>
      <c r="G4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10" s="10">
        <v>4.8600000000000003</v>
      </c>
      <c r="I410" s="12">
        <v>45826</v>
      </c>
      <c r="J410" s="12" t="s">
        <v>167</v>
      </c>
      <c r="K410" s="63">
        <v>45908</v>
      </c>
      <c r="L410" s="37"/>
      <c r="M410" s="10" t="str">
        <f t="shared" ca="1" si="13"/>
        <v>CLOSED</v>
      </c>
    </row>
    <row r="411" spans="1:13" ht="30" hidden="1" x14ac:dyDescent="0.25">
      <c r="A411" s="9" t="s">
        <v>156</v>
      </c>
      <c r="B411" s="19">
        <f>VLOOKUP(Table27[[#This Row],[Location 
(drop-down)]],'List source'!D$2:E$71,2,FALSE)</f>
        <v>130</v>
      </c>
      <c r="C411" s="178" t="s">
        <v>3055</v>
      </c>
      <c r="D411" s="21" t="str">
        <f t="shared" si="12"/>
        <v>PTO0410-130-25</v>
      </c>
      <c r="E411" s="9" t="s">
        <v>3056</v>
      </c>
      <c r="F411" s="10" t="s">
        <v>2952</v>
      </c>
      <c r="G4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11" s="10">
        <v>2.1</v>
      </c>
      <c r="I411" s="12">
        <v>45826</v>
      </c>
      <c r="J411" s="12" t="s">
        <v>2074</v>
      </c>
      <c r="K411" s="63">
        <v>45826</v>
      </c>
      <c r="L411" s="37" t="s">
        <v>2075</v>
      </c>
      <c r="M411" s="10" t="str">
        <f t="shared" ca="1" si="13"/>
        <v>CLOSED</v>
      </c>
    </row>
    <row r="412" spans="1:13" ht="18.75" hidden="1" x14ac:dyDescent="0.25">
      <c r="A412" s="9" t="s">
        <v>220</v>
      </c>
      <c r="B412" s="19">
        <f>VLOOKUP(Table27[[#This Row],[Location 
(drop-down)]],'List source'!D$2:E$71,2,FALSE)</f>
        <v>197</v>
      </c>
      <c r="C412" s="178" t="s">
        <v>3057</v>
      </c>
      <c r="D412" s="21" t="str">
        <f t="shared" si="12"/>
        <v>PTO0411-197-25</v>
      </c>
      <c r="E412" s="9" t="s">
        <v>3058</v>
      </c>
      <c r="F412" s="10" t="s">
        <v>3059</v>
      </c>
      <c r="G4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12" s="136" t="s">
        <v>2876</v>
      </c>
      <c r="I412" s="12">
        <v>45826</v>
      </c>
      <c r="J412" s="12" t="s">
        <v>48</v>
      </c>
      <c r="K412" s="63">
        <v>46027</v>
      </c>
      <c r="L412" s="37"/>
      <c r="M412" s="10" t="str">
        <f t="shared" ca="1" si="13"/>
        <v>CLOSED</v>
      </c>
    </row>
    <row r="413" spans="1:13" ht="30" hidden="1" x14ac:dyDescent="0.25">
      <c r="A413" s="9" t="s">
        <v>220</v>
      </c>
      <c r="B413" s="19">
        <f>VLOOKUP(Table27[[#This Row],[Location 
(drop-down)]],'List source'!D$2:E$71,2,FALSE)</f>
        <v>197</v>
      </c>
      <c r="C413" s="178" t="s">
        <v>3060</v>
      </c>
      <c r="D413" s="21" t="str">
        <f t="shared" si="12"/>
        <v>PTO0412-197-25</v>
      </c>
      <c r="E413" s="9" t="s">
        <v>3061</v>
      </c>
      <c r="F413" s="10" t="s">
        <v>3062</v>
      </c>
      <c r="G4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13" s="10" t="s">
        <v>3063</v>
      </c>
      <c r="I413" s="12">
        <v>45826</v>
      </c>
      <c r="J413" s="12" t="s">
        <v>2074</v>
      </c>
      <c r="K413" s="63">
        <v>45826</v>
      </c>
      <c r="L413" s="37" t="s">
        <v>2075</v>
      </c>
      <c r="M413" s="10" t="str">
        <f t="shared" ca="1" si="13"/>
        <v>CLOSED</v>
      </c>
    </row>
    <row r="414" spans="1:13" ht="30" hidden="1" x14ac:dyDescent="0.25">
      <c r="A414" s="9" t="s">
        <v>99</v>
      </c>
      <c r="B414" s="19">
        <f>VLOOKUP(Table27[[#This Row],[Location 
(drop-down)]],'List source'!D$2:E$71,2,FALSE)</f>
        <v>198</v>
      </c>
      <c r="C414" s="178" t="s">
        <v>3064</v>
      </c>
      <c r="D414" s="21" t="str">
        <f t="shared" si="12"/>
        <v>PTO0413-198-25</v>
      </c>
      <c r="E414" s="9" t="s">
        <v>3065</v>
      </c>
      <c r="F414" s="10" t="s">
        <v>3062</v>
      </c>
      <c r="G4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14" s="136" t="s">
        <v>3066</v>
      </c>
      <c r="I414" s="12">
        <v>45826</v>
      </c>
      <c r="J414" s="12" t="s">
        <v>2074</v>
      </c>
      <c r="K414" s="63">
        <v>45827</v>
      </c>
      <c r="L414" s="37" t="s">
        <v>2288</v>
      </c>
      <c r="M414" s="10" t="str">
        <f t="shared" ca="1" si="13"/>
        <v>CLOSED</v>
      </c>
    </row>
    <row r="415" spans="1:13" ht="30" hidden="1" x14ac:dyDescent="0.25">
      <c r="A415" s="9" t="s">
        <v>99</v>
      </c>
      <c r="B415" s="19">
        <f>VLOOKUP(Table27[[#This Row],[Location 
(drop-down)]],'List source'!D$2:E$71,2,FALSE)</f>
        <v>198</v>
      </c>
      <c r="C415" s="178" t="s">
        <v>3067</v>
      </c>
      <c r="D415" s="21" t="str">
        <f t="shared" si="12"/>
        <v>PTO0414-198-25</v>
      </c>
      <c r="E415" s="9" t="s">
        <v>3068</v>
      </c>
      <c r="F415" s="10" t="s">
        <v>3062</v>
      </c>
      <c r="G4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415" s="136" t="s">
        <v>3069</v>
      </c>
      <c r="I415" s="12">
        <v>45826</v>
      </c>
      <c r="J415" s="12" t="s">
        <v>2074</v>
      </c>
      <c r="K415" s="63">
        <v>45826</v>
      </c>
      <c r="L415" s="37" t="s">
        <v>2075</v>
      </c>
      <c r="M415" s="10" t="str">
        <f t="shared" ca="1" si="13"/>
        <v>CLOSED</v>
      </c>
    </row>
    <row r="416" spans="1:13" ht="30" hidden="1" x14ac:dyDescent="0.25">
      <c r="A416" s="9" t="s">
        <v>156</v>
      </c>
      <c r="B416" s="19">
        <f>VLOOKUP(Table27[[#This Row],[Location 
(drop-down)]],'List source'!D$2:E$71,2,FALSE)</f>
        <v>130</v>
      </c>
      <c r="C416" s="178" t="s">
        <v>3070</v>
      </c>
      <c r="D416" s="21" t="str">
        <f t="shared" si="12"/>
        <v>PTO0415-130-25</v>
      </c>
      <c r="E416" s="9" t="s">
        <v>3071</v>
      </c>
      <c r="F416" s="10" t="s">
        <v>2952</v>
      </c>
      <c r="G4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Gravity</v>
      </c>
      <c r="H416" s="136" t="s">
        <v>3072</v>
      </c>
      <c r="I416" s="12">
        <v>45826</v>
      </c>
      <c r="J416" s="12" t="s">
        <v>2074</v>
      </c>
      <c r="K416" s="63">
        <v>45826</v>
      </c>
      <c r="L416" s="37" t="s">
        <v>2075</v>
      </c>
      <c r="M416" s="10" t="str">
        <f t="shared" ca="1" si="13"/>
        <v>CLOSED</v>
      </c>
    </row>
    <row r="417" spans="1:13" ht="30" hidden="1" x14ac:dyDescent="0.25">
      <c r="A417" s="9" t="s">
        <v>220</v>
      </c>
      <c r="B417" s="19">
        <f>VLOOKUP(Table27[[#This Row],[Location 
(drop-down)]],'List source'!D$2:E$71,2,FALSE)</f>
        <v>197</v>
      </c>
      <c r="C417" s="178" t="s">
        <v>3073</v>
      </c>
      <c r="D417" s="21" t="str">
        <f t="shared" si="12"/>
        <v>PTO0416-197-25</v>
      </c>
      <c r="E417" s="9" t="s">
        <v>3074</v>
      </c>
      <c r="F417" s="10" t="s">
        <v>3059</v>
      </c>
      <c r="G4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JFTOT</v>
      </c>
      <c r="H417" s="10">
        <v>2.13</v>
      </c>
      <c r="I417" s="12">
        <v>45826</v>
      </c>
      <c r="J417" s="12" t="s">
        <v>2074</v>
      </c>
      <c r="K417" s="63">
        <v>45826</v>
      </c>
      <c r="L417" s="37" t="s">
        <v>2075</v>
      </c>
      <c r="M417" s="10" t="str">
        <f t="shared" ca="1" si="13"/>
        <v>CLOSED</v>
      </c>
    </row>
    <row r="418" spans="1:13" ht="30" hidden="1" x14ac:dyDescent="0.25">
      <c r="A418" s="9" t="s">
        <v>220</v>
      </c>
      <c r="B418" s="19">
        <f>VLOOKUP(Table27[[#This Row],[Location 
(drop-down)]],'List source'!D$2:E$71,2,FALSE)</f>
        <v>197</v>
      </c>
      <c r="C418" s="178" t="s">
        <v>3075</v>
      </c>
      <c r="D418" s="21" t="str">
        <f t="shared" si="12"/>
        <v>PTO0417-197-25</v>
      </c>
      <c r="E418" s="9" t="s">
        <v>3076</v>
      </c>
      <c r="F418" s="10" t="s">
        <v>3077</v>
      </c>
      <c r="G4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18" s="136" t="s">
        <v>3078</v>
      </c>
      <c r="I418" s="12">
        <v>45826</v>
      </c>
      <c r="J418" s="12" t="s">
        <v>2074</v>
      </c>
      <c r="K418" s="63">
        <v>45826</v>
      </c>
      <c r="L418" s="37" t="s">
        <v>2075</v>
      </c>
      <c r="M418" s="10" t="str">
        <f t="shared" ca="1" si="13"/>
        <v>CLOSED</v>
      </c>
    </row>
    <row r="419" spans="1:13" ht="30" hidden="1" x14ac:dyDescent="0.25">
      <c r="A419" s="9" t="s">
        <v>153</v>
      </c>
      <c r="B419" s="19">
        <f>VLOOKUP(Table27[[#This Row],[Location 
(drop-down)]],'List source'!D$2:E$71,2,FALSE)</f>
        <v>110</v>
      </c>
      <c r="C419" s="178" t="s">
        <v>3079</v>
      </c>
      <c r="D419" s="21" t="str">
        <f t="shared" si="12"/>
        <v>PTO0418-110-25</v>
      </c>
      <c r="E419" s="9" t="s">
        <v>3080</v>
      </c>
      <c r="F419" s="10" t="str" cm="1">
        <f t="array" aca="1" ref="F4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419" s="136" t="s">
        <v>3081</v>
      </c>
      <c r="I419" s="12">
        <v>45827</v>
      </c>
      <c r="J419" s="12" t="s">
        <v>2074</v>
      </c>
      <c r="K419" s="63">
        <v>45827</v>
      </c>
      <c r="L419" s="37" t="s">
        <v>2075</v>
      </c>
      <c r="M419" s="10" t="str">
        <f t="shared" ca="1" si="13"/>
        <v>CLOSED</v>
      </c>
    </row>
    <row r="420" spans="1:13" ht="30" hidden="1" x14ac:dyDescent="0.25">
      <c r="A420" s="9" t="s">
        <v>94</v>
      </c>
      <c r="B420" s="19">
        <f>VLOOKUP(Table27[[#This Row],[Location 
(drop-down)]],'List source'!D$2:E$71,2,FALSE)</f>
        <v>120</v>
      </c>
      <c r="C420" s="178" t="s">
        <v>3082</v>
      </c>
      <c r="D420" s="21" t="str">
        <f t="shared" si="12"/>
        <v>PTO0419-120-25</v>
      </c>
      <c r="E420" s="9" t="s">
        <v>3083</v>
      </c>
      <c r="F420" s="10" t="str" cm="1">
        <f t="array" aca="1" ref="F4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420" s="136" t="s">
        <v>3084</v>
      </c>
      <c r="I420" s="12">
        <v>45827</v>
      </c>
      <c r="J420" s="12" t="s">
        <v>2074</v>
      </c>
      <c r="K420" s="63">
        <v>45827</v>
      </c>
      <c r="L420" s="37" t="s">
        <v>2075</v>
      </c>
      <c r="M420" s="10" t="str">
        <f t="shared" ca="1" si="13"/>
        <v>CLOSED</v>
      </c>
    </row>
    <row r="421" spans="1:13" ht="18.75" hidden="1" x14ac:dyDescent="0.25">
      <c r="A421" s="9" t="s">
        <v>54</v>
      </c>
      <c r="B421" s="19">
        <f>VLOOKUP(Table27[[#This Row],[Location 
(drop-down)]],'List source'!D$2:E$71,2,FALSE)</f>
        <v>128</v>
      </c>
      <c r="C421" s="178" t="s">
        <v>3085</v>
      </c>
      <c r="D421" s="21" t="str">
        <f t="shared" si="12"/>
        <v>PTO0420-128-25</v>
      </c>
      <c r="E421" s="9" t="s">
        <v>3086</v>
      </c>
      <c r="F421" s="10" t="str" cm="1">
        <f t="array" aca="1" ref="F4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421" s="136" t="s">
        <v>2115</v>
      </c>
      <c r="I421" s="12">
        <v>45827</v>
      </c>
      <c r="J421" s="12" t="s">
        <v>82</v>
      </c>
      <c r="K421" s="63">
        <v>45895</v>
      </c>
      <c r="L421" s="37"/>
      <c r="M421" s="10" t="str">
        <f t="shared" ca="1" si="13"/>
        <v>CLOSED</v>
      </c>
    </row>
    <row r="422" spans="1:13" ht="30" hidden="1" x14ac:dyDescent="0.25">
      <c r="A422" s="9" t="s">
        <v>156</v>
      </c>
      <c r="B422" s="19">
        <f>VLOOKUP(Table27[[#This Row],[Location 
(drop-down)]],'List source'!D$2:E$71,2,FALSE)</f>
        <v>130</v>
      </c>
      <c r="C422" s="178" t="s">
        <v>3087</v>
      </c>
      <c r="D422" s="21" t="str">
        <f t="shared" si="12"/>
        <v>PTO0421-130-25</v>
      </c>
      <c r="E422" s="9" t="s">
        <v>3088</v>
      </c>
      <c r="F422" s="10" t="str" cm="1">
        <f t="array" aca="1" ref="F4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Dististribution</v>
      </c>
      <c r="H422" s="10" t="s">
        <v>2400</v>
      </c>
      <c r="I422" s="12">
        <v>45827</v>
      </c>
      <c r="J422" s="12" t="s">
        <v>2074</v>
      </c>
      <c r="K422" s="63">
        <v>46021</v>
      </c>
      <c r="L422" s="37" t="s">
        <v>2288</v>
      </c>
      <c r="M422" s="10" t="str">
        <f t="shared" ca="1" si="13"/>
        <v>CLOSED</v>
      </c>
    </row>
    <row r="423" spans="1:13" ht="30" hidden="1" x14ac:dyDescent="0.25">
      <c r="A423" s="9" t="s">
        <v>156</v>
      </c>
      <c r="B423" s="19">
        <f>VLOOKUP(Table27[[#This Row],[Location 
(drop-down)]],'List source'!D$2:E$71,2,FALSE)</f>
        <v>130</v>
      </c>
      <c r="C423" s="178" t="s">
        <v>3089</v>
      </c>
      <c r="D423" s="21" t="str">
        <f t="shared" si="12"/>
        <v>PTO0422-130-25</v>
      </c>
      <c r="E423" s="9" t="s">
        <v>3090</v>
      </c>
      <c r="F423" s="10" t="str" cm="1">
        <f t="array" aca="1" ref="F4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423" s="136" t="s">
        <v>3091</v>
      </c>
      <c r="I423" s="12">
        <v>45827</v>
      </c>
      <c r="J423" s="12" t="s">
        <v>2074</v>
      </c>
      <c r="K423" s="63">
        <v>46008</v>
      </c>
      <c r="L423" s="37" t="s">
        <v>2288</v>
      </c>
      <c r="M423" s="10" t="str">
        <f t="shared" ca="1" si="13"/>
        <v>CLOSED</v>
      </c>
    </row>
    <row r="424" spans="1:13" ht="18.75" hidden="1" x14ac:dyDescent="0.25">
      <c r="A424" s="9" t="s">
        <v>211</v>
      </c>
      <c r="B424" s="19">
        <f>VLOOKUP(Table27[[#This Row],[Location 
(drop-down)]],'List source'!D$2:E$71,2,FALSE)</f>
        <v>132</v>
      </c>
      <c r="C424" s="178" t="s">
        <v>3092</v>
      </c>
      <c r="D424" s="21" t="str">
        <f t="shared" si="12"/>
        <v>PTO0423-132-25</v>
      </c>
      <c r="E424" s="9" t="s">
        <v>3093</v>
      </c>
      <c r="F424" s="10" t="str" cm="1">
        <f t="array" aca="1" ref="F4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24" s="10">
        <v>11.3</v>
      </c>
      <c r="I424" s="12">
        <v>45827</v>
      </c>
      <c r="J424" s="12"/>
      <c r="K424" s="63"/>
      <c r="L424" s="37"/>
      <c r="M424" s="10">
        <f t="shared" ca="1" si="13"/>
        <v>250</v>
      </c>
    </row>
    <row r="425" spans="1:13" ht="18.75" hidden="1" x14ac:dyDescent="0.25">
      <c r="A425" s="9" t="s">
        <v>211</v>
      </c>
      <c r="B425" s="19">
        <f>VLOOKUP(Table27[[#This Row],[Location 
(drop-down)]],'List source'!D$2:E$71,2,FALSE)</f>
        <v>132</v>
      </c>
      <c r="C425" s="178" t="s">
        <v>3094</v>
      </c>
      <c r="D425" s="21" t="str">
        <f t="shared" si="12"/>
        <v>PTO0424-132-25</v>
      </c>
      <c r="E425" s="9" t="s">
        <v>3095</v>
      </c>
      <c r="F425" s="10" t="str" cm="1">
        <f t="array" aca="1" ref="F4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425" s="10">
        <v>10.55</v>
      </c>
      <c r="I425" s="12">
        <v>45827</v>
      </c>
      <c r="J425" s="12"/>
      <c r="K425" s="63"/>
      <c r="L425" s="37"/>
      <c r="M425" s="10">
        <f t="shared" ca="1" si="13"/>
        <v>250</v>
      </c>
    </row>
    <row r="426" spans="1:13" ht="30" hidden="1" x14ac:dyDescent="0.25">
      <c r="A426" s="9" t="s">
        <v>211</v>
      </c>
      <c r="B426" s="19">
        <f>VLOOKUP(Table27[[#This Row],[Location 
(drop-down)]],'List source'!D$2:E$71,2,FALSE)</f>
        <v>132</v>
      </c>
      <c r="C426" s="178" t="s">
        <v>3096</v>
      </c>
      <c r="D426" s="21" t="str">
        <f t="shared" si="12"/>
        <v>PTO0425-132-25</v>
      </c>
      <c r="E426" s="9" t="s">
        <v>3097</v>
      </c>
      <c r="F426" s="10" t="str" cm="1">
        <f t="array" aca="1" ref="F4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426" s="136" t="s">
        <v>3098</v>
      </c>
      <c r="I426" s="12">
        <v>45827</v>
      </c>
      <c r="J426" s="12" t="s">
        <v>2074</v>
      </c>
      <c r="K426" s="63">
        <v>45827</v>
      </c>
      <c r="L426" s="37" t="s">
        <v>2075</v>
      </c>
      <c r="M426" s="10" t="str">
        <f t="shared" ca="1" si="13"/>
        <v>CLOSED</v>
      </c>
    </row>
    <row r="427" spans="1:13" ht="30" hidden="1" x14ac:dyDescent="0.25">
      <c r="A427" s="9" t="s">
        <v>58</v>
      </c>
      <c r="B427" s="19">
        <f>VLOOKUP(Table27[[#This Row],[Location 
(drop-down)]],'List source'!D$2:E$71,2,FALSE)</f>
        <v>146</v>
      </c>
      <c r="C427" s="178" t="s">
        <v>3099</v>
      </c>
      <c r="D427" s="21" t="str">
        <f t="shared" si="12"/>
        <v>PTO0426-146-25</v>
      </c>
      <c r="E427" s="9" t="s">
        <v>3100</v>
      </c>
      <c r="F427" s="10" t="str" cm="1">
        <f t="array" aca="1" ref="F4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 and Sediment</v>
      </c>
      <c r="H427" s="136" t="s">
        <v>2181</v>
      </c>
      <c r="I427" s="12">
        <v>45827</v>
      </c>
      <c r="J427" s="12" t="s">
        <v>2074</v>
      </c>
      <c r="K427" s="63">
        <v>45827</v>
      </c>
      <c r="L427" s="37" t="s">
        <v>2075</v>
      </c>
      <c r="M427" s="10" t="str">
        <f t="shared" ca="1" si="13"/>
        <v>CLOSED</v>
      </c>
    </row>
    <row r="428" spans="1:13" ht="18.75" hidden="1" x14ac:dyDescent="0.25">
      <c r="A428" s="9" t="s">
        <v>58</v>
      </c>
      <c r="B428" s="19">
        <f>VLOOKUP(Table27[[#This Row],[Location 
(drop-down)]],'List source'!D$2:E$71,2,FALSE)</f>
        <v>146</v>
      </c>
      <c r="C428" s="178" t="s">
        <v>3101</v>
      </c>
      <c r="D428" s="21" t="str">
        <f t="shared" si="12"/>
        <v>PTO0427-146-25</v>
      </c>
      <c r="E428" s="9" t="s">
        <v>3102</v>
      </c>
      <c r="F428" s="10" t="str" cm="1">
        <f t="array" aca="1" ref="F4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428" s="136" t="s">
        <v>3081</v>
      </c>
      <c r="I428" s="12">
        <v>45827</v>
      </c>
      <c r="J428" s="12" t="s">
        <v>109</v>
      </c>
      <c r="K428" s="63">
        <v>45926</v>
      </c>
      <c r="L428" s="37"/>
      <c r="M428" s="10" t="str">
        <f t="shared" ca="1" si="13"/>
        <v>CLOSED</v>
      </c>
    </row>
    <row r="429" spans="1:13" ht="30" hidden="1" x14ac:dyDescent="0.25">
      <c r="A429" s="9" t="s">
        <v>86</v>
      </c>
      <c r="B429" s="19">
        <f>VLOOKUP(Table27[[#This Row],[Location 
(drop-down)]],'List source'!D$2:E$71,2,FALSE)</f>
        <v>150</v>
      </c>
      <c r="C429" s="178" t="s">
        <v>3103</v>
      </c>
      <c r="D429" s="21" t="str">
        <f t="shared" si="12"/>
        <v>PTO0428-150-25</v>
      </c>
      <c r="E429" s="9" t="s">
        <v>3097</v>
      </c>
      <c r="F429" s="10" t="str" cm="1">
        <f t="array" aca="1" ref="F4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429" s="10">
        <v>2.31</v>
      </c>
      <c r="I429" s="12">
        <v>45827</v>
      </c>
      <c r="J429" s="12" t="s">
        <v>2074</v>
      </c>
      <c r="K429" s="63">
        <v>45827</v>
      </c>
      <c r="L429" s="37" t="s">
        <v>2075</v>
      </c>
      <c r="M429" s="10" t="str">
        <f t="shared" ca="1" si="13"/>
        <v>CLOSED</v>
      </c>
    </row>
    <row r="430" spans="1:13" ht="30" hidden="1" x14ac:dyDescent="0.25">
      <c r="A430" s="9" t="s">
        <v>46</v>
      </c>
      <c r="B430" s="19">
        <f>VLOOKUP(Table27[[#This Row],[Location 
(drop-down)]],'List source'!D$2:E$71,2,FALSE)</f>
        <v>155</v>
      </c>
      <c r="C430" s="178" t="s">
        <v>3104</v>
      </c>
      <c r="D430" s="21" t="str">
        <f t="shared" si="12"/>
        <v>PTO0429-155-25</v>
      </c>
      <c r="E430" s="9" t="s">
        <v>3105</v>
      </c>
      <c r="F430" s="10" t="str" cm="1">
        <f t="array" aca="1" ref="F4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API Gravity &amp; Density</v>
      </c>
      <c r="H430" s="10" t="s">
        <v>3106</v>
      </c>
      <c r="I430" s="12">
        <v>45827</v>
      </c>
      <c r="J430" s="12" t="s">
        <v>82</v>
      </c>
      <c r="K430" s="63">
        <v>45916</v>
      </c>
      <c r="L430" s="37"/>
      <c r="M430" s="10" t="str">
        <f t="shared" ca="1" si="13"/>
        <v>CLOSED</v>
      </c>
    </row>
    <row r="431" spans="1:13" ht="30" hidden="1" x14ac:dyDescent="0.25">
      <c r="A431" s="9" t="s">
        <v>46</v>
      </c>
      <c r="B431" s="19">
        <f>VLOOKUP(Table27[[#This Row],[Location 
(drop-down)]],'List source'!D$2:E$71,2,FALSE)</f>
        <v>155</v>
      </c>
      <c r="C431" s="178" t="s">
        <v>3107</v>
      </c>
      <c r="D431" s="21" t="str">
        <f t="shared" si="12"/>
        <v>PTO0430-155-25</v>
      </c>
      <c r="E431" s="146" t="s">
        <v>3108</v>
      </c>
      <c r="F431" s="10" t="str" cm="1">
        <f t="array" aca="1" ref="F4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431" s="315" t="s">
        <v>3109</v>
      </c>
      <c r="I431" s="12">
        <v>45827</v>
      </c>
      <c r="J431" s="12" t="s">
        <v>82</v>
      </c>
      <c r="K431" s="63">
        <v>45945</v>
      </c>
      <c r="L431" s="37"/>
      <c r="M431" s="10" t="str">
        <f t="shared" ca="1" si="13"/>
        <v>CLOSED</v>
      </c>
    </row>
    <row r="432" spans="1:13" ht="18.75" hidden="1" x14ac:dyDescent="0.25">
      <c r="A432" s="9" t="s">
        <v>46</v>
      </c>
      <c r="B432" s="19">
        <f>VLOOKUP(Table27[[#This Row],[Location 
(drop-down)]],'List source'!D$2:E$71,2,FALSE)</f>
        <v>155</v>
      </c>
      <c r="C432" s="178" t="s">
        <v>3110</v>
      </c>
      <c r="D432" s="21" t="str">
        <f t="shared" si="12"/>
        <v>PTO0431-155-25</v>
      </c>
      <c r="E432" s="9" t="s">
        <v>3111</v>
      </c>
      <c r="F432" s="10" t="str" cm="1">
        <f t="array" aca="1" ref="F4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D5863- Element</v>
      </c>
      <c r="H432" s="10">
        <v>9.09</v>
      </c>
      <c r="I432" s="12">
        <v>45827</v>
      </c>
      <c r="J432" s="12"/>
      <c r="K432" s="63"/>
      <c r="L432" s="37"/>
      <c r="M432" s="10">
        <f t="shared" ca="1" si="13"/>
        <v>250</v>
      </c>
    </row>
    <row r="433" spans="1:13" ht="18.75" hidden="1" x14ac:dyDescent="0.25">
      <c r="A433" s="9" t="s">
        <v>46</v>
      </c>
      <c r="B433" s="19">
        <f>VLOOKUP(Table27[[#This Row],[Location 
(drop-down)]],'List source'!D$2:E$71,2,FALSE)</f>
        <v>155</v>
      </c>
      <c r="C433" s="178" t="s">
        <v>3112</v>
      </c>
      <c r="D433" s="21" t="str">
        <f t="shared" si="12"/>
        <v>PTO0432-155-25</v>
      </c>
      <c r="E433" s="9" t="s">
        <v>3113</v>
      </c>
      <c r="F433" s="10" t="str" cm="1">
        <f t="array" aca="1" ref="F4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433" s="136" t="s">
        <v>2400</v>
      </c>
      <c r="I433" s="12">
        <v>45827</v>
      </c>
      <c r="J433" s="12" t="s">
        <v>2074</v>
      </c>
      <c r="K433" s="63">
        <v>45863</v>
      </c>
      <c r="L433" s="37" t="s">
        <v>2288</v>
      </c>
      <c r="M433" s="10" t="str">
        <f t="shared" ca="1" si="13"/>
        <v>CLOSED</v>
      </c>
    </row>
    <row r="434" spans="1:13" ht="18.75" hidden="1" x14ac:dyDescent="0.25">
      <c r="A434" s="9" t="s">
        <v>46</v>
      </c>
      <c r="B434" s="19">
        <f>VLOOKUP(Table27[[#This Row],[Location 
(drop-down)]],'List source'!D$2:E$71,2,FALSE)</f>
        <v>155</v>
      </c>
      <c r="C434" s="178" t="s">
        <v>3114</v>
      </c>
      <c r="D434" s="21" t="str">
        <f t="shared" si="12"/>
        <v>PTO0433-155-25</v>
      </c>
      <c r="E434" s="9" t="s">
        <v>3115</v>
      </c>
      <c r="F434" s="10" t="str" cm="1">
        <f t="array" aca="1" ref="F4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434" s="136" t="s">
        <v>3116</v>
      </c>
      <c r="I434" s="12">
        <v>45827</v>
      </c>
      <c r="J434" s="12" t="s">
        <v>82</v>
      </c>
      <c r="K434" s="63">
        <v>45929</v>
      </c>
      <c r="L434" s="37"/>
      <c r="M434" s="10" t="str">
        <f t="shared" ca="1" si="13"/>
        <v>CLOSED</v>
      </c>
    </row>
    <row r="435" spans="1:13" ht="18.75" hidden="1" x14ac:dyDescent="0.25">
      <c r="A435" s="9" t="s">
        <v>46</v>
      </c>
      <c r="B435" s="19">
        <f>VLOOKUP(Table27[[#This Row],[Location 
(drop-down)]],'List source'!D$2:E$71,2,FALSE)</f>
        <v>155</v>
      </c>
      <c r="C435" s="178" t="s">
        <v>3117</v>
      </c>
      <c r="D435" s="21" t="str">
        <f t="shared" si="12"/>
        <v>PTO0434-155-25</v>
      </c>
      <c r="E435" s="9" t="s">
        <v>3118</v>
      </c>
      <c r="F435" s="10" t="str" cm="1">
        <f t="array" aca="1" ref="F4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435" s="10">
        <v>9.84</v>
      </c>
      <c r="I435" s="12">
        <v>45827</v>
      </c>
      <c r="J435" s="12" t="s">
        <v>2074</v>
      </c>
      <c r="K435" s="63">
        <v>46064</v>
      </c>
      <c r="L435" s="37"/>
      <c r="M435" s="10" t="str">
        <f t="shared" ca="1" si="13"/>
        <v>CLOSED</v>
      </c>
    </row>
    <row r="436" spans="1:13" ht="18.75" hidden="1" x14ac:dyDescent="0.25">
      <c r="A436" s="9" t="s">
        <v>76</v>
      </c>
      <c r="B436" s="19">
        <f>VLOOKUP(Table27[[#This Row],[Location 
(drop-down)]],'List source'!D$2:E$71,2,FALSE)</f>
        <v>157</v>
      </c>
      <c r="C436" s="178" t="s">
        <v>3119</v>
      </c>
      <c r="D436" s="21" t="str">
        <f t="shared" si="12"/>
        <v>PTO0435-157-25</v>
      </c>
      <c r="E436" s="9" t="s">
        <v>3120</v>
      </c>
      <c r="F436" s="10" t="str" cm="1">
        <f t="array" aca="1" ref="F4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436" s="136">
        <v>3.22</v>
      </c>
      <c r="I436" s="12">
        <v>45827</v>
      </c>
      <c r="J436" s="12" t="s">
        <v>82</v>
      </c>
      <c r="K436" s="196">
        <v>45874</v>
      </c>
      <c r="L436" s="37"/>
      <c r="M436" s="10" t="str">
        <f t="shared" ca="1" si="13"/>
        <v>CLOSED</v>
      </c>
    </row>
    <row r="437" spans="1:13" ht="18.75" hidden="1" x14ac:dyDescent="0.25">
      <c r="A437" s="9" t="s">
        <v>0</v>
      </c>
      <c r="B437" s="19">
        <f>VLOOKUP(Table27[[#This Row],[Location 
(drop-down)]],'List source'!D$2:E$71,2,FALSE)</f>
        <v>159</v>
      </c>
      <c r="C437" s="178" t="s">
        <v>3121</v>
      </c>
      <c r="D437" s="21" t="str">
        <f t="shared" si="12"/>
        <v>PTO0436-159-25</v>
      </c>
      <c r="E437" s="9" t="s">
        <v>3122</v>
      </c>
      <c r="F437" s="10" t="str" cm="1">
        <f t="array" aca="1" ref="F4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437" s="136" t="s">
        <v>3123</v>
      </c>
      <c r="I437" s="12">
        <v>45827</v>
      </c>
      <c r="J437" s="12" t="s">
        <v>82</v>
      </c>
      <c r="K437" s="63">
        <v>45847</v>
      </c>
      <c r="L437" s="37"/>
      <c r="M437" s="10" t="str">
        <f t="shared" ca="1" si="13"/>
        <v>CLOSED</v>
      </c>
    </row>
    <row r="438" spans="1:13" ht="18.75" hidden="1" x14ac:dyDescent="0.25">
      <c r="A438" s="9" t="s">
        <v>79</v>
      </c>
      <c r="B438" s="19">
        <f>VLOOKUP(Table27[[#This Row],[Location 
(drop-down)]],'List source'!D$2:E$71,2,FALSE)</f>
        <v>160</v>
      </c>
      <c r="C438" s="178" t="s">
        <v>3124</v>
      </c>
      <c r="D438" s="21" t="str">
        <f t="shared" si="12"/>
        <v>PTO0437-160-25</v>
      </c>
      <c r="E438" s="200" t="s">
        <v>3125</v>
      </c>
      <c r="F438" s="10" t="str" cm="1">
        <f t="array" aca="1" ref="F4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438" s="10">
        <v>2.6</v>
      </c>
      <c r="I438" s="12">
        <v>45827</v>
      </c>
      <c r="J438" s="12" t="s">
        <v>82</v>
      </c>
      <c r="K438" s="63">
        <v>46057</v>
      </c>
      <c r="L438" s="254"/>
      <c r="M438" s="10" t="str">
        <f t="shared" ca="1" si="13"/>
        <v>CLOSED</v>
      </c>
    </row>
    <row r="439" spans="1:13" ht="18.75" hidden="1" x14ac:dyDescent="0.25">
      <c r="A439" s="9" t="s">
        <v>79</v>
      </c>
      <c r="B439" s="19">
        <f>VLOOKUP(Table27[[#This Row],[Location 
(drop-down)]],'List source'!D$2:E$71,2,FALSE)</f>
        <v>160</v>
      </c>
      <c r="C439" s="178" t="s">
        <v>3126</v>
      </c>
      <c r="D439" s="21" t="str">
        <f t="shared" si="12"/>
        <v>PTO0438-160-25</v>
      </c>
      <c r="E439" s="200" t="s">
        <v>3127</v>
      </c>
      <c r="F439" s="10" t="str" cm="1">
        <f t="array" aca="1" ref="F4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v>
      </c>
      <c r="H439" s="136" t="s">
        <v>2118</v>
      </c>
      <c r="I439" s="12">
        <v>45827</v>
      </c>
      <c r="J439" s="12" t="s">
        <v>18</v>
      </c>
      <c r="K439" s="63">
        <v>46001</v>
      </c>
      <c r="L439" s="37"/>
      <c r="M439" s="10" t="str">
        <f t="shared" ca="1" si="13"/>
        <v>CLOSED</v>
      </c>
    </row>
    <row r="440" spans="1:13" ht="18.75" x14ac:dyDescent="0.25">
      <c r="A440" s="9" t="s">
        <v>79</v>
      </c>
      <c r="B440" s="19">
        <f>VLOOKUP(Table27[[#This Row],[Location 
(drop-down)]],'List source'!D$2:E$71,2,FALSE)</f>
        <v>160</v>
      </c>
      <c r="C440" s="178" t="s">
        <v>3128</v>
      </c>
      <c r="D440" s="21" t="str">
        <f t="shared" si="12"/>
        <v>PTO0439-160-25</v>
      </c>
      <c r="E440" s="200" t="s">
        <v>3129</v>
      </c>
      <c r="F440" s="10" t="str" cm="1">
        <f t="array" aca="1" ref="F4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40" s="10">
        <v>18.29</v>
      </c>
      <c r="I440" s="12">
        <v>45827</v>
      </c>
      <c r="J440" s="12" t="s">
        <v>18</v>
      </c>
      <c r="K440" s="63">
        <v>45938</v>
      </c>
      <c r="L440" s="37"/>
      <c r="M440" s="10" t="str">
        <f t="shared" ca="1" si="13"/>
        <v>CLOSED</v>
      </c>
    </row>
    <row r="441" spans="1:13" ht="18.75" hidden="1" x14ac:dyDescent="0.25">
      <c r="A441" s="9" t="s">
        <v>141</v>
      </c>
      <c r="B441" s="19">
        <f>VLOOKUP(Table27[[#This Row],[Location 
(drop-down)]],'List source'!D$2:E$71,2,FALSE)</f>
        <v>165</v>
      </c>
      <c r="C441" s="178" t="s">
        <v>3130</v>
      </c>
      <c r="D441" s="21" t="str">
        <f t="shared" si="12"/>
        <v>PTO0440-165-25</v>
      </c>
      <c r="E441" s="200" t="s">
        <v>3131</v>
      </c>
      <c r="F441" s="10" t="str" cm="1">
        <f t="array" aca="1" ref="F4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Distribution</v>
      </c>
      <c r="H441" s="136" t="s">
        <v>3132</v>
      </c>
      <c r="I441" s="12">
        <v>45827</v>
      </c>
      <c r="J441" s="12"/>
      <c r="K441" s="63"/>
      <c r="L441" s="37"/>
      <c r="M441" s="10">
        <f t="shared" ca="1" si="13"/>
        <v>250</v>
      </c>
    </row>
    <row r="442" spans="1:13" ht="18.75" hidden="1" x14ac:dyDescent="0.25">
      <c r="A442" s="9" t="s">
        <v>141</v>
      </c>
      <c r="B442" s="19">
        <f>VLOOKUP(Table27[[#This Row],[Location 
(drop-down)]],'List source'!D$2:E$71,2,FALSE)</f>
        <v>165</v>
      </c>
      <c r="C442" s="178" t="s">
        <v>3133</v>
      </c>
      <c r="D442" s="21" t="str">
        <f t="shared" si="12"/>
        <v>PTO0441-165-25</v>
      </c>
      <c r="E442" s="200" t="s">
        <v>3134</v>
      </c>
      <c r="F442" s="10" t="str" cm="1">
        <f t="array" aca="1" ref="F4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442" s="10">
        <v>3.77</v>
      </c>
      <c r="I442" s="12">
        <v>45827</v>
      </c>
      <c r="J442" s="12" t="s">
        <v>18</v>
      </c>
      <c r="K442" s="63">
        <v>45932</v>
      </c>
      <c r="L442" s="37"/>
      <c r="M442" s="10" t="str">
        <f t="shared" ca="1" si="13"/>
        <v>CLOSED</v>
      </c>
    </row>
    <row r="443" spans="1:13" ht="30" x14ac:dyDescent="0.25">
      <c r="A443" s="9" t="s">
        <v>141</v>
      </c>
      <c r="B443" s="19">
        <f>VLOOKUP(Table27[[#This Row],[Location 
(drop-down)]],'List source'!D$2:E$71,2,FALSE)</f>
        <v>165</v>
      </c>
      <c r="C443" s="178" t="s">
        <v>3135</v>
      </c>
      <c r="D443" s="21" t="str">
        <f t="shared" si="12"/>
        <v>PTO0442-165-25</v>
      </c>
      <c r="E443" s="200" t="s">
        <v>3136</v>
      </c>
      <c r="F443" s="10" t="str" cm="1">
        <f t="array" aca="1" ref="F4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43" s="136" t="s">
        <v>3041</v>
      </c>
      <c r="I443" s="12">
        <v>45827</v>
      </c>
      <c r="J443" s="12" t="s">
        <v>2074</v>
      </c>
      <c r="K443" s="63">
        <v>45827</v>
      </c>
      <c r="L443" s="37" t="s">
        <v>2075</v>
      </c>
      <c r="M443" s="10" t="str">
        <f t="shared" ca="1" si="13"/>
        <v>CLOSED</v>
      </c>
    </row>
    <row r="444" spans="1:13" ht="30" hidden="1" x14ac:dyDescent="0.25">
      <c r="A444" s="9" t="s">
        <v>107</v>
      </c>
      <c r="B444" s="19">
        <f>VLOOKUP(Table27[[#This Row],[Location 
(drop-down)]],'List source'!D$2:E$71,2,FALSE)</f>
        <v>170</v>
      </c>
      <c r="C444" s="178" t="s">
        <v>3137</v>
      </c>
      <c r="D444" s="21" t="str">
        <f t="shared" si="12"/>
        <v>PTO0443-170-25</v>
      </c>
      <c r="E444" s="200" t="s">
        <v>3138</v>
      </c>
      <c r="F444" s="10" t="str" cm="1">
        <f t="array" aca="1" ref="F4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D8045 - Acid Number</v>
      </c>
      <c r="H444" s="136">
        <v>2.04</v>
      </c>
      <c r="I444" s="12">
        <v>45827</v>
      </c>
      <c r="J444" s="12" t="s">
        <v>2074</v>
      </c>
      <c r="K444" s="63">
        <v>45827</v>
      </c>
      <c r="L444" s="37" t="s">
        <v>2075</v>
      </c>
      <c r="M444" s="10" t="str">
        <f t="shared" ca="1" si="13"/>
        <v>CLOSED</v>
      </c>
    </row>
    <row r="445" spans="1:13" ht="30" hidden="1" x14ac:dyDescent="0.25">
      <c r="A445" s="9" t="s">
        <v>107</v>
      </c>
      <c r="B445" s="19">
        <f>VLOOKUP(Table27[[#This Row],[Location 
(drop-down)]],'List source'!D$2:E$71,2,FALSE)</f>
        <v>170</v>
      </c>
      <c r="C445" s="178" t="s">
        <v>3139</v>
      </c>
      <c r="D445" s="21" t="str">
        <f t="shared" si="12"/>
        <v>PTO0444-170-25</v>
      </c>
      <c r="E445" s="9" t="s">
        <v>3140</v>
      </c>
      <c r="F445" s="10" t="str" cm="1">
        <f t="array" aca="1" ref="F4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Distribution</v>
      </c>
      <c r="H445" s="136" t="s">
        <v>2115</v>
      </c>
      <c r="I445" s="12">
        <v>45827</v>
      </c>
      <c r="J445" s="12" t="s">
        <v>2074</v>
      </c>
      <c r="K445" s="63">
        <v>45827</v>
      </c>
      <c r="L445" s="37" t="s">
        <v>2075</v>
      </c>
      <c r="M445" s="10" t="str">
        <f t="shared" ca="1" si="13"/>
        <v>CLOSED</v>
      </c>
    </row>
    <row r="446" spans="1:13" ht="30" hidden="1" x14ac:dyDescent="0.25">
      <c r="A446" s="9" t="s">
        <v>107</v>
      </c>
      <c r="B446" s="19">
        <f>VLOOKUP(Table27[[#This Row],[Location 
(drop-down)]],'List source'!D$2:E$71,2,FALSE)</f>
        <v>170</v>
      </c>
      <c r="C446" s="178" t="s">
        <v>3141</v>
      </c>
      <c r="D446" s="21" t="str">
        <f t="shared" si="12"/>
        <v>PTO0445-170-25</v>
      </c>
      <c r="E446" s="9" t="s">
        <v>3142</v>
      </c>
      <c r="F446" s="10" t="s">
        <v>3143</v>
      </c>
      <c r="G4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446" s="10">
        <v>6.1</v>
      </c>
      <c r="I446" s="12">
        <v>45827</v>
      </c>
      <c r="J446" s="12" t="s">
        <v>109</v>
      </c>
      <c r="K446" s="63">
        <v>45855</v>
      </c>
      <c r="L446" s="37"/>
      <c r="M446" s="10" t="str">
        <f t="shared" ca="1" si="13"/>
        <v>CLOSED</v>
      </c>
    </row>
    <row r="447" spans="1:13" ht="30" hidden="1" x14ac:dyDescent="0.25">
      <c r="A447" s="9" t="s">
        <v>107</v>
      </c>
      <c r="B447" s="19">
        <f>VLOOKUP(Table27[[#This Row],[Location 
(drop-down)]],'List source'!D$2:E$71,2,FALSE)</f>
        <v>170</v>
      </c>
      <c r="C447" s="178" t="s">
        <v>3144</v>
      </c>
      <c r="D447" s="21" t="str">
        <f t="shared" si="12"/>
        <v>PTO0446-170-25</v>
      </c>
      <c r="E447" s="9" t="s">
        <v>3145</v>
      </c>
      <c r="F447" s="10" t="str" cm="1">
        <f t="array" aca="1" ref="F4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447" s="136" t="s">
        <v>2427</v>
      </c>
      <c r="I447" s="12">
        <v>45827</v>
      </c>
      <c r="J447" s="12" t="s">
        <v>2074</v>
      </c>
      <c r="K447" s="63">
        <v>45827</v>
      </c>
      <c r="L447" s="37" t="s">
        <v>2075</v>
      </c>
      <c r="M447" s="10" t="str">
        <f t="shared" ca="1" si="13"/>
        <v>CLOSED</v>
      </c>
    </row>
    <row r="448" spans="1:13" ht="30" hidden="1" x14ac:dyDescent="0.25">
      <c r="A448" s="9" t="s">
        <v>237</v>
      </c>
      <c r="B448" s="19">
        <f>VLOOKUP(Table27[[#This Row],[Location 
(drop-down)]],'List source'!D$2:E$71,2,FALSE)</f>
        <v>171</v>
      </c>
      <c r="C448" s="178" t="s">
        <v>3146</v>
      </c>
      <c r="D448" s="21" t="str">
        <f t="shared" si="12"/>
        <v>PTO0447-171-25</v>
      </c>
      <c r="E448" s="9" t="s">
        <v>3147</v>
      </c>
      <c r="F448" s="10" t="str" cm="1">
        <f t="array" aca="1" ref="F4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448" s="136">
        <v>2.46</v>
      </c>
      <c r="I448" s="12">
        <v>45827</v>
      </c>
      <c r="J448" s="12" t="s">
        <v>2074</v>
      </c>
      <c r="K448" s="63">
        <v>45827</v>
      </c>
      <c r="L448" s="37" t="s">
        <v>2075</v>
      </c>
      <c r="M448" s="10" t="str">
        <f t="shared" ca="1" si="13"/>
        <v>CLOSED</v>
      </c>
    </row>
    <row r="449" spans="1:13" ht="18.75" hidden="1" x14ac:dyDescent="0.25">
      <c r="A449" s="9" t="s">
        <v>237</v>
      </c>
      <c r="B449" s="19">
        <f>VLOOKUP(Table27[[#This Row],[Location 
(drop-down)]],'List source'!D$2:E$71,2,FALSE)</f>
        <v>171</v>
      </c>
      <c r="C449" s="178" t="s">
        <v>3148</v>
      </c>
      <c r="D449" s="21" t="str">
        <f t="shared" si="12"/>
        <v>PTO0448-171-25</v>
      </c>
      <c r="E449" s="9" t="s">
        <v>3149</v>
      </c>
      <c r="F449" s="10" t="str" cm="1">
        <f t="array" aca="1" ref="F4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v>
      </c>
      <c r="H449" s="136">
        <v>29.42</v>
      </c>
      <c r="I449" s="12">
        <v>45827</v>
      </c>
      <c r="J449" s="12" t="s">
        <v>2074</v>
      </c>
      <c r="K449" s="12">
        <v>45832</v>
      </c>
      <c r="L449" s="37" t="s">
        <v>2079</v>
      </c>
      <c r="M449" s="10" t="str">
        <f t="shared" ca="1" si="13"/>
        <v>CLOSED</v>
      </c>
    </row>
    <row r="450" spans="1:13" ht="30" hidden="1" x14ac:dyDescent="0.25">
      <c r="A450" s="9" t="s">
        <v>287</v>
      </c>
      <c r="B450" s="19">
        <f>VLOOKUP(Table27[[#This Row],[Location 
(drop-down)]],'List source'!D$2:E$71,2,FALSE)</f>
        <v>180</v>
      </c>
      <c r="C450" s="178" t="s">
        <v>3150</v>
      </c>
      <c r="D450" s="21" t="str">
        <f t="shared" ref="D450:D513" si="14">"PTO" &amp; C450 &amp; "-" &amp; B450 &amp; "-" &amp; "25"</f>
        <v>PTO0449-180-25</v>
      </c>
      <c r="E450" s="9" t="s">
        <v>3088</v>
      </c>
      <c r="F450" s="10" t="str" cm="1">
        <f t="array" aca="1" ref="F4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Dististribution</v>
      </c>
      <c r="H450" s="10" t="s">
        <v>2400</v>
      </c>
      <c r="I450" s="12">
        <v>45827</v>
      </c>
      <c r="J450" s="12" t="s">
        <v>2074</v>
      </c>
      <c r="K450" s="63">
        <v>45833</v>
      </c>
      <c r="L450" s="37" t="s">
        <v>2288</v>
      </c>
      <c r="M450" s="10" t="str">
        <f t="shared" ref="M450:M513" ca="1" si="15">IF(ISBLANK(K450), TODAY()-(I450), "CLOSED")</f>
        <v>CLOSED</v>
      </c>
    </row>
    <row r="451" spans="1:13" ht="18.75" hidden="1" x14ac:dyDescent="0.25">
      <c r="A451" s="9" t="s">
        <v>287</v>
      </c>
      <c r="B451" s="19">
        <f>VLOOKUP(Table27[[#This Row],[Location 
(drop-down)]],'List source'!D$2:E$71,2,FALSE)</f>
        <v>180</v>
      </c>
      <c r="C451" s="178" t="s">
        <v>3151</v>
      </c>
      <c r="D451" s="21" t="str">
        <f t="shared" si="14"/>
        <v>PTO0450-180-25</v>
      </c>
      <c r="E451" s="9" t="s">
        <v>3152</v>
      </c>
      <c r="F451" s="10" t="str" cm="1">
        <f t="array" aca="1" ref="F4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451" s="136" t="s">
        <v>3153</v>
      </c>
      <c r="I451" s="12">
        <v>45827</v>
      </c>
      <c r="J451" s="12" t="s">
        <v>48</v>
      </c>
      <c r="K451" s="63">
        <v>45930</v>
      </c>
      <c r="L451" s="37"/>
      <c r="M451" s="10" t="str">
        <f t="shared" ca="1" si="15"/>
        <v>CLOSED</v>
      </c>
    </row>
    <row r="452" spans="1:13" ht="18.75" hidden="1" x14ac:dyDescent="0.25">
      <c r="A452" s="9" t="s">
        <v>287</v>
      </c>
      <c r="B452" s="19">
        <f>VLOOKUP(Table27[[#This Row],[Location 
(drop-down)]],'List source'!D$2:E$71,2,FALSE)</f>
        <v>180</v>
      </c>
      <c r="C452" s="178" t="s">
        <v>3154</v>
      </c>
      <c r="D452" s="21" t="str">
        <f t="shared" si="14"/>
        <v>PTO0451-180-25</v>
      </c>
      <c r="E452" s="9" t="s">
        <v>3155</v>
      </c>
      <c r="F452" s="10" t="str" cm="1">
        <f t="array" aca="1" ref="F4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452" s="136" t="s">
        <v>3156</v>
      </c>
      <c r="I452" s="12">
        <v>45827</v>
      </c>
      <c r="J452" s="12" t="s">
        <v>2074</v>
      </c>
      <c r="K452" s="63">
        <v>45833</v>
      </c>
      <c r="L452" s="37" t="s">
        <v>2079</v>
      </c>
      <c r="M452" s="10" t="str">
        <f t="shared" ca="1" si="15"/>
        <v>CLOSED</v>
      </c>
    </row>
    <row r="453" spans="1:13" ht="18.75" hidden="1" x14ac:dyDescent="0.25">
      <c r="A453" s="9" t="s">
        <v>287</v>
      </c>
      <c r="B453" s="19">
        <f>VLOOKUP(Table27[[#This Row],[Location 
(drop-down)]],'List source'!D$2:E$71,2,FALSE)</f>
        <v>180</v>
      </c>
      <c r="C453" s="178" t="s">
        <v>3157</v>
      </c>
      <c r="D453" s="21" t="str">
        <f t="shared" si="14"/>
        <v>PTO0452-180-25</v>
      </c>
      <c r="E453" s="169" t="s">
        <v>3158</v>
      </c>
      <c r="F453" s="10" t="str" cm="1">
        <f t="array" aca="1" ref="F4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453" s="11">
        <v>6.48</v>
      </c>
      <c r="I453" s="12">
        <v>45827</v>
      </c>
      <c r="J453" s="12" t="s">
        <v>2074</v>
      </c>
      <c r="K453" s="63">
        <v>45833</v>
      </c>
      <c r="L453" s="37" t="s">
        <v>2079</v>
      </c>
      <c r="M453" s="10" t="str">
        <f t="shared" ca="1" si="15"/>
        <v>CLOSED</v>
      </c>
    </row>
    <row r="454" spans="1:13" ht="30" hidden="1" x14ac:dyDescent="0.25">
      <c r="A454" s="9" t="s">
        <v>246</v>
      </c>
      <c r="B454" s="19">
        <f>VLOOKUP(Table27[[#This Row],[Location 
(drop-down)]],'List source'!D$2:E$71,2,FALSE)</f>
        <v>188</v>
      </c>
      <c r="C454" s="178" t="s">
        <v>3159</v>
      </c>
      <c r="D454" s="21" t="str">
        <f t="shared" si="14"/>
        <v>PTO0453-188-25</v>
      </c>
      <c r="E454" s="9" t="s">
        <v>3160</v>
      </c>
      <c r="F454" s="10" t="str" cm="1">
        <f t="array" aca="1" ref="F4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D5853 - Pour Point</v>
      </c>
      <c r="H454" s="136" t="s">
        <v>2446</v>
      </c>
      <c r="I454" s="12">
        <v>45827</v>
      </c>
      <c r="J454" s="12"/>
      <c r="K454" s="63"/>
      <c r="L454" s="37"/>
      <c r="M454" s="10">
        <f t="shared" ca="1" si="15"/>
        <v>250</v>
      </c>
    </row>
    <row r="455" spans="1:13" ht="18.75" hidden="1" x14ac:dyDescent="0.25">
      <c r="A455" s="9" t="s">
        <v>91</v>
      </c>
      <c r="B455" s="19">
        <f>VLOOKUP(Table27[[#This Row],[Location 
(drop-down)]],'List source'!D$2:E$71,2,FALSE)</f>
        <v>190</v>
      </c>
      <c r="C455" s="178" t="s">
        <v>3161</v>
      </c>
      <c r="D455" s="21" t="str">
        <f t="shared" si="14"/>
        <v>PTO0454-190-25</v>
      </c>
      <c r="E455" s="9" t="s">
        <v>3162</v>
      </c>
      <c r="F455" s="10" t="str" cm="1">
        <f t="array" aca="1" ref="F4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455" s="136" t="s">
        <v>3163</v>
      </c>
      <c r="I455" s="12">
        <v>45827</v>
      </c>
      <c r="J455" s="12" t="s">
        <v>109</v>
      </c>
      <c r="K455" s="63">
        <v>45860</v>
      </c>
      <c r="L455" s="37"/>
      <c r="M455" s="10" t="str">
        <f t="shared" ca="1" si="15"/>
        <v>CLOSED</v>
      </c>
    </row>
    <row r="456" spans="1:13" ht="18.75" hidden="1" x14ac:dyDescent="0.25">
      <c r="A456" s="9" t="s">
        <v>91</v>
      </c>
      <c r="B456" s="19">
        <f>VLOOKUP(Table27[[#This Row],[Location 
(drop-down)]],'List source'!D$2:E$71,2,FALSE)</f>
        <v>190</v>
      </c>
      <c r="C456" s="178" t="s">
        <v>3164</v>
      </c>
      <c r="D456" s="21" t="str">
        <f t="shared" si="14"/>
        <v>PTO0455-190-25</v>
      </c>
      <c r="E456" s="9" t="s">
        <v>3165</v>
      </c>
      <c r="F456" s="10" t="str" cm="1">
        <f t="array" aca="1" ref="F4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456" s="136">
        <v>2.5099999999999998</v>
      </c>
      <c r="I456" s="12">
        <v>45827</v>
      </c>
      <c r="J456" s="12" t="s">
        <v>109</v>
      </c>
      <c r="K456" s="63">
        <v>45859</v>
      </c>
      <c r="L456" s="37"/>
      <c r="M456" s="10" t="str">
        <f t="shared" ca="1" si="15"/>
        <v>CLOSED</v>
      </c>
    </row>
    <row r="457" spans="1:13" ht="30" hidden="1" x14ac:dyDescent="0.25">
      <c r="A457" s="9" t="s">
        <v>91</v>
      </c>
      <c r="B457" s="19">
        <f>VLOOKUP(Table27[[#This Row],[Location 
(drop-down)]],'List source'!D$2:E$71,2,FALSE)</f>
        <v>190</v>
      </c>
      <c r="C457" s="178" t="s">
        <v>3166</v>
      </c>
      <c r="D457" s="21" t="str">
        <f t="shared" si="14"/>
        <v>PTO0456-190-25</v>
      </c>
      <c r="E457" s="9" t="s">
        <v>3167</v>
      </c>
      <c r="F457" s="10" t="str" cm="1">
        <f t="array" aca="1" ref="F4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4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457" s="136" t="s">
        <v>2181</v>
      </c>
      <c r="I457" s="12">
        <v>45827</v>
      </c>
      <c r="J457" s="12" t="s">
        <v>2074</v>
      </c>
      <c r="K457" s="63">
        <v>45827</v>
      </c>
      <c r="L457" s="37" t="s">
        <v>2075</v>
      </c>
      <c r="M457" s="10" t="str">
        <f t="shared" ca="1" si="15"/>
        <v>CLOSED</v>
      </c>
    </row>
    <row r="458" spans="1:13" ht="18.75" hidden="1" x14ac:dyDescent="0.25">
      <c r="A458" s="9" t="s">
        <v>14</v>
      </c>
      <c r="B458" s="19">
        <f>VLOOKUP(Table27[[#This Row],[Location 
(drop-down)]],'List source'!D$2:E$71,2,FALSE)</f>
        <v>131</v>
      </c>
      <c r="C458" s="178" t="s">
        <v>3168</v>
      </c>
      <c r="D458" s="21" t="str">
        <f t="shared" si="14"/>
        <v>PTO0457-131-25</v>
      </c>
      <c r="E458" s="9" t="s">
        <v>3169</v>
      </c>
      <c r="F458" s="10" t="str" cm="1">
        <f t="array" aca="1" ref="F4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458" s="136" t="s">
        <v>3078</v>
      </c>
      <c r="I458" s="12">
        <v>45831</v>
      </c>
      <c r="J458" s="12"/>
      <c r="K458" s="63"/>
      <c r="L458" s="37"/>
      <c r="M458" s="10">
        <f t="shared" ca="1" si="15"/>
        <v>246</v>
      </c>
    </row>
    <row r="459" spans="1:13" ht="18.75" hidden="1" x14ac:dyDescent="0.25">
      <c r="A459" s="9" t="s">
        <v>211</v>
      </c>
      <c r="B459" s="19">
        <f>VLOOKUP(Table27[[#This Row],[Location 
(drop-down)]],'List source'!D$2:E$71,2,FALSE)</f>
        <v>132</v>
      </c>
      <c r="C459" s="178" t="s">
        <v>3170</v>
      </c>
      <c r="D459" s="21" t="str">
        <f t="shared" si="14"/>
        <v>PTO0458-132-25</v>
      </c>
      <c r="E459" s="9" t="s">
        <v>3171</v>
      </c>
      <c r="F459" s="10" t="str" cm="1">
        <f t="array" aca="1" ref="F4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59" s="136" t="s">
        <v>3172</v>
      </c>
      <c r="I459" s="12">
        <v>45831</v>
      </c>
      <c r="J459" s="12" t="s">
        <v>35</v>
      </c>
      <c r="K459" s="63">
        <v>45898</v>
      </c>
      <c r="L459" s="37"/>
      <c r="M459" s="10" t="str">
        <f t="shared" ca="1" si="15"/>
        <v>CLOSED</v>
      </c>
    </row>
    <row r="460" spans="1:13" ht="18.75" hidden="1" x14ac:dyDescent="0.25">
      <c r="A460" s="9" t="s">
        <v>211</v>
      </c>
      <c r="B460" s="19">
        <f>VLOOKUP(Table27[[#This Row],[Location 
(drop-down)]],'List source'!D$2:E$71,2,FALSE)</f>
        <v>132</v>
      </c>
      <c r="C460" s="178" t="s">
        <v>3173</v>
      </c>
      <c r="D460" s="21" t="str">
        <f t="shared" si="14"/>
        <v>PTO0459-132-25</v>
      </c>
      <c r="E460" s="9" t="s">
        <v>3174</v>
      </c>
      <c r="F460" s="10" t="str" cm="1">
        <f t="array" aca="1" ref="F4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460" s="136">
        <v>3.58</v>
      </c>
      <c r="I460" s="12">
        <v>45831</v>
      </c>
      <c r="J460" s="12"/>
      <c r="K460" s="63"/>
      <c r="L460" s="37"/>
      <c r="M460" s="10">
        <f t="shared" ca="1" si="15"/>
        <v>246</v>
      </c>
    </row>
    <row r="461" spans="1:13" ht="18.75" hidden="1" x14ac:dyDescent="0.25">
      <c r="A461" s="9" t="s">
        <v>211</v>
      </c>
      <c r="B461" s="19">
        <f>VLOOKUP(Table27[[#This Row],[Location 
(drop-down)]],'List source'!D$2:E$71,2,FALSE)</f>
        <v>132</v>
      </c>
      <c r="C461" s="178" t="s">
        <v>3175</v>
      </c>
      <c r="D461" s="21" t="str">
        <f t="shared" si="14"/>
        <v>PTO0460-132-25</v>
      </c>
      <c r="E461" s="9" t="s">
        <v>3176</v>
      </c>
      <c r="F461" s="10" t="str" cm="1">
        <f t="array" aca="1" ref="F4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61" s="136">
        <v>5.54</v>
      </c>
      <c r="I461" s="12">
        <v>45831</v>
      </c>
      <c r="J461" s="12"/>
      <c r="K461" s="63"/>
      <c r="L461" s="37"/>
      <c r="M461" s="10">
        <f t="shared" ca="1" si="15"/>
        <v>246</v>
      </c>
    </row>
    <row r="462" spans="1:13" ht="30" hidden="1" x14ac:dyDescent="0.25">
      <c r="A462" s="9" t="s">
        <v>257</v>
      </c>
      <c r="B462" s="19">
        <f>VLOOKUP(Table27[[#This Row],[Location 
(drop-down)]],'List source'!D$2:E$71,2,FALSE)</f>
        <v>144</v>
      </c>
      <c r="C462" s="178" t="s">
        <v>3177</v>
      </c>
      <c r="D462" s="21" t="str">
        <f t="shared" si="14"/>
        <v>PTO0461-144-25</v>
      </c>
      <c r="E462" s="9" t="s">
        <v>3178</v>
      </c>
      <c r="F462" s="10" t="str" cm="1">
        <f t="array" aca="1" ref="F4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62" s="136" t="s">
        <v>3179</v>
      </c>
      <c r="I462" s="12">
        <v>45831</v>
      </c>
      <c r="J462" s="12" t="s">
        <v>2074</v>
      </c>
      <c r="K462" s="63">
        <v>45831</v>
      </c>
      <c r="L462" s="37" t="s">
        <v>2075</v>
      </c>
      <c r="M462" s="10" t="str">
        <f t="shared" ca="1" si="15"/>
        <v>CLOSED</v>
      </c>
    </row>
    <row r="463" spans="1:13" ht="30" hidden="1" x14ac:dyDescent="0.25">
      <c r="A463" s="9" t="s">
        <v>257</v>
      </c>
      <c r="B463" s="19">
        <f>VLOOKUP(Table27[[#This Row],[Location 
(drop-down)]],'List source'!D$2:E$71,2,FALSE)</f>
        <v>144</v>
      </c>
      <c r="C463" s="178" t="s">
        <v>3180</v>
      </c>
      <c r="D463" s="21" t="str">
        <f t="shared" si="14"/>
        <v>PTO0462-144-25</v>
      </c>
      <c r="E463" s="9" t="s">
        <v>3181</v>
      </c>
      <c r="F463" s="10" t="str" cm="1">
        <f t="array" aca="1" ref="F4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463" s="136">
        <v>50.14</v>
      </c>
      <c r="I463" s="12">
        <v>45831</v>
      </c>
      <c r="J463" s="12" t="s">
        <v>2074</v>
      </c>
      <c r="K463" s="63">
        <v>45834</v>
      </c>
      <c r="L463" s="37" t="s">
        <v>2079</v>
      </c>
      <c r="M463" s="10" t="str">
        <f t="shared" ca="1" si="15"/>
        <v>CLOSED</v>
      </c>
    </row>
    <row r="464" spans="1:13" ht="18.75" hidden="1" x14ac:dyDescent="0.25">
      <c r="A464" s="9" t="s">
        <v>58</v>
      </c>
      <c r="B464" s="19">
        <f>VLOOKUP(Table27[[#This Row],[Location 
(drop-down)]],'List source'!D$2:E$71,2,FALSE)</f>
        <v>146</v>
      </c>
      <c r="C464" s="178" t="s">
        <v>3182</v>
      </c>
      <c r="D464" s="21" t="str">
        <f t="shared" si="14"/>
        <v>PTO0463-146-25</v>
      </c>
      <c r="E464" s="9" t="s">
        <v>3183</v>
      </c>
      <c r="F464" s="10" t="str" cm="1">
        <f t="array" aca="1" ref="F4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464" s="10">
        <v>2.4900000000000002</v>
      </c>
      <c r="I464" s="12">
        <v>45831</v>
      </c>
      <c r="J464" s="12" t="s">
        <v>109</v>
      </c>
      <c r="K464" s="63">
        <v>45943</v>
      </c>
      <c r="L464" s="37"/>
      <c r="M464" s="10" t="str">
        <f t="shared" ca="1" si="15"/>
        <v>CLOSED</v>
      </c>
    </row>
    <row r="465" spans="1:13" ht="18.75" hidden="1" x14ac:dyDescent="0.25">
      <c r="A465" s="9" t="s">
        <v>58</v>
      </c>
      <c r="B465" s="19">
        <f>VLOOKUP(Table27[[#This Row],[Location 
(drop-down)]],'List source'!D$2:E$71,2,FALSE)</f>
        <v>146</v>
      </c>
      <c r="C465" s="178" t="s">
        <v>3184</v>
      </c>
      <c r="D465" s="21" t="str">
        <f t="shared" si="14"/>
        <v>PTO0464-146-25</v>
      </c>
      <c r="E465" s="9" t="s">
        <v>3185</v>
      </c>
      <c r="F465" s="10" t="str" cm="1">
        <f t="array" aca="1" ref="F4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65" s="136">
        <v>574.88</v>
      </c>
      <c r="I465" s="12">
        <v>45831</v>
      </c>
      <c r="J465" s="12" t="s">
        <v>2074</v>
      </c>
      <c r="K465" s="63">
        <v>45832</v>
      </c>
      <c r="L465" s="37" t="s">
        <v>2079</v>
      </c>
      <c r="M465" s="10" t="str">
        <f t="shared" ca="1" si="15"/>
        <v>CLOSED</v>
      </c>
    </row>
    <row r="466" spans="1:13" ht="18.75" hidden="1" x14ac:dyDescent="0.25">
      <c r="A466" s="9" t="s">
        <v>58</v>
      </c>
      <c r="B466" s="19">
        <f>VLOOKUP(Table27[[#This Row],[Location 
(drop-down)]],'List source'!D$2:E$71,2,FALSE)</f>
        <v>146</v>
      </c>
      <c r="C466" s="178" t="s">
        <v>3186</v>
      </c>
      <c r="D466" s="21" t="str">
        <f t="shared" si="14"/>
        <v>PTO0465-146-25</v>
      </c>
      <c r="E466" s="9" t="s">
        <v>3187</v>
      </c>
      <c r="F466" s="10" t="str" cm="1">
        <f t="array" aca="1" ref="F4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66" s="136">
        <v>16.170000000000002</v>
      </c>
      <c r="I466" s="12">
        <v>45831</v>
      </c>
      <c r="J466" s="12" t="s">
        <v>109</v>
      </c>
      <c r="K466" s="63">
        <v>46063</v>
      </c>
      <c r="L466" s="37"/>
      <c r="M466" s="10" t="str">
        <f t="shared" ca="1" si="15"/>
        <v>CLOSED</v>
      </c>
    </row>
    <row r="467" spans="1:13" ht="18.75" hidden="1" x14ac:dyDescent="0.25">
      <c r="A467" s="9" t="s">
        <v>86</v>
      </c>
      <c r="B467" s="19">
        <f>VLOOKUP(Table27[[#This Row],[Location 
(drop-down)]],'List source'!D$2:E$71,2,FALSE)</f>
        <v>150</v>
      </c>
      <c r="C467" s="178" t="s">
        <v>3188</v>
      </c>
      <c r="D467" s="21" t="str">
        <f t="shared" si="14"/>
        <v>PTO0466-150-25</v>
      </c>
      <c r="E467" s="9" t="s">
        <v>3189</v>
      </c>
      <c r="F467" s="10" t="str" cm="1">
        <f t="array" aca="1" ref="F4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467" s="136">
        <v>2.21</v>
      </c>
      <c r="I467" s="12">
        <v>45831</v>
      </c>
      <c r="J467" s="12" t="s">
        <v>18</v>
      </c>
      <c r="K467" s="63">
        <v>45978</v>
      </c>
      <c r="L467" s="37"/>
      <c r="M467" s="10" t="str">
        <f t="shared" ca="1" si="15"/>
        <v>CLOSED</v>
      </c>
    </row>
    <row r="468" spans="1:13" ht="18.75" hidden="1" x14ac:dyDescent="0.25">
      <c r="A468" s="9" t="s">
        <v>86</v>
      </c>
      <c r="B468" s="19">
        <f>VLOOKUP(Table27[[#This Row],[Location 
(drop-down)]],'List source'!D$2:E$71,2,FALSE)</f>
        <v>150</v>
      </c>
      <c r="C468" s="178" t="s">
        <v>3190</v>
      </c>
      <c r="D468" s="21" t="str">
        <f t="shared" si="14"/>
        <v>PTO0467-150-25</v>
      </c>
      <c r="E468" s="9" t="s">
        <v>3191</v>
      </c>
      <c r="F468" s="10" t="str" cm="1">
        <f t="array" aca="1" ref="F4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468" s="136">
        <v>2.7</v>
      </c>
      <c r="I468" s="12">
        <v>45831</v>
      </c>
      <c r="J468" s="12"/>
      <c r="K468" s="63"/>
      <c r="L468" s="37"/>
      <c r="M468" s="10">
        <f t="shared" ca="1" si="15"/>
        <v>246</v>
      </c>
    </row>
    <row r="469" spans="1:13" ht="18.75" hidden="1" x14ac:dyDescent="0.25">
      <c r="A469" s="9" t="s">
        <v>86</v>
      </c>
      <c r="B469" s="19">
        <f>VLOOKUP(Table27[[#This Row],[Location 
(drop-down)]],'List source'!D$2:E$71,2,FALSE)</f>
        <v>150</v>
      </c>
      <c r="C469" s="178" t="s">
        <v>3192</v>
      </c>
      <c r="D469" s="21" t="str">
        <f t="shared" si="14"/>
        <v>PTO0468-150-25</v>
      </c>
      <c r="E469" s="9" t="s">
        <v>3193</v>
      </c>
      <c r="F469" s="10" t="str" cm="1">
        <f t="array" aca="1" ref="F4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69" s="136" t="s">
        <v>3194</v>
      </c>
      <c r="I469" s="12">
        <v>45831</v>
      </c>
      <c r="J469" s="12" t="s">
        <v>82</v>
      </c>
      <c r="K469" s="63">
        <v>45972</v>
      </c>
      <c r="L469" s="37"/>
      <c r="M469" s="10" t="str">
        <f t="shared" ca="1" si="15"/>
        <v>CLOSED</v>
      </c>
    </row>
    <row r="470" spans="1:13" ht="18.75" hidden="1" x14ac:dyDescent="0.25">
      <c r="A470" s="9" t="s">
        <v>46</v>
      </c>
      <c r="B470" s="19">
        <f>VLOOKUP(Table27[[#This Row],[Location 
(drop-down)]],'List source'!D$2:E$71,2,FALSE)</f>
        <v>155</v>
      </c>
      <c r="C470" s="178" t="s">
        <v>3195</v>
      </c>
      <c r="D470" s="21" t="str">
        <f t="shared" si="14"/>
        <v>PTO0469-155-25</v>
      </c>
      <c r="E470" s="9" t="s">
        <v>3196</v>
      </c>
      <c r="F470" s="10" t="str" cm="1">
        <f t="array" aca="1" ref="F4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470" s="10">
        <v>-14.54</v>
      </c>
      <c r="I470" s="12">
        <v>45831</v>
      </c>
      <c r="J470" s="12" t="s">
        <v>82</v>
      </c>
      <c r="K470" s="63">
        <v>46029</v>
      </c>
      <c r="L470" s="37"/>
      <c r="M470" s="10" t="str">
        <f t="shared" ca="1" si="15"/>
        <v>CLOSED</v>
      </c>
    </row>
    <row r="471" spans="1:13" ht="18.75" hidden="1" x14ac:dyDescent="0.25">
      <c r="A471" s="9" t="s">
        <v>46</v>
      </c>
      <c r="B471" s="19">
        <f>VLOOKUP(Table27[[#This Row],[Location 
(drop-down)]],'List source'!D$2:E$71,2,FALSE)</f>
        <v>155</v>
      </c>
      <c r="C471" s="178" t="s">
        <v>3197</v>
      </c>
      <c r="D471" s="21" t="str">
        <f t="shared" si="14"/>
        <v>PTO0470-155-25</v>
      </c>
      <c r="E471" s="9" t="s">
        <v>3198</v>
      </c>
      <c r="F471" s="10" t="str" cm="1">
        <f t="array" aca="1" ref="F4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v>
      </c>
      <c r="H471" s="10">
        <v>3.62</v>
      </c>
      <c r="I471" s="12">
        <v>45831</v>
      </c>
      <c r="J471" s="12" t="s">
        <v>82</v>
      </c>
      <c r="K471" s="63">
        <v>45871</v>
      </c>
      <c r="L471" s="37"/>
      <c r="M471" s="10" t="str">
        <f t="shared" ca="1" si="15"/>
        <v>CLOSED</v>
      </c>
    </row>
    <row r="472" spans="1:13" ht="18.75" hidden="1" x14ac:dyDescent="0.25">
      <c r="A472" s="9" t="s">
        <v>46</v>
      </c>
      <c r="B472" s="19">
        <f>VLOOKUP(Table27[[#This Row],[Location 
(drop-down)]],'List source'!D$2:E$71,2,FALSE)</f>
        <v>155</v>
      </c>
      <c r="C472" s="178" t="s">
        <v>3199</v>
      </c>
      <c r="D472" s="21" t="str">
        <f t="shared" si="14"/>
        <v>PTO0471-155-25</v>
      </c>
      <c r="E472" s="9" t="s">
        <v>3200</v>
      </c>
      <c r="F472" s="10" t="str" cm="1">
        <f t="array" aca="1" ref="F4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472" s="10">
        <v>3.62</v>
      </c>
      <c r="I472" s="12">
        <v>45831</v>
      </c>
      <c r="J472" s="12" t="s">
        <v>82</v>
      </c>
      <c r="K472" s="63">
        <v>45887</v>
      </c>
      <c r="L472" s="37"/>
      <c r="M472" s="10" t="str">
        <f t="shared" ca="1" si="15"/>
        <v>CLOSED</v>
      </c>
    </row>
    <row r="473" spans="1:13" ht="18.75" hidden="1" x14ac:dyDescent="0.25">
      <c r="A473" s="9" t="s">
        <v>46</v>
      </c>
      <c r="B473" s="19">
        <f>VLOOKUP(Table27[[#This Row],[Location 
(drop-down)]],'List source'!D$2:E$71,2,FALSE)</f>
        <v>155</v>
      </c>
      <c r="C473" s="178" t="s">
        <v>3201</v>
      </c>
      <c r="D473" s="21" t="str">
        <f t="shared" si="14"/>
        <v>PTO0472-155-25</v>
      </c>
      <c r="E473" s="9" t="s">
        <v>3202</v>
      </c>
      <c r="F473" s="10" t="str" cm="1">
        <f t="array" aca="1" ref="F4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 Olefins</v>
      </c>
      <c r="H473" s="136">
        <v>8.1300000000000008</v>
      </c>
      <c r="I473" s="12">
        <v>45831</v>
      </c>
      <c r="J473" s="12" t="s">
        <v>82</v>
      </c>
      <c r="K473" s="63">
        <v>45884</v>
      </c>
      <c r="L473" s="37"/>
      <c r="M473" s="10" t="str">
        <f t="shared" ca="1" si="15"/>
        <v>CLOSED</v>
      </c>
    </row>
    <row r="474" spans="1:13" ht="18.75" hidden="1" x14ac:dyDescent="0.25">
      <c r="A474" s="9" t="s">
        <v>46</v>
      </c>
      <c r="B474" s="19">
        <f>VLOOKUP(Table27[[#This Row],[Location 
(drop-down)]],'List source'!D$2:E$71,2,FALSE)</f>
        <v>155</v>
      </c>
      <c r="C474" s="178" t="s">
        <v>3203</v>
      </c>
      <c r="D474" s="21" t="str">
        <f t="shared" si="14"/>
        <v>PTO0473-155-25</v>
      </c>
      <c r="E474" s="9" t="s">
        <v>3204</v>
      </c>
      <c r="F474" s="10" t="str" cm="1">
        <f t="array" aca="1" ref="F4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74" s="136">
        <v>2.12</v>
      </c>
      <c r="I474" s="12">
        <v>45831</v>
      </c>
      <c r="J474" s="12" t="s">
        <v>82</v>
      </c>
      <c r="K474" s="63">
        <v>45929</v>
      </c>
      <c r="L474" s="37"/>
      <c r="M474" s="10" t="str">
        <f t="shared" ca="1" si="15"/>
        <v>CLOSED</v>
      </c>
    </row>
    <row r="475" spans="1:13" ht="18.75" hidden="1" x14ac:dyDescent="0.25">
      <c r="A475" s="9" t="s">
        <v>79</v>
      </c>
      <c r="B475" s="19">
        <f>VLOOKUP(Table27[[#This Row],[Location 
(drop-down)]],'List source'!D$2:E$71,2,FALSE)</f>
        <v>160</v>
      </c>
      <c r="C475" s="178" t="s">
        <v>3205</v>
      </c>
      <c r="D475" s="21" t="str">
        <f t="shared" si="14"/>
        <v>PTO0474-160-25</v>
      </c>
      <c r="E475" s="9" t="s">
        <v>3206</v>
      </c>
      <c r="F475" s="10" t="str" cm="1">
        <f t="array" aca="1" ref="F4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 Olefins</v>
      </c>
      <c r="H475" s="10">
        <v>3.51</v>
      </c>
      <c r="I475" s="12">
        <v>45831</v>
      </c>
      <c r="J475" s="12" t="s">
        <v>18</v>
      </c>
      <c r="K475" s="63">
        <v>45905</v>
      </c>
      <c r="L475" s="37"/>
      <c r="M475" s="10" t="str">
        <f t="shared" ca="1" si="15"/>
        <v>CLOSED</v>
      </c>
    </row>
    <row r="476" spans="1:13" ht="30" hidden="1" x14ac:dyDescent="0.25">
      <c r="A476" s="9" t="s">
        <v>79</v>
      </c>
      <c r="B476" s="19">
        <f>VLOOKUP(Table27[[#This Row],[Location 
(drop-down)]],'List source'!D$2:E$71,2,FALSE)</f>
        <v>160</v>
      </c>
      <c r="C476" s="178" t="s">
        <v>3207</v>
      </c>
      <c r="D476" s="21" t="str">
        <f t="shared" si="14"/>
        <v>PTO0475-160-25</v>
      </c>
      <c r="E476" s="9" t="s">
        <v>3208</v>
      </c>
      <c r="F476" s="10" t="str" cm="1">
        <f t="array" aca="1" ref="F4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476" s="10">
        <v>2.4500000000000002</v>
      </c>
      <c r="I476" s="12">
        <v>45831</v>
      </c>
      <c r="J476" s="12" t="s">
        <v>2074</v>
      </c>
      <c r="K476" s="63">
        <v>45831</v>
      </c>
      <c r="L476" s="37" t="s">
        <v>2075</v>
      </c>
      <c r="M476" s="10" t="str">
        <f t="shared" ca="1" si="15"/>
        <v>CLOSED</v>
      </c>
    </row>
    <row r="477" spans="1:13" ht="18.75" hidden="1" x14ac:dyDescent="0.25">
      <c r="A477" s="9" t="s">
        <v>79</v>
      </c>
      <c r="B477" s="19">
        <f>VLOOKUP(Table27[[#This Row],[Location 
(drop-down)]],'List source'!D$2:E$71,2,FALSE)</f>
        <v>160</v>
      </c>
      <c r="C477" s="178" t="s">
        <v>3209</v>
      </c>
      <c r="D477" s="21" t="str">
        <f t="shared" si="14"/>
        <v>PTO0476-160-25</v>
      </c>
      <c r="E477" s="9" t="s">
        <v>3210</v>
      </c>
      <c r="F477" s="10" t="str" cm="1">
        <f t="array" aca="1" ref="F4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477" s="136" t="s">
        <v>2484</v>
      </c>
      <c r="I477" s="12">
        <v>45831</v>
      </c>
      <c r="J477" s="12" t="s">
        <v>82</v>
      </c>
      <c r="K477" s="63">
        <v>46057</v>
      </c>
      <c r="L477" s="37"/>
      <c r="M477" s="10" t="str">
        <f t="shared" ca="1" si="15"/>
        <v>CLOSED</v>
      </c>
    </row>
    <row r="478" spans="1:13" ht="18.75" hidden="1" x14ac:dyDescent="0.25">
      <c r="A478" s="9" t="s">
        <v>79</v>
      </c>
      <c r="B478" s="19">
        <f>VLOOKUP(Table27[[#This Row],[Location 
(drop-down)]],'List source'!D$2:E$71,2,FALSE)</f>
        <v>160</v>
      </c>
      <c r="C478" s="178" t="s">
        <v>3211</v>
      </c>
      <c r="D478" s="21" t="str">
        <f t="shared" si="14"/>
        <v>PTO0477-160-25</v>
      </c>
      <c r="E478" s="9" t="s">
        <v>3212</v>
      </c>
      <c r="F478" s="10" t="str" cm="1">
        <f t="array" aca="1" ref="F4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78" s="136" t="s">
        <v>3213</v>
      </c>
      <c r="I478" s="12">
        <v>45831</v>
      </c>
      <c r="J478" s="12" t="s">
        <v>82</v>
      </c>
      <c r="K478" s="63">
        <v>46057</v>
      </c>
      <c r="L478" s="37"/>
      <c r="M478" s="10" t="str">
        <f t="shared" ca="1" si="15"/>
        <v>CLOSED</v>
      </c>
    </row>
    <row r="479" spans="1:13" ht="18.75" hidden="1" x14ac:dyDescent="0.25">
      <c r="A479" s="9" t="s">
        <v>141</v>
      </c>
      <c r="B479" s="19">
        <f>VLOOKUP(Table27[[#This Row],[Location 
(drop-down)]],'List source'!D$2:E$71,2,FALSE)</f>
        <v>165</v>
      </c>
      <c r="C479" s="178" t="s">
        <v>3214</v>
      </c>
      <c r="D479" s="21" t="str">
        <f t="shared" si="14"/>
        <v>PTO0478-165-25</v>
      </c>
      <c r="E479" s="9" t="s">
        <v>3215</v>
      </c>
      <c r="F479" s="10" t="str" cm="1">
        <f t="array" aca="1" ref="F4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79" s="136" t="s">
        <v>3216</v>
      </c>
      <c r="I479" s="12">
        <v>45831</v>
      </c>
      <c r="J479" s="12"/>
      <c r="K479" s="63"/>
      <c r="L479" s="37"/>
      <c r="M479" s="10">
        <f t="shared" ca="1" si="15"/>
        <v>246</v>
      </c>
    </row>
    <row r="480" spans="1:13" ht="30" hidden="1" x14ac:dyDescent="0.25">
      <c r="A480" s="9" t="s">
        <v>141</v>
      </c>
      <c r="B480" s="19">
        <f>VLOOKUP(Table27[[#This Row],[Location 
(drop-down)]],'List source'!D$2:E$71,2,FALSE)</f>
        <v>165</v>
      </c>
      <c r="C480" s="178" t="s">
        <v>3217</v>
      </c>
      <c r="D480" s="21" t="str">
        <f t="shared" si="14"/>
        <v>PTO0479-165-25</v>
      </c>
      <c r="E480" s="9" t="s">
        <v>3218</v>
      </c>
      <c r="F480" s="10" t="str" cm="1">
        <f t="array" aca="1" ref="F4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 Aromatics &amp; Saturates</v>
      </c>
      <c r="H480" s="136" t="s">
        <v>3219</v>
      </c>
      <c r="I480" s="12">
        <v>45831</v>
      </c>
      <c r="J480" s="12" t="s">
        <v>82</v>
      </c>
      <c r="K480" s="63">
        <v>46058</v>
      </c>
      <c r="L480" s="37"/>
      <c r="M480" s="10" t="str">
        <f t="shared" ca="1" si="15"/>
        <v>CLOSED</v>
      </c>
    </row>
    <row r="481" spans="1:13" ht="18.75" hidden="1" x14ac:dyDescent="0.25">
      <c r="A481" s="9" t="s">
        <v>141</v>
      </c>
      <c r="B481" s="19">
        <f>VLOOKUP(Table27[[#This Row],[Location 
(drop-down)]],'List source'!D$2:E$71,2,FALSE)</f>
        <v>165</v>
      </c>
      <c r="C481" s="178" t="s">
        <v>3220</v>
      </c>
      <c r="D481" s="21" t="str">
        <f t="shared" si="14"/>
        <v>PTO0480-165-25</v>
      </c>
      <c r="E481" s="9" t="s">
        <v>3221</v>
      </c>
      <c r="F481" s="10" t="str" cm="1">
        <f t="array" aca="1" ref="F4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81" s="136" t="s">
        <v>3222</v>
      </c>
      <c r="I481" s="12">
        <v>45831</v>
      </c>
      <c r="J481" s="12" t="s">
        <v>82</v>
      </c>
      <c r="K481" s="63">
        <v>46058</v>
      </c>
      <c r="L481" s="37"/>
      <c r="M481" s="10" t="str">
        <f t="shared" ca="1" si="15"/>
        <v>CLOSED</v>
      </c>
    </row>
    <row r="482" spans="1:13" ht="18.75" hidden="1" x14ac:dyDescent="0.25">
      <c r="A482" s="9" t="s">
        <v>141</v>
      </c>
      <c r="B482" s="19">
        <f>VLOOKUP(Table27[[#This Row],[Location 
(drop-down)]],'List source'!D$2:E$71,2,FALSE)</f>
        <v>165</v>
      </c>
      <c r="C482" s="178" t="s">
        <v>3223</v>
      </c>
      <c r="D482" s="21" t="str">
        <f t="shared" si="14"/>
        <v>PTO0481-165-25</v>
      </c>
      <c r="E482" s="9" t="s">
        <v>3224</v>
      </c>
      <c r="F482" s="10" t="str" cm="1">
        <f t="array" aca="1" ref="F4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482" s="136">
        <v>2.2000000000000002</v>
      </c>
      <c r="I482" s="12">
        <v>45831</v>
      </c>
      <c r="J482" s="12"/>
      <c r="K482" s="63"/>
      <c r="L482" s="37"/>
      <c r="M482" s="10">
        <f t="shared" ca="1" si="15"/>
        <v>246</v>
      </c>
    </row>
    <row r="483" spans="1:13" ht="30" hidden="1" x14ac:dyDescent="0.25">
      <c r="A483" s="9" t="s">
        <v>107</v>
      </c>
      <c r="B483" s="19">
        <f>VLOOKUP(Table27[[#This Row],[Location 
(drop-down)]],'List source'!D$2:E$71,2,FALSE)</f>
        <v>170</v>
      </c>
      <c r="C483" s="178" t="s">
        <v>3225</v>
      </c>
      <c r="D483" s="21" t="str">
        <f t="shared" si="14"/>
        <v>PTO0482-170-25</v>
      </c>
      <c r="E483" s="9" t="s">
        <v>3226</v>
      </c>
      <c r="F483" s="10" t="str" cm="1">
        <f t="array" aca="1" ref="F4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83" s="10">
        <v>2.2799999999999998</v>
      </c>
      <c r="I483" s="12">
        <v>45831</v>
      </c>
      <c r="J483" s="12" t="s">
        <v>109</v>
      </c>
      <c r="K483" s="63">
        <v>45855</v>
      </c>
      <c r="L483" s="37"/>
      <c r="M483" s="10" t="str">
        <f t="shared" ca="1" si="15"/>
        <v>CLOSED</v>
      </c>
    </row>
    <row r="484" spans="1:13" ht="30" hidden="1" x14ac:dyDescent="0.25">
      <c r="A484" s="9" t="s">
        <v>107</v>
      </c>
      <c r="B484" s="19">
        <f>VLOOKUP(Table27[[#This Row],[Location 
(drop-down)]],'List source'!D$2:E$71,2,FALSE)</f>
        <v>170</v>
      </c>
      <c r="C484" s="178" t="s">
        <v>3227</v>
      </c>
      <c r="D484" s="21" t="str">
        <f t="shared" si="14"/>
        <v>PTO0483-170-25</v>
      </c>
      <c r="E484" s="9" t="s">
        <v>3191</v>
      </c>
      <c r="F484" s="10" t="str" cm="1">
        <f t="array" aca="1" ref="F4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484" s="10">
        <v>2.7</v>
      </c>
      <c r="I484" s="12">
        <v>45831</v>
      </c>
      <c r="J484" s="12" t="s">
        <v>109</v>
      </c>
      <c r="K484" s="63">
        <v>45855</v>
      </c>
      <c r="L484" s="37"/>
      <c r="M484" s="10" t="str">
        <f t="shared" ca="1" si="15"/>
        <v>CLOSED</v>
      </c>
    </row>
    <row r="485" spans="1:13" ht="18.75" hidden="1" x14ac:dyDescent="0.25">
      <c r="A485" s="9" t="s">
        <v>287</v>
      </c>
      <c r="B485" s="19">
        <f>VLOOKUP(Table27[[#This Row],[Location 
(drop-down)]],'List source'!D$2:E$71,2,FALSE)</f>
        <v>180</v>
      </c>
      <c r="C485" s="178" t="s">
        <v>3228</v>
      </c>
      <c r="D485" s="21" t="str">
        <f t="shared" si="14"/>
        <v>PTO0484-180-25</v>
      </c>
      <c r="E485" s="9" t="s">
        <v>3229</v>
      </c>
      <c r="F485" s="10" t="str" cm="1">
        <f t="array" aca="1" ref="F4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485" s="10">
        <v>4.1399999999999997</v>
      </c>
      <c r="I485" s="12">
        <v>45831</v>
      </c>
      <c r="J485" s="12" t="s">
        <v>48</v>
      </c>
      <c r="K485" s="63">
        <v>45868</v>
      </c>
      <c r="L485" s="37"/>
      <c r="M485" s="10" t="str">
        <f t="shared" ca="1" si="15"/>
        <v>CLOSED</v>
      </c>
    </row>
    <row r="486" spans="1:13" ht="18.75" hidden="1" x14ac:dyDescent="0.25">
      <c r="A486" s="9" t="s">
        <v>287</v>
      </c>
      <c r="B486" s="19">
        <f>VLOOKUP(Table27[[#This Row],[Location 
(drop-down)]],'List source'!D$2:E$71,2,FALSE)</f>
        <v>180</v>
      </c>
      <c r="C486" s="178" t="s">
        <v>3230</v>
      </c>
      <c r="D486" s="21" t="str">
        <f t="shared" si="14"/>
        <v>PTO0485-180-25</v>
      </c>
      <c r="E486" s="9" t="s">
        <v>3231</v>
      </c>
      <c r="F486" s="10" t="str" cm="1">
        <f t="array" aca="1" ref="F4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86" s="136" t="s">
        <v>3232</v>
      </c>
      <c r="I486" s="12">
        <v>45831</v>
      </c>
      <c r="J486" s="12"/>
      <c r="K486" s="63"/>
      <c r="L486" s="37"/>
      <c r="M486" s="10">
        <f t="shared" ca="1" si="15"/>
        <v>246</v>
      </c>
    </row>
    <row r="487" spans="1:13" ht="18.75" hidden="1" x14ac:dyDescent="0.25">
      <c r="A487" s="9" t="s">
        <v>220</v>
      </c>
      <c r="B487" s="19">
        <f>VLOOKUP(Table27[[#This Row],[Location 
(drop-down)]],'List source'!D$2:E$71,2,FALSE)</f>
        <v>197</v>
      </c>
      <c r="C487" s="178" t="s">
        <v>3233</v>
      </c>
      <c r="D487" s="21" t="str">
        <f t="shared" si="14"/>
        <v>PTO0486-197-25</v>
      </c>
      <c r="E487" s="9" t="s">
        <v>3234</v>
      </c>
      <c r="F487" s="10" t="str" cm="1">
        <f t="array" aca="1" ref="F4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487" s="136">
        <v>3.91</v>
      </c>
      <c r="I487" s="12">
        <v>45831</v>
      </c>
      <c r="J487" s="12" t="s">
        <v>2074</v>
      </c>
      <c r="K487" s="63">
        <v>45981</v>
      </c>
      <c r="L487" s="37" t="s">
        <v>2079</v>
      </c>
      <c r="M487" s="10" t="str">
        <f t="shared" ca="1" si="15"/>
        <v>CLOSED</v>
      </c>
    </row>
    <row r="488" spans="1:13" ht="30" hidden="1" x14ac:dyDescent="0.25">
      <c r="A488" s="9" t="s">
        <v>220</v>
      </c>
      <c r="B488" s="19">
        <f>VLOOKUP(Table27[[#This Row],[Location 
(drop-down)]],'List source'!D$2:E$71,2,FALSE)</f>
        <v>197</v>
      </c>
      <c r="C488" s="178" t="s">
        <v>3235</v>
      </c>
      <c r="D488" s="21" t="str">
        <f t="shared" si="14"/>
        <v>PTO0487-197-25</v>
      </c>
      <c r="E488" s="9" t="s">
        <v>3236</v>
      </c>
      <c r="F488" s="10" t="str" cm="1">
        <f t="array" aca="1" ref="F4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88" s="10" t="s">
        <v>2400</v>
      </c>
      <c r="I488" s="12">
        <v>45831</v>
      </c>
      <c r="J488" s="12"/>
      <c r="K488" s="63"/>
      <c r="L488" s="37"/>
      <c r="M488" s="10">
        <f t="shared" ca="1" si="15"/>
        <v>246</v>
      </c>
    </row>
    <row r="489" spans="1:13" ht="18.75" hidden="1" x14ac:dyDescent="0.25">
      <c r="A489" s="9" t="s">
        <v>220</v>
      </c>
      <c r="B489" s="19">
        <f>VLOOKUP(Table27[[#This Row],[Location 
(drop-down)]],'List source'!D$2:E$71,2,FALSE)</f>
        <v>197</v>
      </c>
      <c r="C489" s="178" t="s">
        <v>3237</v>
      </c>
      <c r="D489" s="21" t="str">
        <f t="shared" si="14"/>
        <v>PTO0488-197-25</v>
      </c>
      <c r="E489" s="9" t="s">
        <v>3238</v>
      </c>
      <c r="F489" s="10" t="str" cm="1">
        <f t="array" aca="1" ref="F4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4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489" s="136" t="s">
        <v>3156</v>
      </c>
      <c r="I489" s="12">
        <v>45831</v>
      </c>
      <c r="J489" s="12" t="s">
        <v>27</v>
      </c>
      <c r="K489" s="63">
        <v>45981</v>
      </c>
      <c r="L489" s="37"/>
      <c r="M489" s="10" t="str">
        <f t="shared" ca="1" si="15"/>
        <v>CLOSED</v>
      </c>
    </row>
    <row r="490" spans="1:13" ht="18.75" hidden="1" x14ac:dyDescent="0.25">
      <c r="A490" s="9" t="s">
        <v>156</v>
      </c>
      <c r="B490" s="19">
        <f>VLOOKUP(Table27[[#This Row],[Location 
(drop-down)]],'List source'!D$2:E$71,2,FALSE)</f>
        <v>130</v>
      </c>
      <c r="C490" s="178" t="s">
        <v>3239</v>
      </c>
      <c r="D490" s="21" t="str">
        <f t="shared" si="14"/>
        <v>PTO0489-130-25</v>
      </c>
      <c r="E490" s="71" t="s">
        <v>3240</v>
      </c>
      <c r="F490" s="10" t="s">
        <v>3044</v>
      </c>
      <c r="G4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90" s="10">
        <v>11.32</v>
      </c>
      <c r="I490" s="12">
        <v>45831</v>
      </c>
      <c r="J490" s="12" t="s">
        <v>167</v>
      </c>
      <c r="K490" s="63">
        <v>45904</v>
      </c>
      <c r="L490" s="37"/>
      <c r="M490" s="10" t="str">
        <f t="shared" ca="1" si="15"/>
        <v>CLOSED</v>
      </c>
    </row>
    <row r="491" spans="1:13" ht="18.75" hidden="1" x14ac:dyDescent="0.25">
      <c r="A491" s="9" t="s">
        <v>211</v>
      </c>
      <c r="B491" s="19">
        <f>VLOOKUP(Table27[[#This Row],[Location 
(drop-down)]],'List source'!D$2:E$71,2,FALSE)</f>
        <v>132</v>
      </c>
      <c r="C491" s="178" t="s">
        <v>3241</v>
      </c>
      <c r="D491" s="21" t="str">
        <f t="shared" si="14"/>
        <v>PTO0490-132-25</v>
      </c>
      <c r="E491" s="71" t="s">
        <v>3242</v>
      </c>
      <c r="F491" s="10" t="s">
        <v>3044</v>
      </c>
      <c r="G4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91" s="75">
        <v>6.89</v>
      </c>
      <c r="I491" s="12">
        <v>45831</v>
      </c>
      <c r="J491" s="12"/>
      <c r="K491" s="63"/>
      <c r="L491" s="37"/>
      <c r="M491" s="10">
        <f t="shared" ca="1" si="15"/>
        <v>246</v>
      </c>
    </row>
    <row r="492" spans="1:13" ht="30" hidden="1" x14ac:dyDescent="0.25">
      <c r="A492" s="9" t="s">
        <v>211</v>
      </c>
      <c r="B492" s="19">
        <f>VLOOKUP(Table27[[#This Row],[Location 
(drop-down)]],'List source'!D$2:E$71,2,FALSE)</f>
        <v>132</v>
      </c>
      <c r="C492" s="178" t="s">
        <v>3243</v>
      </c>
      <c r="D492" s="21" t="str">
        <f t="shared" si="14"/>
        <v>PTO0491-132-25</v>
      </c>
      <c r="E492" s="297" t="s">
        <v>3244</v>
      </c>
      <c r="F492" s="10" t="s">
        <v>3044</v>
      </c>
      <c r="G4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92" s="322" t="s">
        <v>2476</v>
      </c>
      <c r="I492" s="12">
        <v>45831</v>
      </c>
      <c r="J492" s="12" t="s">
        <v>2074</v>
      </c>
      <c r="K492" s="63">
        <v>45831</v>
      </c>
      <c r="L492" s="37" t="s">
        <v>2075</v>
      </c>
      <c r="M492" s="10" t="str">
        <f t="shared" ca="1" si="15"/>
        <v>CLOSED</v>
      </c>
    </row>
    <row r="493" spans="1:13" ht="18.75" hidden="1" x14ac:dyDescent="0.25">
      <c r="A493" s="9" t="s">
        <v>220</v>
      </c>
      <c r="B493" s="19">
        <f>VLOOKUP(Table27[[#This Row],[Location 
(drop-down)]],'List source'!D$2:E$71,2,FALSE)</f>
        <v>197</v>
      </c>
      <c r="C493" s="178" t="s">
        <v>3245</v>
      </c>
      <c r="D493" s="21" t="str">
        <f t="shared" si="14"/>
        <v>PTO0492-197-25</v>
      </c>
      <c r="E493" s="133" t="s">
        <v>3246</v>
      </c>
      <c r="F493" s="10" t="s">
        <v>3047</v>
      </c>
      <c r="G4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493" s="128">
        <v>6.07</v>
      </c>
      <c r="I493" s="12">
        <v>45831</v>
      </c>
      <c r="J493" s="12" t="s">
        <v>27</v>
      </c>
      <c r="K493" s="63">
        <v>46045</v>
      </c>
      <c r="L493" s="37"/>
      <c r="M493" s="10" t="str">
        <f t="shared" ca="1" si="15"/>
        <v>CLOSED</v>
      </c>
    </row>
    <row r="494" spans="1:13" ht="30" hidden="1" x14ac:dyDescent="0.25">
      <c r="A494" s="9" t="s">
        <v>220</v>
      </c>
      <c r="B494" s="19">
        <f>VLOOKUP(Table27[[#This Row],[Location 
(drop-down)]],'List source'!D$2:E$71,2,FALSE)</f>
        <v>197</v>
      </c>
      <c r="C494" s="178" t="s">
        <v>3247</v>
      </c>
      <c r="D494" s="21" t="str">
        <f t="shared" si="14"/>
        <v>PTO0493-197-25</v>
      </c>
      <c r="E494" s="9" t="s">
        <v>3248</v>
      </c>
      <c r="F494" s="10" t="s">
        <v>3047</v>
      </c>
      <c r="G4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94" s="136" t="s">
        <v>2765</v>
      </c>
      <c r="I494" s="12">
        <v>45831</v>
      </c>
      <c r="J494" s="12" t="s">
        <v>2074</v>
      </c>
      <c r="K494" s="63">
        <v>45831</v>
      </c>
      <c r="L494" s="37" t="s">
        <v>2075</v>
      </c>
      <c r="M494" s="10" t="str">
        <f t="shared" ca="1" si="15"/>
        <v>CLOSED</v>
      </c>
    </row>
    <row r="495" spans="1:13" ht="30" hidden="1" x14ac:dyDescent="0.25">
      <c r="A495" s="9" t="s">
        <v>211</v>
      </c>
      <c r="B495" s="19">
        <f>VLOOKUP(Table27[[#This Row],[Location 
(drop-down)]],'List source'!D$2:E$71,2,FALSE)</f>
        <v>132</v>
      </c>
      <c r="C495" s="178" t="s">
        <v>3249</v>
      </c>
      <c r="D495" s="21" t="str">
        <f t="shared" si="14"/>
        <v>PTO0494-132-25</v>
      </c>
      <c r="E495" s="9" t="s">
        <v>3250</v>
      </c>
      <c r="F495" s="10" t="s">
        <v>2952</v>
      </c>
      <c r="G4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495" s="136" t="s">
        <v>2284</v>
      </c>
      <c r="I495" s="12">
        <v>45831</v>
      </c>
      <c r="J495" s="12" t="s">
        <v>2074</v>
      </c>
      <c r="K495" s="63">
        <v>45831</v>
      </c>
      <c r="L495" s="37" t="s">
        <v>2075</v>
      </c>
      <c r="M495" s="10" t="str">
        <f t="shared" ca="1" si="15"/>
        <v>CLOSED</v>
      </c>
    </row>
    <row r="496" spans="1:13" ht="18.75" hidden="1" x14ac:dyDescent="0.25">
      <c r="A496" s="9" t="s">
        <v>151</v>
      </c>
      <c r="B496" s="19">
        <f>VLOOKUP(Table27[[#This Row],[Location 
(drop-down)]],'List source'!D$2:E$71,2,FALSE)</f>
        <v>115</v>
      </c>
      <c r="C496" s="178" t="s">
        <v>3251</v>
      </c>
      <c r="D496" s="21" t="str">
        <f t="shared" si="14"/>
        <v>PTO0495-115-25</v>
      </c>
      <c r="E496" s="9" t="s">
        <v>3252</v>
      </c>
      <c r="F496" s="10" t="str" cm="1">
        <f t="array" aca="1" ref="F4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496" s="136">
        <v>4.41</v>
      </c>
      <c r="I496" s="166">
        <v>45831</v>
      </c>
      <c r="J496" s="12" t="s">
        <v>109</v>
      </c>
      <c r="K496" s="63">
        <v>45889</v>
      </c>
      <c r="L496" s="37"/>
      <c r="M496" s="10" t="str">
        <f t="shared" ca="1" si="15"/>
        <v>CLOSED</v>
      </c>
    </row>
    <row r="497" spans="1:13" ht="18.75" hidden="1" x14ac:dyDescent="0.25">
      <c r="A497" s="9" t="s">
        <v>71</v>
      </c>
      <c r="B497" s="19">
        <f>VLOOKUP(Table27[[#This Row],[Location 
(drop-down)]],'List source'!D$2:E$71,2,FALSE)</f>
        <v>127</v>
      </c>
      <c r="C497" s="178" t="s">
        <v>3253</v>
      </c>
      <c r="D497" s="226" t="str">
        <f t="shared" si="14"/>
        <v>PTO0496-127-25</v>
      </c>
      <c r="E497" s="9" t="s">
        <v>3254</v>
      </c>
      <c r="F497" s="10" t="str" cm="1">
        <f t="array" aca="1" ref="F4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497" s="136" t="s">
        <v>2115</v>
      </c>
      <c r="I497" s="166">
        <v>45831</v>
      </c>
      <c r="J497" s="12" t="s">
        <v>252</v>
      </c>
      <c r="K497" s="63">
        <v>45832</v>
      </c>
      <c r="L497" s="338" t="s">
        <v>2659</v>
      </c>
      <c r="M497" s="10" t="str">
        <f t="shared" ca="1" si="15"/>
        <v>CLOSED</v>
      </c>
    </row>
    <row r="498" spans="1:13" ht="30" hidden="1" x14ac:dyDescent="0.25">
      <c r="A498" s="9" t="s">
        <v>156</v>
      </c>
      <c r="B498" s="19">
        <f>VLOOKUP(Table27[[#This Row],[Location 
(drop-down)]],'List source'!D$2:E$71,2,FALSE)</f>
        <v>130</v>
      </c>
      <c r="C498" s="178" t="s">
        <v>3255</v>
      </c>
      <c r="D498" s="21" t="str">
        <f t="shared" si="14"/>
        <v>PTO0497-130-25</v>
      </c>
      <c r="E498" s="9" t="s">
        <v>3256</v>
      </c>
      <c r="F498" s="10" t="str" cm="1">
        <f t="array" aca="1" ref="F4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498" s="136" t="s">
        <v>2107</v>
      </c>
      <c r="I498" s="166">
        <v>45831</v>
      </c>
      <c r="J498" s="12" t="s">
        <v>2074</v>
      </c>
      <c r="K498" s="63">
        <v>45831</v>
      </c>
      <c r="L498" s="37" t="s">
        <v>2075</v>
      </c>
      <c r="M498" s="10" t="str">
        <f t="shared" ca="1" si="15"/>
        <v>CLOSED</v>
      </c>
    </row>
    <row r="499" spans="1:13" ht="30" hidden="1" x14ac:dyDescent="0.25">
      <c r="A499" s="9" t="s">
        <v>14</v>
      </c>
      <c r="B499" s="19">
        <f>VLOOKUP(Table27[[#This Row],[Location 
(drop-down)]],'List source'!D$2:E$71,2,FALSE)</f>
        <v>131</v>
      </c>
      <c r="C499" s="178" t="s">
        <v>3257</v>
      </c>
      <c r="D499" s="21" t="str">
        <f t="shared" si="14"/>
        <v>PTO0498-131-25</v>
      </c>
      <c r="E499" s="9" t="s">
        <v>3258</v>
      </c>
      <c r="F499" s="10" t="str" cm="1">
        <f t="array" aca="1" ref="F4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99" s="136" t="s">
        <v>3259</v>
      </c>
      <c r="I499" s="166">
        <v>45831</v>
      </c>
      <c r="J499" s="12" t="s">
        <v>2074</v>
      </c>
      <c r="K499" s="63">
        <v>45831</v>
      </c>
      <c r="L499" s="37" t="s">
        <v>2075</v>
      </c>
      <c r="M499" s="10" t="str">
        <f t="shared" ca="1" si="15"/>
        <v>CLOSED</v>
      </c>
    </row>
    <row r="500" spans="1:13" ht="30" hidden="1" x14ac:dyDescent="0.25">
      <c r="A500" s="9" t="s">
        <v>211</v>
      </c>
      <c r="B500" s="19">
        <f>VLOOKUP(Table27[[#This Row],[Location 
(drop-down)]],'List source'!D$2:E$71,2,FALSE)</f>
        <v>132</v>
      </c>
      <c r="C500" s="178" t="s">
        <v>3260</v>
      </c>
      <c r="D500" s="21" t="str">
        <f t="shared" si="14"/>
        <v>PTO0499-132-25</v>
      </c>
      <c r="E500" s="9" t="s">
        <v>3261</v>
      </c>
      <c r="F500" s="10" t="str" cm="1">
        <f t="array" aca="1" ref="F5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0" s="136" t="s">
        <v>3262</v>
      </c>
      <c r="I500" s="166">
        <v>45831</v>
      </c>
      <c r="J500" s="12" t="s">
        <v>35</v>
      </c>
      <c r="K500" s="63">
        <v>45884</v>
      </c>
      <c r="L500" s="37"/>
      <c r="M500" s="10" t="str">
        <f t="shared" ca="1" si="15"/>
        <v>CLOSED</v>
      </c>
    </row>
    <row r="501" spans="1:13" ht="30" hidden="1" x14ac:dyDescent="0.25">
      <c r="A501" s="9" t="s">
        <v>203</v>
      </c>
      <c r="B501" s="19">
        <f>VLOOKUP(Table27[[#This Row],[Location 
(drop-down)]],'List source'!D$2:E$71,2,FALSE)</f>
        <v>140</v>
      </c>
      <c r="C501" s="178" t="s">
        <v>3263</v>
      </c>
      <c r="D501" s="21" t="str">
        <f t="shared" si="14"/>
        <v>PTO0500-140-25</v>
      </c>
      <c r="E501" s="133" t="s">
        <v>3264</v>
      </c>
      <c r="F501" s="10" t="str" cm="1">
        <f t="array" aca="1" ref="F5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1" s="180" t="s">
        <v>3265</v>
      </c>
      <c r="I501" s="166">
        <v>45831</v>
      </c>
      <c r="J501" s="12" t="s">
        <v>2074</v>
      </c>
      <c r="K501" s="63">
        <v>45831</v>
      </c>
      <c r="L501" s="37" t="s">
        <v>2075</v>
      </c>
      <c r="M501" s="10" t="str">
        <f t="shared" ca="1" si="15"/>
        <v>CLOSED</v>
      </c>
    </row>
    <row r="502" spans="1:13" ht="30" hidden="1" x14ac:dyDescent="0.25">
      <c r="A502" s="9" t="s">
        <v>69</v>
      </c>
      <c r="B502" s="19">
        <f>VLOOKUP(Table27[[#This Row],[Location 
(drop-down)]],'List source'!D$2:E$71,2,FALSE)</f>
        <v>141</v>
      </c>
      <c r="C502" s="178" t="s">
        <v>3266</v>
      </c>
      <c r="D502" s="21" t="str">
        <f t="shared" si="14"/>
        <v>PTO0501-141-25</v>
      </c>
      <c r="E502" s="9" t="s">
        <v>3267</v>
      </c>
      <c r="F502" s="10" t="str" cm="1">
        <f t="array" aca="1" ref="F5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502" s="136">
        <v>2.19</v>
      </c>
      <c r="I502" s="166">
        <v>45831</v>
      </c>
      <c r="J502" s="12" t="s">
        <v>2074</v>
      </c>
      <c r="K502" s="63">
        <v>45831</v>
      </c>
      <c r="L502" s="37" t="s">
        <v>2075</v>
      </c>
      <c r="M502" s="10" t="str">
        <f t="shared" ca="1" si="15"/>
        <v>CLOSED</v>
      </c>
    </row>
    <row r="503" spans="1:13" ht="18.75" hidden="1" x14ac:dyDescent="0.25">
      <c r="A503" s="9" t="s">
        <v>73</v>
      </c>
      <c r="B503" s="19">
        <f>VLOOKUP(Table27[[#This Row],[Location 
(drop-down)]],'List source'!D$2:E$71,2,FALSE)</f>
        <v>142</v>
      </c>
      <c r="C503" s="178" t="s">
        <v>3268</v>
      </c>
      <c r="D503" s="21" t="str">
        <f t="shared" si="14"/>
        <v>PTO0502-142-25</v>
      </c>
      <c r="E503" s="9" t="s">
        <v>3269</v>
      </c>
      <c r="F503" s="10" t="str" cm="1">
        <f t="array" aca="1" ref="F5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3" s="10">
        <v>2.13</v>
      </c>
      <c r="I503" s="166">
        <v>45831</v>
      </c>
      <c r="J503" s="12"/>
      <c r="K503" s="63"/>
      <c r="L503" s="37"/>
      <c r="M503" s="10">
        <f t="shared" ca="1" si="15"/>
        <v>246</v>
      </c>
    </row>
    <row r="504" spans="1:13" ht="30" hidden="1" x14ac:dyDescent="0.25">
      <c r="A504" s="9" t="s">
        <v>73</v>
      </c>
      <c r="B504" s="19">
        <f>VLOOKUP(Table27[[#This Row],[Location 
(drop-down)]],'List source'!D$2:E$71,2,FALSE)</f>
        <v>142</v>
      </c>
      <c r="C504" s="178" t="s">
        <v>3270</v>
      </c>
      <c r="D504" s="21" t="str">
        <f t="shared" si="14"/>
        <v>PTO0503-142-25</v>
      </c>
      <c r="E504" s="9" t="s">
        <v>3271</v>
      </c>
      <c r="F504" s="10" t="str" cm="1">
        <f t="array" aca="1" ref="F5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04" s="10">
        <v>2.5099999999999998</v>
      </c>
      <c r="I504" s="166">
        <v>45831</v>
      </c>
      <c r="J504" s="12" t="s">
        <v>2074</v>
      </c>
      <c r="K504" s="63">
        <v>45831</v>
      </c>
      <c r="L504" s="37" t="s">
        <v>2075</v>
      </c>
      <c r="M504" s="10" t="str">
        <f t="shared" ca="1" si="15"/>
        <v>CLOSED</v>
      </c>
    </row>
    <row r="505" spans="1:13" ht="30" hidden="1" x14ac:dyDescent="0.25">
      <c r="A505" s="9" t="s">
        <v>257</v>
      </c>
      <c r="B505" s="19">
        <f>VLOOKUP(Table27[[#This Row],[Location 
(drop-down)]],'List source'!D$2:E$71,2,FALSE)</f>
        <v>144</v>
      </c>
      <c r="C505" s="178" t="s">
        <v>3272</v>
      </c>
      <c r="D505" s="21" t="str">
        <f t="shared" si="14"/>
        <v>PTO0504-144-25</v>
      </c>
      <c r="E505" s="9" t="s">
        <v>3273</v>
      </c>
      <c r="F505" s="10" t="str" cm="1">
        <f t="array" aca="1" ref="F5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5" s="10">
        <v>2.23</v>
      </c>
      <c r="I505" s="166">
        <v>45831</v>
      </c>
      <c r="J505" s="12" t="s">
        <v>2074</v>
      </c>
      <c r="K505" s="63">
        <v>45831</v>
      </c>
      <c r="L505" s="37" t="s">
        <v>2075</v>
      </c>
      <c r="M505" s="10" t="str">
        <f t="shared" ca="1" si="15"/>
        <v>CLOSED</v>
      </c>
    </row>
    <row r="506" spans="1:13" ht="30" hidden="1" x14ac:dyDescent="0.25">
      <c r="A506" s="9" t="s">
        <v>58</v>
      </c>
      <c r="B506" s="19">
        <f>VLOOKUP(Table27[[#This Row],[Location 
(drop-down)]],'List source'!D$2:E$71,2,FALSE)</f>
        <v>146</v>
      </c>
      <c r="C506" s="178" t="s">
        <v>3274</v>
      </c>
      <c r="D506" s="21" t="str">
        <f t="shared" si="14"/>
        <v>PTO0505-146-25</v>
      </c>
      <c r="E506" s="9" t="s">
        <v>3275</v>
      </c>
      <c r="F506" s="10" t="str" cm="1">
        <f t="array" aca="1" ref="F5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06" s="136" t="s">
        <v>2476</v>
      </c>
      <c r="I506" s="166">
        <v>45831</v>
      </c>
      <c r="J506" s="12" t="s">
        <v>2074</v>
      </c>
      <c r="K506" s="63">
        <v>45831</v>
      </c>
      <c r="L506" s="37" t="s">
        <v>2075</v>
      </c>
      <c r="M506" s="10" t="str">
        <f t="shared" ca="1" si="15"/>
        <v>CLOSED</v>
      </c>
    </row>
    <row r="507" spans="1:13" ht="30" hidden="1" x14ac:dyDescent="0.25">
      <c r="A507" s="9" t="s">
        <v>86</v>
      </c>
      <c r="B507" s="19">
        <f>VLOOKUP(Table27[[#This Row],[Location 
(drop-down)]],'List source'!D$2:E$71,2,FALSE)</f>
        <v>150</v>
      </c>
      <c r="C507" s="178" t="s">
        <v>3276</v>
      </c>
      <c r="D507" s="21" t="str">
        <f t="shared" si="14"/>
        <v>PTO0506-150-25</v>
      </c>
      <c r="E507" s="9" t="s">
        <v>3277</v>
      </c>
      <c r="F507" s="10" t="str" cm="1">
        <f t="array" aca="1" ref="F5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7" s="10">
        <v>2.33</v>
      </c>
      <c r="I507" s="166">
        <v>45831</v>
      </c>
      <c r="J507" s="12" t="s">
        <v>2074</v>
      </c>
      <c r="K507" s="63">
        <v>45831</v>
      </c>
      <c r="L507" s="37" t="s">
        <v>2075</v>
      </c>
      <c r="M507" s="10" t="str">
        <f t="shared" ca="1" si="15"/>
        <v>CLOSED</v>
      </c>
    </row>
    <row r="508" spans="1:13" ht="18.75" hidden="1" x14ac:dyDescent="0.25">
      <c r="A508" s="9" t="s">
        <v>46</v>
      </c>
      <c r="B508" s="19">
        <f>VLOOKUP(Table27[[#This Row],[Location 
(drop-down)]],'List source'!D$2:E$71,2,FALSE)</f>
        <v>155</v>
      </c>
      <c r="C508" s="178" t="s">
        <v>3278</v>
      </c>
      <c r="D508" s="21" t="str">
        <f t="shared" si="14"/>
        <v>PTO0507-155-25</v>
      </c>
      <c r="E508" s="9" t="s">
        <v>3279</v>
      </c>
      <c r="F508" s="10" t="str" cm="1">
        <f t="array" aca="1" ref="F5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08" s="136" t="s">
        <v>3280</v>
      </c>
      <c r="I508" s="166">
        <v>45831</v>
      </c>
      <c r="J508" s="12"/>
      <c r="K508" s="63"/>
      <c r="L508" s="37"/>
      <c r="M508" s="10">
        <f t="shared" ca="1" si="15"/>
        <v>246</v>
      </c>
    </row>
    <row r="509" spans="1:13" ht="18.75" hidden="1" x14ac:dyDescent="0.25">
      <c r="A509" s="9" t="s">
        <v>46</v>
      </c>
      <c r="B509" s="19">
        <f>VLOOKUP(Table27[[#This Row],[Location 
(drop-down)]],'List source'!D$2:E$71,2,FALSE)</f>
        <v>155</v>
      </c>
      <c r="C509" s="178" t="s">
        <v>3281</v>
      </c>
      <c r="D509" s="226" t="str">
        <f t="shared" si="14"/>
        <v>PTO0508-155-25</v>
      </c>
      <c r="E509" s="9" t="s">
        <v>3282</v>
      </c>
      <c r="F509" s="10" t="str" cm="1">
        <f t="array" aca="1" ref="F5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09" s="136">
        <v>4.2699999999999996</v>
      </c>
      <c r="I509" s="166">
        <v>45831</v>
      </c>
      <c r="J509" s="12" t="s">
        <v>82</v>
      </c>
      <c r="K509" s="12">
        <v>45867</v>
      </c>
      <c r="L509" s="338" t="s">
        <v>2659</v>
      </c>
      <c r="M509" s="10" t="str">
        <f t="shared" ca="1" si="15"/>
        <v>CLOSED</v>
      </c>
    </row>
    <row r="510" spans="1:13" ht="30" hidden="1" x14ac:dyDescent="0.25">
      <c r="A510" s="9" t="s">
        <v>79</v>
      </c>
      <c r="B510" s="19">
        <f>VLOOKUP(Table27[[#This Row],[Location 
(drop-down)]],'List source'!D$2:E$71,2,FALSE)</f>
        <v>160</v>
      </c>
      <c r="C510" s="178" t="s">
        <v>3283</v>
      </c>
      <c r="D510" s="21" t="str">
        <f t="shared" si="14"/>
        <v>PTO0509-160-25</v>
      </c>
      <c r="E510" s="9" t="s">
        <v>3284</v>
      </c>
      <c r="F510" s="10" t="str" cm="1">
        <f t="array" aca="1" ref="F5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510" s="10">
        <v>-2.4500000000000002</v>
      </c>
      <c r="I510" s="166">
        <v>45831</v>
      </c>
      <c r="J510" s="12" t="s">
        <v>2074</v>
      </c>
      <c r="K510" s="63">
        <v>45831</v>
      </c>
      <c r="L510" s="37" t="s">
        <v>2075</v>
      </c>
      <c r="M510" s="10" t="str">
        <f t="shared" ca="1" si="15"/>
        <v>CLOSED</v>
      </c>
    </row>
    <row r="511" spans="1:13" ht="30" hidden="1" x14ac:dyDescent="0.25">
      <c r="A511" s="9" t="s">
        <v>79</v>
      </c>
      <c r="B511" s="19">
        <f>VLOOKUP(Table27[[#This Row],[Location 
(drop-down)]],'List source'!D$2:E$71,2,FALSE)</f>
        <v>160</v>
      </c>
      <c r="C511" s="178" t="s">
        <v>3285</v>
      </c>
      <c r="D511" s="21" t="str">
        <f t="shared" si="14"/>
        <v>PTO0510-160-25</v>
      </c>
      <c r="E511" s="9" t="s">
        <v>3286</v>
      </c>
      <c r="F511" s="10" t="str" cm="1">
        <f t="array" aca="1" ref="F5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Aromatic Type</v>
      </c>
      <c r="H511" s="136">
        <v>2.82</v>
      </c>
      <c r="I511" s="166">
        <v>45831</v>
      </c>
      <c r="J511" s="12" t="s">
        <v>2074</v>
      </c>
      <c r="K511" s="63">
        <v>45831</v>
      </c>
      <c r="L511" s="37" t="s">
        <v>2075</v>
      </c>
      <c r="M511" s="10" t="str">
        <f t="shared" ca="1" si="15"/>
        <v>CLOSED</v>
      </c>
    </row>
    <row r="512" spans="1:13" ht="30" hidden="1" x14ac:dyDescent="0.25">
      <c r="A512" s="9" t="s">
        <v>79</v>
      </c>
      <c r="B512" s="19">
        <f>VLOOKUP(Table27[[#This Row],[Location 
(drop-down)]],'List source'!D$2:E$71,2,FALSE)</f>
        <v>160</v>
      </c>
      <c r="C512" s="178" t="s">
        <v>3287</v>
      </c>
      <c r="D512" s="21" t="str">
        <f t="shared" si="14"/>
        <v>PTO0511-160-25</v>
      </c>
      <c r="E512" s="9" t="s">
        <v>3277</v>
      </c>
      <c r="F512" s="10" t="str" cm="1">
        <f t="array" aca="1" ref="F5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12" s="10">
        <v>2.19</v>
      </c>
      <c r="I512" s="166">
        <v>45831</v>
      </c>
      <c r="J512" s="12" t="s">
        <v>2074</v>
      </c>
      <c r="K512" s="63">
        <v>45831</v>
      </c>
      <c r="L512" s="37" t="s">
        <v>2075</v>
      </c>
      <c r="M512" s="10" t="str">
        <f t="shared" ca="1" si="15"/>
        <v>CLOSED</v>
      </c>
    </row>
    <row r="513" spans="1:13" ht="30" hidden="1" x14ac:dyDescent="0.25">
      <c r="A513" s="9" t="s">
        <v>141</v>
      </c>
      <c r="B513" s="19">
        <f>VLOOKUP(Table27[[#This Row],[Location 
(drop-down)]],'List source'!D$2:E$71,2,FALSE)</f>
        <v>165</v>
      </c>
      <c r="C513" s="178" t="s">
        <v>3288</v>
      </c>
      <c r="D513" s="21" t="str">
        <f t="shared" si="14"/>
        <v>PTO0512-165-25</v>
      </c>
      <c r="E513" s="9" t="s">
        <v>3277</v>
      </c>
      <c r="F513" s="10" t="str" cm="1">
        <f t="array" aca="1" ref="F5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13" s="10">
        <v>2.19</v>
      </c>
      <c r="I513" s="166">
        <v>45831</v>
      </c>
      <c r="J513" s="12" t="s">
        <v>2074</v>
      </c>
      <c r="K513" s="63">
        <v>45831</v>
      </c>
      <c r="L513" s="37" t="s">
        <v>2075</v>
      </c>
      <c r="M513" s="10" t="str">
        <f t="shared" ca="1" si="15"/>
        <v>CLOSED</v>
      </c>
    </row>
    <row r="514" spans="1:13" ht="18.75" hidden="1" x14ac:dyDescent="0.25">
      <c r="A514" s="9" t="s">
        <v>141</v>
      </c>
      <c r="B514" s="19">
        <f>VLOOKUP(Table27[[#This Row],[Location 
(drop-down)]],'List source'!D$2:E$71,2,FALSE)</f>
        <v>165</v>
      </c>
      <c r="C514" s="178" t="s">
        <v>3289</v>
      </c>
      <c r="D514" s="21" t="str">
        <f t="shared" ref="D514:D577" si="16">"PTO" &amp; C514 &amp; "-" &amp; B514 &amp; "-" &amp; "25"</f>
        <v>PTO0513-165-25</v>
      </c>
      <c r="E514" s="9" t="s">
        <v>3290</v>
      </c>
      <c r="F514" s="10" t="str" cm="1">
        <f t="array" aca="1" ref="F5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514" s="10">
        <v>4.12</v>
      </c>
      <c r="I514" s="166">
        <v>45831</v>
      </c>
      <c r="J514" s="12" t="s">
        <v>18</v>
      </c>
      <c r="K514" s="63">
        <v>46063</v>
      </c>
      <c r="L514" s="37"/>
      <c r="M514" s="10" t="str">
        <f t="shared" ref="M514:M577" ca="1" si="17">IF(ISBLANK(K514), TODAY()-(I514), "CLOSED")</f>
        <v>CLOSED</v>
      </c>
    </row>
    <row r="515" spans="1:13" ht="30" hidden="1" x14ac:dyDescent="0.25">
      <c r="A515" s="9" t="s">
        <v>107</v>
      </c>
      <c r="B515" s="19">
        <f>VLOOKUP(Table27[[#This Row],[Location 
(drop-down)]],'List source'!D$2:E$71,2,FALSE)</f>
        <v>170</v>
      </c>
      <c r="C515" s="178" t="s">
        <v>3291</v>
      </c>
      <c r="D515" s="21" t="str">
        <f t="shared" si="16"/>
        <v>PTO0514-170-25</v>
      </c>
      <c r="E515" s="9" t="s">
        <v>3277</v>
      </c>
      <c r="F515" s="10" t="str" cm="1">
        <f t="array" aca="1" ref="F5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15" s="10">
        <v>2.04</v>
      </c>
      <c r="I515" s="166">
        <v>45831</v>
      </c>
      <c r="J515" s="12" t="s">
        <v>2074</v>
      </c>
      <c r="K515" s="63">
        <v>45831</v>
      </c>
      <c r="L515" s="37" t="s">
        <v>2075</v>
      </c>
      <c r="M515" s="10" t="str">
        <f t="shared" ca="1" si="17"/>
        <v>CLOSED</v>
      </c>
    </row>
    <row r="516" spans="1:13" ht="30" hidden="1" x14ac:dyDescent="0.25">
      <c r="A516" s="9" t="s">
        <v>107</v>
      </c>
      <c r="B516" s="19">
        <f>VLOOKUP(Table27[[#This Row],[Location 
(drop-down)]],'List source'!D$2:E$71,2,FALSE)</f>
        <v>170</v>
      </c>
      <c r="C516" s="178" t="s">
        <v>3292</v>
      </c>
      <c r="D516" s="21" t="str">
        <f t="shared" si="16"/>
        <v>PTO0515-170-25</v>
      </c>
      <c r="E516" s="9" t="s">
        <v>3293</v>
      </c>
      <c r="F516" s="10" t="str" cm="1">
        <f t="array" aca="1" ref="F5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16" s="10" t="s">
        <v>2400</v>
      </c>
      <c r="I516" s="166">
        <v>45831</v>
      </c>
      <c r="J516" s="12" t="s">
        <v>109</v>
      </c>
      <c r="K516" s="63">
        <v>45867</v>
      </c>
      <c r="L516" s="37"/>
      <c r="M516" s="10" t="str">
        <f t="shared" ca="1" si="17"/>
        <v>CLOSED</v>
      </c>
    </row>
    <row r="517" spans="1:13" ht="30" hidden="1" x14ac:dyDescent="0.25">
      <c r="A517" s="9" t="s">
        <v>44</v>
      </c>
      <c r="B517" s="19">
        <f>VLOOKUP(Table27[[#This Row],[Location 
(drop-down)]],'List source'!D$2:E$71,2,FALSE)</f>
        <v>185</v>
      </c>
      <c r="C517" s="178" t="s">
        <v>3294</v>
      </c>
      <c r="D517" s="21" t="str">
        <f t="shared" si="16"/>
        <v>PTO0516-185-25</v>
      </c>
      <c r="E517" s="9" t="s">
        <v>3295</v>
      </c>
      <c r="F517" s="10" t="str" cm="1">
        <f t="array" aca="1" ref="F5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517" s="136" t="s">
        <v>3296</v>
      </c>
      <c r="I517" s="166">
        <v>45831</v>
      </c>
      <c r="J517" s="12" t="s">
        <v>2074</v>
      </c>
      <c r="K517" s="63">
        <v>45831</v>
      </c>
      <c r="L517" s="37" t="s">
        <v>2075</v>
      </c>
      <c r="M517" s="10" t="str">
        <f t="shared" ca="1" si="17"/>
        <v>CLOSED</v>
      </c>
    </row>
    <row r="518" spans="1:13" ht="18.75" hidden="1" x14ac:dyDescent="0.25">
      <c r="A518" s="9" t="s">
        <v>44</v>
      </c>
      <c r="B518" s="19">
        <f>VLOOKUP(Table27[[#This Row],[Location 
(drop-down)]],'List source'!D$2:E$71,2,FALSE)</f>
        <v>185</v>
      </c>
      <c r="C518" s="178" t="s">
        <v>3297</v>
      </c>
      <c r="D518" s="21" t="str">
        <f t="shared" si="16"/>
        <v>PTO0517-185-25</v>
      </c>
      <c r="E518" s="9" t="s">
        <v>3298</v>
      </c>
      <c r="F518" s="10" t="str" cm="1">
        <f t="array" aca="1" ref="F5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18" s="136">
        <v>2.23</v>
      </c>
      <c r="I518" s="166">
        <v>45831</v>
      </c>
      <c r="J518" s="12" t="s">
        <v>189</v>
      </c>
      <c r="K518" s="63">
        <v>45859</v>
      </c>
      <c r="L518" s="37"/>
      <c r="M518" s="10" t="str">
        <f t="shared" ca="1" si="17"/>
        <v>CLOSED</v>
      </c>
    </row>
    <row r="519" spans="1:13" ht="30" hidden="1" x14ac:dyDescent="0.25">
      <c r="A519" s="9" t="s">
        <v>44</v>
      </c>
      <c r="B519" s="19">
        <f>VLOOKUP(Table27[[#This Row],[Location 
(drop-down)]],'List source'!D$2:E$71,2,FALSE)</f>
        <v>185</v>
      </c>
      <c r="C519" s="178" t="s">
        <v>3299</v>
      </c>
      <c r="D519" s="21" t="str">
        <f t="shared" si="16"/>
        <v>PTO0518-185-25</v>
      </c>
      <c r="E519" s="9" t="s">
        <v>3275</v>
      </c>
      <c r="F519" s="10" t="str" cm="1">
        <f t="array" aca="1" ref="F5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19" s="136" t="s">
        <v>3300</v>
      </c>
      <c r="I519" s="166">
        <v>45831</v>
      </c>
      <c r="J519" s="12" t="s">
        <v>2074</v>
      </c>
      <c r="K519" s="63">
        <v>45831</v>
      </c>
      <c r="L519" s="37" t="s">
        <v>2075</v>
      </c>
      <c r="M519" s="10" t="str">
        <f t="shared" ca="1" si="17"/>
        <v>CLOSED</v>
      </c>
    </row>
    <row r="520" spans="1:13" ht="30" hidden="1" x14ac:dyDescent="0.25">
      <c r="A520" s="9" t="s">
        <v>44</v>
      </c>
      <c r="B520" s="19">
        <f>VLOOKUP(Table27[[#This Row],[Location 
(drop-down)]],'List source'!D$2:E$71,2,FALSE)</f>
        <v>185</v>
      </c>
      <c r="C520" s="178" t="s">
        <v>3301</v>
      </c>
      <c r="D520" s="21" t="str">
        <f t="shared" si="16"/>
        <v>PTO0519-185-25</v>
      </c>
      <c r="E520" s="9" t="s">
        <v>3302</v>
      </c>
      <c r="F520" s="10" t="str" cm="1">
        <f t="array" aca="1" ref="F5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20" s="10">
        <v>2.2400000000000002</v>
      </c>
      <c r="I520" s="166">
        <v>45831</v>
      </c>
      <c r="J520" s="12" t="s">
        <v>2074</v>
      </c>
      <c r="K520" s="63">
        <v>45831</v>
      </c>
      <c r="L520" s="37" t="s">
        <v>2075</v>
      </c>
      <c r="M520" s="10" t="str">
        <f t="shared" ca="1" si="17"/>
        <v>CLOSED</v>
      </c>
    </row>
    <row r="521" spans="1:13" ht="18.75" hidden="1" x14ac:dyDescent="0.25">
      <c r="A521" s="9" t="s">
        <v>338</v>
      </c>
      <c r="B521" s="19">
        <f>VLOOKUP(Table27[[#This Row],[Location 
(drop-down)]],'List source'!D$2:E$71,2,FALSE)</f>
        <v>191</v>
      </c>
      <c r="C521" s="178" t="s">
        <v>3303</v>
      </c>
      <c r="D521" s="226" t="str">
        <f t="shared" si="16"/>
        <v>PTO0520-191-25</v>
      </c>
      <c r="E521" s="9" t="s">
        <v>3304</v>
      </c>
      <c r="F521" s="10" t="str" cm="1">
        <f t="array" aca="1" ref="F5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21" s="136" t="s">
        <v>2141</v>
      </c>
      <c r="I521" s="166">
        <v>45831</v>
      </c>
      <c r="J521" s="12" t="s">
        <v>109</v>
      </c>
      <c r="K521" s="63">
        <v>45911</v>
      </c>
      <c r="L521" s="338" t="s">
        <v>2659</v>
      </c>
      <c r="M521" s="10" t="str">
        <f t="shared" ca="1" si="17"/>
        <v>CLOSED</v>
      </c>
    </row>
    <row r="522" spans="1:13" ht="30" hidden="1" x14ac:dyDescent="0.25">
      <c r="A522" s="9" t="s">
        <v>37</v>
      </c>
      <c r="B522" s="19">
        <f>VLOOKUP(Table27[[#This Row],[Location 
(drop-down)]],'List source'!D$2:E$71,2,FALSE)</f>
        <v>210</v>
      </c>
      <c r="C522" s="178" t="s">
        <v>3305</v>
      </c>
      <c r="D522" s="21" t="str">
        <f t="shared" si="16"/>
        <v>PTO0521-210-25</v>
      </c>
      <c r="E522" s="9" t="s">
        <v>3306</v>
      </c>
      <c r="F522" s="10" t="str" cm="1">
        <f t="array" aca="1" ref="F5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22" s="10" t="s">
        <v>3307</v>
      </c>
      <c r="I522" s="166">
        <v>45831</v>
      </c>
      <c r="J522" s="12" t="s">
        <v>2074</v>
      </c>
      <c r="K522" s="63">
        <v>45831</v>
      </c>
      <c r="L522" s="37" t="s">
        <v>2075</v>
      </c>
      <c r="M522" s="10" t="str">
        <f t="shared" ca="1" si="17"/>
        <v>CLOSED</v>
      </c>
    </row>
    <row r="523" spans="1:13" ht="18.75" hidden="1" x14ac:dyDescent="0.25">
      <c r="A523" s="9" t="s">
        <v>105</v>
      </c>
      <c r="B523" s="19">
        <f>VLOOKUP(Table27[[#This Row],[Location 
(drop-down)]],'List source'!D$2:E$71,2,FALSE)</f>
        <v>215</v>
      </c>
      <c r="C523" s="178" t="s">
        <v>3308</v>
      </c>
      <c r="D523" s="226" t="str">
        <f t="shared" si="16"/>
        <v>PTO0522-215-25</v>
      </c>
      <c r="E523" s="9" t="s">
        <v>3309</v>
      </c>
      <c r="F523" s="10" t="str" cm="1">
        <f t="array" aca="1" ref="F5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23" s="136" t="s">
        <v>3310</v>
      </c>
      <c r="I523" s="166">
        <v>45831</v>
      </c>
      <c r="J523" s="12" t="s">
        <v>252</v>
      </c>
      <c r="K523" s="63">
        <v>45845</v>
      </c>
      <c r="L523" s="338" t="s">
        <v>2659</v>
      </c>
      <c r="M523" s="10" t="str">
        <f t="shared" ca="1" si="17"/>
        <v>CLOSED</v>
      </c>
    </row>
    <row r="524" spans="1:13" ht="18.75" hidden="1" x14ac:dyDescent="0.25">
      <c r="A524" s="9" t="s">
        <v>105</v>
      </c>
      <c r="B524" s="19">
        <f>VLOOKUP(Table27[[#This Row],[Location 
(drop-down)]],'List source'!D$2:E$71,2,FALSE)</f>
        <v>215</v>
      </c>
      <c r="C524" s="178" t="s">
        <v>3311</v>
      </c>
      <c r="D524" s="226" t="str">
        <f t="shared" si="16"/>
        <v>PTO0523-215-25</v>
      </c>
      <c r="E524" s="9" t="s">
        <v>3312</v>
      </c>
      <c r="F524" s="10" t="str" cm="1">
        <f t="array" aca="1" ref="F5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524" s="136">
        <v>4.8899999999999997</v>
      </c>
      <c r="I524" s="166">
        <v>45831</v>
      </c>
      <c r="J524" s="12" t="s">
        <v>252</v>
      </c>
      <c r="K524" s="63">
        <v>45845</v>
      </c>
      <c r="L524" s="338" t="s">
        <v>2659</v>
      </c>
      <c r="M524" s="10" t="str">
        <f t="shared" ca="1" si="17"/>
        <v>CLOSED</v>
      </c>
    </row>
    <row r="525" spans="1:13" ht="18.75" hidden="1" x14ac:dyDescent="0.25">
      <c r="A525" s="9" t="s">
        <v>105</v>
      </c>
      <c r="B525" s="19">
        <f>VLOOKUP(Table27[[#This Row],[Location 
(drop-down)]],'List source'!D$2:E$71,2,FALSE)</f>
        <v>215</v>
      </c>
      <c r="C525" s="178" t="s">
        <v>3313</v>
      </c>
      <c r="D525" s="226" t="str">
        <f t="shared" si="16"/>
        <v>PTO0524-215-25</v>
      </c>
      <c r="E525" s="9" t="s">
        <v>3314</v>
      </c>
      <c r="F525" s="10" t="str" cm="1">
        <f t="array" aca="1" ref="F5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25" s="136">
        <v>6.5</v>
      </c>
      <c r="I525" s="166">
        <v>45831</v>
      </c>
      <c r="J525" s="12" t="s">
        <v>252</v>
      </c>
      <c r="K525" s="63">
        <v>45845</v>
      </c>
      <c r="L525" s="338" t="s">
        <v>2659</v>
      </c>
      <c r="M525" s="10" t="str">
        <f t="shared" ca="1" si="17"/>
        <v>CLOSED</v>
      </c>
    </row>
    <row r="526" spans="1:13" ht="18.75" hidden="1" x14ac:dyDescent="0.25">
      <c r="A526" s="9" t="s">
        <v>211</v>
      </c>
      <c r="B526" s="19">
        <f>VLOOKUP(Table27[[#This Row],[Location 
(drop-down)]],'List source'!D$2:E$71,2,FALSE)</f>
        <v>132</v>
      </c>
      <c r="C526" s="178" t="s">
        <v>3315</v>
      </c>
      <c r="D526" s="21" t="str">
        <f t="shared" si="16"/>
        <v>PTO0525-132-25</v>
      </c>
      <c r="E526" s="9" t="s">
        <v>3316</v>
      </c>
      <c r="F526" s="10" t="s">
        <v>3044</v>
      </c>
      <c r="G5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26" s="10">
        <v>2.5299999999999998</v>
      </c>
      <c r="I526" s="166">
        <v>45832</v>
      </c>
      <c r="J526" s="12"/>
      <c r="K526" s="63"/>
      <c r="L526" s="37"/>
      <c r="M526" s="10">
        <f t="shared" ca="1" si="17"/>
        <v>245</v>
      </c>
    </row>
    <row r="527" spans="1:13" ht="18.75" hidden="1" x14ac:dyDescent="0.25">
      <c r="A527" s="9" t="s">
        <v>220</v>
      </c>
      <c r="B527" s="19">
        <f>VLOOKUP(Table27[[#This Row],[Location 
(drop-down)]],'List source'!D$2:E$71,2,FALSE)</f>
        <v>197</v>
      </c>
      <c r="C527" s="178" t="s">
        <v>3317</v>
      </c>
      <c r="D527" s="21" t="str">
        <f t="shared" si="16"/>
        <v>PTO0526-197-25</v>
      </c>
      <c r="E527" s="9" t="s">
        <v>3318</v>
      </c>
      <c r="F527" s="10" t="s">
        <v>3059</v>
      </c>
      <c r="G5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527" s="10">
        <v>2.48</v>
      </c>
      <c r="I527" s="166">
        <v>45832</v>
      </c>
      <c r="J527" s="12" t="s">
        <v>48</v>
      </c>
      <c r="K527" s="63">
        <v>46055</v>
      </c>
      <c r="L527" s="37"/>
      <c r="M527" s="10" t="str">
        <f t="shared" ca="1" si="17"/>
        <v>CLOSED</v>
      </c>
    </row>
    <row r="528" spans="1:13" ht="18.75" hidden="1" x14ac:dyDescent="0.25">
      <c r="A528" s="9" t="s">
        <v>99</v>
      </c>
      <c r="B528" s="19">
        <f>VLOOKUP(Table27[[#This Row],[Location 
(drop-down)]],'List source'!D$2:E$71,2,FALSE)</f>
        <v>198</v>
      </c>
      <c r="C528" s="178" t="s">
        <v>3319</v>
      </c>
      <c r="D528" s="21" t="str">
        <f t="shared" si="16"/>
        <v>PTO0527-198-25</v>
      </c>
      <c r="E528" s="9" t="s">
        <v>3320</v>
      </c>
      <c r="F528" s="10" t="s">
        <v>3059</v>
      </c>
      <c r="G5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28" s="136" t="s">
        <v>3321</v>
      </c>
      <c r="I528" s="166">
        <v>45832</v>
      </c>
      <c r="J528" s="12" t="s">
        <v>48</v>
      </c>
      <c r="K528" s="63">
        <v>45866</v>
      </c>
      <c r="L528" s="37"/>
      <c r="M528" s="10" t="str">
        <f t="shared" ca="1" si="17"/>
        <v>CLOSED</v>
      </c>
    </row>
    <row r="529" spans="1:13" ht="18.75" hidden="1" x14ac:dyDescent="0.25">
      <c r="A529" s="9" t="s">
        <v>117</v>
      </c>
      <c r="B529" s="19">
        <f>VLOOKUP(Table27[[#This Row],[Location 
(drop-down)]],'List source'!D$2:E$71,2,FALSE)</f>
        <v>125</v>
      </c>
      <c r="C529" s="178" t="s">
        <v>3322</v>
      </c>
      <c r="D529" s="21" t="str">
        <f t="shared" si="16"/>
        <v>PTO0528-125-25</v>
      </c>
      <c r="E529" s="9" t="s">
        <v>3323</v>
      </c>
      <c r="F529" s="10" t="s">
        <v>3324</v>
      </c>
      <c r="G5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Octanes - Pump-AKI</v>
      </c>
      <c r="H529" s="10">
        <v>2.2000000000000002</v>
      </c>
      <c r="I529" s="166">
        <v>45840</v>
      </c>
      <c r="J529" s="12" t="s">
        <v>189</v>
      </c>
      <c r="K529" s="63">
        <v>45931</v>
      </c>
      <c r="L529" s="37"/>
      <c r="M529" s="10" t="str">
        <f t="shared" ca="1" si="17"/>
        <v>CLOSED</v>
      </c>
    </row>
    <row r="530" spans="1:13" ht="30" hidden="1" x14ac:dyDescent="0.25">
      <c r="A530" s="9" t="s">
        <v>117</v>
      </c>
      <c r="B530" s="19">
        <f>VLOOKUP(Table27[[#This Row],[Location 
(drop-down)]],'List source'!D$2:E$71,2,FALSE)</f>
        <v>125</v>
      </c>
      <c r="C530" s="178" t="s">
        <v>3325</v>
      </c>
      <c r="D530" s="21" t="str">
        <f t="shared" si="16"/>
        <v>PTO0529-125-25</v>
      </c>
      <c r="E530" s="9" t="s">
        <v>3326</v>
      </c>
      <c r="F530" s="10" t="s">
        <v>3324</v>
      </c>
      <c r="G5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530" s="10">
        <v>2.21</v>
      </c>
      <c r="I530" s="166">
        <v>45840</v>
      </c>
      <c r="J530" s="12" t="s">
        <v>2074</v>
      </c>
      <c r="K530" s="63">
        <v>45840</v>
      </c>
      <c r="L530" s="37" t="s">
        <v>2592</v>
      </c>
      <c r="M530" s="10" t="str">
        <f t="shared" ca="1" si="17"/>
        <v>CLOSED</v>
      </c>
    </row>
    <row r="531" spans="1:13" ht="30" hidden="1" x14ac:dyDescent="0.25">
      <c r="A531" s="9" t="s">
        <v>117</v>
      </c>
      <c r="B531" s="19">
        <f>VLOOKUP(Table27[[#This Row],[Location 
(drop-down)]],'List source'!D$2:E$71,2,FALSE)</f>
        <v>125</v>
      </c>
      <c r="C531" s="178" t="s">
        <v>3327</v>
      </c>
      <c r="D531" s="21" t="str">
        <f t="shared" si="16"/>
        <v>PTO0530-125-25</v>
      </c>
      <c r="E531" s="9" t="s">
        <v>3328</v>
      </c>
      <c r="F531" s="10" t="s">
        <v>3324</v>
      </c>
      <c r="G5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1" s="136" t="s">
        <v>3329</v>
      </c>
      <c r="I531" s="166">
        <v>45840</v>
      </c>
      <c r="J531" s="12" t="s">
        <v>2074</v>
      </c>
      <c r="K531" s="63">
        <v>45840</v>
      </c>
      <c r="L531" s="37" t="s">
        <v>2592</v>
      </c>
      <c r="M531" s="10" t="str">
        <f t="shared" ca="1" si="17"/>
        <v>CLOSED</v>
      </c>
    </row>
    <row r="532" spans="1:13" ht="18.75" hidden="1" x14ac:dyDescent="0.25">
      <c r="A532" s="9" t="s">
        <v>117</v>
      </c>
      <c r="B532" s="19">
        <f>VLOOKUP(Table27[[#This Row],[Location 
(drop-down)]],'List source'!D$2:E$71,2,FALSE)</f>
        <v>125</v>
      </c>
      <c r="C532" s="178" t="s">
        <v>3330</v>
      </c>
      <c r="D532" s="21" t="str">
        <f t="shared" si="16"/>
        <v>PTO0531-125-25</v>
      </c>
      <c r="E532" s="9" t="s">
        <v>3331</v>
      </c>
      <c r="F532" s="10" t="s">
        <v>3324</v>
      </c>
      <c r="G5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v>
      </c>
      <c r="H532" s="136" t="s">
        <v>3332</v>
      </c>
      <c r="I532" s="12">
        <v>45840</v>
      </c>
      <c r="J532" s="12"/>
      <c r="K532" s="63"/>
      <c r="L532" s="37"/>
      <c r="M532" s="10">
        <f t="shared" ca="1" si="17"/>
        <v>237</v>
      </c>
    </row>
    <row r="533" spans="1:13" ht="30" hidden="1" x14ac:dyDescent="0.25">
      <c r="A533" s="9" t="s">
        <v>71</v>
      </c>
      <c r="B533" s="19">
        <f>VLOOKUP(Table27[[#This Row],[Location 
(drop-down)]],'List source'!D$2:E$71,2,FALSE)</f>
        <v>127</v>
      </c>
      <c r="C533" s="178" t="s">
        <v>3333</v>
      </c>
      <c r="D533" s="21" t="str">
        <f t="shared" si="16"/>
        <v>PTO0532-127-25</v>
      </c>
      <c r="E533" s="9" t="s">
        <v>3326</v>
      </c>
      <c r="F533" s="10" t="s">
        <v>3324</v>
      </c>
      <c r="G5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533" s="10">
        <v>2.21</v>
      </c>
      <c r="I533" s="12">
        <v>45840</v>
      </c>
      <c r="J533" s="12" t="s">
        <v>2074</v>
      </c>
      <c r="K533" s="63">
        <v>45840</v>
      </c>
      <c r="L533" s="37" t="s">
        <v>2592</v>
      </c>
      <c r="M533" s="10" t="str">
        <f t="shared" ca="1" si="17"/>
        <v>CLOSED</v>
      </c>
    </row>
    <row r="534" spans="1:13" ht="30" hidden="1" x14ac:dyDescent="0.25">
      <c r="A534" s="9" t="s">
        <v>186</v>
      </c>
      <c r="B534" s="19">
        <f>VLOOKUP(Table27[[#This Row],[Location 
(drop-down)]],'List source'!D$2:E$71,2,FALSE)</f>
        <v>136</v>
      </c>
      <c r="C534" s="178" t="s">
        <v>3334</v>
      </c>
      <c r="D534" s="21" t="str">
        <f t="shared" si="16"/>
        <v>PTO0533-136-25</v>
      </c>
      <c r="E534" s="9" t="s">
        <v>3326</v>
      </c>
      <c r="F534" s="10" t="s">
        <v>3324</v>
      </c>
      <c r="G5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534" s="10">
        <v>2.21</v>
      </c>
      <c r="I534" s="12">
        <v>45840</v>
      </c>
      <c r="J534" s="12" t="s">
        <v>2074</v>
      </c>
      <c r="K534" s="63">
        <v>45840</v>
      </c>
      <c r="L534" s="37" t="s">
        <v>2592</v>
      </c>
      <c r="M534" s="10" t="str">
        <f t="shared" ca="1" si="17"/>
        <v>CLOSED</v>
      </c>
    </row>
    <row r="535" spans="1:13" ht="30" hidden="1" x14ac:dyDescent="0.25">
      <c r="A535" s="9" t="s">
        <v>257</v>
      </c>
      <c r="B535" s="19">
        <f>VLOOKUP(Table27[[#This Row],[Location 
(drop-down)]],'List source'!D$2:E$71,2,FALSE)</f>
        <v>144</v>
      </c>
      <c r="C535" s="178" t="s">
        <v>3335</v>
      </c>
      <c r="D535" s="21" t="str">
        <f t="shared" si="16"/>
        <v>PTO0534-144-25</v>
      </c>
      <c r="E535" s="9" t="s">
        <v>3323</v>
      </c>
      <c r="F535" s="10" t="s">
        <v>3324</v>
      </c>
      <c r="G5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Octanes - Pump-AKI</v>
      </c>
      <c r="H535" s="10">
        <v>2.2000000000000002</v>
      </c>
      <c r="I535" s="12">
        <v>45840</v>
      </c>
      <c r="J535" s="12"/>
      <c r="K535" s="63"/>
      <c r="L535" s="37"/>
      <c r="M535" s="10">
        <f t="shared" ca="1" si="17"/>
        <v>237</v>
      </c>
    </row>
    <row r="536" spans="1:13" ht="30" hidden="1" x14ac:dyDescent="0.25">
      <c r="A536" s="9" t="s">
        <v>257</v>
      </c>
      <c r="B536" s="19">
        <f>VLOOKUP(Table27[[#This Row],[Location 
(drop-down)]],'List source'!D$2:E$71,2,FALSE)</f>
        <v>144</v>
      </c>
      <c r="C536" s="178" t="s">
        <v>3336</v>
      </c>
      <c r="D536" s="21" t="str">
        <f t="shared" si="16"/>
        <v>PTO0535-144-25</v>
      </c>
      <c r="E536" s="9" t="s">
        <v>3337</v>
      </c>
      <c r="F536" s="10" t="s">
        <v>3324</v>
      </c>
      <c r="G5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RVP PTOT</v>
      </c>
      <c r="H536" s="136" t="s">
        <v>3338</v>
      </c>
      <c r="I536" s="12">
        <v>45840</v>
      </c>
      <c r="J536" s="12" t="s">
        <v>2074</v>
      </c>
      <c r="K536" s="63">
        <v>45848</v>
      </c>
      <c r="L536" s="37" t="s">
        <v>2079</v>
      </c>
      <c r="M536" s="10" t="str">
        <f t="shared" ca="1" si="17"/>
        <v>CLOSED</v>
      </c>
    </row>
    <row r="537" spans="1:13" ht="18.75" hidden="1" x14ac:dyDescent="0.25">
      <c r="A537" s="9" t="s">
        <v>131</v>
      </c>
      <c r="B537" s="19">
        <f>VLOOKUP(Table27[[#This Row],[Location 
(drop-down)]],'List source'!D$2:E$71,2,FALSE)</f>
        <v>145</v>
      </c>
      <c r="C537" s="178" t="s">
        <v>3339</v>
      </c>
      <c r="D537" s="21" t="str">
        <f t="shared" si="16"/>
        <v>PTO0536-145-25</v>
      </c>
      <c r="E537" s="9" t="s">
        <v>3340</v>
      </c>
      <c r="F537" s="10" t="s">
        <v>3324</v>
      </c>
      <c r="G5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7" s="136" t="s">
        <v>3341</v>
      </c>
      <c r="I537" s="12">
        <v>45840</v>
      </c>
      <c r="J537" s="12" t="s">
        <v>18</v>
      </c>
      <c r="K537" s="63">
        <v>45898</v>
      </c>
      <c r="L537" s="37"/>
      <c r="M537" s="10" t="str">
        <f t="shared" ca="1" si="17"/>
        <v>CLOSED</v>
      </c>
    </row>
    <row r="538" spans="1:13" ht="30" hidden="1" x14ac:dyDescent="0.25">
      <c r="A538" s="9" t="s">
        <v>107</v>
      </c>
      <c r="B538" s="19">
        <f>VLOOKUP(Table27[[#This Row],[Location 
(drop-down)]],'List source'!D$2:E$71,2,FALSE)</f>
        <v>170</v>
      </c>
      <c r="C538" s="178" t="s">
        <v>3342</v>
      </c>
      <c r="D538" s="21" t="str">
        <f t="shared" si="16"/>
        <v>PTO0537-170-25</v>
      </c>
      <c r="E538" s="9" t="s">
        <v>3343</v>
      </c>
      <c r="F538" s="10" t="s">
        <v>3324</v>
      </c>
      <c r="G5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8" s="136" t="s">
        <v>3344</v>
      </c>
      <c r="I538" s="12">
        <v>45840</v>
      </c>
      <c r="J538" s="12" t="s">
        <v>109</v>
      </c>
      <c r="K538" s="63">
        <v>45868</v>
      </c>
      <c r="L538" s="37"/>
      <c r="M538" s="10" t="str">
        <f t="shared" ca="1" si="17"/>
        <v>CLOSED</v>
      </c>
    </row>
    <row r="539" spans="1:13" ht="30" hidden="1" x14ac:dyDescent="0.25">
      <c r="A539" s="9" t="s">
        <v>44</v>
      </c>
      <c r="B539" s="19">
        <f>VLOOKUP(Table27[[#This Row],[Location 
(drop-down)]],'List source'!D$2:E$71,2,FALSE)</f>
        <v>185</v>
      </c>
      <c r="C539" s="178" t="s">
        <v>3345</v>
      </c>
      <c r="D539" s="21" t="str">
        <f t="shared" si="16"/>
        <v>PTO0538-185-25</v>
      </c>
      <c r="E539" s="9" t="s">
        <v>3326</v>
      </c>
      <c r="F539" s="10" t="s">
        <v>3324</v>
      </c>
      <c r="G5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539" s="136" t="s">
        <v>2082</v>
      </c>
      <c r="I539" s="12">
        <v>45840</v>
      </c>
      <c r="J539" s="12" t="s">
        <v>2074</v>
      </c>
      <c r="K539" s="63">
        <v>45840</v>
      </c>
      <c r="L539" s="37" t="s">
        <v>2592</v>
      </c>
      <c r="M539" s="10" t="str">
        <f t="shared" ca="1" si="17"/>
        <v>CLOSED</v>
      </c>
    </row>
    <row r="540" spans="1:13" ht="30" hidden="1" x14ac:dyDescent="0.25">
      <c r="A540" s="9" t="s">
        <v>44</v>
      </c>
      <c r="B540" s="19">
        <f>VLOOKUP(Table27[[#This Row],[Location 
(drop-down)]],'List source'!D$2:E$71,2,FALSE)</f>
        <v>185</v>
      </c>
      <c r="C540" s="178" t="s">
        <v>3346</v>
      </c>
      <c r="D540" s="21" t="str">
        <f t="shared" si="16"/>
        <v>PTO0539-185-25</v>
      </c>
      <c r="E540" s="9" t="s">
        <v>3347</v>
      </c>
      <c r="F540" s="10" t="s">
        <v>3324</v>
      </c>
      <c r="G5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0" s="10">
        <v>2.12</v>
      </c>
      <c r="I540" s="12">
        <v>45840</v>
      </c>
      <c r="J540" s="12" t="s">
        <v>2074</v>
      </c>
      <c r="K540" s="63">
        <v>45840</v>
      </c>
      <c r="L540" s="37" t="s">
        <v>2592</v>
      </c>
      <c r="M540" s="10" t="str">
        <f t="shared" ca="1" si="17"/>
        <v>CLOSED</v>
      </c>
    </row>
    <row r="541" spans="1:13" ht="30" hidden="1" x14ac:dyDescent="0.25">
      <c r="A541" s="9" t="s">
        <v>338</v>
      </c>
      <c r="B541" s="19">
        <f>VLOOKUP(Table27[[#This Row],[Location 
(drop-down)]],'List source'!D$2:E$71,2,FALSE)</f>
        <v>191</v>
      </c>
      <c r="C541" s="178" t="s">
        <v>3348</v>
      </c>
      <c r="D541" s="21" t="str">
        <f t="shared" si="16"/>
        <v>PTO0540-191-25</v>
      </c>
      <c r="E541" s="9" t="s">
        <v>3349</v>
      </c>
      <c r="F541" s="10" t="s">
        <v>3324</v>
      </c>
      <c r="G5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Octanes - Pump-AKI &amp; R-M Sensitivity</v>
      </c>
      <c r="H541" s="136" t="s">
        <v>3350</v>
      </c>
      <c r="I541" s="12">
        <v>45840</v>
      </c>
      <c r="J541" s="12" t="s">
        <v>2074</v>
      </c>
      <c r="K541" s="63">
        <v>45877</v>
      </c>
      <c r="L541" s="37" t="s">
        <v>3351</v>
      </c>
      <c r="M541" s="10" t="str">
        <f t="shared" ca="1" si="17"/>
        <v>CLOSED</v>
      </c>
    </row>
    <row r="542" spans="1:13" ht="30" hidden="1" x14ac:dyDescent="0.25">
      <c r="A542" s="9" t="s">
        <v>338</v>
      </c>
      <c r="B542" s="19">
        <f>VLOOKUP(Table27[[#This Row],[Location 
(drop-down)]],'List source'!D$2:E$71,2,FALSE)</f>
        <v>191</v>
      </c>
      <c r="C542" s="178" t="s">
        <v>3352</v>
      </c>
      <c r="D542" s="21" t="str">
        <f t="shared" si="16"/>
        <v>PTO0541-191-25</v>
      </c>
      <c r="E542" s="9" t="s">
        <v>3326</v>
      </c>
      <c r="F542" s="10" t="s">
        <v>3324</v>
      </c>
      <c r="G5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542" s="10">
        <v>2.21</v>
      </c>
      <c r="I542" s="12">
        <v>45840</v>
      </c>
      <c r="J542" s="12" t="s">
        <v>2074</v>
      </c>
      <c r="K542" s="63">
        <v>45840</v>
      </c>
      <c r="L542" s="37" t="s">
        <v>2592</v>
      </c>
      <c r="M542" s="10" t="str">
        <f t="shared" ca="1" si="17"/>
        <v>CLOSED</v>
      </c>
    </row>
    <row r="543" spans="1:13" ht="30" hidden="1" x14ac:dyDescent="0.25">
      <c r="A543" s="9" t="s">
        <v>338</v>
      </c>
      <c r="B543" s="19">
        <f>VLOOKUP(Table27[[#This Row],[Location 
(drop-down)]],'List source'!D$2:E$71,2,FALSE)</f>
        <v>191</v>
      </c>
      <c r="C543" s="178" t="s">
        <v>3353</v>
      </c>
      <c r="D543" s="21" t="str">
        <f t="shared" si="16"/>
        <v>PTO0542-191-25</v>
      </c>
      <c r="E543" s="9" t="s">
        <v>3354</v>
      </c>
      <c r="F543" s="10" t="s">
        <v>3324</v>
      </c>
      <c r="G5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3" s="10">
        <v>2.35</v>
      </c>
      <c r="I543" s="12">
        <v>45840</v>
      </c>
      <c r="J543" s="12" t="s">
        <v>2074</v>
      </c>
      <c r="K543" s="63">
        <v>45840</v>
      </c>
      <c r="L543" s="37" t="s">
        <v>2592</v>
      </c>
      <c r="M543" s="10" t="str">
        <f t="shared" ca="1" si="17"/>
        <v>CLOSED</v>
      </c>
    </row>
    <row r="544" spans="1:13" ht="18.75" hidden="1" x14ac:dyDescent="0.25">
      <c r="A544" s="9" t="s">
        <v>153</v>
      </c>
      <c r="B544" s="19">
        <f>VLOOKUP(Table27[[#This Row],[Location 
(drop-down)]],'List source'!D$2:E$71,2,FALSE)</f>
        <v>110</v>
      </c>
      <c r="C544" s="178" t="s">
        <v>3355</v>
      </c>
      <c r="D544" s="21" t="str">
        <f t="shared" si="16"/>
        <v>PTO0543-110-25</v>
      </c>
      <c r="E544" s="9" t="s">
        <v>3356</v>
      </c>
      <c r="F544" s="10" t="s">
        <v>3324</v>
      </c>
      <c r="G5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4" s="136" t="s">
        <v>3357</v>
      </c>
      <c r="I544" s="12">
        <v>45840</v>
      </c>
      <c r="J544" s="12" t="s">
        <v>252</v>
      </c>
      <c r="K544" s="63">
        <v>45960</v>
      </c>
      <c r="L544" s="37"/>
      <c r="M544" s="10" t="str">
        <f t="shared" ca="1" si="17"/>
        <v>CLOSED</v>
      </c>
    </row>
    <row r="545" spans="1:13" ht="18.75" hidden="1" x14ac:dyDescent="0.25">
      <c r="A545" s="9" t="s">
        <v>211</v>
      </c>
      <c r="B545" s="19">
        <f>VLOOKUP(Table27[[#This Row],[Location 
(drop-down)]],'List source'!D$2:E$71,2,FALSE)</f>
        <v>132</v>
      </c>
      <c r="C545" s="178" t="s">
        <v>3358</v>
      </c>
      <c r="D545" s="21" t="str">
        <f t="shared" si="16"/>
        <v>PTO0544-132-25</v>
      </c>
      <c r="E545" s="9" t="s">
        <v>3359</v>
      </c>
      <c r="F545" s="10" t="s">
        <v>3360</v>
      </c>
      <c r="G5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45" s="10">
        <v>10.97</v>
      </c>
      <c r="I545" s="12">
        <v>45841</v>
      </c>
      <c r="J545" s="12"/>
      <c r="K545" s="63"/>
      <c r="L545" s="37"/>
      <c r="M545" s="10">
        <f t="shared" ca="1" si="17"/>
        <v>236</v>
      </c>
    </row>
    <row r="546" spans="1:13" ht="18.75" hidden="1" x14ac:dyDescent="0.25">
      <c r="A546" s="9" t="s">
        <v>179</v>
      </c>
      <c r="B546" s="19">
        <f>VLOOKUP(Table27[[#This Row],[Location 
(drop-down)]],'List source'!D$2:E$71,2,FALSE)</f>
        <v>189</v>
      </c>
      <c r="C546" s="178" t="s">
        <v>3361</v>
      </c>
      <c r="D546" s="21" t="str">
        <f t="shared" si="16"/>
        <v>PTO0545-189-25</v>
      </c>
      <c r="E546" s="9" t="s">
        <v>3362</v>
      </c>
      <c r="F546" s="10" t="s">
        <v>3047</v>
      </c>
      <c r="G5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46" s="10">
        <v>3.08</v>
      </c>
      <c r="I546" s="12">
        <v>45841</v>
      </c>
      <c r="J546" s="12"/>
      <c r="K546" s="63"/>
      <c r="L546" s="37"/>
      <c r="M546" s="10">
        <f t="shared" ca="1" si="17"/>
        <v>236</v>
      </c>
    </row>
    <row r="547" spans="1:13" ht="30" hidden="1" x14ac:dyDescent="0.25">
      <c r="A547" s="9" t="s">
        <v>133</v>
      </c>
      <c r="B547" s="19">
        <f>VLOOKUP(Table27[[#This Row],[Location 
(drop-down)]],'List source'!D$2:E$71,2,FALSE)</f>
        <v>194</v>
      </c>
      <c r="C547" s="178" t="s">
        <v>3363</v>
      </c>
      <c r="D547" s="21" t="str">
        <f t="shared" si="16"/>
        <v>PTO0546-194-25</v>
      </c>
      <c r="E547" s="9" t="s">
        <v>3364</v>
      </c>
      <c r="F547" s="10" t="s">
        <v>3047</v>
      </c>
      <c r="G5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7" s="10">
        <v>2.59</v>
      </c>
      <c r="I547" s="12">
        <v>45841</v>
      </c>
      <c r="J547" s="12" t="s">
        <v>2074</v>
      </c>
      <c r="K547" s="63">
        <v>45841</v>
      </c>
      <c r="L547" s="37" t="s">
        <v>2592</v>
      </c>
      <c r="M547" s="10" t="str">
        <f t="shared" ca="1" si="17"/>
        <v>CLOSED</v>
      </c>
    </row>
    <row r="548" spans="1:13" ht="30" hidden="1" x14ac:dyDescent="0.25">
      <c r="A548" s="9" t="s">
        <v>220</v>
      </c>
      <c r="B548" s="19">
        <f>VLOOKUP(Table27[[#This Row],[Location 
(drop-down)]],'List source'!D$2:E$71,2,FALSE)</f>
        <v>197</v>
      </c>
      <c r="C548" s="178" t="s">
        <v>3365</v>
      </c>
      <c r="D548" s="21" t="str">
        <f t="shared" si="16"/>
        <v>PTO0547-197-25</v>
      </c>
      <c r="E548" s="9" t="s">
        <v>3366</v>
      </c>
      <c r="F548" s="10" t="s">
        <v>3047</v>
      </c>
      <c r="G5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8" s="136" t="s">
        <v>2308</v>
      </c>
      <c r="I548" s="12">
        <v>45841</v>
      </c>
      <c r="J548" s="12" t="s">
        <v>2074</v>
      </c>
      <c r="K548" s="63">
        <v>45841</v>
      </c>
      <c r="L548" s="37" t="s">
        <v>2592</v>
      </c>
      <c r="M548" s="10" t="str">
        <f t="shared" ca="1" si="17"/>
        <v>CLOSED</v>
      </c>
    </row>
    <row r="549" spans="1:13" ht="30" hidden="1" x14ac:dyDescent="0.25">
      <c r="A549" s="9" t="s">
        <v>99</v>
      </c>
      <c r="B549" s="19">
        <f>VLOOKUP(Table27[[#This Row],[Location 
(drop-down)]],'List source'!D$2:E$71,2,FALSE)</f>
        <v>198</v>
      </c>
      <c r="C549" s="178" t="s">
        <v>3367</v>
      </c>
      <c r="D549" s="21" t="str">
        <f t="shared" si="16"/>
        <v>PTO0548-198-25</v>
      </c>
      <c r="E549" s="9" t="s">
        <v>3368</v>
      </c>
      <c r="F549" s="10" t="s">
        <v>3047</v>
      </c>
      <c r="G5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9" s="10">
        <v>2.08</v>
      </c>
      <c r="I549" s="12">
        <v>45841</v>
      </c>
      <c r="J549" s="12" t="s">
        <v>2074</v>
      </c>
      <c r="K549" s="63">
        <v>45841</v>
      </c>
      <c r="L549" s="37" t="s">
        <v>2592</v>
      </c>
      <c r="M549" s="10" t="str">
        <f t="shared" ca="1" si="17"/>
        <v>CLOSED</v>
      </c>
    </row>
    <row r="550" spans="1:13" ht="18.75" hidden="1" x14ac:dyDescent="0.25">
      <c r="A550" s="9" t="s">
        <v>99</v>
      </c>
      <c r="B550" s="19">
        <f>VLOOKUP(Table27[[#This Row],[Location 
(drop-down)]],'List source'!D$2:E$71,2,FALSE)</f>
        <v>198</v>
      </c>
      <c r="C550" s="178" t="s">
        <v>3369</v>
      </c>
      <c r="D550" s="21" t="str">
        <f t="shared" si="16"/>
        <v>PTO0549-198-25</v>
      </c>
      <c r="E550" s="9" t="s">
        <v>3370</v>
      </c>
      <c r="F550" s="10" t="s">
        <v>3047</v>
      </c>
      <c r="G5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v>
      </c>
      <c r="H550" s="136" t="s">
        <v>3371</v>
      </c>
      <c r="I550" s="12">
        <v>45841</v>
      </c>
      <c r="J550" s="12"/>
      <c r="K550" s="63"/>
      <c r="L550" s="37"/>
      <c r="M550" s="10">
        <f t="shared" ca="1" si="17"/>
        <v>236</v>
      </c>
    </row>
    <row r="551" spans="1:13" ht="30" hidden="1" x14ac:dyDescent="0.25">
      <c r="A551" s="9" t="s">
        <v>99</v>
      </c>
      <c r="B551" s="19">
        <f>VLOOKUP(Table27[[#This Row],[Location 
(drop-down)]],'List source'!D$2:E$71,2,FALSE)</f>
        <v>198</v>
      </c>
      <c r="C551" s="178" t="s">
        <v>3372</v>
      </c>
      <c r="D551" s="21" t="str">
        <f t="shared" si="16"/>
        <v>PTO0550-198-25</v>
      </c>
      <c r="E551" s="9" t="s">
        <v>3373</v>
      </c>
      <c r="F551" s="10" t="s">
        <v>3047</v>
      </c>
      <c r="G5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SOR/97-493 - Benzene Emissions Number</v>
      </c>
      <c r="H551" s="136" t="s">
        <v>3374</v>
      </c>
      <c r="I551" s="12">
        <v>45841</v>
      </c>
      <c r="J551" s="12"/>
      <c r="K551" s="63"/>
      <c r="L551" s="37"/>
      <c r="M551" s="10">
        <f t="shared" ca="1" si="17"/>
        <v>236</v>
      </c>
    </row>
    <row r="552" spans="1:13" ht="18.75" hidden="1" x14ac:dyDescent="0.25">
      <c r="A552" s="9" t="s">
        <v>156</v>
      </c>
      <c r="B552" s="19">
        <f>VLOOKUP(Table27[[#This Row],[Location 
(drop-down)]],'List source'!D$2:E$71,2,FALSE)</f>
        <v>130</v>
      </c>
      <c r="C552" s="178" t="s">
        <v>3375</v>
      </c>
      <c r="D552" s="21" t="str">
        <f t="shared" si="16"/>
        <v>PTO0551-130-25</v>
      </c>
      <c r="E552" s="9" t="s">
        <v>3376</v>
      </c>
      <c r="F552" s="10" t="s">
        <v>2952</v>
      </c>
      <c r="G5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Gravity</v>
      </c>
      <c r="H552" s="136" t="s">
        <v>3377</v>
      </c>
      <c r="I552" s="12">
        <v>45841</v>
      </c>
      <c r="J552" s="12" t="s">
        <v>2074</v>
      </c>
      <c r="K552" s="63">
        <v>45903</v>
      </c>
      <c r="L552" s="37" t="s">
        <v>2079</v>
      </c>
      <c r="M552" s="10" t="str">
        <f t="shared" ca="1" si="17"/>
        <v>CLOSED</v>
      </c>
    </row>
    <row r="553" spans="1:13" ht="30" hidden="1" x14ac:dyDescent="0.25">
      <c r="A553" s="9" t="s">
        <v>156</v>
      </c>
      <c r="B553" s="19">
        <f>VLOOKUP(Table27[[#This Row],[Location 
(drop-down)]],'List source'!D$2:E$71,2,FALSE)</f>
        <v>130</v>
      </c>
      <c r="C553" s="178" t="s">
        <v>3378</v>
      </c>
      <c r="D553" s="21" t="str">
        <f t="shared" si="16"/>
        <v>PTO0552-130-25</v>
      </c>
      <c r="E553" s="9" t="s">
        <v>3379</v>
      </c>
      <c r="F553" s="10" t="s">
        <v>2952</v>
      </c>
      <c r="G5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3" s="136" t="s">
        <v>2190</v>
      </c>
      <c r="I553" s="12">
        <v>45841</v>
      </c>
      <c r="J553" s="12" t="s">
        <v>2074</v>
      </c>
      <c r="K553" s="63">
        <v>45841</v>
      </c>
      <c r="L553" s="37" t="s">
        <v>2592</v>
      </c>
      <c r="M553" s="10" t="str">
        <f t="shared" ca="1" si="17"/>
        <v>CLOSED</v>
      </c>
    </row>
    <row r="554" spans="1:13" ht="30" hidden="1" x14ac:dyDescent="0.25">
      <c r="A554" s="9" t="s">
        <v>153</v>
      </c>
      <c r="B554" s="19">
        <f>VLOOKUP(Table27[[#This Row],[Location 
(drop-down)]],'List source'!D$2:E$71,2,FALSE)</f>
        <v>110</v>
      </c>
      <c r="C554" s="178" t="s">
        <v>3380</v>
      </c>
      <c r="D554" s="21" t="str">
        <f t="shared" si="16"/>
        <v>PTO0553-110-25</v>
      </c>
      <c r="E554" s="9" t="s">
        <v>3381</v>
      </c>
      <c r="F554" s="10" t="str" cm="1">
        <f t="array" aca="1" ref="F5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4" s="136" t="s">
        <v>3382</v>
      </c>
      <c r="I554" s="12">
        <v>45845</v>
      </c>
      <c r="J554" s="12" t="s">
        <v>2074</v>
      </c>
      <c r="K554" s="63">
        <v>45845</v>
      </c>
      <c r="L554" s="37" t="s">
        <v>2592</v>
      </c>
      <c r="M554" s="10" t="str">
        <f t="shared" ca="1" si="17"/>
        <v>CLOSED</v>
      </c>
    </row>
    <row r="555" spans="1:13" ht="30" hidden="1" x14ac:dyDescent="0.25">
      <c r="A555" s="9" t="s">
        <v>94</v>
      </c>
      <c r="B555" s="19">
        <f>VLOOKUP(Table27[[#This Row],[Location 
(drop-down)]],'List source'!D$2:E$71,2,FALSE)</f>
        <v>120</v>
      </c>
      <c r="C555" s="178" t="s">
        <v>3383</v>
      </c>
      <c r="D555" s="21" t="str">
        <f t="shared" si="16"/>
        <v>PTO0554-120-25</v>
      </c>
      <c r="E555" s="9" t="s">
        <v>3384</v>
      </c>
      <c r="F555" s="10" t="str" cm="1">
        <f t="array" aca="1" ref="F5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5" s="10">
        <v>2.08</v>
      </c>
      <c r="I555" s="12">
        <v>45845</v>
      </c>
      <c r="J555" s="12" t="s">
        <v>2074</v>
      </c>
      <c r="K555" s="63">
        <v>45845</v>
      </c>
      <c r="L555" s="37" t="s">
        <v>2592</v>
      </c>
      <c r="M555" s="10" t="str">
        <f t="shared" ca="1" si="17"/>
        <v>CLOSED</v>
      </c>
    </row>
    <row r="556" spans="1:13" ht="30" hidden="1" x14ac:dyDescent="0.25">
      <c r="A556" s="9" t="s">
        <v>94</v>
      </c>
      <c r="B556" s="19">
        <f>VLOOKUP(Table27[[#This Row],[Location 
(drop-down)]],'List source'!D$2:E$71,2,FALSE)</f>
        <v>120</v>
      </c>
      <c r="C556" s="178" t="s">
        <v>3385</v>
      </c>
      <c r="D556" s="21" t="str">
        <f t="shared" si="16"/>
        <v>PTO0555-120-25</v>
      </c>
      <c r="E556" s="9" t="s">
        <v>3386</v>
      </c>
      <c r="F556" s="10" t="str" cm="1">
        <f t="array" aca="1" ref="F5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556" s="10">
        <v>18.809999999999999</v>
      </c>
      <c r="I556" s="12">
        <v>45845</v>
      </c>
      <c r="J556" s="12"/>
      <c r="K556" s="63"/>
      <c r="L556" s="37"/>
      <c r="M556" s="10">
        <f t="shared" ca="1" si="17"/>
        <v>232</v>
      </c>
    </row>
    <row r="557" spans="1:13" ht="18.75" hidden="1" x14ac:dyDescent="0.25">
      <c r="A557" s="9" t="s">
        <v>117</v>
      </c>
      <c r="B557" s="19">
        <f>VLOOKUP(Table27[[#This Row],[Location 
(drop-down)]],'List source'!D$2:E$71,2,FALSE)</f>
        <v>125</v>
      </c>
      <c r="C557" s="178" t="s">
        <v>3387</v>
      </c>
      <c r="D557" s="21" t="str">
        <f t="shared" si="16"/>
        <v>PTO0556-125-25</v>
      </c>
      <c r="E557" s="9" t="s">
        <v>3388</v>
      </c>
      <c r="F557" s="10" t="str" cm="1">
        <f t="array" aca="1" ref="F5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7" s="10">
        <v>11.63</v>
      </c>
      <c r="I557" s="12">
        <v>45845</v>
      </c>
      <c r="J557" s="12" t="s">
        <v>2074</v>
      </c>
      <c r="K557" s="63">
        <v>45846</v>
      </c>
      <c r="L557" s="37" t="s">
        <v>2079</v>
      </c>
      <c r="M557" s="10" t="str">
        <f t="shared" ca="1" si="17"/>
        <v>CLOSED</v>
      </c>
    </row>
    <row r="558" spans="1:13" ht="18.75" hidden="1" x14ac:dyDescent="0.25">
      <c r="A558" s="9" t="s">
        <v>117</v>
      </c>
      <c r="B558" s="19">
        <f>VLOOKUP(Table27[[#This Row],[Location 
(drop-down)]],'List source'!D$2:E$71,2,FALSE)</f>
        <v>125</v>
      </c>
      <c r="C558" s="178" t="s">
        <v>3389</v>
      </c>
      <c r="D558" s="21" t="str">
        <f t="shared" si="16"/>
        <v>PTO0557-125-25</v>
      </c>
      <c r="E558" s="9" t="s">
        <v>3390</v>
      </c>
      <c r="F558" s="10" t="str" cm="1">
        <f t="array" aca="1" ref="F5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558" s="10">
        <v>3.38</v>
      </c>
      <c r="I558" s="12">
        <v>45845</v>
      </c>
      <c r="J558" s="12"/>
      <c r="K558" s="63"/>
      <c r="L558" s="37"/>
      <c r="M558" s="10">
        <f t="shared" ca="1" si="17"/>
        <v>232</v>
      </c>
    </row>
    <row r="559" spans="1:13" ht="18.75" hidden="1" x14ac:dyDescent="0.25">
      <c r="A559" s="9" t="s">
        <v>156</v>
      </c>
      <c r="B559" s="19">
        <f>VLOOKUP(Table27[[#This Row],[Location 
(drop-down)]],'List source'!D$2:E$71,2,FALSE)</f>
        <v>130</v>
      </c>
      <c r="C559" s="178" t="s">
        <v>3391</v>
      </c>
      <c r="D559" s="21" t="str">
        <f t="shared" si="16"/>
        <v>PTO0558-130-25</v>
      </c>
      <c r="E559" s="9" t="s">
        <v>3390</v>
      </c>
      <c r="F559" s="10" t="str" cm="1">
        <f t="array" aca="1" ref="F5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559" s="10">
        <v>3.38</v>
      </c>
      <c r="I559" s="12">
        <v>45845</v>
      </c>
      <c r="J559" s="12" t="s">
        <v>2074</v>
      </c>
      <c r="K559" s="63">
        <v>45910</v>
      </c>
      <c r="L559" s="37"/>
      <c r="M559" s="10" t="str">
        <f t="shared" ca="1" si="17"/>
        <v>CLOSED</v>
      </c>
    </row>
    <row r="560" spans="1:13" ht="18.75" hidden="1" x14ac:dyDescent="0.25">
      <c r="A560" s="9" t="s">
        <v>14</v>
      </c>
      <c r="B560" s="19">
        <f>VLOOKUP(Table27[[#This Row],[Location 
(drop-down)]],'List source'!D$2:E$71,2,FALSE)</f>
        <v>131</v>
      </c>
      <c r="C560" s="178" t="s">
        <v>3392</v>
      </c>
      <c r="D560" s="21" t="str">
        <f t="shared" si="16"/>
        <v>PTO0559-131-25</v>
      </c>
      <c r="E560" s="9" t="s">
        <v>3393</v>
      </c>
      <c r="F560" s="10" t="str" cm="1">
        <f t="array" aca="1" ref="F5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0" s="10">
        <v>4.0599999999999996</v>
      </c>
      <c r="I560" s="12">
        <v>45845</v>
      </c>
      <c r="J560" s="12" t="s">
        <v>167</v>
      </c>
      <c r="K560" s="63">
        <v>46006</v>
      </c>
      <c r="L560" s="37"/>
      <c r="M560" s="10" t="str">
        <f t="shared" ca="1" si="17"/>
        <v>CLOSED</v>
      </c>
    </row>
    <row r="561" spans="1:13" ht="18.75" hidden="1" x14ac:dyDescent="0.25">
      <c r="A561" s="9" t="s">
        <v>211</v>
      </c>
      <c r="B561" s="19">
        <f>VLOOKUP(Table27[[#This Row],[Location 
(drop-down)]],'List source'!D$2:E$71,2,FALSE)</f>
        <v>132</v>
      </c>
      <c r="C561" s="178" t="s">
        <v>3394</v>
      </c>
      <c r="D561" s="21" t="str">
        <f t="shared" si="16"/>
        <v>PTO0560-132-25</v>
      </c>
      <c r="E561" s="9" t="s">
        <v>3395</v>
      </c>
      <c r="F561" s="10" t="str" cm="1">
        <f t="array" aca="1" ref="F5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 &amp; Density</v>
      </c>
      <c r="H561" s="136" t="s">
        <v>3396</v>
      </c>
      <c r="I561" s="12">
        <v>45845</v>
      </c>
      <c r="J561" s="12"/>
      <c r="K561" s="63">
        <v>45898</v>
      </c>
      <c r="L561" s="37"/>
      <c r="M561" s="10" t="str">
        <f t="shared" ca="1" si="17"/>
        <v>CLOSED</v>
      </c>
    </row>
    <row r="562" spans="1:13" ht="18.75" hidden="1" x14ac:dyDescent="0.25">
      <c r="A562" s="9" t="s">
        <v>211</v>
      </c>
      <c r="B562" s="19">
        <f>VLOOKUP(Table27[[#This Row],[Location 
(drop-down)]],'List source'!D$2:E$71,2,FALSE)</f>
        <v>132</v>
      </c>
      <c r="C562" s="178" t="s">
        <v>3397</v>
      </c>
      <c r="D562" s="21" t="str">
        <f t="shared" si="16"/>
        <v>PTO0561-132-25</v>
      </c>
      <c r="E562" s="71" t="s">
        <v>3398</v>
      </c>
      <c r="F562" s="10" t="str" cm="1">
        <f t="array" aca="1" ref="F5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2" s="201" t="s">
        <v>3399</v>
      </c>
      <c r="I562" s="12">
        <v>45845</v>
      </c>
      <c r="J562" s="12" t="s">
        <v>167</v>
      </c>
      <c r="K562" s="63">
        <v>45922</v>
      </c>
      <c r="L562" s="37"/>
      <c r="M562" s="10" t="str">
        <f t="shared" ca="1" si="17"/>
        <v>CLOSED</v>
      </c>
    </row>
    <row r="563" spans="1:13" ht="30" hidden="1" x14ac:dyDescent="0.25">
      <c r="A563" s="9" t="s">
        <v>257</v>
      </c>
      <c r="B563" s="19">
        <f>VLOOKUP(Table27[[#This Row],[Location 
(drop-down)]],'List source'!D$2:E$71,2,FALSE)</f>
        <v>144</v>
      </c>
      <c r="C563" s="178" t="s">
        <v>3400</v>
      </c>
      <c r="D563" s="21" t="str">
        <f t="shared" si="16"/>
        <v>PTO0562-144-25</v>
      </c>
      <c r="E563" s="286" t="s">
        <v>3401</v>
      </c>
      <c r="F563" s="10" t="str" cm="1">
        <f t="array" aca="1" ref="F5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3" s="319" t="s">
        <v>2476</v>
      </c>
      <c r="I563" s="12">
        <v>45845</v>
      </c>
      <c r="J563" s="12" t="s">
        <v>2074</v>
      </c>
      <c r="K563" s="63">
        <v>45845</v>
      </c>
      <c r="L563" s="37" t="s">
        <v>2592</v>
      </c>
      <c r="M563" s="10" t="str">
        <f t="shared" ca="1" si="17"/>
        <v>CLOSED</v>
      </c>
    </row>
    <row r="564" spans="1:13" ht="18.75" hidden="1" x14ac:dyDescent="0.25">
      <c r="A564" s="9" t="s">
        <v>86</v>
      </c>
      <c r="B564" s="19">
        <f>VLOOKUP(Table27[[#This Row],[Location 
(drop-down)]],'List source'!D$2:E$71,2,FALSE)</f>
        <v>150</v>
      </c>
      <c r="C564" s="178" t="s">
        <v>3402</v>
      </c>
      <c r="D564" s="21" t="str">
        <f t="shared" si="16"/>
        <v>PTO0563-150-25</v>
      </c>
      <c r="E564" s="133" t="s">
        <v>3403</v>
      </c>
      <c r="F564" s="10" t="str" cm="1">
        <f t="array" aca="1" ref="F5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4" s="180" t="s">
        <v>3098</v>
      </c>
      <c r="I564" s="12">
        <v>45845</v>
      </c>
      <c r="J564" s="12" t="s">
        <v>82</v>
      </c>
      <c r="K564" s="63">
        <v>46049</v>
      </c>
      <c r="L564" s="37"/>
      <c r="M564" s="10" t="str">
        <f t="shared" ca="1" si="17"/>
        <v>CLOSED</v>
      </c>
    </row>
    <row r="565" spans="1:13" ht="30" hidden="1" x14ac:dyDescent="0.25">
      <c r="A565" s="65" t="s">
        <v>46</v>
      </c>
      <c r="B565" s="19">
        <f>VLOOKUP(Table27[[#This Row],[Location 
(drop-down)]],'List source'!D$2:E$71,2,FALSE)</f>
        <v>155</v>
      </c>
      <c r="C565" s="178" t="s">
        <v>3404</v>
      </c>
      <c r="D565" s="21" t="str">
        <f t="shared" si="16"/>
        <v>PTO0564-155-25</v>
      </c>
      <c r="E565" s="9" t="s">
        <v>3405</v>
      </c>
      <c r="F565" s="10" t="str" cm="1">
        <f t="array" aca="1" ref="F5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65" s="136" t="s">
        <v>3406</v>
      </c>
      <c r="I565" s="12">
        <v>45845</v>
      </c>
      <c r="J565" s="12" t="s">
        <v>82</v>
      </c>
      <c r="K565" s="63">
        <v>45885</v>
      </c>
      <c r="L565" s="37"/>
      <c r="M565" s="10" t="str">
        <f t="shared" ca="1" si="17"/>
        <v>CLOSED</v>
      </c>
    </row>
    <row r="566" spans="1:13" ht="18.75" hidden="1" x14ac:dyDescent="0.25">
      <c r="A566" s="65" t="s">
        <v>46</v>
      </c>
      <c r="B566" s="19">
        <f>VLOOKUP(Table27[[#This Row],[Location 
(drop-down)]],'List source'!D$2:E$71,2,FALSE)</f>
        <v>155</v>
      </c>
      <c r="C566" s="178" t="s">
        <v>3407</v>
      </c>
      <c r="D566" s="21" t="str">
        <f t="shared" si="16"/>
        <v>PTO0565-155-25</v>
      </c>
      <c r="E566" s="9" t="s">
        <v>3408</v>
      </c>
      <c r="F566" s="10" t="str" cm="1">
        <f t="array" aca="1" ref="F5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566" s="10" t="s">
        <v>2400</v>
      </c>
      <c r="I566" s="12">
        <v>45845</v>
      </c>
      <c r="J566" s="12"/>
      <c r="K566" s="63"/>
      <c r="L566" s="37"/>
      <c r="M566" s="10">
        <f t="shared" ca="1" si="17"/>
        <v>232</v>
      </c>
    </row>
    <row r="567" spans="1:13" ht="30" hidden="1" x14ac:dyDescent="0.25">
      <c r="A567" s="9" t="s">
        <v>25</v>
      </c>
      <c r="B567" s="19">
        <f>VLOOKUP(Table27[[#This Row],[Location 
(drop-down)]],'List source'!D$2:E$71,2,FALSE)</f>
        <v>158</v>
      </c>
      <c r="C567" s="178" t="s">
        <v>3409</v>
      </c>
      <c r="D567" s="21" t="str">
        <f t="shared" si="16"/>
        <v>PTO0566-158-25</v>
      </c>
      <c r="E567" s="9" t="s">
        <v>3410</v>
      </c>
      <c r="F567" s="10" t="str" cm="1">
        <f t="array" aca="1" ref="F5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Mercaptan Sulfur</v>
      </c>
      <c r="H567" s="10">
        <v>2.5499999999999998</v>
      </c>
      <c r="I567" s="12">
        <v>45845</v>
      </c>
      <c r="J567" s="12" t="s">
        <v>2074</v>
      </c>
      <c r="K567" s="63">
        <v>45845</v>
      </c>
      <c r="L567" s="37" t="s">
        <v>2592</v>
      </c>
      <c r="M567" s="10" t="str">
        <f t="shared" ca="1" si="17"/>
        <v>CLOSED</v>
      </c>
    </row>
    <row r="568" spans="1:13" ht="30" hidden="1" x14ac:dyDescent="0.25">
      <c r="A568" s="9" t="s">
        <v>107</v>
      </c>
      <c r="B568" s="19">
        <f>VLOOKUP(Table27[[#This Row],[Location 
(drop-down)]],'List source'!D$2:E$71,2,FALSE)</f>
        <v>170</v>
      </c>
      <c r="C568" s="178" t="s">
        <v>3411</v>
      </c>
      <c r="D568" s="21" t="str">
        <f t="shared" si="16"/>
        <v>PTO0567-170-25</v>
      </c>
      <c r="E568" s="9" t="s">
        <v>3412</v>
      </c>
      <c r="F568" s="10" t="str" cm="1">
        <f t="array" aca="1" ref="F5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D6370 - HC Type</v>
      </c>
      <c r="H568" s="136">
        <v>2.61</v>
      </c>
      <c r="I568" s="12">
        <v>45845</v>
      </c>
      <c r="J568" s="12" t="s">
        <v>2074</v>
      </c>
      <c r="K568" s="63">
        <v>45845</v>
      </c>
      <c r="L568" s="37" t="s">
        <v>2592</v>
      </c>
      <c r="M568" s="10" t="str">
        <f t="shared" ca="1" si="17"/>
        <v>CLOSED</v>
      </c>
    </row>
    <row r="569" spans="1:13" ht="18.75" hidden="1" x14ac:dyDescent="0.25">
      <c r="A569" s="9" t="s">
        <v>287</v>
      </c>
      <c r="B569" s="19">
        <f>VLOOKUP(Table27[[#This Row],[Location 
(drop-down)]],'List source'!D$2:E$71,2,FALSE)</f>
        <v>180</v>
      </c>
      <c r="C569" s="178" t="s">
        <v>3413</v>
      </c>
      <c r="D569" s="21" t="str">
        <f t="shared" si="16"/>
        <v>PTO0568-180-25</v>
      </c>
      <c r="E569" s="9" t="s">
        <v>3414</v>
      </c>
      <c r="F569" s="10" t="str" cm="1">
        <f t="array" aca="1" ref="F5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569" s="10">
        <v>4.2</v>
      </c>
      <c r="I569" s="12">
        <v>45845</v>
      </c>
      <c r="J569" s="12"/>
      <c r="K569" s="63"/>
      <c r="L569" s="37"/>
      <c r="M569" s="10">
        <f t="shared" ca="1" si="17"/>
        <v>232</v>
      </c>
    </row>
    <row r="570" spans="1:13" ht="18.75" hidden="1" x14ac:dyDescent="0.25">
      <c r="A570" s="9" t="s">
        <v>287</v>
      </c>
      <c r="B570" s="19">
        <f>VLOOKUP(Table27[[#This Row],[Location 
(drop-down)]],'List source'!D$2:E$71,2,FALSE)</f>
        <v>180</v>
      </c>
      <c r="C570" s="178" t="s">
        <v>3415</v>
      </c>
      <c r="D570" s="21" t="str">
        <f t="shared" si="16"/>
        <v>PTO0569-180-25</v>
      </c>
      <c r="E570" s="9" t="s">
        <v>3416</v>
      </c>
      <c r="F570" s="10" t="str" cm="1">
        <f t="array" aca="1" ref="F5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570" s="10">
        <v>2.25</v>
      </c>
      <c r="I570" s="12">
        <v>45845</v>
      </c>
      <c r="J570" s="12"/>
      <c r="K570" s="63"/>
      <c r="L570" s="37"/>
      <c r="M570" s="10">
        <f t="shared" ca="1" si="17"/>
        <v>232</v>
      </c>
    </row>
    <row r="571" spans="1:13" ht="18.75" hidden="1" x14ac:dyDescent="0.25">
      <c r="A571" s="9" t="s">
        <v>220</v>
      </c>
      <c r="B571" s="19">
        <f>VLOOKUP(Table27[[#This Row],[Location 
(drop-down)]],'List source'!D$2:E$71,2,FALSE)</f>
        <v>197</v>
      </c>
      <c r="C571" s="178" t="s">
        <v>3417</v>
      </c>
      <c r="D571" s="21" t="str">
        <f t="shared" si="16"/>
        <v>PTO0570-197-25</v>
      </c>
      <c r="E571" s="9" t="s">
        <v>3418</v>
      </c>
      <c r="F571" s="10" t="str" cm="1">
        <f t="array" aca="1" ref="F5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1" s="136" t="s">
        <v>3419</v>
      </c>
      <c r="I571" s="12">
        <v>45845</v>
      </c>
      <c r="J571" s="12" t="s">
        <v>48</v>
      </c>
      <c r="K571" s="63">
        <v>46043</v>
      </c>
      <c r="L571" s="37"/>
      <c r="M571" s="10" t="str">
        <f t="shared" ca="1" si="17"/>
        <v>CLOSED</v>
      </c>
    </row>
    <row r="572" spans="1:13" ht="18.75" hidden="1" x14ac:dyDescent="0.25">
      <c r="A572" s="9" t="s">
        <v>220</v>
      </c>
      <c r="B572" s="19">
        <f>VLOOKUP(Table27[[#This Row],[Location 
(drop-down)]],'List source'!D$2:E$71,2,FALSE)</f>
        <v>197</v>
      </c>
      <c r="C572" s="178" t="s">
        <v>3420</v>
      </c>
      <c r="D572" s="21" t="str">
        <f t="shared" si="16"/>
        <v>PTO0571-197-25</v>
      </c>
      <c r="E572" s="9" t="s">
        <v>3421</v>
      </c>
      <c r="F572" s="10" t="str" cm="1">
        <f t="array" aca="1" ref="F5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72" s="136" t="s">
        <v>3422</v>
      </c>
      <c r="I572" s="12">
        <v>45845</v>
      </c>
      <c r="J572" s="12" t="s">
        <v>48</v>
      </c>
      <c r="K572" s="63">
        <v>45957</v>
      </c>
      <c r="L572" s="37"/>
      <c r="M572" s="10" t="str">
        <f t="shared" ca="1" si="17"/>
        <v>CLOSED</v>
      </c>
    </row>
    <row r="573" spans="1:13" ht="30" hidden="1" x14ac:dyDescent="0.25">
      <c r="A573" s="9" t="s">
        <v>105</v>
      </c>
      <c r="B573" s="19">
        <f>VLOOKUP(Table27[[#This Row],[Location 
(drop-down)]],'List source'!D$2:E$71,2,FALSE)</f>
        <v>215</v>
      </c>
      <c r="C573" s="178" t="s">
        <v>3423</v>
      </c>
      <c r="D573" s="21" t="str">
        <f t="shared" si="16"/>
        <v>PTO0572-215-25</v>
      </c>
      <c r="E573" s="9" t="s">
        <v>3424</v>
      </c>
      <c r="F573" s="10" t="str" cm="1">
        <f t="array" aca="1" ref="F5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73" s="136" t="s">
        <v>2500</v>
      </c>
      <c r="I573" s="12">
        <v>45845</v>
      </c>
      <c r="J573" s="12" t="s">
        <v>2074</v>
      </c>
      <c r="K573" s="63">
        <v>45845</v>
      </c>
      <c r="L573" s="37" t="s">
        <v>2592</v>
      </c>
      <c r="M573" s="10" t="str">
        <f t="shared" ca="1" si="17"/>
        <v>CLOSED</v>
      </c>
    </row>
    <row r="574" spans="1:13" ht="30" hidden="1" x14ac:dyDescent="0.25">
      <c r="A574" s="9" t="s">
        <v>156</v>
      </c>
      <c r="B574" s="19">
        <f>VLOOKUP(Table27[[#This Row],[Location 
(drop-down)]],'List source'!D$2:E$71,2,FALSE)</f>
        <v>130</v>
      </c>
      <c r="C574" s="178" t="s">
        <v>3425</v>
      </c>
      <c r="D574" s="21" t="str">
        <f t="shared" si="16"/>
        <v>PTO0573-130-25</v>
      </c>
      <c r="E574" s="9" t="s">
        <v>3426</v>
      </c>
      <c r="F574" s="10" t="s">
        <v>3044</v>
      </c>
      <c r="G5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574" s="10">
        <v>2.16</v>
      </c>
      <c r="I574" s="12">
        <v>45846</v>
      </c>
      <c r="J574" s="12" t="s">
        <v>2074</v>
      </c>
      <c r="K574" s="63">
        <v>45846</v>
      </c>
      <c r="L574" s="37" t="s">
        <v>2592</v>
      </c>
      <c r="M574" s="10" t="str">
        <f t="shared" ca="1" si="17"/>
        <v>CLOSED</v>
      </c>
    </row>
    <row r="575" spans="1:13" ht="30" hidden="1" x14ac:dyDescent="0.25">
      <c r="A575" s="9" t="s">
        <v>211</v>
      </c>
      <c r="B575" s="19">
        <f>VLOOKUP(Table27[[#This Row],[Location 
(drop-down)]],'List source'!D$2:E$71,2,FALSE)</f>
        <v>132</v>
      </c>
      <c r="C575" s="178" t="s">
        <v>3427</v>
      </c>
      <c r="D575" s="21" t="str">
        <f t="shared" si="16"/>
        <v>PTO0574-132-25</v>
      </c>
      <c r="E575" s="9" t="s">
        <v>3428</v>
      </c>
      <c r="F575" s="10" t="s">
        <v>3044</v>
      </c>
      <c r="G5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75" s="136" t="s">
        <v>3429</v>
      </c>
      <c r="I575" s="12">
        <v>45846</v>
      </c>
      <c r="J575" s="12"/>
      <c r="K575" s="63"/>
      <c r="L575" s="37" t="s">
        <v>3430</v>
      </c>
      <c r="M575" s="10">
        <f t="shared" ca="1" si="17"/>
        <v>231</v>
      </c>
    </row>
    <row r="576" spans="1:13" ht="30" hidden="1" x14ac:dyDescent="0.25">
      <c r="A576" s="9" t="s">
        <v>220</v>
      </c>
      <c r="B576" s="19">
        <f>VLOOKUP(Table27[[#This Row],[Location 
(drop-down)]],'List source'!D$2:E$71,2,FALSE)</f>
        <v>197</v>
      </c>
      <c r="C576" s="178" t="s">
        <v>3431</v>
      </c>
      <c r="D576" s="21" t="str">
        <f t="shared" si="16"/>
        <v>PTO0575-197-25</v>
      </c>
      <c r="E576" s="9" t="s">
        <v>3432</v>
      </c>
      <c r="F576" s="10" t="s">
        <v>3047</v>
      </c>
      <c r="G576" s="9" t="s">
        <v>3433</v>
      </c>
      <c r="H576" s="10">
        <v>2.16</v>
      </c>
      <c r="I576" s="12">
        <v>45846</v>
      </c>
      <c r="J576" s="12" t="s">
        <v>2074</v>
      </c>
      <c r="K576" s="63">
        <v>45846</v>
      </c>
      <c r="L576" s="37" t="s">
        <v>2592</v>
      </c>
      <c r="M576" s="10" t="str">
        <f t="shared" ca="1" si="17"/>
        <v>CLOSED</v>
      </c>
    </row>
    <row r="577" spans="1:13" ht="30" hidden="1" x14ac:dyDescent="0.25">
      <c r="A577" s="9" t="s">
        <v>99</v>
      </c>
      <c r="B577" s="19">
        <f>VLOOKUP(Table27[[#This Row],[Location 
(drop-down)]],'List source'!D$2:E$71,2,FALSE)</f>
        <v>198</v>
      </c>
      <c r="C577" s="178" t="s">
        <v>3434</v>
      </c>
      <c r="D577" s="21" t="str">
        <f t="shared" si="16"/>
        <v>PTO0576-198-25</v>
      </c>
      <c r="E577" s="9" t="s">
        <v>3435</v>
      </c>
      <c r="F577" s="10" t="s">
        <v>3047</v>
      </c>
      <c r="G5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SOR/97-493 - Benzene Emissions Number</v>
      </c>
      <c r="H577" s="136" t="s">
        <v>3436</v>
      </c>
      <c r="I577" s="12">
        <v>45846</v>
      </c>
      <c r="J577" s="12" t="s">
        <v>2074</v>
      </c>
      <c r="K577" s="63">
        <v>45846</v>
      </c>
      <c r="L577" s="37" t="s">
        <v>3437</v>
      </c>
      <c r="M577" s="10" t="str">
        <f t="shared" ca="1" si="17"/>
        <v>CLOSED</v>
      </c>
    </row>
    <row r="578" spans="1:13" ht="30" hidden="1" x14ac:dyDescent="0.25">
      <c r="A578" s="9" t="s">
        <v>220</v>
      </c>
      <c r="B578" s="19">
        <f>VLOOKUP(Table27[[#This Row],[Location 
(drop-down)]],'List source'!D$2:E$71,2,FALSE)</f>
        <v>197</v>
      </c>
      <c r="C578" s="178" t="s">
        <v>3438</v>
      </c>
      <c r="D578" s="21" t="str">
        <f t="shared" ref="D578:D641" si="18">"PTO" &amp; C578 &amp; "-" &amp; B578 &amp; "-" &amp; "25"</f>
        <v>PTO0577-197-25</v>
      </c>
      <c r="E578" s="9" t="s">
        <v>3439</v>
      </c>
      <c r="F578" s="10" t="s">
        <v>3062</v>
      </c>
      <c r="G5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8" s="10">
        <v>2.04</v>
      </c>
      <c r="I578" s="12">
        <v>45846</v>
      </c>
      <c r="J578" s="12" t="s">
        <v>2074</v>
      </c>
      <c r="K578" s="63">
        <v>45846</v>
      </c>
      <c r="L578" s="37" t="s">
        <v>2592</v>
      </c>
      <c r="M578" s="10" t="str">
        <f t="shared" ref="M578:M641" ca="1" si="19">IF(ISBLANK(K578), TODAY()-(I578), "CLOSED")</f>
        <v>CLOSED</v>
      </c>
    </row>
    <row r="579" spans="1:13" ht="30" hidden="1" x14ac:dyDescent="0.25">
      <c r="A579" s="9" t="s">
        <v>211</v>
      </c>
      <c r="B579" s="19">
        <f>VLOOKUP(Table27[[#This Row],[Location 
(drop-down)]],'List source'!D$2:E$71,2,FALSE)</f>
        <v>132</v>
      </c>
      <c r="C579" s="178" t="s">
        <v>3440</v>
      </c>
      <c r="D579" s="21" t="str">
        <f t="shared" si="18"/>
        <v>PTO0578-132-25</v>
      </c>
      <c r="E579" s="9" t="s">
        <v>3441</v>
      </c>
      <c r="F579" s="10" t="s">
        <v>3044</v>
      </c>
      <c r="G5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579" s="10">
        <v>2.21</v>
      </c>
      <c r="I579" s="12">
        <v>45846</v>
      </c>
      <c r="J579" s="12" t="s">
        <v>2074</v>
      </c>
      <c r="K579" s="63">
        <v>45846</v>
      </c>
      <c r="L579" s="37" t="s">
        <v>2592</v>
      </c>
      <c r="M579" s="10" t="str">
        <f t="shared" ca="1" si="19"/>
        <v>CLOSED</v>
      </c>
    </row>
    <row r="580" spans="1:13" ht="30" hidden="1" x14ac:dyDescent="0.25">
      <c r="A580" s="9" t="s">
        <v>151</v>
      </c>
      <c r="B580" s="19">
        <f>VLOOKUP(Table27[[#This Row],[Location 
(drop-down)]],'List source'!D$2:E$71,2,FALSE)</f>
        <v>115</v>
      </c>
      <c r="C580" s="178" t="s">
        <v>3442</v>
      </c>
      <c r="D580" s="21" t="str">
        <f t="shared" si="18"/>
        <v>PTO0579-115-25</v>
      </c>
      <c r="E580" s="9" t="s">
        <v>3443</v>
      </c>
      <c r="F580" s="10" t="str" cm="1">
        <f t="array" aca="1" ref="F5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80" s="136" t="s">
        <v>3444</v>
      </c>
      <c r="I580" s="12">
        <v>45847</v>
      </c>
      <c r="J580" s="12" t="s">
        <v>2074</v>
      </c>
      <c r="K580" s="63">
        <v>45847</v>
      </c>
      <c r="L580" s="37" t="s">
        <v>2592</v>
      </c>
      <c r="M580" s="10" t="str">
        <f t="shared" ca="1" si="19"/>
        <v>CLOSED</v>
      </c>
    </row>
    <row r="581" spans="1:13" ht="30" hidden="1" x14ac:dyDescent="0.25">
      <c r="A581" s="9" t="s">
        <v>94</v>
      </c>
      <c r="B581" s="19">
        <f>VLOOKUP(Table27[[#This Row],[Location 
(drop-down)]],'List source'!D$2:E$71,2,FALSE)</f>
        <v>120</v>
      </c>
      <c r="C581" s="178" t="s">
        <v>3445</v>
      </c>
      <c r="D581" s="21" t="str">
        <f t="shared" si="18"/>
        <v>PTO0580-120-25</v>
      </c>
      <c r="E581" s="71" t="s">
        <v>3446</v>
      </c>
      <c r="F581" s="10" t="str" cm="1">
        <f t="array" aca="1" ref="F5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581" s="201" t="s">
        <v>3447</v>
      </c>
      <c r="I581" s="12">
        <v>45847</v>
      </c>
      <c r="J581" s="12" t="s">
        <v>135</v>
      </c>
      <c r="K581" s="74">
        <v>45880</v>
      </c>
      <c r="L581" s="68"/>
      <c r="M581" s="10" t="str">
        <f t="shared" ca="1" si="19"/>
        <v>CLOSED</v>
      </c>
    </row>
    <row r="582" spans="1:13" ht="30" hidden="1" x14ac:dyDescent="0.25">
      <c r="A582" s="9" t="s">
        <v>94</v>
      </c>
      <c r="B582" s="19">
        <f>VLOOKUP(Table27[[#This Row],[Location 
(drop-down)]],'List source'!D$2:E$71,2,FALSE)</f>
        <v>120</v>
      </c>
      <c r="C582" s="178" t="s">
        <v>3448</v>
      </c>
      <c r="D582" s="21" t="str">
        <f t="shared" si="18"/>
        <v>PTO0581-120-25</v>
      </c>
      <c r="E582" s="9" t="s">
        <v>3449</v>
      </c>
      <c r="F582" s="10" t="str" cm="1">
        <f t="array" aca="1" ref="F5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82" s="136" t="s">
        <v>3450</v>
      </c>
      <c r="I582" s="12">
        <v>45847</v>
      </c>
      <c r="J582" s="12" t="s">
        <v>2074</v>
      </c>
      <c r="K582" s="63">
        <v>45847</v>
      </c>
      <c r="L582" s="37" t="s">
        <v>2592</v>
      </c>
      <c r="M582" s="10" t="str">
        <f t="shared" ca="1" si="19"/>
        <v>CLOSED</v>
      </c>
    </row>
    <row r="583" spans="1:13" ht="18.75" hidden="1" x14ac:dyDescent="0.25">
      <c r="A583" s="9" t="s">
        <v>177</v>
      </c>
      <c r="B583" s="19">
        <f>VLOOKUP(Table27[[#This Row],[Location 
(drop-down)]],'List source'!D$2:E$71,2,FALSE)</f>
        <v>126</v>
      </c>
      <c r="C583" s="178" t="s">
        <v>3451</v>
      </c>
      <c r="D583" s="21" t="str">
        <f t="shared" si="18"/>
        <v>PTO0582-126-25</v>
      </c>
      <c r="E583" s="9" t="s">
        <v>3452</v>
      </c>
      <c r="F583" s="10" t="str" cm="1">
        <f t="array" aca="1" ref="F5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583" s="136" t="s">
        <v>3453</v>
      </c>
      <c r="I583" s="12">
        <v>45847</v>
      </c>
      <c r="J583" s="12" t="s">
        <v>2074</v>
      </c>
      <c r="K583" s="63">
        <v>45867</v>
      </c>
      <c r="L583" s="37" t="s">
        <v>2079</v>
      </c>
      <c r="M583" s="10" t="str">
        <f t="shared" ca="1" si="19"/>
        <v>CLOSED</v>
      </c>
    </row>
    <row r="584" spans="1:13" ht="18.75" hidden="1" x14ac:dyDescent="0.25">
      <c r="A584" s="9" t="s">
        <v>177</v>
      </c>
      <c r="B584" s="19">
        <f>VLOOKUP(Table27[[#This Row],[Location 
(drop-down)]],'List source'!D$2:E$71,2,FALSE)</f>
        <v>126</v>
      </c>
      <c r="C584" s="178" t="s">
        <v>3454</v>
      </c>
      <c r="D584" s="21" t="str">
        <f t="shared" si="18"/>
        <v>PTO0583-126-25</v>
      </c>
      <c r="E584" s="9" t="s">
        <v>3455</v>
      </c>
      <c r="F584" s="10" t="str" cm="1">
        <f t="array" aca="1" ref="F5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84" s="136" t="s">
        <v>3456</v>
      </c>
      <c r="I584" s="12">
        <v>45847</v>
      </c>
      <c r="J584" s="12" t="s">
        <v>2074</v>
      </c>
      <c r="K584" s="63">
        <v>45867</v>
      </c>
      <c r="L584" s="37" t="s">
        <v>2079</v>
      </c>
      <c r="M584" s="10" t="str">
        <f t="shared" ca="1" si="19"/>
        <v>CLOSED</v>
      </c>
    </row>
    <row r="585" spans="1:13" ht="18.75" hidden="1" x14ac:dyDescent="0.25">
      <c r="A585" s="9" t="s">
        <v>177</v>
      </c>
      <c r="B585" s="19">
        <f>VLOOKUP(Table27[[#This Row],[Location 
(drop-down)]],'List source'!D$2:E$71,2,FALSE)</f>
        <v>126</v>
      </c>
      <c r="C585" s="178" t="s">
        <v>3457</v>
      </c>
      <c r="D585" s="21" t="str">
        <f t="shared" si="18"/>
        <v>PTO0584-126-25</v>
      </c>
      <c r="E585" s="9" t="s">
        <v>3458</v>
      </c>
      <c r="F585" s="10" t="str" cm="1">
        <f t="array" aca="1" ref="F5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585" s="136" t="s">
        <v>3459</v>
      </c>
      <c r="I585" s="12">
        <v>45847</v>
      </c>
      <c r="J585" s="12" t="s">
        <v>2074</v>
      </c>
      <c r="K585" s="63">
        <v>45867</v>
      </c>
      <c r="L585" s="37" t="s">
        <v>2079</v>
      </c>
      <c r="M585" s="10" t="str">
        <f t="shared" ca="1" si="19"/>
        <v>CLOSED</v>
      </c>
    </row>
    <row r="586" spans="1:13" ht="18.75" hidden="1" x14ac:dyDescent="0.25">
      <c r="A586" s="9" t="s">
        <v>177</v>
      </c>
      <c r="B586" s="19">
        <f>VLOOKUP(Table27[[#This Row],[Location 
(drop-down)]],'List source'!D$2:E$71,2,FALSE)</f>
        <v>126</v>
      </c>
      <c r="C586" s="178" t="s">
        <v>3460</v>
      </c>
      <c r="D586" s="21" t="str">
        <f t="shared" si="18"/>
        <v>PTO0585-126-25</v>
      </c>
      <c r="E586" s="9" t="s">
        <v>3461</v>
      </c>
      <c r="F586" s="10" t="str" cm="1">
        <f t="array" aca="1" ref="F5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586" s="10">
        <v>4.1900000000000004</v>
      </c>
      <c r="I586" s="12">
        <v>45847</v>
      </c>
      <c r="J586" s="12" t="s">
        <v>189</v>
      </c>
      <c r="K586" s="63">
        <v>45931</v>
      </c>
      <c r="L586" s="37"/>
      <c r="M586" s="10" t="str">
        <f t="shared" ca="1" si="19"/>
        <v>CLOSED</v>
      </c>
    </row>
    <row r="587" spans="1:13" ht="30" hidden="1" x14ac:dyDescent="0.25">
      <c r="A587" s="9" t="s">
        <v>156</v>
      </c>
      <c r="B587" s="19">
        <f>VLOOKUP(Table27[[#This Row],[Location 
(drop-down)]],'List source'!D$2:E$71,2,FALSE)</f>
        <v>130</v>
      </c>
      <c r="C587" s="178" t="s">
        <v>3462</v>
      </c>
      <c r="D587" s="21" t="str">
        <f t="shared" si="18"/>
        <v>PTO0586-130-25</v>
      </c>
      <c r="E587" s="9" t="s">
        <v>3463</v>
      </c>
      <c r="F587" s="10" t="str" cm="1">
        <f t="array" aca="1" ref="F5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587" s="136">
        <v>2.59</v>
      </c>
      <c r="I587" s="12">
        <v>45847</v>
      </c>
      <c r="J587" s="12" t="s">
        <v>2074</v>
      </c>
      <c r="K587" s="63">
        <v>45847</v>
      </c>
      <c r="L587" s="37" t="s">
        <v>2592</v>
      </c>
      <c r="M587" s="10" t="str">
        <f t="shared" ca="1" si="19"/>
        <v>CLOSED</v>
      </c>
    </row>
    <row r="588" spans="1:13" ht="30" hidden="1" x14ac:dyDescent="0.25">
      <c r="A588" s="9" t="s">
        <v>14</v>
      </c>
      <c r="B588" s="19">
        <f>VLOOKUP(Table27[[#This Row],[Location 
(drop-down)]],'List source'!D$2:E$71,2,FALSE)</f>
        <v>131</v>
      </c>
      <c r="C588" s="178" t="s">
        <v>3464</v>
      </c>
      <c r="D588" s="21" t="str">
        <f t="shared" si="18"/>
        <v>PTO0587-131-25</v>
      </c>
      <c r="E588" s="9" t="s">
        <v>3465</v>
      </c>
      <c r="F588" s="10" t="str" cm="1">
        <f t="array" aca="1" ref="F5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88" s="10" t="s">
        <v>3466</v>
      </c>
      <c r="I588" s="12">
        <v>45847</v>
      </c>
      <c r="J588" s="12" t="s">
        <v>2074</v>
      </c>
      <c r="K588" s="63">
        <v>45847</v>
      </c>
      <c r="L588" s="37" t="s">
        <v>2592</v>
      </c>
      <c r="M588" s="10" t="str">
        <f t="shared" ca="1" si="19"/>
        <v>CLOSED</v>
      </c>
    </row>
    <row r="589" spans="1:13" ht="18.75" hidden="1" x14ac:dyDescent="0.25">
      <c r="A589" s="9" t="s">
        <v>14</v>
      </c>
      <c r="B589" s="19">
        <f>VLOOKUP(Table27[[#This Row],[Location 
(drop-down)]],'List source'!D$2:E$71,2,FALSE)</f>
        <v>131</v>
      </c>
      <c r="C589" s="178" t="s">
        <v>3467</v>
      </c>
      <c r="D589" s="21" t="str">
        <f t="shared" si="18"/>
        <v>PTO0588-131-25</v>
      </c>
      <c r="E589" s="9" t="s">
        <v>3468</v>
      </c>
      <c r="F589" s="10" t="str" cm="1">
        <f t="array" aca="1" ref="F5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589" s="10">
        <v>9.1199999999999992</v>
      </c>
      <c r="I589" s="12">
        <v>45847</v>
      </c>
      <c r="J589" s="12" t="s">
        <v>167</v>
      </c>
      <c r="K589" s="63">
        <v>45971</v>
      </c>
      <c r="L589" s="37"/>
      <c r="M589" s="10" t="str">
        <f t="shared" ca="1" si="19"/>
        <v>CLOSED</v>
      </c>
    </row>
    <row r="590" spans="1:13" ht="18.75" hidden="1" x14ac:dyDescent="0.25">
      <c r="A590" s="9" t="s">
        <v>211</v>
      </c>
      <c r="B590" s="19">
        <f>VLOOKUP(Table27[[#This Row],[Location 
(drop-down)]],'List source'!D$2:E$71,2,FALSE)</f>
        <v>132</v>
      </c>
      <c r="C590" s="178" t="s">
        <v>3469</v>
      </c>
      <c r="D590" s="21" t="str">
        <f t="shared" si="18"/>
        <v>PTO0589-132-25</v>
      </c>
      <c r="E590" s="71" t="s">
        <v>3470</v>
      </c>
      <c r="F590" s="10" t="str" cm="1">
        <f t="array" aca="1" ref="F5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590" s="75">
        <v>2.48</v>
      </c>
      <c r="I590" s="12">
        <v>45847</v>
      </c>
      <c r="J590" s="12"/>
      <c r="K590" s="63"/>
      <c r="L590" s="37"/>
      <c r="M590" s="10">
        <f t="shared" ca="1" si="19"/>
        <v>230</v>
      </c>
    </row>
    <row r="591" spans="1:13" ht="18.75" hidden="1" x14ac:dyDescent="0.25">
      <c r="A591" s="9" t="s">
        <v>211</v>
      </c>
      <c r="B591" s="19">
        <f>VLOOKUP(Table27[[#This Row],[Location 
(drop-down)]],'List source'!D$2:E$71,2,FALSE)</f>
        <v>132</v>
      </c>
      <c r="C591" s="178" t="s">
        <v>3471</v>
      </c>
      <c r="D591" s="21" t="str">
        <f t="shared" si="18"/>
        <v>PTO0590-132-25</v>
      </c>
      <c r="E591" s="295" t="s">
        <v>3472</v>
      </c>
      <c r="F591" s="10" t="str" cm="1">
        <f t="array" aca="1" ref="F5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591" s="320">
        <v>2.13</v>
      </c>
      <c r="I591" s="12">
        <v>45847</v>
      </c>
      <c r="J591" s="12"/>
      <c r="K591" s="63"/>
      <c r="L591" s="37"/>
      <c r="M591" s="10">
        <f t="shared" ca="1" si="19"/>
        <v>230</v>
      </c>
    </row>
    <row r="592" spans="1:13" ht="18.75" hidden="1" x14ac:dyDescent="0.25">
      <c r="A592" s="9" t="s">
        <v>186</v>
      </c>
      <c r="B592" s="19">
        <f>VLOOKUP(Table27[[#This Row],[Location 
(drop-down)]],'List source'!D$2:E$71,2,FALSE)</f>
        <v>136</v>
      </c>
      <c r="C592" s="178" t="s">
        <v>3473</v>
      </c>
      <c r="D592" s="21" t="str">
        <f t="shared" si="18"/>
        <v>PTO0591-136-25</v>
      </c>
      <c r="E592" s="133" t="s">
        <v>3474</v>
      </c>
      <c r="F592" s="10" t="str" cm="1">
        <f t="array" aca="1" ref="F5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592" s="180" t="s">
        <v>2181</v>
      </c>
      <c r="I592" s="12">
        <v>45847</v>
      </c>
      <c r="J592" s="12" t="s">
        <v>109</v>
      </c>
      <c r="K592" s="63">
        <v>45931</v>
      </c>
      <c r="L592" s="37"/>
      <c r="M592" s="10" t="str">
        <f t="shared" ca="1" si="19"/>
        <v>CLOSED</v>
      </c>
    </row>
    <row r="593" spans="1:13" ht="18.75" hidden="1" x14ac:dyDescent="0.25">
      <c r="A593" s="9" t="s">
        <v>69</v>
      </c>
      <c r="B593" s="19">
        <f>VLOOKUP(Table27[[#This Row],[Location 
(drop-down)]],'List source'!D$2:E$71,2,FALSE)</f>
        <v>141</v>
      </c>
      <c r="C593" s="178" t="s">
        <v>3475</v>
      </c>
      <c r="D593" s="21" t="str">
        <f t="shared" si="18"/>
        <v>PTO0592-141-25</v>
      </c>
      <c r="E593" s="9" t="s">
        <v>3476</v>
      </c>
      <c r="F593" s="10" t="str" cm="1">
        <f t="array" aca="1" ref="F5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v>
      </c>
      <c r="H593" s="136">
        <v>2.67</v>
      </c>
      <c r="I593" s="12">
        <v>45847</v>
      </c>
      <c r="J593" s="12"/>
      <c r="K593" s="63"/>
      <c r="L593" s="37"/>
      <c r="M593" s="10">
        <f t="shared" ca="1" si="19"/>
        <v>230</v>
      </c>
    </row>
    <row r="594" spans="1:13" ht="18.75" hidden="1" x14ac:dyDescent="0.25">
      <c r="A594" s="9" t="s">
        <v>69</v>
      </c>
      <c r="B594" s="19">
        <f>VLOOKUP(Table27[[#This Row],[Location 
(drop-down)]],'List source'!D$2:E$71,2,FALSE)</f>
        <v>141</v>
      </c>
      <c r="C594" s="178" t="s">
        <v>3477</v>
      </c>
      <c r="D594" s="21" t="str">
        <f t="shared" si="18"/>
        <v>PTO0593-141-25</v>
      </c>
      <c r="E594" s="9" t="s">
        <v>3478</v>
      </c>
      <c r="F594" s="10" t="str" cm="1">
        <f t="array" aca="1" ref="F5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594" s="136" t="s">
        <v>3479</v>
      </c>
      <c r="I594" s="12">
        <v>45847</v>
      </c>
      <c r="J594" s="12" t="s">
        <v>2074</v>
      </c>
      <c r="K594" s="63">
        <v>45940</v>
      </c>
      <c r="L594" s="37" t="s">
        <v>2079</v>
      </c>
      <c r="M594" s="10" t="str">
        <f t="shared" ca="1" si="19"/>
        <v>CLOSED</v>
      </c>
    </row>
    <row r="595" spans="1:13" ht="30" hidden="1" x14ac:dyDescent="0.25">
      <c r="A595" s="9" t="s">
        <v>73</v>
      </c>
      <c r="B595" s="19">
        <f>VLOOKUP(Table27[[#This Row],[Location 
(drop-down)]],'List source'!D$2:E$71,2,FALSE)</f>
        <v>142</v>
      </c>
      <c r="C595" s="178" t="s">
        <v>3480</v>
      </c>
      <c r="D595" s="21" t="str">
        <f t="shared" si="18"/>
        <v>PTO0594-142-25</v>
      </c>
      <c r="E595" s="9" t="s">
        <v>3481</v>
      </c>
      <c r="F595" s="10" t="str" cm="1">
        <f t="array" aca="1" ref="F5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95" s="10">
        <v>2.14</v>
      </c>
      <c r="I595" s="12">
        <v>45847</v>
      </c>
      <c r="J595" s="12" t="s">
        <v>2074</v>
      </c>
      <c r="K595" s="63">
        <v>45847</v>
      </c>
      <c r="L595" s="37" t="s">
        <v>2592</v>
      </c>
      <c r="M595" s="10" t="str">
        <f t="shared" ca="1" si="19"/>
        <v>CLOSED</v>
      </c>
    </row>
    <row r="596" spans="1:13" ht="18.75" hidden="1" x14ac:dyDescent="0.25">
      <c r="A596" s="9" t="s">
        <v>73</v>
      </c>
      <c r="B596" s="19">
        <f>VLOOKUP(Table27[[#This Row],[Location 
(drop-down)]],'List source'!D$2:E$71,2,FALSE)</f>
        <v>142</v>
      </c>
      <c r="C596" s="178" t="s">
        <v>3482</v>
      </c>
      <c r="D596" s="21" t="str">
        <f t="shared" si="18"/>
        <v>PTO0595-142-25</v>
      </c>
      <c r="E596" s="9" t="s">
        <v>3478</v>
      </c>
      <c r="F596" s="10" t="str" cm="1">
        <f t="array" aca="1" ref="F5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596" s="136" t="s">
        <v>3483</v>
      </c>
      <c r="I596" s="12">
        <v>45847</v>
      </c>
      <c r="J596" s="12"/>
      <c r="K596" s="63"/>
      <c r="L596" s="37"/>
      <c r="M596" s="10">
        <f t="shared" ca="1" si="19"/>
        <v>230</v>
      </c>
    </row>
    <row r="597" spans="1:13" ht="30" hidden="1" x14ac:dyDescent="0.25">
      <c r="A597" s="9" t="s">
        <v>257</v>
      </c>
      <c r="B597" s="19">
        <f>VLOOKUP(Table27[[#This Row],[Location 
(drop-down)]],'List source'!D$2:E$71,2,FALSE)</f>
        <v>144</v>
      </c>
      <c r="C597" s="178" t="s">
        <v>3484</v>
      </c>
      <c r="D597" s="21" t="str">
        <f t="shared" si="18"/>
        <v>PTO0596-144-25</v>
      </c>
      <c r="E597" s="9" t="s">
        <v>3485</v>
      </c>
      <c r="F597" s="10" t="str" cm="1">
        <f t="array" aca="1" ref="F5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597" s="10">
        <v>3.09</v>
      </c>
      <c r="I597" s="12">
        <v>45847</v>
      </c>
      <c r="J597" s="12"/>
      <c r="K597" s="63"/>
      <c r="L597" s="37"/>
      <c r="M597" s="10">
        <f t="shared" ca="1" si="19"/>
        <v>230</v>
      </c>
    </row>
    <row r="598" spans="1:13" ht="18.75" hidden="1" x14ac:dyDescent="0.25">
      <c r="A598" s="9" t="s">
        <v>131</v>
      </c>
      <c r="B598" s="19">
        <f>VLOOKUP(Table27[[#This Row],[Location 
(drop-down)]],'List source'!D$2:E$71,2,FALSE)</f>
        <v>145</v>
      </c>
      <c r="C598" s="178" t="s">
        <v>3486</v>
      </c>
      <c r="D598" s="21" t="str">
        <f t="shared" si="18"/>
        <v>PTO0597-145-25</v>
      </c>
      <c r="E598" s="9" t="s">
        <v>3487</v>
      </c>
      <c r="F598" s="10" t="str" cm="1">
        <f t="array" aca="1" ref="F5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598" s="136">
        <v>2.4</v>
      </c>
      <c r="I598" s="12">
        <v>45847</v>
      </c>
      <c r="J598" s="12" t="s">
        <v>2074</v>
      </c>
      <c r="K598" s="63">
        <v>45866</v>
      </c>
      <c r="L598" s="37" t="s">
        <v>3437</v>
      </c>
      <c r="M598" s="10" t="str">
        <f t="shared" ca="1" si="19"/>
        <v>CLOSED</v>
      </c>
    </row>
    <row r="599" spans="1:13" ht="18.75" hidden="1" x14ac:dyDescent="0.25">
      <c r="A599" s="9" t="s">
        <v>58</v>
      </c>
      <c r="B599" s="19">
        <f>VLOOKUP(Table27[[#This Row],[Location 
(drop-down)]],'List source'!D$2:E$71,2,FALSE)</f>
        <v>146</v>
      </c>
      <c r="C599" s="178" t="s">
        <v>3488</v>
      </c>
      <c r="D599" s="21" t="str">
        <f t="shared" si="18"/>
        <v>PTO0598-146-25</v>
      </c>
      <c r="E599" s="9" t="s">
        <v>3489</v>
      </c>
      <c r="F599" s="10" t="str" cm="1">
        <f t="array" aca="1" ref="F5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5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99" s="136" t="s">
        <v>2492</v>
      </c>
      <c r="I599" s="12">
        <v>45847</v>
      </c>
      <c r="J599" s="12" t="s">
        <v>109</v>
      </c>
      <c r="K599" s="63">
        <v>46063</v>
      </c>
      <c r="L599" s="37"/>
      <c r="M599" s="10" t="str">
        <f t="shared" ca="1" si="19"/>
        <v>CLOSED</v>
      </c>
    </row>
    <row r="600" spans="1:13" ht="30" hidden="1" x14ac:dyDescent="0.25">
      <c r="A600" s="9" t="s">
        <v>86</v>
      </c>
      <c r="B600" s="19">
        <f>VLOOKUP(Table27[[#This Row],[Location 
(drop-down)]],'List source'!D$2:E$71,2,FALSE)</f>
        <v>150</v>
      </c>
      <c r="C600" s="178" t="s">
        <v>3490</v>
      </c>
      <c r="D600" s="21" t="str">
        <f t="shared" si="18"/>
        <v>PTO0599-150-25</v>
      </c>
      <c r="E600" s="9" t="s">
        <v>3491</v>
      </c>
      <c r="F600" s="10" t="str" cm="1">
        <f t="array" aca="1" ref="F6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00" s="10">
        <v>2.02</v>
      </c>
      <c r="I600" s="12">
        <v>45847</v>
      </c>
      <c r="J600" s="12" t="s">
        <v>2074</v>
      </c>
      <c r="K600" s="63">
        <v>45847</v>
      </c>
      <c r="L600" s="37" t="s">
        <v>2592</v>
      </c>
      <c r="M600" s="10" t="str">
        <f t="shared" ca="1" si="19"/>
        <v>CLOSED</v>
      </c>
    </row>
    <row r="601" spans="1:13" ht="18.75" hidden="1" x14ac:dyDescent="0.25">
      <c r="A601" s="9" t="s">
        <v>46</v>
      </c>
      <c r="B601" s="19">
        <f>VLOOKUP(Table27[[#This Row],[Location 
(drop-down)]],'List source'!D$2:E$71,2,FALSE)</f>
        <v>155</v>
      </c>
      <c r="C601" s="178" t="s">
        <v>3492</v>
      </c>
      <c r="D601" s="21" t="str">
        <f t="shared" si="18"/>
        <v>PTO0600-155-25</v>
      </c>
      <c r="E601" s="9" t="s">
        <v>3493</v>
      </c>
      <c r="F601" s="10" t="str" cm="1">
        <f t="array" aca="1" ref="F6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601" s="136" t="s">
        <v>3280</v>
      </c>
      <c r="I601" s="12">
        <v>45847</v>
      </c>
      <c r="J601" s="12"/>
      <c r="K601" s="63"/>
      <c r="L601" s="37"/>
      <c r="M601" s="10">
        <f t="shared" ca="1" si="19"/>
        <v>230</v>
      </c>
    </row>
    <row r="602" spans="1:13" ht="18.75" hidden="1" x14ac:dyDescent="0.25">
      <c r="A602" s="9" t="s">
        <v>46</v>
      </c>
      <c r="B602" s="19">
        <f>VLOOKUP(Table27[[#This Row],[Location 
(drop-down)]],'List source'!D$2:E$71,2,FALSE)</f>
        <v>155</v>
      </c>
      <c r="C602" s="178" t="s">
        <v>3494</v>
      </c>
      <c r="D602" s="21" t="str">
        <f t="shared" si="18"/>
        <v>PTO0601-155-25</v>
      </c>
      <c r="E602" s="9" t="s">
        <v>3495</v>
      </c>
      <c r="F602" s="10" t="str" cm="1">
        <f t="array" aca="1" ref="F6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602" s="10">
        <v>2.98</v>
      </c>
      <c r="I602" s="12">
        <v>45847</v>
      </c>
      <c r="J602" s="12" t="s">
        <v>18</v>
      </c>
      <c r="K602" s="63">
        <v>45880</v>
      </c>
      <c r="L602" s="37"/>
      <c r="M602" s="10" t="str">
        <f t="shared" ca="1" si="19"/>
        <v>CLOSED</v>
      </c>
    </row>
    <row r="603" spans="1:13" ht="30" hidden="1" x14ac:dyDescent="0.25">
      <c r="A603" s="9" t="s">
        <v>46</v>
      </c>
      <c r="B603" s="19">
        <f>VLOOKUP(Table27[[#This Row],[Location 
(drop-down)]],'List source'!D$2:E$71,2,FALSE)</f>
        <v>155</v>
      </c>
      <c r="C603" s="178" t="s">
        <v>3496</v>
      </c>
      <c r="D603" s="21" t="str">
        <f t="shared" si="18"/>
        <v>PTO0602-155-25</v>
      </c>
      <c r="E603" s="9" t="s">
        <v>3497</v>
      </c>
      <c r="F603" s="10" t="str" cm="1">
        <f t="array" aca="1" ref="F6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03" s="136" t="s">
        <v>3498</v>
      </c>
      <c r="I603" s="12">
        <v>45847</v>
      </c>
      <c r="J603" s="12" t="s">
        <v>82</v>
      </c>
      <c r="K603" s="63">
        <v>45885</v>
      </c>
      <c r="L603" s="37"/>
      <c r="M603" s="10" t="str">
        <f t="shared" ca="1" si="19"/>
        <v>CLOSED</v>
      </c>
    </row>
    <row r="604" spans="1:13" ht="18.75" hidden="1" x14ac:dyDescent="0.25">
      <c r="A604" s="9" t="s">
        <v>46</v>
      </c>
      <c r="B604" s="19">
        <f>VLOOKUP(Table27[[#This Row],[Location 
(drop-down)]],'List source'!D$2:E$71,2,FALSE)</f>
        <v>155</v>
      </c>
      <c r="C604" s="178" t="s">
        <v>3499</v>
      </c>
      <c r="D604" s="21" t="str">
        <f t="shared" si="18"/>
        <v>PTO0603-155-25</v>
      </c>
      <c r="E604" s="9" t="s">
        <v>3500</v>
      </c>
      <c r="F604" s="10" t="str" cm="1">
        <f t="array" aca="1" ref="F6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604" s="136" t="s">
        <v>2326</v>
      </c>
      <c r="I604" s="12">
        <v>45847</v>
      </c>
      <c r="J604" s="12" t="s">
        <v>82</v>
      </c>
      <c r="K604" s="63">
        <v>46065</v>
      </c>
      <c r="L604" s="37"/>
      <c r="M604" s="10" t="str">
        <f t="shared" ca="1" si="19"/>
        <v>CLOSED</v>
      </c>
    </row>
    <row r="605" spans="1:13" ht="18.75" hidden="1" x14ac:dyDescent="0.25">
      <c r="A605" s="9" t="s">
        <v>79</v>
      </c>
      <c r="B605" s="19">
        <f>VLOOKUP(Table27[[#This Row],[Location 
(drop-down)]],'List source'!D$2:E$71,2,FALSE)</f>
        <v>160</v>
      </c>
      <c r="C605" s="178" t="s">
        <v>3501</v>
      </c>
      <c r="D605" s="21" t="str">
        <f t="shared" si="18"/>
        <v>PTO0604-160-25</v>
      </c>
      <c r="E605" s="9" t="s">
        <v>3487</v>
      </c>
      <c r="F605" s="10" t="str" cm="1">
        <f t="array" aca="1" ref="F6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605" s="10">
        <v>2.4</v>
      </c>
      <c r="I605" s="12">
        <v>45847</v>
      </c>
      <c r="J605" s="12" t="s">
        <v>82</v>
      </c>
      <c r="K605" s="63">
        <v>46057</v>
      </c>
      <c r="L605" s="37"/>
      <c r="M605" s="10" t="str">
        <f t="shared" ca="1" si="19"/>
        <v>CLOSED</v>
      </c>
    </row>
    <row r="606" spans="1:13" ht="18.75" hidden="1" x14ac:dyDescent="0.25">
      <c r="A606" s="9" t="s">
        <v>79</v>
      </c>
      <c r="B606" s="19">
        <f>VLOOKUP(Table27[[#This Row],[Location 
(drop-down)]],'List source'!D$2:E$71,2,FALSE)</f>
        <v>160</v>
      </c>
      <c r="C606" s="178" t="s">
        <v>3502</v>
      </c>
      <c r="D606" s="21" t="str">
        <f t="shared" si="18"/>
        <v>PTO0605-160-25</v>
      </c>
      <c r="E606" s="9" t="s">
        <v>3503</v>
      </c>
      <c r="F606" s="10" t="str" cm="1">
        <f t="array" aca="1" ref="F6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6" s="136" t="s">
        <v>2377</v>
      </c>
      <c r="I606" s="12">
        <v>45847</v>
      </c>
      <c r="J606" s="12" t="s">
        <v>18</v>
      </c>
      <c r="K606" s="63">
        <v>45902</v>
      </c>
      <c r="L606" s="37"/>
      <c r="M606" s="10" t="str">
        <f t="shared" ca="1" si="19"/>
        <v>CLOSED</v>
      </c>
    </row>
    <row r="607" spans="1:13" ht="18.75" hidden="1" x14ac:dyDescent="0.25">
      <c r="A607" s="9" t="s">
        <v>79</v>
      </c>
      <c r="B607" s="19">
        <f>VLOOKUP(Table27[[#This Row],[Location 
(drop-down)]],'List source'!D$2:E$71,2,FALSE)</f>
        <v>160</v>
      </c>
      <c r="C607" s="178" t="s">
        <v>3504</v>
      </c>
      <c r="D607" s="21" t="str">
        <f t="shared" si="18"/>
        <v>PTO0606-160-25</v>
      </c>
      <c r="E607" s="9" t="s">
        <v>3505</v>
      </c>
      <c r="F607" s="10" t="str" cm="1">
        <f t="array" aca="1" ref="F6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607" s="136" t="s">
        <v>3004</v>
      </c>
      <c r="I607" s="12">
        <v>45847</v>
      </c>
      <c r="J607" s="12"/>
      <c r="K607" s="63"/>
      <c r="L607" s="37"/>
      <c r="M607" s="10">
        <f t="shared" ca="1" si="19"/>
        <v>230</v>
      </c>
    </row>
    <row r="608" spans="1:13" ht="30" hidden="1" x14ac:dyDescent="0.25">
      <c r="A608" s="9" t="s">
        <v>79</v>
      </c>
      <c r="B608" s="19">
        <f>VLOOKUP(Table27[[#This Row],[Location 
(drop-down)]],'List source'!D$2:E$71,2,FALSE)</f>
        <v>160</v>
      </c>
      <c r="C608" s="178" t="s">
        <v>3506</v>
      </c>
      <c r="D608" s="21" t="str">
        <f t="shared" si="18"/>
        <v>PTO0607-160-25</v>
      </c>
      <c r="E608" s="9" t="s">
        <v>3491</v>
      </c>
      <c r="F608" s="10" t="str" cm="1">
        <f t="array" aca="1" ref="F6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08" s="10">
        <v>2.02</v>
      </c>
      <c r="I608" s="12">
        <v>45847</v>
      </c>
      <c r="J608" s="12" t="s">
        <v>2074</v>
      </c>
      <c r="K608" s="63">
        <v>45847</v>
      </c>
      <c r="L608" s="37" t="s">
        <v>2592</v>
      </c>
      <c r="M608" s="10" t="str">
        <f t="shared" ca="1" si="19"/>
        <v>CLOSED</v>
      </c>
    </row>
    <row r="609" spans="1:13" ht="18.75" hidden="1" x14ac:dyDescent="0.25">
      <c r="A609" s="9" t="s">
        <v>79</v>
      </c>
      <c r="B609" s="19">
        <f>VLOOKUP(Table27[[#This Row],[Location 
(drop-down)]],'List source'!D$2:E$71,2,FALSE)</f>
        <v>160</v>
      </c>
      <c r="C609" s="178" t="s">
        <v>3507</v>
      </c>
      <c r="D609" s="21" t="str">
        <f t="shared" si="18"/>
        <v>PTO0608-160-25</v>
      </c>
      <c r="E609" s="9" t="s">
        <v>3508</v>
      </c>
      <c r="F609" s="10" t="str" cm="1">
        <f t="array" aca="1" ref="F6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v>
      </c>
      <c r="H609" s="136">
        <v>4.42</v>
      </c>
      <c r="I609" s="12">
        <v>45847</v>
      </c>
      <c r="J609" s="12" t="s">
        <v>18</v>
      </c>
      <c r="K609" s="63">
        <v>45980</v>
      </c>
      <c r="L609" s="37"/>
      <c r="M609" s="10" t="str">
        <f t="shared" ca="1" si="19"/>
        <v>CLOSED</v>
      </c>
    </row>
    <row r="610" spans="1:13" ht="18.75" hidden="1" x14ac:dyDescent="0.25">
      <c r="A610" s="9" t="s">
        <v>79</v>
      </c>
      <c r="B610" s="19">
        <f>VLOOKUP(Table27[[#This Row],[Location 
(drop-down)]],'List source'!D$2:E$71,2,FALSE)</f>
        <v>160</v>
      </c>
      <c r="C610" s="178" t="s">
        <v>3509</v>
      </c>
      <c r="D610" s="21" t="str">
        <f t="shared" si="18"/>
        <v>PTO0609-160-25</v>
      </c>
      <c r="E610" s="9" t="s">
        <v>3510</v>
      </c>
      <c r="F610" s="10" t="str" cm="1">
        <f t="array" aca="1" ref="F6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610" s="10">
        <v>3.79</v>
      </c>
      <c r="I610" s="12">
        <v>45847</v>
      </c>
      <c r="J610" s="12"/>
      <c r="K610" s="63"/>
      <c r="L610" s="37"/>
      <c r="M610" s="10">
        <f t="shared" ca="1" si="19"/>
        <v>230</v>
      </c>
    </row>
    <row r="611" spans="1:13" ht="18.75" hidden="1" x14ac:dyDescent="0.25">
      <c r="A611" s="9" t="s">
        <v>79</v>
      </c>
      <c r="B611" s="19">
        <f>VLOOKUP(Table27[[#This Row],[Location 
(drop-down)]],'List source'!D$2:E$71,2,FALSE)</f>
        <v>160</v>
      </c>
      <c r="C611" s="178" t="s">
        <v>3511</v>
      </c>
      <c r="D611" s="21" t="str">
        <f t="shared" si="18"/>
        <v>PTO0610-160-25</v>
      </c>
      <c r="E611" s="9" t="s">
        <v>3512</v>
      </c>
      <c r="F611" s="10" t="str" cm="1">
        <f t="array" aca="1" ref="F6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v>
      </c>
      <c r="H611" s="136" t="s">
        <v>3513</v>
      </c>
      <c r="I611" s="12">
        <v>45847</v>
      </c>
      <c r="J611" s="12" t="s">
        <v>82</v>
      </c>
      <c r="K611" s="63">
        <v>46057</v>
      </c>
      <c r="L611" s="37"/>
      <c r="M611" s="10" t="str">
        <f t="shared" ca="1" si="19"/>
        <v>CLOSED</v>
      </c>
    </row>
    <row r="612" spans="1:13" ht="18.75" hidden="1" x14ac:dyDescent="0.25">
      <c r="A612" s="9" t="s">
        <v>79</v>
      </c>
      <c r="B612" s="19">
        <f>VLOOKUP(Table27[[#This Row],[Location 
(drop-down)]],'List source'!D$2:E$71,2,FALSE)</f>
        <v>160</v>
      </c>
      <c r="C612" s="178" t="s">
        <v>3514</v>
      </c>
      <c r="D612" s="21" t="str">
        <f t="shared" si="18"/>
        <v>PTO0611-160-25</v>
      </c>
      <c r="E612" s="9" t="s">
        <v>3515</v>
      </c>
      <c r="F612" s="10" t="str" cm="1">
        <f t="array" aca="1" ref="F6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D1322 -Smoke Point</v>
      </c>
      <c r="H612" s="136" t="s">
        <v>2078</v>
      </c>
      <c r="I612" s="12">
        <v>45847</v>
      </c>
      <c r="J612" s="12" t="s">
        <v>18</v>
      </c>
      <c r="K612" s="63">
        <v>46021</v>
      </c>
      <c r="L612" s="37"/>
      <c r="M612" s="10" t="str">
        <f t="shared" ca="1" si="19"/>
        <v>CLOSED</v>
      </c>
    </row>
    <row r="613" spans="1:13" ht="18.75" hidden="1" x14ac:dyDescent="0.25">
      <c r="A613" s="9" t="s">
        <v>79</v>
      </c>
      <c r="B613" s="19">
        <f>VLOOKUP(Table27[[#This Row],[Location 
(drop-down)]],'List source'!D$2:E$71,2,FALSE)</f>
        <v>160</v>
      </c>
      <c r="C613" s="178" t="s">
        <v>3516</v>
      </c>
      <c r="D613" s="21" t="str">
        <f t="shared" si="18"/>
        <v>PTO0612-160-25</v>
      </c>
      <c r="E613" s="9" t="s">
        <v>3517</v>
      </c>
      <c r="F613" s="10" t="str" cm="1">
        <f t="array" aca="1" ref="F6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613" s="136">
        <v>2.8</v>
      </c>
      <c r="I613" s="12">
        <v>45847</v>
      </c>
      <c r="J613" s="12"/>
      <c r="K613" s="63"/>
      <c r="L613" s="37"/>
      <c r="M613" s="10">
        <f t="shared" ca="1" si="19"/>
        <v>230</v>
      </c>
    </row>
    <row r="614" spans="1:13" ht="18.75" x14ac:dyDescent="0.25">
      <c r="A614" s="9" t="s">
        <v>79</v>
      </c>
      <c r="B614" s="19">
        <f>VLOOKUP(Table27[[#This Row],[Location 
(drop-down)]],'List source'!D$2:E$71,2,FALSE)</f>
        <v>160</v>
      </c>
      <c r="C614" s="178" t="s">
        <v>3518</v>
      </c>
      <c r="D614" s="21" t="str">
        <f t="shared" si="18"/>
        <v>PTO0613-160-25</v>
      </c>
      <c r="E614" s="9" t="s">
        <v>3519</v>
      </c>
      <c r="F614" s="10" t="str" cm="1">
        <f t="array" aca="1" ref="F6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14" s="136" t="s">
        <v>3520</v>
      </c>
      <c r="I614" s="12">
        <v>45847</v>
      </c>
      <c r="J614" s="12" t="s">
        <v>18</v>
      </c>
      <c r="K614" s="63">
        <v>45938</v>
      </c>
      <c r="L614" s="37"/>
      <c r="M614" s="10" t="str">
        <f t="shared" ca="1" si="19"/>
        <v>CLOSED</v>
      </c>
    </row>
    <row r="615" spans="1:13" ht="18.75" hidden="1" x14ac:dyDescent="0.25">
      <c r="A615" s="9" t="s">
        <v>79</v>
      </c>
      <c r="B615" s="19">
        <f>VLOOKUP(Table27[[#This Row],[Location 
(drop-down)]],'List source'!D$2:E$71,2,FALSE)</f>
        <v>160</v>
      </c>
      <c r="C615" s="178" t="s">
        <v>3521</v>
      </c>
      <c r="D615" s="21" t="str">
        <f t="shared" si="18"/>
        <v>PTO0614-160-25</v>
      </c>
      <c r="E615" s="9" t="s">
        <v>3522</v>
      </c>
      <c r="F615" s="10" t="str" cm="1">
        <f t="array" aca="1" ref="F6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615" s="10">
        <v>3.4</v>
      </c>
      <c r="I615" s="12">
        <v>45847</v>
      </c>
      <c r="J615" s="12"/>
      <c r="K615" s="63"/>
      <c r="L615" s="37"/>
      <c r="M615" s="10">
        <f t="shared" ca="1" si="19"/>
        <v>230</v>
      </c>
    </row>
    <row r="616" spans="1:13" ht="18.75" hidden="1" x14ac:dyDescent="0.25">
      <c r="A616" s="9" t="s">
        <v>141</v>
      </c>
      <c r="B616" s="19">
        <f>VLOOKUP(Table27[[#This Row],[Location 
(drop-down)]],'List source'!D$2:E$71,2,FALSE)</f>
        <v>165</v>
      </c>
      <c r="C616" s="178" t="s">
        <v>3523</v>
      </c>
      <c r="D616" s="21" t="str">
        <f t="shared" si="18"/>
        <v>PTO0615-165-25</v>
      </c>
      <c r="E616" s="9" t="s">
        <v>3524</v>
      </c>
      <c r="F616" s="10" t="str" cm="1">
        <f t="array" aca="1" ref="F6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16" s="136" t="s">
        <v>3213</v>
      </c>
      <c r="I616" s="12">
        <v>45847</v>
      </c>
      <c r="J616" s="12" t="s">
        <v>82</v>
      </c>
      <c r="K616" s="63">
        <v>46064</v>
      </c>
      <c r="L616" s="37"/>
      <c r="M616" s="10" t="str">
        <f t="shared" ca="1" si="19"/>
        <v>CLOSED</v>
      </c>
    </row>
    <row r="617" spans="1:13" ht="30" hidden="1" x14ac:dyDescent="0.25">
      <c r="A617" s="9" t="s">
        <v>141</v>
      </c>
      <c r="B617" s="19">
        <f>VLOOKUP(Table27[[#This Row],[Location 
(drop-down)]],'List source'!D$2:E$71,2,FALSE)</f>
        <v>165</v>
      </c>
      <c r="C617" s="178" t="s">
        <v>3525</v>
      </c>
      <c r="D617" s="21" t="str">
        <f t="shared" si="18"/>
        <v>PTO0616-165-25</v>
      </c>
      <c r="E617" s="9" t="s">
        <v>3526</v>
      </c>
      <c r="F617" s="10" t="str" cm="1">
        <f t="array" aca="1" ref="F6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17" s="10" t="s">
        <v>3527</v>
      </c>
      <c r="I617" s="12">
        <v>45847</v>
      </c>
      <c r="J617" s="12"/>
      <c r="K617" s="63"/>
      <c r="L617" s="37"/>
      <c r="M617" s="10">
        <f t="shared" ca="1" si="19"/>
        <v>230</v>
      </c>
    </row>
    <row r="618" spans="1:13" ht="18.75" hidden="1" x14ac:dyDescent="0.25">
      <c r="A618" s="9" t="s">
        <v>141</v>
      </c>
      <c r="B618" s="19">
        <f>VLOOKUP(Table27[[#This Row],[Location 
(drop-down)]],'List source'!D$2:E$71,2,FALSE)</f>
        <v>165</v>
      </c>
      <c r="C618" s="178" t="s">
        <v>3528</v>
      </c>
      <c r="D618" s="21" t="str">
        <f t="shared" si="18"/>
        <v>PTO0617-165-25</v>
      </c>
      <c r="E618" s="9" t="s">
        <v>3529</v>
      </c>
      <c r="F618" s="10" t="str" cm="1">
        <f t="array" aca="1" ref="F6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618" s="10">
        <v>2.61</v>
      </c>
      <c r="I618" s="12">
        <v>45847</v>
      </c>
      <c r="J618" s="12"/>
      <c r="K618" s="63"/>
      <c r="L618" s="37"/>
      <c r="M618" s="10">
        <f t="shared" ca="1" si="19"/>
        <v>230</v>
      </c>
    </row>
    <row r="619" spans="1:13" ht="18.75" hidden="1" x14ac:dyDescent="0.25">
      <c r="A619" s="9" t="s">
        <v>141</v>
      </c>
      <c r="B619" s="19">
        <f>VLOOKUP(Table27[[#This Row],[Location 
(drop-down)]],'List source'!D$2:E$71,2,FALSE)</f>
        <v>165</v>
      </c>
      <c r="C619" s="178" t="s">
        <v>3530</v>
      </c>
      <c r="D619" s="21" t="str">
        <f t="shared" si="18"/>
        <v>PTO0618-165-25</v>
      </c>
      <c r="E619" s="9" t="s">
        <v>3531</v>
      </c>
      <c r="F619" s="10" t="str" cm="1">
        <f t="array" aca="1" ref="F6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v>
      </c>
      <c r="H619" s="136" t="s">
        <v>3532</v>
      </c>
      <c r="I619" s="12">
        <v>45847</v>
      </c>
      <c r="J619" s="12"/>
      <c r="K619" s="63"/>
      <c r="L619" s="37"/>
      <c r="M619" s="10">
        <f t="shared" ca="1" si="19"/>
        <v>230</v>
      </c>
    </row>
    <row r="620" spans="1:13" ht="18.75" hidden="1" x14ac:dyDescent="0.25">
      <c r="A620" s="9" t="s">
        <v>141</v>
      </c>
      <c r="B620" s="19">
        <f>VLOOKUP(Table27[[#This Row],[Location 
(drop-down)]],'List source'!D$2:E$71,2,FALSE)</f>
        <v>165</v>
      </c>
      <c r="C620" s="178" t="s">
        <v>3533</v>
      </c>
      <c r="D620" s="21" t="str">
        <f t="shared" si="18"/>
        <v>PTO0619-165-25</v>
      </c>
      <c r="E620" s="9" t="s">
        <v>3534</v>
      </c>
      <c r="F620" s="10" t="str" cm="1">
        <f t="array" aca="1" ref="F6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D1322 -Smoke Point</v>
      </c>
      <c r="H620" s="136" t="s">
        <v>2959</v>
      </c>
      <c r="I620" s="12">
        <v>45847</v>
      </c>
      <c r="J620" s="12"/>
      <c r="K620" s="63"/>
      <c r="L620" s="37"/>
      <c r="M620" s="10">
        <f t="shared" ca="1" si="19"/>
        <v>230</v>
      </c>
    </row>
    <row r="621" spans="1:13" ht="30" hidden="1" x14ac:dyDescent="0.25">
      <c r="A621" s="9" t="s">
        <v>107</v>
      </c>
      <c r="B621" s="19">
        <f>VLOOKUP(Table27[[#This Row],[Location 
(drop-down)]],'List source'!D$2:E$71,2,FALSE)</f>
        <v>170</v>
      </c>
      <c r="C621" s="178" t="s">
        <v>3535</v>
      </c>
      <c r="D621" s="21" t="str">
        <f t="shared" si="18"/>
        <v>PTO0620-170-25</v>
      </c>
      <c r="E621" s="9" t="s">
        <v>3536</v>
      </c>
      <c r="F621" s="10" t="str" cm="1">
        <f t="array" aca="1" ref="F6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21" s="136">
        <v>2.2799999999999998</v>
      </c>
      <c r="I621" s="12">
        <v>45847</v>
      </c>
      <c r="J621" s="12" t="s">
        <v>2074</v>
      </c>
      <c r="K621" s="63">
        <v>45847</v>
      </c>
      <c r="L621" s="37" t="s">
        <v>2592</v>
      </c>
      <c r="M621" s="10" t="str">
        <f t="shared" ca="1" si="19"/>
        <v>CLOSED</v>
      </c>
    </row>
    <row r="622" spans="1:13" ht="30" hidden="1" x14ac:dyDescent="0.25">
      <c r="A622" s="9" t="s">
        <v>107</v>
      </c>
      <c r="B622" s="19">
        <f>VLOOKUP(Table27[[#This Row],[Location 
(drop-down)]],'List source'!D$2:E$71,2,FALSE)</f>
        <v>170</v>
      </c>
      <c r="C622" s="178" t="s">
        <v>3537</v>
      </c>
      <c r="D622" s="21" t="str">
        <f t="shared" si="18"/>
        <v>PTO0621-170-25</v>
      </c>
      <c r="E622" s="9" t="s">
        <v>3538</v>
      </c>
      <c r="F622" s="10" t="str" cm="1">
        <f t="array" aca="1" ref="F6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622" s="10">
        <v>2.19</v>
      </c>
      <c r="I622" s="12">
        <v>45847</v>
      </c>
      <c r="J622" s="12" t="s">
        <v>109</v>
      </c>
      <c r="K622" s="63">
        <v>45870</v>
      </c>
      <c r="L622" s="37"/>
      <c r="M622" s="10" t="str">
        <f t="shared" ca="1" si="19"/>
        <v>CLOSED</v>
      </c>
    </row>
    <row r="623" spans="1:13" ht="30" hidden="1" x14ac:dyDescent="0.25">
      <c r="A623" s="9" t="s">
        <v>107</v>
      </c>
      <c r="B623" s="19">
        <f>VLOOKUP(Table27[[#This Row],[Location 
(drop-down)]],'List source'!D$2:E$71,2,FALSE)</f>
        <v>170</v>
      </c>
      <c r="C623" s="178" t="s">
        <v>3539</v>
      </c>
      <c r="D623" s="21" t="str">
        <f t="shared" si="18"/>
        <v>PTO0622-170-25</v>
      </c>
      <c r="E623" s="9" t="s">
        <v>3472</v>
      </c>
      <c r="F623" s="10" t="str" cm="1">
        <f t="array" aca="1" ref="F6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623" s="10">
        <v>2.13</v>
      </c>
      <c r="I623" s="12">
        <v>45847</v>
      </c>
      <c r="J623" s="12" t="s">
        <v>109</v>
      </c>
      <c r="K623" s="63">
        <v>45890</v>
      </c>
      <c r="L623" s="37"/>
      <c r="M623" s="10" t="str">
        <f t="shared" ca="1" si="19"/>
        <v>CLOSED</v>
      </c>
    </row>
    <row r="624" spans="1:13" ht="18.75" hidden="1" x14ac:dyDescent="0.25">
      <c r="A624" s="9" t="s">
        <v>287</v>
      </c>
      <c r="B624" s="19">
        <f>VLOOKUP(Table27[[#This Row],[Location 
(drop-down)]],'List source'!D$2:E$71,2,FALSE)</f>
        <v>180</v>
      </c>
      <c r="C624" s="178" t="s">
        <v>3540</v>
      </c>
      <c r="D624" s="21" t="str">
        <f t="shared" si="18"/>
        <v>PTO0623-180-25</v>
      </c>
      <c r="E624" s="9" t="s">
        <v>3487</v>
      </c>
      <c r="F624" s="10" t="str" cm="1">
        <f t="array" aca="1" ref="F6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624" s="10">
        <v>2.4</v>
      </c>
      <c r="I624" s="12">
        <v>45847</v>
      </c>
      <c r="J624" s="12" t="s">
        <v>48</v>
      </c>
      <c r="K624" s="63">
        <v>45876</v>
      </c>
      <c r="L624" s="37"/>
      <c r="M624" s="10" t="str">
        <f t="shared" ca="1" si="19"/>
        <v>CLOSED</v>
      </c>
    </row>
    <row r="625" spans="1:13" ht="18.75" hidden="1" x14ac:dyDescent="0.25">
      <c r="A625" s="9" t="s">
        <v>287</v>
      </c>
      <c r="B625" s="19">
        <f>VLOOKUP(Table27[[#This Row],[Location 
(drop-down)]],'List source'!D$2:E$71,2,FALSE)</f>
        <v>180</v>
      </c>
      <c r="C625" s="178" t="s">
        <v>3541</v>
      </c>
      <c r="D625" s="21" t="str">
        <f t="shared" si="18"/>
        <v>PTO0624-180-25</v>
      </c>
      <c r="E625" s="9" t="s">
        <v>3542</v>
      </c>
      <c r="F625" s="10" t="str" cm="1">
        <f t="array" aca="1" ref="F6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625" s="10">
        <v>21.9</v>
      </c>
      <c r="I625" s="12">
        <v>45847</v>
      </c>
      <c r="J625" s="12"/>
      <c r="K625" s="63"/>
      <c r="L625" s="37"/>
      <c r="M625" s="10">
        <f t="shared" ca="1" si="19"/>
        <v>230</v>
      </c>
    </row>
    <row r="626" spans="1:13" ht="18.75" hidden="1" x14ac:dyDescent="0.25">
      <c r="A626" s="9" t="s">
        <v>287</v>
      </c>
      <c r="B626" s="19">
        <f>VLOOKUP(Table27[[#This Row],[Location 
(drop-down)]],'List source'!D$2:E$71,2,FALSE)</f>
        <v>180</v>
      </c>
      <c r="C626" s="178" t="s">
        <v>3543</v>
      </c>
      <c r="D626" s="21" t="str">
        <f t="shared" si="18"/>
        <v>PTO0625-180-25</v>
      </c>
      <c r="E626" s="9" t="s">
        <v>3544</v>
      </c>
      <c r="F626" s="10" t="str" cm="1">
        <f t="array" aca="1" ref="F6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v>
      </c>
      <c r="H626" s="136">
        <v>100.5</v>
      </c>
      <c r="I626" s="12">
        <v>45847</v>
      </c>
      <c r="J626" s="12" t="s">
        <v>2074</v>
      </c>
      <c r="K626" s="63">
        <v>45869</v>
      </c>
      <c r="L626" s="37" t="s">
        <v>2079</v>
      </c>
      <c r="M626" s="10" t="str">
        <f t="shared" ca="1" si="19"/>
        <v>CLOSED</v>
      </c>
    </row>
    <row r="627" spans="1:13" ht="18.75" hidden="1" x14ac:dyDescent="0.25">
      <c r="A627" s="9" t="s">
        <v>287</v>
      </c>
      <c r="B627" s="19">
        <f>VLOOKUP(Table27[[#This Row],[Location 
(drop-down)]],'List source'!D$2:E$71,2,FALSE)</f>
        <v>180</v>
      </c>
      <c r="C627" s="178" t="s">
        <v>3545</v>
      </c>
      <c r="D627" s="21" t="str">
        <f t="shared" si="18"/>
        <v>PTO0626-180-25</v>
      </c>
      <c r="E627" s="9" t="s">
        <v>3546</v>
      </c>
      <c r="F627" s="10" t="str" cm="1">
        <f t="array" aca="1" ref="F6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D1322 -Smoke Point</v>
      </c>
      <c r="H627" s="136" t="s">
        <v>3547</v>
      </c>
      <c r="I627" s="12">
        <v>45847</v>
      </c>
      <c r="J627" s="12" t="s">
        <v>48</v>
      </c>
      <c r="K627" s="63">
        <v>45876</v>
      </c>
      <c r="L627" s="37"/>
      <c r="M627" s="10" t="str">
        <f t="shared" ca="1" si="19"/>
        <v>CLOSED</v>
      </c>
    </row>
    <row r="628" spans="1:13" ht="18.75" hidden="1" x14ac:dyDescent="0.25">
      <c r="A628" s="9" t="s">
        <v>338</v>
      </c>
      <c r="B628" s="19">
        <f>VLOOKUP(Table27[[#This Row],[Location 
(drop-down)]],'List source'!D$2:E$71,2,FALSE)</f>
        <v>191</v>
      </c>
      <c r="C628" s="178" t="s">
        <v>3548</v>
      </c>
      <c r="D628" s="21" t="str">
        <f t="shared" si="18"/>
        <v>PTO0627-191-25</v>
      </c>
      <c r="E628" s="9" t="s">
        <v>3549</v>
      </c>
      <c r="F628" s="10" t="str" cm="1">
        <f t="array" aca="1" ref="F6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28" s="10">
        <v>3.14</v>
      </c>
      <c r="I628" s="12">
        <v>45847</v>
      </c>
      <c r="J628" s="12" t="s">
        <v>109</v>
      </c>
      <c r="K628" s="63">
        <v>45939</v>
      </c>
      <c r="L628" s="37"/>
      <c r="M628" s="10" t="str">
        <f t="shared" ca="1" si="19"/>
        <v>CLOSED</v>
      </c>
    </row>
    <row r="629" spans="1:13" ht="18.75" hidden="1" x14ac:dyDescent="0.25">
      <c r="A629" s="9" t="s">
        <v>338</v>
      </c>
      <c r="B629" s="19">
        <f>VLOOKUP(Table27[[#This Row],[Location 
(drop-down)]],'List source'!D$2:E$71,2,FALSE)</f>
        <v>191</v>
      </c>
      <c r="C629" s="178" t="s">
        <v>3550</v>
      </c>
      <c r="D629" s="21" t="str">
        <f t="shared" si="18"/>
        <v>PTO0628-191-25</v>
      </c>
      <c r="E629" s="9" t="s">
        <v>3472</v>
      </c>
      <c r="F629" s="10" t="str" cm="1">
        <f t="array" aca="1" ref="F6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629" s="136">
        <v>2.13</v>
      </c>
      <c r="I629" s="12">
        <v>45847</v>
      </c>
      <c r="J629" s="12" t="s">
        <v>109</v>
      </c>
      <c r="K629" s="63">
        <v>45939</v>
      </c>
      <c r="L629" s="37"/>
      <c r="M629" s="10" t="str">
        <f t="shared" ca="1" si="19"/>
        <v>CLOSED</v>
      </c>
    </row>
    <row r="630" spans="1:13" ht="18.75" hidden="1" x14ac:dyDescent="0.25">
      <c r="A630" s="9" t="s">
        <v>220</v>
      </c>
      <c r="B630" s="19">
        <f>VLOOKUP(Table27[[#This Row],[Location 
(drop-down)]],'List source'!D$2:E$71,2,FALSE)</f>
        <v>197</v>
      </c>
      <c r="C630" s="178" t="s">
        <v>3551</v>
      </c>
      <c r="D630" s="21" t="str">
        <f t="shared" si="18"/>
        <v>PTO0629-197-25</v>
      </c>
      <c r="E630" s="9" t="s">
        <v>3552</v>
      </c>
      <c r="F630" s="10" t="str" cm="1">
        <f t="array" aca="1" ref="F6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630" s="10">
        <v>3.4</v>
      </c>
      <c r="I630" s="12">
        <v>45847</v>
      </c>
      <c r="J630" s="12" t="s">
        <v>27</v>
      </c>
      <c r="K630" s="63">
        <v>45981</v>
      </c>
      <c r="L630" s="37"/>
      <c r="M630" s="10" t="str">
        <f t="shared" ca="1" si="19"/>
        <v>CLOSED</v>
      </c>
    </row>
    <row r="631" spans="1:13" ht="30" hidden="1" x14ac:dyDescent="0.25">
      <c r="A631" s="9" t="s">
        <v>220</v>
      </c>
      <c r="B631" s="19">
        <f>VLOOKUP(Table27[[#This Row],[Location 
(drop-down)]],'List source'!D$2:E$71,2,FALSE)</f>
        <v>197</v>
      </c>
      <c r="C631" s="178" t="s">
        <v>3553</v>
      </c>
      <c r="D631" s="21" t="str">
        <f t="shared" si="18"/>
        <v>PTO0630-197-25</v>
      </c>
      <c r="E631" s="9" t="s">
        <v>3449</v>
      </c>
      <c r="F631" s="10" t="str" cm="1">
        <f t="array" aca="1" ref="F6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31" s="136">
        <v>2.14</v>
      </c>
      <c r="I631" s="12">
        <v>45847</v>
      </c>
      <c r="J631" s="12" t="s">
        <v>2074</v>
      </c>
      <c r="K631" s="63">
        <v>45847</v>
      </c>
      <c r="L631" s="37" t="s">
        <v>2592</v>
      </c>
      <c r="M631" s="10" t="str">
        <f t="shared" ca="1" si="19"/>
        <v>CLOSED</v>
      </c>
    </row>
    <row r="632" spans="1:13" ht="18.75" hidden="1" x14ac:dyDescent="0.25">
      <c r="A632" s="9" t="s">
        <v>37</v>
      </c>
      <c r="B632" s="19">
        <f>VLOOKUP(Table27[[#This Row],[Location 
(drop-down)]],'List source'!D$2:E$71,2,FALSE)</f>
        <v>210</v>
      </c>
      <c r="C632" s="178" t="s">
        <v>3554</v>
      </c>
      <c r="D632" s="21" t="str">
        <f t="shared" si="18"/>
        <v>PTO0631-210-25</v>
      </c>
      <c r="E632" s="9" t="s">
        <v>3476</v>
      </c>
      <c r="F632" s="10" t="str" cm="1">
        <f t="array" aca="1" ref="F6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v>
      </c>
      <c r="H632" s="136">
        <v>2.67</v>
      </c>
      <c r="I632" s="12">
        <v>45847</v>
      </c>
      <c r="J632" s="12" t="s">
        <v>252</v>
      </c>
      <c r="K632" s="63">
        <v>45940</v>
      </c>
      <c r="L632" s="37"/>
      <c r="M632" s="10" t="str">
        <f t="shared" ca="1" si="19"/>
        <v>CLOSED</v>
      </c>
    </row>
    <row r="633" spans="1:13" ht="18.75" hidden="1" x14ac:dyDescent="0.25">
      <c r="A633" s="9" t="s">
        <v>37</v>
      </c>
      <c r="B633" s="19">
        <f>VLOOKUP(Table27[[#This Row],[Location 
(drop-down)]],'List source'!D$2:E$71,2,FALSE)</f>
        <v>210</v>
      </c>
      <c r="C633" s="178" t="s">
        <v>3555</v>
      </c>
      <c r="D633" s="21" t="str">
        <f t="shared" si="18"/>
        <v>PTO0632-210-25</v>
      </c>
      <c r="E633" s="9" t="s">
        <v>3472</v>
      </c>
      <c r="F633" s="10" t="str" cm="1">
        <f t="array" aca="1" ref="F6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633" s="10">
        <v>2.13</v>
      </c>
      <c r="I633" s="12">
        <v>45847</v>
      </c>
      <c r="J633" s="12" t="s">
        <v>252</v>
      </c>
      <c r="K633" s="63">
        <v>46006</v>
      </c>
      <c r="L633" s="37"/>
      <c r="M633" s="10" t="str">
        <f t="shared" ca="1" si="19"/>
        <v>CLOSED</v>
      </c>
    </row>
    <row r="634" spans="1:13" ht="18.75" hidden="1" x14ac:dyDescent="0.25">
      <c r="A634" s="9" t="s">
        <v>105</v>
      </c>
      <c r="B634" s="19">
        <f>VLOOKUP(Table27[[#This Row],[Location 
(drop-down)]],'List source'!D$2:E$71,2,FALSE)</f>
        <v>215</v>
      </c>
      <c r="C634" s="178" t="s">
        <v>3556</v>
      </c>
      <c r="D634" s="21" t="str">
        <f t="shared" si="18"/>
        <v>PTO0633-215-25</v>
      </c>
      <c r="E634" s="9" t="s">
        <v>3487</v>
      </c>
      <c r="F634" s="10" t="str" cm="1">
        <f t="array" aca="1" ref="F6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634" s="10">
        <v>2.4</v>
      </c>
      <c r="I634" s="12">
        <v>45847</v>
      </c>
      <c r="J634" s="12" t="s">
        <v>252</v>
      </c>
      <c r="K634" s="63">
        <v>46009</v>
      </c>
      <c r="L634" s="37"/>
      <c r="M634" s="10" t="str">
        <f t="shared" ca="1" si="19"/>
        <v>CLOSED</v>
      </c>
    </row>
    <row r="635" spans="1:13" ht="18.75" hidden="1" x14ac:dyDescent="0.25">
      <c r="A635" s="9" t="s">
        <v>105</v>
      </c>
      <c r="B635" s="19">
        <f>VLOOKUP(Table27[[#This Row],[Location 
(drop-down)]],'List source'!D$2:E$71,2,FALSE)</f>
        <v>215</v>
      </c>
      <c r="C635" s="178" t="s">
        <v>3557</v>
      </c>
      <c r="D635" s="21" t="str">
        <f t="shared" si="18"/>
        <v>PTO0634-215-25</v>
      </c>
      <c r="E635" s="9" t="s">
        <v>3558</v>
      </c>
      <c r="F635" s="10" t="str" cm="1">
        <f t="array" aca="1" ref="F6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35" s="10">
        <v>5.07</v>
      </c>
      <c r="I635" s="12">
        <v>45847</v>
      </c>
      <c r="J635" s="12" t="s">
        <v>252</v>
      </c>
      <c r="K635" s="63">
        <v>45938</v>
      </c>
      <c r="L635" s="37"/>
      <c r="M635" s="10" t="str">
        <f t="shared" ca="1" si="19"/>
        <v>CLOSED</v>
      </c>
    </row>
    <row r="636" spans="1:13" ht="30" hidden="1" x14ac:dyDescent="0.25">
      <c r="A636" s="9" t="s">
        <v>105</v>
      </c>
      <c r="B636" s="19">
        <f>VLOOKUP(Table27[[#This Row],[Location 
(drop-down)]],'List source'!D$2:E$71,2,FALSE)</f>
        <v>215</v>
      </c>
      <c r="C636" s="178" t="s">
        <v>3559</v>
      </c>
      <c r="D636" s="21" t="str">
        <f t="shared" si="18"/>
        <v>PTO0635-215-25</v>
      </c>
      <c r="E636" s="9" t="s">
        <v>3560</v>
      </c>
      <c r="F636" s="10" t="str" cm="1">
        <f t="array" aca="1" ref="F6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36" s="136" t="s">
        <v>2400</v>
      </c>
      <c r="I636" s="12">
        <v>45847</v>
      </c>
      <c r="J636" s="12" t="s">
        <v>2074</v>
      </c>
      <c r="K636" s="63">
        <v>45847</v>
      </c>
      <c r="L636" s="37" t="s">
        <v>2592</v>
      </c>
      <c r="M636" s="10" t="str">
        <f t="shared" ca="1" si="19"/>
        <v>CLOSED</v>
      </c>
    </row>
    <row r="637" spans="1:13" ht="18.75" hidden="1" x14ac:dyDescent="0.25">
      <c r="A637" s="9" t="s">
        <v>105</v>
      </c>
      <c r="B637" s="19">
        <f>VLOOKUP(Table27[[#This Row],[Location 
(drop-down)]],'List source'!D$2:E$71,2,FALSE)</f>
        <v>215</v>
      </c>
      <c r="C637" s="178" t="s">
        <v>3561</v>
      </c>
      <c r="D637" s="21" t="str">
        <f t="shared" si="18"/>
        <v>PTO0636-215-25</v>
      </c>
      <c r="E637" s="9" t="s">
        <v>3562</v>
      </c>
      <c r="F637" s="10" t="str" cm="1">
        <f t="array" aca="1" ref="F6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637" s="10">
        <v>7.27</v>
      </c>
      <c r="I637" s="12">
        <v>45847</v>
      </c>
      <c r="J637" s="12" t="s">
        <v>252</v>
      </c>
      <c r="K637" s="63">
        <v>45889</v>
      </c>
      <c r="L637" s="37"/>
      <c r="M637" s="10" t="str">
        <f t="shared" ca="1" si="19"/>
        <v>CLOSED</v>
      </c>
    </row>
    <row r="638" spans="1:13" ht="18.75" hidden="1" x14ac:dyDescent="0.25">
      <c r="A638" s="9" t="s">
        <v>105</v>
      </c>
      <c r="B638" s="19">
        <f>VLOOKUP(Table27[[#This Row],[Location 
(drop-down)]],'List source'!D$2:E$71,2,FALSE)</f>
        <v>215</v>
      </c>
      <c r="C638" s="178" t="s">
        <v>3563</v>
      </c>
      <c r="D638" s="21" t="str">
        <f t="shared" si="18"/>
        <v>PTO0637-215-25</v>
      </c>
      <c r="E638" s="9" t="s">
        <v>3564</v>
      </c>
      <c r="F638" s="10" t="str" cm="1">
        <f t="array" aca="1" ref="F6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38" s="136" t="s">
        <v>3565</v>
      </c>
      <c r="I638" s="12">
        <v>45847</v>
      </c>
      <c r="J638" s="12" t="s">
        <v>252</v>
      </c>
      <c r="K638" s="63">
        <v>46035</v>
      </c>
      <c r="L638" s="37"/>
      <c r="M638" s="10" t="str">
        <f t="shared" ca="1" si="19"/>
        <v>CLOSED</v>
      </c>
    </row>
    <row r="639" spans="1:13" ht="18.75" hidden="1" x14ac:dyDescent="0.25">
      <c r="A639" s="9" t="s">
        <v>105</v>
      </c>
      <c r="B639" s="19">
        <f>VLOOKUP(Table27[[#This Row],[Location 
(drop-down)]],'List source'!D$2:E$71,2,FALSE)</f>
        <v>215</v>
      </c>
      <c r="C639" s="178" t="s">
        <v>3566</v>
      </c>
      <c r="D639" s="21" t="str">
        <f t="shared" si="18"/>
        <v>PTO0638-215-25</v>
      </c>
      <c r="E639" s="9" t="s">
        <v>3567</v>
      </c>
      <c r="F639" s="10" t="str" cm="1">
        <f t="array" aca="1" ref="F6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639" s="136">
        <v>47473.05</v>
      </c>
      <c r="I639" s="12">
        <v>45847</v>
      </c>
      <c r="J639" s="12" t="s">
        <v>252</v>
      </c>
      <c r="K639" s="63">
        <v>45975</v>
      </c>
      <c r="L639" s="37"/>
      <c r="M639" s="10" t="str">
        <f t="shared" ca="1" si="19"/>
        <v>CLOSED</v>
      </c>
    </row>
    <row r="640" spans="1:13" ht="18.75" hidden="1" x14ac:dyDescent="0.25">
      <c r="A640" s="9" t="s">
        <v>105</v>
      </c>
      <c r="B640" s="19">
        <f>VLOOKUP(Table27[[#This Row],[Location 
(drop-down)]],'List source'!D$2:E$71,2,FALSE)</f>
        <v>215</v>
      </c>
      <c r="C640" s="178" t="s">
        <v>3568</v>
      </c>
      <c r="D640" s="21" t="str">
        <f t="shared" si="18"/>
        <v>PTO0639-215-25</v>
      </c>
      <c r="E640" s="9" t="s">
        <v>3569</v>
      </c>
      <c r="F640" s="10" t="str" cm="1">
        <f t="array" aca="1" ref="F6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640" s="10">
        <v>19.38</v>
      </c>
      <c r="I640" s="12">
        <v>45847</v>
      </c>
      <c r="J640" s="12" t="s">
        <v>252</v>
      </c>
      <c r="K640" s="63">
        <v>46031</v>
      </c>
      <c r="L640" s="37"/>
      <c r="M640" s="10" t="str">
        <f t="shared" ca="1" si="19"/>
        <v>CLOSED</v>
      </c>
    </row>
    <row r="641" spans="1:13" ht="18.75" hidden="1" x14ac:dyDescent="0.25">
      <c r="A641" s="9" t="s">
        <v>105</v>
      </c>
      <c r="B641" s="19">
        <f>VLOOKUP(Table27[[#This Row],[Location 
(drop-down)]],'List source'!D$2:E$71,2,FALSE)</f>
        <v>215</v>
      </c>
      <c r="C641" s="178" t="s">
        <v>3570</v>
      </c>
      <c r="D641" s="21" t="str">
        <f t="shared" si="18"/>
        <v>PTO0640-215-25</v>
      </c>
      <c r="E641" s="9" t="s">
        <v>3571</v>
      </c>
      <c r="F641" s="10" t="str" cm="1">
        <f t="array" aca="1" ref="F6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v>
      </c>
      <c r="H641" s="136" t="s">
        <v>3572</v>
      </c>
      <c r="I641" s="12">
        <v>45847</v>
      </c>
      <c r="J641" s="12" t="s">
        <v>252</v>
      </c>
      <c r="K641" s="63">
        <v>45930</v>
      </c>
      <c r="L641" s="37"/>
      <c r="M641" s="10" t="str">
        <f t="shared" ca="1" si="19"/>
        <v>CLOSED</v>
      </c>
    </row>
    <row r="642" spans="1:13" ht="18.75" hidden="1" x14ac:dyDescent="0.25">
      <c r="A642" s="9" t="s">
        <v>105</v>
      </c>
      <c r="B642" s="19">
        <f>VLOOKUP(Table27[[#This Row],[Location 
(drop-down)]],'List source'!D$2:E$71,2,FALSE)</f>
        <v>215</v>
      </c>
      <c r="C642" s="178" t="s">
        <v>3573</v>
      </c>
      <c r="D642" s="21" t="str">
        <f t="shared" ref="D642:D705" si="20">"PTO" &amp; C642 &amp; "-" &amp; B642 &amp; "-" &amp; "25"</f>
        <v>PTO0641-215-25</v>
      </c>
      <c r="E642" s="9" t="s">
        <v>3478</v>
      </c>
      <c r="F642" s="10" t="str" cm="1">
        <f t="array" aca="1" ref="F6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642" s="136" t="s">
        <v>3483</v>
      </c>
      <c r="I642" s="12">
        <v>45847</v>
      </c>
      <c r="J642" s="12" t="s">
        <v>252</v>
      </c>
      <c r="K642" s="63">
        <v>45911</v>
      </c>
      <c r="L642" s="37"/>
      <c r="M642" s="10" t="str">
        <f t="shared" ref="M642:M705" ca="1" si="21">IF(ISBLANK(K642), TODAY()-(I642), "CLOSED")</f>
        <v>CLOSED</v>
      </c>
    </row>
    <row r="643" spans="1:13" ht="18.75" hidden="1" x14ac:dyDescent="0.25">
      <c r="A643" s="9" t="s">
        <v>105</v>
      </c>
      <c r="B643" s="19">
        <f>VLOOKUP(Table27[[#This Row],[Location 
(drop-down)]],'List source'!D$2:E$71,2,FALSE)</f>
        <v>215</v>
      </c>
      <c r="C643" s="178" t="s">
        <v>3574</v>
      </c>
      <c r="D643" s="21" t="str">
        <f t="shared" si="20"/>
        <v>PTO0642-215-25</v>
      </c>
      <c r="E643" s="9" t="s">
        <v>3575</v>
      </c>
      <c r="F643" s="10" t="str" cm="1">
        <f t="array" aca="1" ref="F6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643" s="10">
        <v>2.5</v>
      </c>
      <c r="I643" s="12">
        <v>45847</v>
      </c>
      <c r="J643" s="12" t="s">
        <v>252</v>
      </c>
      <c r="K643" s="63">
        <v>46031</v>
      </c>
      <c r="L643" s="37"/>
      <c r="M643" s="10" t="str">
        <f t="shared" ca="1" si="21"/>
        <v>CLOSED</v>
      </c>
    </row>
    <row r="644" spans="1:13" ht="30" hidden="1" x14ac:dyDescent="0.25">
      <c r="A644" s="9" t="s">
        <v>105</v>
      </c>
      <c r="B644" s="19">
        <f>VLOOKUP(Table27[[#This Row],[Location 
(drop-down)]],'List source'!D$2:E$71,2,FALSE)</f>
        <v>215</v>
      </c>
      <c r="C644" s="178" t="s">
        <v>3576</v>
      </c>
      <c r="D644" s="21" t="str">
        <f t="shared" si="20"/>
        <v>PTO0643-215-25</v>
      </c>
      <c r="E644" s="9" t="s">
        <v>3577</v>
      </c>
      <c r="F644" s="10" t="str" cm="1">
        <f t="array" aca="1" ref="F6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6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644" s="136" t="s">
        <v>3578</v>
      </c>
      <c r="I644" s="12">
        <v>45847</v>
      </c>
      <c r="J644" s="12" t="s">
        <v>252</v>
      </c>
      <c r="K644" s="63">
        <v>45911</v>
      </c>
      <c r="L644" s="37"/>
      <c r="M644" s="10" t="str">
        <f t="shared" ca="1" si="21"/>
        <v>CLOSED</v>
      </c>
    </row>
    <row r="645" spans="1:13" ht="18.75" hidden="1" x14ac:dyDescent="0.25">
      <c r="A645" s="9" t="s">
        <v>25</v>
      </c>
      <c r="B645" s="19">
        <f>VLOOKUP(Table27[[#This Row],[Location 
(drop-down)]],'List source'!D$2:E$71,2,FALSE)</f>
        <v>158</v>
      </c>
      <c r="C645" s="178" t="s">
        <v>3579</v>
      </c>
      <c r="D645" s="21" t="str">
        <f t="shared" si="20"/>
        <v>PTO0644-158-25</v>
      </c>
      <c r="E645" s="9" t="s">
        <v>3580</v>
      </c>
      <c r="F645" s="10" t="s">
        <v>2664</v>
      </c>
      <c r="G6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645" s="136" t="s">
        <v>3581</v>
      </c>
      <c r="I645" s="12">
        <v>45848</v>
      </c>
      <c r="J645" s="12" t="s">
        <v>82</v>
      </c>
      <c r="K645" s="63">
        <v>45958</v>
      </c>
      <c r="L645" s="37"/>
      <c r="M645" s="10" t="str">
        <f t="shared" ca="1" si="21"/>
        <v>CLOSED</v>
      </c>
    </row>
    <row r="646" spans="1:13" ht="30" hidden="1" x14ac:dyDescent="0.25">
      <c r="A646" s="9" t="s">
        <v>79</v>
      </c>
      <c r="B646" s="19">
        <f>VLOOKUP(Table27[[#This Row],[Location 
(drop-down)]],'List source'!D$2:E$71,2,FALSE)</f>
        <v>160</v>
      </c>
      <c r="C646" s="178" t="s">
        <v>3582</v>
      </c>
      <c r="D646" s="21" t="str">
        <f t="shared" si="20"/>
        <v>PTO0645-160-25</v>
      </c>
      <c r="E646" s="9" t="s">
        <v>3583</v>
      </c>
      <c r="F646" s="10" t="s">
        <v>2664</v>
      </c>
      <c r="G6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46" s="136">
        <v>2</v>
      </c>
      <c r="I646" s="12">
        <v>45848</v>
      </c>
      <c r="J646" s="12" t="s">
        <v>2074</v>
      </c>
      <c r="K646" s="63">
        <v>45848</v>
      </c>
      <c r="L646" s="37" t="s">
        <v>2592</v>
      </c>
      <c r="M646" s="10" t="str">
        <f t="shared" ca="1" si="21"/>
        <v>CLOSED</v>
      </c>
    </row>
    <row r="647" spans="1:13" ht="18.75" hidden="1" x14ac:dyDescent="0.25">
      <c r="A647" s="9" t="s">
        <v>14</v>
      </c>
      <c r="B647" s="19">
        <f>VLOOKUP(Table27[[#This Row],[Location 
(drop-down)]],'List source'!D$2:E$71,2,FALSE)</f>
        <v>131</v>
      </c>
      <c r="C647" s="178" t="s">
        <v>3584</v>
      </c>
      <c r="D647" s="21" t="str">
        <f t="shared" si="20"/>
        <v>PTO0646-131-25</v>
      </c>
      <c r="E647" s="9" t="s">
        <v>3585</v>
      </c>
      <c r="F647" s="10" t="str" cm="1">
        <f t="array" aca="1" ref="F6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BO</v>
      </c>
      <c r="G6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47" s="10" t="s">
        <v>3586</v>
      </c>
      <c r="I647" s="12">
        <v>45849</v>
      </c>
      <c r="J647" s="12" t="s">
        <v>167</v>
      </c>
      <c r="K647" s="63">
        <v>45957</v>
      </c>
      <c r="L647" s="37"/>
      <c r="M647" s="10" t="str">
        <f t="shared" ca="1" si="21"/>
        <v>CLOSED</v>
      </c>
    </row>
    <row r="648" spans="1:13" ht="18.75" hidden="1" x14ac:dyDescent="0.25">
      <c r="A648" s="9" t="s">
        <v>156</v>
      </c>
      <c r="B648" s="19">
        <f>VLOOKUP(Table27[[#This Row],[Location 
(drop-down)]],'List source'!D$2:E$71,2,FALSE)</f>
        <v>130</v>
      </c>
      <c r="C648" s="178" t="s">
        <v>3587</v>
      </c>
      <c r="D648" s="21" t="str">
        <f t="shared" si="20"/>
        <v>PTO0647-130-25</v>
      </c>
      <c r="E648" s="9" t="s">
        <v>3588</v>
      </c>
      <c r="F648" s="10" t="s">
        <v>2952</v>
      </c>
      <c r="G6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648" s="136">
        <v>2.23</v>
      </c>
      <c r="I648" s="12">
        <v>45849</v>
      </c>
      <c r="J648" s="12" t="s">
        <v>167</v>
      </c>
      <c r="K648" s="63">
        <v>45924</v>
      </c>
      <c r="L648" s="37"/>
      <c r="M648" s="10" t="str">
        <f t="shared" ca="1" si="21"/>
        <v>CLOSED</v>
      </c>
    </row>
    <row r="649" spans="1:13" ht="30" hidden="1" x14ac:dyDescent="0.25">
      <c r="A649" s="9" t="s">
        <v>156</v>
      </c>
      <c r="B649" s="19">
        <f>VLOOKUP(Table27[[#This Row],[Location 
(drop-down)]],'List source'!D$2:E$71,2,FALSE)</f>
        <v>130</v>
      </c>
      <c r="C649" s="178" t="s">
        <v>3589</v>
      </c>
      <c r="D649" s="21" t="str">
        <f t="shared" si="20"/>
        <v>PTO0648-130-25</v>
      </c>
      <c r="E649" s="9" t="s">
        <v>3590</v>
      </c>
      <c r="F649" s="10" t="s">
        <v>2952</v>
      </c>
      <c r="G6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649" s="136">
        <v>2.13</v>
      </c>
      <c r="I649" s="12">
        <v>45849</v>
      </c>
      <c r="J649" s="12" t="s">
        <v>2074</v>
      </c>
      <c r="K649" s="63">
        <v>45972</v>
      </c>
      <c r="L649" s="37" t="s">
        <v>2592</v>
      </c>
      <c r="M649" s="10" t="str">
        <f t="shared" ca="1" si="21"/>
        <v>CLOSED</v>
      </c>
    </row>
    <row r="650" spans="1:13" ht="30" hidden="1" x14ac:dyDescent="0.25">
      <c r="A650" s="9" t="s">
        <v>211</v>
      </c>
      <c r="B650" s="19">
        <f>VLOOKUP(Table27[[#This Row],[Location 
(drop-down)]],'List source'!D$2:E$71,2,FALSE)</f>
        <v>132</v>
      </c>
      <c r="C650" s="178" t="s">
        <v>3591</v>
      </c>
      <c r="D650" s="21" t="str">
        <f t="shared" si="20"/>
        <v>PTO0649-132-25</v>
      </c>
      <c r="E650" s="9" t="s">
        <v>3592</v>
      </c>
      <c r="F650" s="10" t="s">
        <v>2952</v>
      </c>
      <c r="G6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0" s="136" t="s">
        <v>3593</v>
      </c>
      <c r="I650" s="12">
        <v>45849</v>
      </c>
      <c r="J650" s="12" t="s">
        <v>2074</v>
      </c>
      <c r="K650" s="63">
        <v>45849</v>
      </c>
      <c r="L650" s="37" t="s">
        <v>2592</v>
      </c>
      <c r="M650" s="10" t="str">
        <f t="shared" ca="1" si="21"/>
        <v>CLOSED</v>
      </c>
    </row>
    <row r="651" spans="1:13" ht="30" hidden="1" x14ac:dyDescent="0.25">
      <c r="A651" s="9" t="s">
        <v>179</v>
      </c>
      <c r="B651" s="19">
        <f>VLOOKUP(Table27[[#This Row],[Location 
(drop-down)]],'List source'!D$2:E$71,2,FALSE)</f>
        <v>189</v>
      </c>
      <c r="C651" s="178" t="s">
        <v>3594</v>
      </c>
      <c r="D651" s="21" t="str">
        <f t="shared" si="20"/>
        <v>PTO0650-189-25</v>
      </c>
      <c r="E651" s="9" t="s">
        <v>3595</v>
      </c>
      <c r="F651" s="10" t="s">
        <v>3047</v>
      </c>
      <c r="G6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Gums</v>
      </c>
      <c r="H651" s="136" t="s">
        <v>2284</v>
      </c>
      <c r="I651" s="12">
        <v>45849</v>
      </c>
      <c r="J651" s="12" t="s">
        <v>2074</v>
      </c>
      <c r="K651" s="63">
        <v>45849</v>
      </c>
      <c r="L651" s="37" t="s">
        <v>2592</v>
      </c>
      <c r="M651" s="10" t="str">
        <f t="shared" ca="1" si="21"/>
        <v>CLOSED</v>
      </c>
    </row>
    <row r="652" spans="1:13" ht="18.75" hidden="1" x14ac:dyDescent="0.25">
      <c r="A652" s="9" t="s">
        <v>179</v>
      </c>
      <c r="B652" s="19">
        <f>VLOOKUP(Table27[[#This Row],[Location 
(drop-down)]],'List source'!D$2:E$71,2,FALSE)</f>
        <v>189</v>
      </c>
      <c r="C652" s="178" t="s">
        <v>3596</v>
      </c>
      <c r="D652" s="21" t="str">
        <f t="shared" si="20"/>
        <v>PTO0651-189-25</v>
      </c>
      <c r="E652" s="9" t="s">
        <v>3597</v>
      </c>
      <c r="F652" s="10" t="s">
        <v>3047</v>
      </c>
      <c r="G6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652" s="136" t="s">
        <v>3598</v>
      </c>
      <c r="I652" s="12">
        <v>45849</v>
      </c>
      <c r="J652" s="12"/>
      <c r="K652" s="63"/>
      <c r="L652" s="37"/>
      <c r="M652" s="10">
        <f t="shared" ca="1" si="21"/>
        <v>228</v>
      </c>
    </row>
    <row r="653" spans="1:13" ht="30" hidden="1" x14ac:dyDescent="0.25">
      <c r="A653" s="9" t="s">
        <v>133</v>
      </c>
      <c r="B653" s="19">
        <f>VLOOKUP(Table27[[#This Row],[Location 
(drop-down)]],'List source'!D$2:E$71,2,FALSE)</f>
        <v>194</v>
      </c>
      <c r="C653" s="178" t="s">
        <v>3599</v>
      </c>
      <c r="D653" s="21" t="str">
        <f t="shared" si="20"/>
        <v>PTO0652-194-25</v>
      </c>
      <c r="E653" s="9" t="s">
        <v>3595</v>
      </c>
      <c r="F653" s="10" t="s">
        <v>3047</v>
      </c>
      <c r="G6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Gums</v>
      </c>
      <c r="H653" s="136" t="s">
        <v>3600</v>
      </c>
      <c r="I653" s="12">
        <v>45849</v>
      </c>
      <c r="J653" s="12" t="s">
        <v>2074</v>
      </c>
      <c r="K653" s="63">
        <v>45849</v>
      </c>
      <c r="L653" s="37" t="s">
        <v>2592</v>
      </c>
      <c r="M653" s="10" t="str">
        <f t="shared" ca="1" si="21"/>
        <v>CLOSED</v>
      </c>
    </row>
    <row r="654" spans="1:13" ht="30" hidden="1" x14ac:dyDescent="0.25">
      <c r="A654" s="9" t="s">
        <v>220</v>
      </c>
      <c r="B654" s="19">
        <f>VLOOKUP(Table27[[#This Row],[Location 
(drop-down)]],'List source'!D$2:E$71,2,FALSE)</f>
        <v>197</v>
      </c>
      <c r="C654" s="178" t="s">
        <v>3601</v>
      </c>
      <c r="D654" s="21" t="str">
        <f t="shared" si="20"/>
        <v>PTO0653-197-25</v>
      </c>
      <c r="E654" s="9" t="s">
        <v>3602</v>
      </c>
      <c r="F654" s="10" t="s">
        <v>3047</v>
      </c>
      <c r="G6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4" s="136" t="s">
        <v>3603</v>
      </c>
      <c r="I654" s="12">
        <v>45849</v>
      </c>
      <c r="J654" s="12" t="s">
        <v>27</v>
      </c>
      <c r="K654" s="63">
        <v>46037</v>
      </c>
      <c r="L654" s="37"/>
      <c r="M654" s="10" t="str">
        <f t="shared" ca="1" si="21"/>
        <v>CLOSED</v>
      </c>
    </row>
    <row r="655" spans="1:13" ht="18.75" hidden="1" x14ac:dyDescent="0.25">
      <c r="A655" s="9" t="s">
        <v>220</v>
      </c>
      <c r="B655" s="19">
        <f>VLOOKUP(Table27[[#This Row],[Location 
(drop-down)]],'List source'!D$2:E$71,2,FALSE)</f>
        <v>197</v>
      </c>
      <c r="C655" s="178" t="s">
        <v>3604</v>
      </c>
      <c r="D655" s="21" t="str">
        <f t="shared" si="20"/>
        <v>PTO0654-197-25</v>
      </c>
      <c r="E655" s="9" t="s">
        <v>3605</v>
      </c>
      <c r="F655" s="10" t="s">
        <v>3059</v>
      </c>
      <c r="G6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 Number</v>
      </c>
      <c r="H655" s="10">
        <v>2.71</v>
      </c>
      <c r="I655" s="12">
        <v>45849</v>
      </c>
      <c r="J655" s="12"/>
      <c r="K655" s="63"/>
      <c r="L655" s="194"/>
      <c r="M655" s="10">
        <f t="shared" ca="1" si="21"/>
        <v>228</v>
      </c>
    </row>
    <row r="656" spans="1:13" ht="18.75" hidden="1" x14ac:dyDescent="0.25">
      <c r="A656" s="9" t="s">
        <v>220</v>
      </c>
      <c r="B656" s="19">
        <f>VLOOKUP(Table27[[#This Row],[Location 
(drop-down)]],'List source'!D$2:E$71,2,FALSE)</f>
        <v>197</v>
      </c>
      <c r="C656" s="178" t="s">
        <v>3606</v>
      </c>
      <c r="D656" s="21" t="str">
        <f t="shared" si="20"/>
        <v>PTO0655-197-25</v>
      </c>
      <c r="E656" s="9" t="s">
        <v>3607</v>
      </c>
      <c r="F656" s="10" t="s">
        <v>3059</v>
      </c>
      <c r="G6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656" s="10">
        <v>5.18</v>
      </c>
      <c r="I656" s="12">
        <v>45849</v>
      </c>
      <c r="J656" s="12" t="s">
        <v>27</v>
      </c>
      <c r="K656" s="63">
        <v>45964</v>
      </c>
      <c r="L656" s="194"/>
      <c r="M656" s="10" t="str">
        <f t="shared" ca="1" si="21"/>
        <v>CLOSED</v>
      </c>
    </row>
    <row r="657" spans="1:13" ht="30" hidden="1" x14ac:dyDescent="0.25">
      <c r="A657" s="9" t="s">
        <v>220</v>
      </c>
      <c r="B657" s="19">
        <f>VLOOKUP(Table27[[#This Row],[Location 
(drop-down)]],'List source'!D$2:E$71,2,FALSE)</f>
        <v>197</v>
      </c>
      <c r="C657" s="178" t="s">
        <v>3608</v>
      </c>
      <c r="D657" s="21" t="str">
        <f t="shared" si="20"/>
        <v>PTO0656-197-25</v>
      </c>
      <c r="E657" s="9" t="s">
        <v>3609</v>
      </c>
      <c r="F657" s="10" t="s">
        <v>3059</v>
      </c>
      <c r="G6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657" s="136" t="s">
        <v>3081</v>
      </c>
      <c r="I657" s="12">
        <v>45849</v>
      </c>
      <c r="J657" s="12" t="s">
        <v>2074</v>
      </c>
      <c r="K657" s="63">
        <v>45849</v>
      </c>
      <c r="L657" s="37" t="s">
        <v>2592</v>
      </c>
      <c r="M657" s="10" t="str">
        <f t="shared" ca="1" si="21"/>
        <v>CLOSED</v>
      </c>
    </row>
    <row r="658" spans="1:13" ht="30" hidden="1" x14ac:dyDescent="0.25">
      <c r="A658" s="9" t="s">
        <v>99</v>
      </c>
      <c r="B658" s="19">
        <f>VLOOKUP(Table27[[#This Row],[Location 
(drop-down)]],'List source'!D$2:E$71,2,FALSE)</f>
        <v>198</v>
      </c>
      <c r="C658" s="178" t="s">
        <v>3610</v>
      </c>
      <c r="D658" s="21" t="str">
        <f t="shared" si="20"/>
        <v>PTO0657-198-25</v>
      </c>
      <c r="E658" s="9" t="s">
        <v>3611</v>
      </c>
      <c r="F658" s="10" t="s">
        <v>3059</v>
      </c>
      <c r="G6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8" s="10" t="s">
        <v>3612</v>
      </c>
      <c r="I658" s="12">
        <v>45849</v>
      </c>
      <c r="J658" s="12" t="s">
        <v>2074</v>
      </c>
      <c r="K658" s="63">
        <v>45849</v>
      </c>
      <c r="L658" s="37" t="s">
        <v>2592</v>
      </c>
      <c r="M658" s="10" t="str">
        <f t="shared" ca="1" si="21"/>
        <v>CLOSED</v>
      </c>
    </row>
    <row r="659" spans="1:13" ht="18.75" hidden="1" x14ac:dyDescent="0.25">
      <c r="A659" s="9" t="s">
        <v>99</v>
      </c>
      <c r="B659" s="19">
        <f>VLOOKUP(Table27[[#This Row],[Location 
(drop-down)]],'List source'!D$2:E$71,2,FALSE)</f>
        <v>198</v>
      </c>
      <c r="C659" s="178" t="s">
        <v>3613</v>
      </c>
      <c r="D659" s="21" t="str">
        <f t="shared" si="20"/>
        <v>PTO0658-198-25</v>
      </c>
      <c r="E659" s="9" t="s">
        <v>3614</v>
      </c>
      <c r="F659" s="10" t="s">
        <v>3059</v>
      </c>
      <c r="G6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JFTOT</v>
      </c>
      <c r="H659" s="10">
        <v>29</v>
      </c>
      <c r="I659" s="12">
        <v>45849</v>
      </c>
      <c r="J659" s="12" t="s">
        <v>48</v>
      </c>
      <c r="K659" s="63">
        <v>46053</v>
      </c>
      <c r="L659" s="37"/>
      <c r="M659" s="10" t="str">
        <f t="shared" ca="1" si="21"/>
        <v>CLOSED</v>
      </c>
    </row>
    <row r="660" spans="1:13" ht="18.75" hidden="1" x14ac:dyDescent="0.25">
      <c r="A660" s="9" t="s">
        <v>94</v>
      </c>
      <c r="B660" s="19">
        <f>VLOOKUP(Table27[[#This Row],[Location 
(drop-down)]],'List source'!D$2:E$71,2,FALSE)</f>
        <v>120</v>
      </c>
      <c r="C660" s="178" t="s">
        <v>3615</v>
      </c>
      <c r="D660" s="21" t="str">
        <f t="shared" si="20"/>
        <v>PTO0659-120-25</v>
      </c>
      <c r="E660" s="9" t="s">
        <v>3616</v>
      </c>
      <c r="F660" s="10" t="str" cm="1">
        <f t="array" aca="1" ref="F6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660" s="10">
        <v>3.07</v>
      </c>
      <c r="I660" s="12">
        <v>45849</v>
      </c>
      <c r="J660" s="12" t="s">
        <v>18</v>
      </c>
      <c r="K660" s="63">
        <v>45904</v>
      </c>
      <c r="L660" s="194"/>
      <c r="M660" s="10" t="str">
        <f t="shared" ca="1" si="21"/>
        <v>CLOSED</v>
      </c>
    </row>
    <row r="661" spans="1:13" ht="30" hidden="1" x14ac:dyDescent="0.25">
      <c r="A661" s="9" t="s">
        <v>71</v>
      </c>
      <c r="B661" s="19">
        <f>VLOOKUP(Table27[[#This Row],[Location 
(drop-down)]],'List source'!D$2:E$71,2,FALSE)</f>
        <v>127</v>
      </c>
      <c r="C661" s="178" t="s">
        <v>3617</v>
      </c>
      <c r="D661" s="21" t="str">
        <f t="shared" si="20"/>
        <v>PTO0660-127-25</v>
      </c>
      <c r="E661" s="9" t="s">
        <v>3618</v>
      </c>
      <c r="F661" s="10" t="str" cm="1">
        <f t="array" aca="1" ref="F6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661" s="10">
        <v>2.38</v>
      </c>
      <c r="I661" s="12">
        <v>45849</v>
      </c>
      <c r="J661" s="12" t="s">
        <v>2074</v>
      </c>
      <c r="K661" s="63">
        <v>45849</v>
      </c>
      <c r="L661" s="37" t="s">
        <v>2592</v>
      </c>
      <c r="M661" s="10" t="str">
        <f t="shared" ca="1" si="21"/>
        <v>CLOSED</v>
      </c>
    </row>
    <row r="662" spans="1:13" ht="18.75" hidden="1" x14ac:dyDescent="0.25">
      <c r="A662" s="9" t="s">
        <v>156</v>
      </c>
      <c r="B662" s="19">
        <f>VLOOKUP(Table27[[#This Row],[Location 
(drop-down)]],'List source'!D$2:E$71,2,FALSE)</f>
        <v>130</v>
      </c>
      <c r="C662" s="178" t="s">
        <v>3619</v>
      </c>
      <c r="D662" s="21" t="str">
        <f t="shared" si="20"/>
        <v>PTO0661-130-25</v>
      </c>
      <c r="E662" s="9" t="s">
        <v>3620</v>
      </c>
      <c r="F662" s="10" t="str" cm="1">
        <f t="array" aca="1" ref="F6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662" s="10">
        <v>2.06</v>
      </c>
      <c r="I662" s="12">
        <v>45849</v>
      </c>
      <c r="J662" s="12" t="s">
        <v>167</v>
      </c>
      <c r="K662" s="63">
        <v>45912</v>
      </c>
      <c r="L662" s="37"/>
      <c r="M662" s="10" t="str">
        <f t="shared" ca="1" si="21"/>
        <v>CLOSED</v>
      </c>
    </row>
    <row r="663" spans="1:13" ht="18.75" hidden="1" x14ac:dyDescent="0.25">
      <c r="A663" s="9" t="s">
        <v>51</v>
      </c>
      <c r="B663" s="19">
        <f>VLOOKUP(Table27[[#This Row],[Location 
(drop-down)]],'List source'!D$2:E$71,2,FALSE)</f>
        <v>139</v>
      </c>
      <c r="C663" s="178" t="s">
        <v>3621</v>
      </c>
      <c r="D663" s="21" t="str">
        <f t="shared" si="20"/>
        <v>PTO0662-139-25</v>
      </c>
      <c r="E663" s="9" t="s">
        <v>3622</v>
      </c>
      <c r="F663" s="10" t="str" cm="1">
        <f t="array" aca="1" ref="F6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63" s="136">
        <v>8.27</v>
      </c>
      <c r="I663" s="12">
        <v>45849</v>
      </c>
      <c r="J663" s="12" t="s">
        <v>2074</v>
      </c>
      <c r="K663" s="63">
        <v>45916</v>
      </c>
      <c r="L663" s="37" t="s">
        <v>2079</v>
      </c>
      <c r="M663" s="10" t="str">
        <f t="shared" ca="1" si="21"/>
        <v>CLOSED</v>
      </c>
    </row>
    <row r="664" spans="1:13" ht="18.75" hidden="1" x14ac:dyDescent="0.25">
      <c r="A664" s="9" t="s">
        <v>51</v>
      </c>
      <c r="B664" s="19">
        <f>VLOOKUP(Table27[[#This Row],[Location 
(drop-down)]],'List source'!D$2:E$71,2,FALSE)</f>
        <v>139</v>
      </c>
      <c r="C664" s="178" t="s">
        <v>3623</v>
      </c>
      <c r="D664" s="21" t="str">
        <f t="shared" si="20"/>
        <v>PTO0663-139-25</v>
      </c>
      <c r="E664" s="9" t="s">
        <v>3624</v>
      </c>
      <c r="F664" s="10" t="str" cm="1">
        <f t="array" aca="1" ref="F6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664" s="10">
        <v>3.59</v>
      </c>
      <c r="I664" s="12">
        <v>45849</v>
      </c>
      <c r="J664" s="12" t="s">
        <v>109</v>
      </c>
      <c r="K664" s="63">
        <v>45882</v>
      </c>
      <c r="L664" s="37"/>
      <c r="M664" s="10" t="str">
        <f t="shared" ca="1" si="21"/>
        <v>CLOSED</v>
      </c>
    </row>
    <row r="665" spans="1:13" ht="18.75" hidden="1" x14ac:dyDescent="0.25">
      <c r="A665" s="9" t="s">
        <v>220</v>
      </c>
      <c r="B665" s="19">
        <f>VLOOKUP(Table27[[#This Row],[Location 
(drop-down)]],'List source'!D$2:E$71,2,FALSE)</f>
        <v>197</v>
      </c>
      <c r="C665" s="178" t="s">
        <v>3625</v>
      </c>
      <c r="D665" s="21" t="str">
        <f t="shared" si="20"/>
        <v>PTO0664-197-25</v>
      </c>
      <c r="E665" s="9" t="s">
        <v>3626</v>
      </c>
      <c r="F665" s="10" t="str" cm="1">
        <f t="array" aca="1" ref="F6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665" s="10">
        <v>2.88</v>
      </c>
      <c r="I665" s="12">
        <v>45849</v>
      </c>
      <c r="J665" s="12" t="s">
        <v>48</v>
      </c>
      <c r="K665" s="63">
        <v>45957</v>
      </c>
      <c r="L665" s="37"/>
      <c r="M665" s="10" t="str">
        <f t="shared" ca="1" si="21"/>
        <v>CLOSED</v>
      </c>
    </row>
    <row r="666" spans="1:13" ht="30" hidden="1" x14ac:dyDescent="0.25">
      <c r="A666" s="9" t="s">
        <v>156</v>
      </c>
      <c r="B666" s="19">
        <f>VLOOKUP(Table27[[#This Row],[Location 
(drop-down)]],'List source'!D$2:E$71,2,FALSE)</f>
        <v>130</v>
      </c>
      <c r="C666" s="178" t="s">
        <v>3627</v>
      </c>
      <c r="D666" s="21" t="str">
        <f t="shared" si="20"/>
        <v>PTO0665-130-25</v>
      </c>
      <c r="E666" s="9" t="s">
        <v>3628</v>
      </c>
      <c r="F666" s="10" t="s">
        <v>2952</v>
      </c>
      <c r="G6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Gravity</v>
      </c>
      <c r="H666" s="136" t="s">
        <v>3629</v>
      </c>
      <c r="I666" s="12">
        <v>45849</v>
      </c>
      <c r="J666" s="12" t="s">
        <v>2074</v>
      </c>
      <c r="K666" s="63">
        <v>45849</v>
      </c>
      <c r="L666" s="37" t="s">
        <v>2592</v>
      </c>
      <c r="M666" s="10" t="str">
        <f t="shared" ca="1" si="21"/>
        <v>CLOSED</v>
      </c>
    </row>
    <row r="667" spans="1:13" ht="30" hidden="1" x14ac:dyDescent="0.25">
      <c r="A667" s="9" t="s">
        <v>287</v>
      </c>
      <c r="B667" s="19">
        <f>VLOOKUP(Table27[[#This Row],[Location 
(drop-down)]],'List source'!D$2:E$71,2,FALSE)</f>
        <v>180</v>
      </c>
      <c r="C667" s="178" t="s">
        <v>3630</v>
      </c>
      <c r="D667" s="21" t="str">
        <f t="shared" si="20"/>
        <v>PTO0666-180-25</v>
      </c>
      <c r="E667" s="9" t="s">
        <v>3631</v>
      </c>
      <c r="F667" s="10" t="s">
        <v>2952</v>
      </c>
      <c r="G6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667" s="10">
        <v>2.69</v>
      </c>
      <c r="I667" s="12">
        <v>45849</v>
      </c>
      <c r="J667" s="12" t="s">
        <v>2074</v>
      </c>
      <c r="K667" s="63">
        <v>45849</v>
      </c>
      <c r="L667" s="37" t="s">
        <v>2592</v>
      </c>
      <c r="M667" s="10" t="str">
        <f t="shared" ca="1" si="21"/>
        <v>CLOSED</v>
      </c>
    </row>
    <row r="668" spans="1:13" ht="30" hidden="1" x14ac:dyDescent="0.25">
      <c r="A668" s="9" t="s">
        <v>287</v>
      </c>
      <c r="B668" s="19">
        <f>VLOOKUP(Table27[[#This Row],[Location 
(drop-down)]],'List source'!D$2:E$71,2,FALSE)</f>
        <v>180</v>
      </c>
      <c r="C668" s="178" t="s">
        <v>3632</v>
      </c>
      <c r="D668" s="21" t="str">
        <f t="shared" si="20"/>
        <v>PTO0667-180-25</v>
      </c>
      <c r="E668" s="9" t="s">
        <v>3633</v>
      </c>
      <c r="F668" s="10" t="s">
        <v>2952</v>
      </c>
      <c r="G6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668" s="136" t="s">
        <v>3069</v>
      </c>
      <c r="I668" s="12">
        <v>45849</v>
      </c>
      <c r="J668" s="12" t="s">
        <v>2074</v>
      </c>
      <c r="K668" s="63">
        <v>45849</v>
      </c>
      <c r="L668" s="37" t="s">
        <v>2592</v>
      </c>
      <c r="M668" s="10" t="str">
        <f t="shared" ca="1" si="21"/>
        <v>CLOSED</v>
      </c>
    </row>
    <row r="669" spans="1:13" ht="30" hidden="1" x14ac:dyDescent="0.25">
      <c r="A669" s="9" t="s">
        <v>287</v>
      </c>
      <c r="B669" s="19">
        <f>VLOOKUP(Table27[[#This Row],[Location 
(drop-down)]],'List source'!D$2:E$71,2,FALSE)</f>
        <v>180</v>
      </c>
      <c r="C669" s="178" t="s">
        <v>3634</v>
      </c>
      <c r="D669" s="21" t="str">
        <f t="shared" si="20"/>
        <v>PTO0668-180-25</v>
      </c>
      <c r="E669" s="9" t="s">
        <v>3635</v>
      </c>
      <c r="F669" s="10" t="s">
        <v>2952</v>
      </c>
      <c r="G6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69" s="10">
        <v>2.56</v>
      </c>
      <c r="I669" s="12">
        <v>45849</v>
      </c>
      <c r="J669" s="12" t="s">
        <v>2074</v>
      </c>
      <c r="K669" s="63">
        <v>45849</v>
      </c>
      <c r="L669" s="37" t="s">
        <v>2592</v>
      </c>
      <c r="M669" s="10" t="str">
        <f t="shared" ca="1" si="21"/>
        <v>CLOSED</v>
      </c>
    </row>
    <row r="670" spans="1:13" ht="30" hidden="1" x14ac:dyDescent="0.25">
      <c r="A670" s="9" t="s">
        <v>86</v>
      </c>
      <c r="B670" s="19">
        <f>VLOOKUP(Table27[[#This Row],[Location 
(drop-down)]],'List source'!D$2:E$71,2,FALSE)</f>
        <v>150</v>
      </c>
      <c r="C670" s="178" t="s">
        <v>3636</v>
      </c>
      <c r="D670" s="21" t="str">
        <f t="shared" si="20"/>
        <v>PTO0669-150-25</v>
      </c>
      <c r="E670" s="9" t="s">
        <v>3637</v>
      </c>
      <c r="F670" s="10" t="str" cm="1">
        <f t="array" aca="1" ref="F6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70" s="136" t="s">
        <v>3629</v>
      </c>
      <c r="I670" s="12">
        <v>45852</v>
      </c>
      <c r="J670" s="12" t="s">
        <v>2074</v>
      </c>
      <c r="K670" s="63">
        <v>45852</v>
      </c>
      <c r="L670" s="37" t="s">
        <v>2592</v>
      </c>
      <c r="M670" s="10" t="str">
        <f t="shared" ca="1" si="21"/>
        <v>CLOSED</v>
      </c>
    </row>
    <row r="671" spans="1:13" ht="18.75" hidden="1" x14ac:dyDescent="0.25">
      <c r="A671" s="9" t="s">
        <v>46</v>
      </c>
      <c r="B671" s="19">
        <f>VLOOKUP(Table27[[#This Row],[Location 
(drop-down)]],'List source'!D$2:E$71,2,FALSE)</f>
        <v>155</v>
      </c>
      <c r="C671" s="178" t="s">
        <v>3638</v>
      </c>
      <c r="D671" s="21" t="str">
        <f t="shared" si="20"/>
        <v>PTO0670-155-25</v>
      </c>
      <c r="E671" s="9" t="s">
        <v>3639</v>
      </c>
      <c r="F671" s="10" t="str" cm="1">
        <f t="array" aca="1" ref="F6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Content</v>
      </c>
      <c r="H671" s="136" t="s">
        <v>3640</v>
      </c>
      <c r="I671" s="12">
        <v>45852</v>
      </c>
      <c r="J671" s="12" t="s">
        <v>82</v>
      </c>
      <c r="K671" s="63">
        <v>45916</v>
      </c>
      <c r="L671" s="37"/>
      <c r="M671" s="10" t="str">
        <f t="shared" ca="1" si="21"/>
        <v>CLOSED</v>
      </c>
    </row>
    <row r="672" spans="1:13" ht="30" hidden="1" x14ac:dyDescent="0.25">
      <c r="A672" s="9" t="s">
        <v>123</v>
      </c>
      <c r="B672" s="19">
        <f>VLOOKUP(Table27[[#This Row],[Location 
(drop-down)]],'List source'!D$2:E$71,2,FALSE)</f>
        <v>192</v>
      </c>
      <c r="C672" s="178" t="s">
        <v>3641</v>
      </c>
      <c r="D672" s="21" t="str">
        <f t="shared" si="20"/>
        <v>PTO0671-192-25</v>
      </c>
      <c r="E672" s="9" t="s">
        <v>3642</v>
      </c>
      <c r="F672" s="10" t="str" cm="1">
        <f t="array" aca="1" ref="F6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672" s="136">
        <v>2.61</v>
      </c>
      <c r="I672" s="12">
        <v>45852</v>
      </c>
      <c r="J672" s="12" t="s">
        <v>2074</v>
      </c>
      <c r="K672" s="63">
        <v>45852</v>
      </c>
      <c r="L672" s="37" t="s">
        <v>2592</v>
      </c>
      <c r="M672" s="10" t="str">
        <f t="shared" ca="1" si="21"/>
        <v>CLOSED</v>
      </c>
    </row>
    <row r="673" spans="1:13" ht="30" hidden="1" x14ac:dyDescent="0.25">
      <c r="A673" s="9" t="s">
        <v>220</v>
      </c>
      <c r="B673" s="19">
        <f>VLOOKUP(Table27[[#This Row],[Location 
(drop-down)]],'List source'!D$2:E$71,2,FALSE)</f>
        <v>197</v>
      </c>
      <c r="C673" s="178" t="s">
        <v>3643</v>
      </c>
      <c r="D673" s="21" t="str">
        <f t="shared" si="20"/>
        <v>PTO0672-197-25</v>
      </c>
      <c r="E673" s="9" t="s">
        <v>3644</v>
      </c>
      <c r="F673" s="10" t="str" cm="1">
        <f t="array" aca="1" ref="F6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73" s="136" t="s">
        <v>3645</v>
      </c>
      <c r="I673" s="12">
        <v>45852</v>
      </c>
      <c r="J673" s="12" t="s">
        <v>2074</v>
      </c>
      <c r="K673" s="63">
        <v>45859</v>
      </c>
      <c r="L673" s="37" t="s">
        <v>2288</v>
      </c>
      <c r="M673" s="10" t="str">
        <f t="shared" ca="1" si="21"/>
        <v>CLOSED</v>
      </c>
    </row>
    <row r="674" spans="1:13" ht="30" hidden="1" x14ac:dyDescent="0.25">
      <c r="A674" s="9" t="s">
        <v>99</v>
      </c>
      <c r="B674" s="19">
        <f>VLOOKUP(Table27[[#This Row],[Location 
(drop-down)]],'List source'!D$2:E$71,2,FALSE)</f>
        <v>198</v>
      </c>
      <c r="C674" s="178" t="s">
        <v>3646</v>
      </c>
      <c r="D674" s="21" t="str">
        <f t="shared" si="20"/>
        <v>PTO0673-198-25</v>
      </c>
      <c r="E674" s="9" t="s">
        <v>3647</v>
      </c>
      <c r="F674" s="10" t="str" cm="1">
        <f t="array" aca="1" ref="F6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74" s="136" t="s">
        <v>3648</v>
      </c>
      <c r="I674" s="12">
        <v>45852</v>
      </c>
      <c r="J674" s="12" t="s">
        <v>2074</v>
      </c>
      <c r="K674" s="63">
        <v>45862</v>
      </c>
      <c r="L674" s="37" t="s">
        <v>2288</v>
      </c>
      <c r="M674" s="10" t="str">
        <f t="shared" ca="1" si="21"/>
        <v>CLOSED</v>
      </c>
    </row>
    <row r="675" spans="1:13" ht="30" hidden="1" x14ac:dyDescent="0.25">
      <c r="A675" s="9" t="s">
        <v>99</v>
      </c>
      <c r="B675" s="19">
        <f>VLOOKUP(Table27[[#This Row],[Location 
(drop-down)]],'List source'!D$2:E$71,2,FALSE)</f>
        <v>198</v>
      </c>
      <c r="C675" s="178" t="s">
        <v>3649</v>
      </c>
      <c r="D675" s="21" t="str">
        <f t="shared" si="20"/>
        <v>PTO0674-198-25</v>
      </c>
      <c r="E675" s="9" t="s">
        <v>3650</v>
      </c>
      <c r="F675" s="10" t="str" cm="1">
        <f t="array" aca="1" ref="F6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75" s="10" t="s">
        <v>3651</v>
      </c>
      <c r="I675" s="12">
        <v>45852</v>
      </c>
      <c r="J675" s="12" t="s">
        <v>2074</v>
      </c>
      <c r="K675" s="63">
        <v>45862</v>
      </c>
      <c r="L675" s="37" t="s">
        <v>2288</v>
      </c>
      <c r="M675" s="10" t="str">
        <f t="shared" ca="1" si="21"/>
        <v>CLOSED</v>
      </c>
    </row>
    <row r="676" spans="1:13" ht="30" hidden="1" x14ac:dyDescent="0.25">
      <c r="A676" s="9" t="s">
        <v>37</v>
      </c>
      <c r="B676" s="19">
        <f>VLOOKUP(Table27[[#This Row],[Location 
(drop-down)]],'List source'!D$2:E$71,2,FALSE)</f>
        <v>210</v>
      </c>
      <c r="C676" s="178" t="s">
        <v>3652</v>
      </c>
      <c r="D676" s="21" t="str">
        <f t="shared" si="20"/>
        <v>PTO0675-210-25</v>
      </c>
      <c r="E676" s="9" t="s">
        <v>3653</v>
      </c>
      <c r="F676" s="10" t="str" cm="1">
        <f t="array" aca="1" ref="F6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76" s="10" t="s">
        <v>3654</v>
      </c>
      <c r="I676" s="12">
        <v>45852</v>
      </c>
      <c r="J676" s="12" t="s">
        <v>2074</v>
      </c>
      <c r="K676" s="63">
        <v>45863</v>
      </c>
      <c r="L676" s="37" t="s">
        <v>2288</v>
      </c>
      <c r="M676" s="10" t="str">
        <f t="shared" ca="1" si="21"/>
        <v>CLOSED</v>
      </c>
    </row>
    <row r="677" spans="1:13" ht="30" hidden="1" x14ac:dyDescent="0.25">
      <c r="A677" s="9" t="s">
        <v>37</v>
      </c>
      <c r="B677" s="19">
        <f>VLOOKUP(Table27[[#This Row],[Location 
(drop-down)]],'List source'!D$2:E$71,2,FALSE)</f>
        <v>210</v>
      </c>
      <c r="C677" s="178" t="s">
        <v>3655</v>
      </c>
      <c r="D677" s="21" t="str">
        <f t="shared" si="20"/>
        <v>PTO0676-210-25</v>
      </c>
      <c r="E677" s="9" t="s">
        <v>3656</v>
      </c>
      <c r="F677" s="10" t="str" cm="1">
        <f t="array" aca="1" ref="F6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677" s="136" t="s">
        <v>3657</v>
      </c>
      <c r="I677" s="12">
        <v>45852</v>
      </c>
      <c r="J677" s="12" t="s">
        <v>189</v>
      </c>
      <c r="K677" s="63">
        <v>45872</v>
      </c>
      <c r="L677" s="37"/>
      <c r="M677" s="10" t="str">
        <f t="shared" ca="1" si="21"/>
        <v>CLOSED</v>
      </c>
    </row>
    <row r="678" spans="1:13" ht="30" hidden="1" x14ac:dyDescent="0.25">
      <c r="A678" s="9" t="s">
        <v>37</v>
      </c>
      <c r="B678" s="19">
        <f>VLOOKUP(Table27[[#This Row],[Location 
(drop-down)]],'List source'!D$2:E$71,2,FALSE)</f>
        <v>210</v>
      </c>
      <c r="C678" s="178" t="s">
        <v>3658</v>
      </c>
      <c r="D678" s="21" t="str">
        <f t="shared" si="20"/>
        <v>PTO0677-210-25</v>
      </c>
      <c r="E678" s="9" t="s">
        <v>3659</v>
      </c>
      <c r="F678" s="10" t="str" cm="1">
        <f t="array" aca="1" ref="F6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6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678" s="136" t="s">
        <v>3660</v>
      </c>
      <c r="I678" s="12">
        <v>45852</v>
      </c>
      <c r="J678" s="12" t="s">
        <v>189</v>
      </c>
      <c r="K678" s="63">
        <v>45872</v>
      </c>
      <c r="L678" s="37"/>
      <c r="M678" s="10" t="str">
        <f t="shared" ca="1" si="21"/>
        <v>CLOSED</v>
      </c>
    </row>
    <row r="679" spans="1:13" ht="30" hidden="1" x14ac:dyDescent="0.25">
      <c r="A679" s="9" t="s">
        <v>153</v>
      </c>
      <c r="B679" s="19">
        <f>VLOOKUP(Table27[[#This Row],[Location 
(drop-down)]],'List source'!D$2:E$71,2,FALSE)</f>
        <v>110</v>
      </c>
      <c r="C679" s="178" t="s">
        <v>3661</v>
      </c>
      <c r="D679" s="21" t="str">
        <f t="shared" si="20"/>
        <v>PTO0678-110-25</v>
      </c>
      <c r="E679" s="9" t="s">
        <v>3662</v>
      </c>
      <c r="F679" s="10" t="s">
        <v>2065</v>
      </c>
      <c r="G6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D4737 - Cetane Index</v>
      </c>
      <c r="H679" s="136" t="s">
        <v>2446</v>
      </c>
      <c r="I679" s="12">
        <v>45854</v>
      </c>
      <c r="J679" s="12" t="s">
        <v>2074</v>
      </c>
      <c r="K679" s="63">
        <v>45854</v>
      </c>
      <c r="L679" s="37" t="s">
        <v>2592</v>
      </c>
      <c r="M679" s="10" t="str">
        <f t="shared" ca="1" si="21"/>
        <v>CLOSED</v>
      </c>
    </row>
    <row r="680" spans="1:13" ht="18.75" hidden="1" x14ac:dyDescent="0.25">
      <c r="A680" s="9" t="s">
        <v>117</v>
      </c>
      <c r="B680" s="19">
        <f>VLOOKUP(Table27[[#This Row],[Location 
(drop-down)]],'List source'!D$2:E$71,2,FALSE)</f>
        <v>125</v>
      </c>
      <c r="C680" s="178" t="s">
        <v>3663</v>
      </c>
      <c r="D680" s="21" t="str">
        <f t="shared" si="20"/>
        <v>PTO0679-125-25</v>
      </c>
      <c r="E680" s="9" t="s">
        <v>3664</v>
      </c>
      <c r="F680" s="10" t="s">
        <v>2065</v>
      </c>
      <c r="G6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D4737 - Cetane Index</v>
      </c>
      <c r="H680" s="136" t="s">
        <v>3665</v>
      </c>
      <c r="I680" s="12">
        <v>45854</v>
      </c>
      <c r="J680" s="12" t="s">
        <v>189</v>
      </c>
      <c r="K680" s="63">
        <v>45931</v>
      </c>
      <c r="L680" s="37"/>
      <c r="M680" s="10" t="str">
        <f t="shared" ca="1" si="21"/>
        <v>CLOSED</v>
      </c>
    </row>
    <row r="681" spans="1:13" ht="18.75" hidden="1" x14ac:dyDescent="0.25">
      <c r="A681" s="9" t="s">
        <v>117</v>
      </c>
      <c r="B681" s="19">
        <f>VLOOKUP(Table27[[#This Row],[Location 
(drop-down)]],'List source'!D$2:E$71,2,FALSE)</f>
        <v>125</v>
      </c>
      <c r="C681" s="178" t="s">
        <v>3666</v>
      </c>
      <c r="D681" s="21" t="str">
        <f t="shared" si="20"/>
        <v>PTO0680-125-25</v>
      </c>
      <c r="E681" s="9" t="s">
        <v>3667</v>
      </c>
      <c r="F681" s="10" t="s">
        <v>2065</v>
      </c>
      <c r="G6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81" s="136" t="s">
        <v>3668</v>
      </c>
      <c r="I681" s="12">
        <v>45854</v>
      </c>
      <c r="J681" s="12"/>
      <c r="K681" s="63"/>
      <c r="L681" s="37"/>
      <c r="M681" s="10">
        <f t="shared" ca="1" si="21"/>
        <v>223</v>
      </c>
    </row>
    <row r="682" spans="1:13" ht="30" hidden="1" x14ac:dyDescent="0.25">
      <c r="A682" s="9" t="s">
        <v>117</v>
      </c>
      <c r="B682" s="19">
        <f>VLOOKUP(Table27[[#This Row],[Location 
(drop-down)]],'List source'!D$2:E$71,2,FALSE)</f>
        <v>125</v>
      </c>
      <c r="C682" s="178" t="s">
        <v>3669</v>
      </c>
      <c r="D682" s="21" t="str">
        <f t="shared" si="20"/>
        <v>PTO0681-125-25</v>
      </c>
      <c r="E682" s="9" t="s">
        <v>3670</v>
      </c>
      <c r="F682" s="10" t="s">
        <v>2065</v>
      </c>
      <c r="G6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82" s="10">
        <v>2.0299999999999998</v>
      </c>
      <c r="I682" s="12">
        <v>45854</v>
      </c>
      <c r="J682" s="12" t="s">
        <v>2074</v>
      </c>
      <c r="K682" s="63">
        <v>45854</v>
      </c>
      <c r="L682" s="37" t="s">
        <v>2592</v>
      </c>
      <c r="M682" s="10" t="str">
        <f t="shared" ca="1" si="21"/>
        <v>CLOSED</v>
      </c>
    </row>
    <row r="683" spans="1:13" ht="18.75" hidden="1" x14ac:dyDescent="0.25">
      <c r="A683" s="9" t="s">
        <v>117</v>
      </c>
      <c r="B683" s="19">
        <f>VLOOKUP(Table27[[#This Row],[Location 
(drop-down)]],'List source'!D$2:E$71,2,FALSE)</f>
        <v>125</v>
      </c>
      <c r="C683" s="178" t="s">
        <v>3671</v>
      </c>
      <c r="D683" s="21" t="str">
        <f t="shared" si="20"/>
        <v>PTO0682-125-25</v>
      </c>
      <c r="E683" s="9" t="s">
        <v>3672</v>
      </c>
      <c r="F683" s="10" t="s">
        <v>2065</v>
      </c>
      <c r="G6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83" s="136" t="s">
        <v>3673</v>
      </c>
      <c r="I683" s="12">
        <v>45854</v>
      </c>
      <c r="J683" s="12" t="s">
        <v>189</v>
      </c>
      <c r="K683" s="63">
        <v>45931</v>
      </c>
      <c r="L683" s="37"/>
      <c r="M683" s="10" t="str">
        <f t="shared" ca="1" si="21"/>
        <v>CLOSED</v>
      </c>
    </row>
    <row r="684" spans="1:13" ht="30" hidden="1" x14ac:dyDescent="0.25">
      <c r="A684" s="9" t="s">
        <v>117</v>
      </c>
      <c r="B684" s="19">
        <f>VLOOKUP(Table27[[#This Row],[Location 
(drop-down)]],'List source'!D$2:E$71,2,FALSE)</f>
        <v>125</v>
      </c>
      <c r="C684" s="178" t="s">
        <v>3674</v>
      </c>
      <c r="D684" s="21" t="str">
        <f t="shared" si="20"/>
        <v>PTO0683-125-25</v>
      </c>
      <c r="E684" s="9" t="s">
        <v>3675</v>
      </c>
      <c r="F684" s="10" t="s">
        <v>2065</v>
      </c>
      <c r="G6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D5949 - Pour Point</v>
      </c>
      <c r="H684" s="136" t="s">
        <v>3668</v>
      </c>
      <c r="I684" s="12">
        <v>45854</v>
      </c>
      <c r="J684" s="12"/>
      <c r="K684" s="63"/>
      <c r="L684" s="37"/>
      <c r="M684" s="10">
        <f t="shared" ca="1" si="21"/>
        <v>223</v>
      </c>
    </row>
    <row r="685" spans="1:13" ht="18.75" hidden="1" x14ac:dyDescent="0.25">
      <c r="A685" s="9" t="s">
        <v>117</v>
      </c>
      <c r="B685" s="19">
        <f>VLOOKUP(Table27[[#This Row],[Location 
(drop-down)]],'List source'!D$2:E$71,2,FALSE)</f>
        <v>125</v>
      </c>
      <c r="C685" s="178" t="s">
        <v>3676</v>
      </c>
      <c r="D685" s="21" t="str">
        <f t="shared" si="20"/>
        <v>PTO0684-125-25</v>
      </c>
      <c r="E685" s="9" t="s">
        <v>3677</v>
      </c>
      <c r="F685" s="10" t="s">
        <v>2065</v>
      </c>
      <c r="G6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685" s="136" t="s">
        <v>3678</v>
      </c>
      <c r="I685" s="12">
        <v>45854</v>
      </c>
      <c r="J685" s="12"/>
      <c r="K685" s="63"/>
      <c r="L685" s="37"/>
      <c r="M685" s="10">
        <f t="shared" ca="1" si="21"/>
        <v>223</v>
      </c>
    </row>
    <row r="686" spans="1:13" ht="18.75" hidden="1" x14ac:dyDescent="0.25">
      <c r="A686" s="9" t="s">
        <v>177</v>
      </c>
      <c r="B686" s="19">
        <f>VLOOKUP(Table27[[#This Row],[Location 
(drop-down)]],'List source'!D$2:E$71,2,FALSE)</f>
        <v>126</v>
      </c>
      <c r="C686" s="178" t="s">
        <v>3679</v>
      </c>
      <c r="D686" s="21" t="str">
        <f t="shared" si="20"/>
        <v>PTO0685-126-25</v>
      </c>
      <c r="E686" s="9" t="s">
        <v>3680</v>
      </c>
      <c r="F686" s="10" t="s">
        <v>2065</v>
      </c>
      <c r="G6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686" s="10">
        <v>9.7799999999999994</v>
      </c>
      <c r="I686" s="12">
        <v>45854</v>
      </c>
      <c r="J686" s="12" t="s">
        <v>2074</v>
      </c>
      <c r="K686" s="63">
        <v>45869</v>
      </c>
      <c r="L686" s="37" t="s">
        <v>2079</v>
      </c>
      <c r="M686" s="10" t="str">
        <f t="shared" ca="1" si="21"/>
        <v>CLOSED</v>
      </c>
    </row>
    <row r="687" spans="1:13" ht="18.75" hidden="1" x14ac:dyDescent="0.25">
      <c r="A687" s="9" t="s">
        <v>71</v>
      </c>
      <c r="B687" s="19">
        <f>VLOOKUP(Table27[[#This Row],[Location 
(drop-down)]],'List source'!D$2:E$71,2,FALSE)</f>
        <v>127</v>
      </c>
      <c r="C687" s="178" t="s">
        <v>3681</v>
      </c>
      <c r="D687" s="21" t="str">
        <f t="shared" si="20"/>
        <v>PTO0686-127-25</v>
      </c>
      <c r="E687" s="9" t="s">
        <v>3667</v>
      </c>
      <c r="F687" s="10" t="s">
        <v>2065</v>
      </c>
      <c r="G6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87" s="136" t="s">
        <v>3668</v>
      </c>
      <c r="I687" s="12">
        <v>45854</v>
      </c>
      <c r="J687" s="12" t="s">
        <v>252</v>
      </c>
      <c r="K687" s="63">
        <v>45881</v>
      </c>
      <c r="L687" s="37"/>
      <c r="M687" s="10" t="str">
        <f t="shared" ca="1" si="21"/>
        <v>CLOSED</v>
      </c>
    </row>
    <row r="688" spans="1:13" ht="30" hidden="1" x14ac:dyDescent="0.25">
      <c r="A688" s="9" t="s">
        <v>156</v>
      </c>
      <c r="B688" s="19">
        <f>VLOOKUP(Table27[[#This Row],[Location 
(drop-down)]],'List source'!D$2:E$71,2,FALSE)</f>
        <v>130</v>
      </c>
      <c r="C688" s="178" t="s">
        <v>3682</v>
      </c>
      <c r="D688" s="21" t="str">
        <f t="shared" si="20"/>
        <v>PTO0687-130-25</v>
      </c>
      <c r="E688" s="9" t="s">
        <v>3683</v>
      </c>
      <c r="F688" s="10" t="s">
        <v>2065</v>
      </c>
      <c r="G6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688" s="10" t="s">
        <v>2400</v>
      </c>
      <c r="I688" s="12">
        <v>45854</v>
      </c>
      <c r="J688" s="12" t="s">
        <v>167</v>
      </c>
      <c r="K688" s="63">
        <v>46004</v>
      </c>
      <c r="L688" s="37"/>
      <c r="M688" s="10" t="str">
        <f t="shared" ca="1" si="21"/>
        <v>CLOSED</v>
      </c>
    </row>
    <row r="689" spans="1:13" ht="18.75" hidden="1" x14ac:dyDescent="0.25">
      <c r="A689" s="9" t="s">
        <v>156</v>
      </c>
      <c r="B689" s="19">
        <f>VLOOKUP(Table27[[#This Row],[Location 
(drop-down)]],'List source'!D$2:E$71,2,FALSE)</f>
        <v>130</v>
      </c>
      <c r="C689" s="178" t="s">
        <v>3684</v>
      </c>
      <c r="D689" s="21" t="str">
        <f t="shared" si="20"/>
        <v>PTO0688-130-25</v>
      </c>
      <c r="E689" s="9" t="s">
        <v>3685</v>
      </c>
      <c r="F689" s="10" t="s">
        <v>2065</v>
      </c>
      <c r="G6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689" s="136" t="s">
        <v>3686</v>
      </c>
      <c r="I689" s="12">
        <v>45854</v>
      </c>
      <c r="J689" s="12" t="s">
        <v>167</v>
      </c>
      <c r="K689" s="63">
        <v>45964</v>
      </c>
      <c r="L689" s="37"/>
      <c r="M689" s="10" t="str">
        <f t="shared" ca="1" si="21"/>
        <v>CLOSED</v>
      </c>
    </row>
    <row r="690" spans="1:13" ht="30" hidden="1" x14ac:dyDescent="0.25">
      <c r="A690" s="9" t="s">
        <v>14</v>
      </c>
      <c r="B690" s="19">
        <f>VLOOKUP(Table27[[#This Row],[Location 
(drop-down)]],'List source'!D$2:E$71,2,FALSE)</f>
        <v>131</v>
      </c>
      <c r="C690" s="178" t="s">
        <v>3687</v>
      </c>
      <c r="D690" s="21" t="str">
        <f t="shared" si="20"/>
        <v>PTO0689-131-25</v>
      </c>
      <c r="E690" s="9" t="s">
        <v>3688</v>
      </c>
      <c r="F690" s="10" t="s">
        <v>2065</v>
      </c>
      <c r="G6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690" s="136" t="s">
        <v>2427</v>
      </c>
      <c r="I690" s="12">
        <v>45854</v>
      </c>
      <c r="J690" s="12" t="s">
        <v>2074</v>
      </c>
      <c r="K690" s="63">
        <v>45854</v>
      </c>
      <c r="L690" s="37" t="s">
        <v>2592</v>
      </c>
      <c r="M690" s="10" t="str">
        <f t="shared" ca="1" si="21"/>
        <v>CLOSED</v>
      </c>
    </row>
    <row r="691" spans="1:13" ht="18.75" hidden="1" x14ac:dyDescent="0.25">
      <c r="A691" s="9" t="s">
        <v>14</v>
      </c>
      <c r="B691" s="19">
        <f>VLOOKUP(Table27[[#This Row],[Location 
(drop-down)]],'List source'!D$2:E$71,2,FALSE)</f>
        <v>131</v>
      </c>
      <c r="C691" s="178" t="s">
        <v>3689</v>
      </c>
      <c r="D691" s="21" t="str">
        <f t="shared" si="20"/>
        <v>PTO0690-131-25</v>
      </c>
      <c r="E691" s="9" t="s">
        <v>3690</v>
      </c>
      <c r="F691" s="10" t="s">
        <v>2065</v>
      </c>
      <c r="G6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691" s="136" t="s">
        <v>3691</v>
      </c>
      <c r="I691" s="12">
        <v>45854</v>
      </c>
      <c r="J691" s="12" t="s">
        <v>167</v>
      </c>
      <c r="K691" s="63">
        <v>45986</v>
      </c>
      <c r="L691" s="37"/>
      <c r="M691" s="10" t="str">
        <f t="shared" ca="1" si="21"/>
        <v>CLOSED</v>
      </c>
    </row>
    <row r="692" spans="1:13" ht="18.75" hidden="1" x14ac:dyDescent="0.25">
      <c r="A692" s="9" t="s">
        <v>14</v>
      </c>
      <c r="B692" s="19">
        <f>VLOOKUP(Table27[[#This Row],[Location 
(drop-down)]],'List source'!D$2:E$71,2,FALSE)</f>
        <v>131</v>
      </c>
      <c r="C692" s="178" t="s">
        <v>3692</v>
      </c>
      <c r="D692" s="21" t="str">
        <f t="shared" si="20"/>
        <v>PTO0691-131-25</v>
      </c>
      <c r="E692" s="9" t="s">
        <v>3693</v>
      </c>
      <c r="F692" s="10" t="s">
        <v>2065</v>
      </c>
      <c r="G6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692" s="10">
        <v>2.0099999999999998</v>
      </c>
      <c r="I692" s="12">
        <v>45854</v>
      </c>
      <c r="J692" s="12" t="s">
        <v>167</v>
      </c>
      <c r="K692" s="63">
        <v>46004</v>
      </c>
      <c r="L692" s="37"/>
      <c r="M692" s="10" t="str">
        <f t="shared" ca="1" si="21"/>
        <v>CLOSED</v>
      </c>
    </row>
    <row r="693" spans="1:13" ht="18.75" hidden="1" x14ac:dyDescent="0.25">
      <c r="A693" s="9" t="s">
        <v>211</v>
      </c>
      <c r="B693" s="19">
        <f>VLOOKUP(Table27[[#This Row],[Location 
(drop-down)]],'List source'!D$2:E$71,2,FALSE)</f>
        <v>132</v>
      </c>
      <c r="C693" s="178" t="s">
        <v>3694</v>
      </c>
      <c r="D693" s="21" t="str">
        <f t="shared" si="20"/>
        <v>PTO0692-132-25</v>
      </c>
      <c r="E693" s="9" t="s">
        <v>3695</v>
      </c>
      <c r="F693" s="10" t="s">
        <v>2065</v>
      </c>
      <c r="G6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93" s="136" t="s">
        <v>3450</v>
      </c>
      <c r="I693" s="12">
        <v>45854</v>
      </c>
      <c r="J693" s="12" t="s">
        <v>167</v>
      </c>
      <c r="K693" s="63">
        <v>45919</v>
      </c>
      <c r="L693" s="37"/>
      <c r="M693" s="10" t="str">
        <f t="shared" ca="1" si="21"/>
        <v>CLOSED</v>
      </c>
    </row>
    <row r="694" spans="1:13" ht="18.75" hidden="1" x14ac:dyDescent="0.25">
      <c r="A694" s="9" t="s">
        <v>211</v>
      </c>
      <c r="B694" s="19">
        <f>VLOOKUP(Table27[[#This Row],[Location 
(drop-down)]],'List source'!D$2:E$71,2,FALSE)</f>
        <v>132</v>
      </c>
      <c r="C694" s="178" t="s">
        <v>3696</v>
      </c>
      <c r="D694" s="21" t="str">
        <f t="shared" si="20"/>
        <v>PTO0693-132-25</v>
      </c>
      <c r="E694" s="9" t="s">
        <v>3697</v>
      </c>
      <c r="F694" s="10" t="s">
        <v>2065</v>
      </c>
      <c r="G6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94" s="136" t="s">
        <v>2199</v>
      </c>
      <c r="I694" s="12">
        <v>45854</v>
      </c>
      <c r="J694" s="12" t="s">
        <v>35</v>
      </c>
      <c r="K694" s="63">
        <v>45898</v>
      </c>
      <c r="L694" s="37"/>
      <c r="M694" s="10" t="str">
        <f t="shared" ca="1" si="21"/>
        <v>CLOSED</v>
      </c>
    </row>
    <row r="695" spans="1:13" ht="30" hidden="1" x14ac:dyDescent="0.25">
      <c r="A695" s="9" t="s">
        <v>211</v>
      </c>
      <c r="B695" s="19">
        <f>VLOOKUP(Table27[[#This Row],[Location 
(drop-down)]],'List source'!D$2:E$71,2,FALSE)</f>
        <v>132</v>
      </c>
      <c r="C695" s="178" t="s">
        <v>3698</v>
      </c>
      <c r="D695" s="21" t="str">
        <f t="shared" si="20"/>
        <v>PTO0694-132-25</v>
      </c>
      <c r="E695" s="9" t="s">
        <v>3699</v>
      </c>
      <c r="F695" s="10" t="s">
        <v>2065</v>
      </c>
      <c r="G6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95" s="136" t="s">
        <v>3700</v>
      </c>
      <c r="I695" s="12">
        <v>45854</v>
      </c>
      <c r="J695" s="12"/>
      <c r="K695" s="63"/>
      <c r="L695" s="37"/>
      <c r="M695" s="10">
        <f t="shared" ca="1" si="21"/>
        <v>223</v>
      </c>
    </row>
    <row r="696" spans="1:13" ht="18.75" hidden="1" x14ac:dyDescent="0.25">
      <c r="A696" s="9" t="s">
        <v>211</v>
      </c>
      <c r="B696" s="19">
        <f>VLOOKUP(Table27[[#This Row],[Location 
(drop-down)]],'List source'!D$2:E$71,2,FALSE)</f>
        <v>132</v>
      </c>
      <c r="C696" s="178" t="s">
        <v>3701</v>
      </c>
      <c r="D696" s="21" t="str">
        <f t="shared" si="20"/>
        <v>PTO0695-132-25</v>
      </c>
      <c r="E696" s="9" t="s">
        <v>3702</v>
      </c>
      <c r="F696" s="10" t="s">
        <v>2065</v>
      </c>
      <c r="G6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696" s="136" t="s">
        <v>3703</v>
      </c>
      <c r="I696" s="12">
        <v>45854</v>
      </c>
      <c r="J696" s="12" t="s">
        <v>167</v>
      </c>
      <c r="K696" s="63">
        <v>45961</v>
      </c>
      <c r="L696" s="37"/>
      <c r="M696" s="10" t="str">
        <f t="shared" ca="1" si="21"/>
        <v>CLOSED</v>
      </c>
    </row>
    <row r="697" spans="1:13" ht="18.75" hidden="1" x14ac:dyDescent="0.25">
      <c r="A697" s="9" t="s">
        <v>211</v>
      </c>
      <c r="B697" s="19">
        <f>VLOOKUP(Table27[[#This Row],[Location 
(drop-down)]],'List source'!D$2:E$71,2,FALSE)</f>
        <v>132</v>
      </c>
      <c r="C697" s="178" t="s">
        <v>3704</v>
      </c>
      <c r="D697" s="21" t="str">
        <f t="shared" si="20"/>
        <v>PTO0696-132-25</v>
      </c>
      <c r="E697" s="9" t="s">
        <v>3705</v>
      </c>
      <c r="F697" s="10" t="s">
        <v>2065</v>
      </c>
      <c r="G6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97" s="136">
        <v>7.45</v>
      </c>
      <c r="I697" s="12">
        <v>45854</v>
      </c>
      <c r="J697" s="12"/>
      <c r="K697" s="63"/>
      <c r="L697" s="37"/>
      <c r="M697" s="10">
        <f t="shared" ca="1" si="21"/>
        <v>223</v>
      </c>
    </row>
    <row r="698" spans="1:13" ht="30" hidden="1" x14ac:dyDescent="0.25">
      <c r="A698" s="9" t="s">
        <v>186</v>
      </c>
      <c r="B698" s="19">
        <f>VLOOKUP(Table27[[#This Row],[Location 
(drop-down)]],'List source'!D$2:E$71,2,FALSE)</f>
        <v>136</v>
      </c>
      <c r="C698" s="178" t="s">
        <v>3706</v>
      </c>
      <c r="D698" s="21" t="str">
        <f t="shared" si="20"/>
        <v>PTO0697-136-25</v>
      </c>
      <c r="E698" s="9" t="s">
        <v>3707</v>
      </c>
      <c r="F698" s="10" t="s">
        <v>2065</v>
      </c>
      <c r="G6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698" s="136" t="s">
        <v>2446</v>
      </c>
      <c r="I698" s="12">
        <v>45854</v>
      </c>
      <c r="J698" s="12" t="s">
        <v>109</v>
      </c>
      <c r="K698" s="63">
        <v>45897</v>
      </c>
      <c r="L698" s="37"/>
      <c r="M698" s="10" t="str">
        <f t="shared" ca="1" si="21"/>
        <v>CLOSED</v>
      </c>
    </row>
    <row r="699" spans="1:13" ht="30" hidden="1" x14ac:dyDescent="0.25">
      <c r="A699" s="9" t="s">
        <v>257</v>
      </c>
      <c r="B699" s="19">
        <f>VLOOKUP(Table27[[#This Row],[Location 
(drop-down)]],'List source'!D$2:E$71,2,FALSE)</f>
        <v>144</v>
      </c>
      <c r="C699" s="178" t="s">
        <v>3708</v>
      </c>
      <c r="D699" s="21" t="str">
        <f t="shared" si="20"/>
        <v>PTO0698-144-25</v>
      </c>
      <c r="E699" s="9" t="s">
        <v>3709</v>
      </c>
      <c r="F699" s="10" t="s">
        <v>2065</v>
      </c>
      <c r="G6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99" s="136" t="s">
        <v>3710</v>
      </c>
      <c r="I699" s="12">
        <v>45854</v>
      </c>
      <c r="J699" s="12"/>
      <c r="K699" s="63"/>
      <c r="L699" s="37"/>
      <c r="M699" s="10">
        <f t="shared" ca="1" si="21"/>
        <v>223</v>
      </c>
    </row>
    <row r="700" spans="1:13" ht="18.75" hidden="1" x14ac:dyDescent="0.25">
      <c r="A700" s="9" t="s">
        <v>86</v>
      </c>
      <c r="B700" s="19">
        <f>VLOOKUP(Table27[[#This Row],[Location 
(drop-down)]],'List source'!D$2:E$71,2,FALSE)</f>
        <v>150</v>
      </c>
      <c r="C700" s="178" t="s">
        <v>3711</v>
      </c>
      <c r="D700" s="21" t="str">
        <f t="shared" si="20"/>
        <v>PTO0699-150-25</v>
      </c>
      <c r="E700" s="9" t="s">
        <v>3712</v>
      </c>
      <c r="F700" s="10" t="s">
        <v>2065</v>
      </c>
      <c r="G7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700" s="10">
        <v>2.13</v>
      </c>
      <c r="I700" s="12">
        <v>45854</v>
      </c>
      <c r="J700" s="12"/>
      <c r="K700" s="63"/>
      <c r="L700" s="37"/>
      <c r="M700" s="10">
        <f t="shared" ca="1" si="21"/>
        <v>223</v>
      </c>
    </row>
    <row r="701" spans="1:13" ht="18.75" hidden="1" x14ac:dyDescent="0.25">
      <c r="A701" s="71" t="s">
        <v>46</v>
      </c>
      <c r="B701" s="19">
        <f>VLOOKUP(Table27[[#This Row],[Location 
(drop-down)]],'List source'!D$2:E$71,2,FALSE)</f>
        <v>155</v>
      </c>
      <c r="C701" s="178" t="s">
        <v>3713</v>
      </c>
      <c r="D701" s="21" t="str">
        <f t="shared" si="20"/>
        <v>PTO0700-155-25</v>
      </c>
      <c r="E701" s="9" t="s">
        <v>3714</v>
      </c>
      <c r="F701" s="10" t="s">
        <v>2065</v>
      </c>
      <c r="G7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701" s="312">
        <v>960.6</v>
      </c>
      <c r="I701" s="12">
        <v>45854</v>
      </c>
      <c r="J701" s="12" t="s">
        <v>2074</v>
      </c>
      <c r="K701" s="74">
        <v>45862</v>
      </c>
      <c r="L701" s="68" t="s">
        <v>2079</v>
      </c>
      <c r="M701" s="10" t="str">
        <f t="shared" ca="1" si="21"/>
        <v>CLOSED</v>
      </c>
    </row>
    <row r="702" spans="1:13" ht="18.75" hidden="1" x14ac:dyDescent="0.25">
      <c r="A702" s="9" t="s">
        <v>46</v>
      </c>
      <c r="B702" s="19">
        <f>VLOOKUP(Table27[[#This Row],[Location 
(drop-down)]],'List source'!D$2:E$71,2,FALSE)</f>
        <v>155</v>
      </c>
      <c r="C702" s="178" t="s">
        <v>3715</v>
      </c>
      <c r="D702" s="21" t="str">
        <f t="shared" si="20"/>
        <v>PTO0701-155-25</v>
      </c>
      <c r="E702" s="9" t="s">
        <v>3716</v>
      </c>
      <c r="F702" s="10" t="s">
        <v>2065</v>
      </c>
      <c r="G7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702" s="10">
        <v>4.43</v>
      </c>
      <c r="I702" s="12">
        <v>45854</v>
      </c>
      <c r="J702" s="12" t="s">
        <v>82</v>
      </c>
      <c r="K702" s="63">
        <v>45916</v>
      </c>
      <c r="L702" s="37"/>
      <c r="M702" s="10" t="str">
        <f t="shared" ca="1" si="21"/>
        <v>CLOSED</v>
      </c>
    </row>
    <row r="703" spans="1:13" ht="18.75" hidden="1" x14ac:dyDescent="0.25">
      <c r="A703" s="9" t="s">
        <v>46</v>
      </c>
      <c r="B703" s="19">
        <f>VLOOKUP(Table27[[#This Row],[Location 
(drop-down)]],'List source'!D$2:E$71,2,FALSE)</f>
        <v>155</v>
      </c>
      <c r="C703" s="178" t="s">
        <v>3717</v>
      </c>
      <c r="D703" s="21" t="str">
        <f t="shared" si="20"/>
        <v>PTO0702-155-25</v>
      </c>
      <c r="E703" s="9" t="s">
        <v>3718</v>
      </c>
      <c r="F703" s="10" t="s">
        <v>2065</v>
      </c>
      <c r="G7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703" s="324">
        <v>2.0099999999999998</v>
      </c>
      <c r="I703" s="12">
        <v>45854</v>
      </c>
      <c r="J703" s="12" t="s">
        <v>82</v>
      </c>
      <c r="K703" s="63">
        <v>45885</v>
      </c>
      <c r="L703" s="37"/>
      <c r="M703" s="10" t="str">
        <f t="shared" ca="1" si="21"/>
        <v>CLOSED</v>
      </c>
    </row>
    <row r="704" spans="1:13" ht="18.75" hidden="1" x14ac:dyDescent="0.25">
      <c r="A704" s="9" t="s">
        <v>46</v>
      </c>
      <c r="B704" s="19">
        <f>VLOOKUP(Table27[[#This Row],[Location 
(drop-down)]],'List source'!D$2:E$71,2,FALSE)</f>
        <v>155</v>
      </c>
      <c r="C704" s="178" t="s">
        <v>3719</v>
      </c>
      <c r="D704" s="21" t="str">
        <f t="shared" si="20"/>
        <v>PTO0703-155-25</v>
      </c>
      <c r="E704" s="173" t="s">
        <v>3720</v>
      </c>
      <c r="F704" s="10" t="s">
        <v>2065</v>
      </c>
      <c r="G7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704" s="318">
        <v>3.13</v>
      </c>
      <c r="I704" s="12">
        <v>45854</v>
      </c>
      <c r="J704" s="12" t="s">
        <v>82</v>
      </c>
      <c r="K704" s="63">
        <v>46064</v>
      </c>
      <c r="L704" s="37"/>
      <c r="M704" s="10" t="str">
        <f t="shared" ca="1" si="21"/>
        <v>CLOSED</v>
      </c>
    </row>
    <row r="705" spans="1:13" ht="18.75" hidden="1" x14ac:dyDescent="0.25">
      <c r="A705" s="9" t="s">
        <v>25</v>
      </c>
      <c r="B705" s="19">
        <f>VLOOKUP(Table27[[#This Row],[Location 
(drop-down)]],'List source'!D$2:E$71,2,FALSE)</f>
        <v>158</v>
      </c>
      <c r="C705" s="178" t="s">
        <v>3721</v>
      </c>
      <c r="D705" s="21" t="str">
        <f t="shared" si="20"/>
        <v>PTO0704-158-25</v>
      </c>
      <c r="E705" s="9" t="s">
        <v>3722</v>
      </c>
      <c r="F705" s="10" t="s">
        <v>2065</v>
      </c>
      <c r="G7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05" s="136" t="s">
        <v>3723</v>
      </c>
      <c r="I705" s="12">
        <v>45854</v>
      </c>
      <c r="J705" s="12" t="s">
        <v>2074</v>
      </c>
      <c r="K705" s="63">
        <v>45884</v>
      </c>
      <c r="L705" s="37" t="s">
        <v>2079</v>
      </c>
      <c r="M705" s="10" t="str">
        <f t="shared" ca="1" si="21"/>
        <v>CLOSED</v>
      </c>
    </row>
    <row r="706" spans="1:13" ht="18.75" hidden="1" x14ac:dyDescent="0.25">
      <c r="A706" s="9" t="s">
        <v>79</v>
      </c>
      <c r="B706" s="19">
        <f>VLOOKUP(Table27[[#This Row],[Location 
(drop-down)]],'List source'!D$2:E$71,2,FALSE)</f>
        <v>160</v>
      </c>
      <c r="C706" s="178" t="s">
        <v>3724</v>
      </c>
      <c r="D706" s="21" t="str">
        <f t="shared" ref="D706:D769" si="22">"PTO" &amp; C706 &amp; "-" &amp; B706 &amp; "-" &amp; "25"</f>
        <v>PTO0705-160-25</v>
      </c>
      <c r="E706" s="9" t="s">
        <v>3725</v>
      </c>
      <c r="F706" s="10" t="s">
        <v>2065</v>
      </c>
      <c r="G7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06" s="10">
        <v>5.36</v>
      </c>
      <c r="I706" s="12">
        <v>45854</v>
      </c>
      <c r="J706" s="12" t="s">
        <v>18</v>
      </c>
      <c r="K706" s="63">
        <v>45903</v>
      </c>
      <c r="L706" s="37"/>
      <c r="M706" s="10" t="str">
        <f t="shared" ref="M706:M769" ca="1" si="23">IF(ISBLANK(K706), TODAY()-(I706), "CLOSED")</f>
        <v>CLOSED</v>
      </c>
    </row>
    <row r="707" spans="1:13" ht="18.75" hidden="1" x14ac:dyDescent="0.25">
      <c r="A707" s="9" t="s">
        <v>79</v>
      </c>
      <c r="B707" s="19">
        <f>VLOOKUP(Table27[[#This Row],[Location 
(drop-down)]],'List source'!D$2:E$71,2,FALSE)</f>
        <v>160</v>
      </c>
      <c r="C707" s="178" t="s">
        <v>3726</v>
      </c>
      <c r="D707" s="21" t="str">
        <f t="shared" si="22"/>
        <v>PTO0706-160-25</v>
      </c>
      <c r="E707" s="9" t="s">
        <v>3727</v>
      </c>
      <c r="F707" s="10" t="s">
        <v>2065</v>
      </c>
      <c r="G7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07" s="136" t="s">
        <v>3728</v>
      </c>
      <c r="I707" s="12">
        <v>45854</v>
      </c>
      <c r="J707" s="12" t="s">
        <v>135</v>
      </c>
      <c r="K707" s="63">
        <v>45902</v>
      </c>
      <c r="L707" s="37"/>
      <c r="M707" s="10" t="str">
        <f t="shared" ca="1" si="23"/>
        <v>CLOSED</v>
      </c>
    </row>
    <row r="708" spans="1:13" ht="30" hidden="1" x14ac:dyDescent="0.25">
      <c r="A708" s="9" t="s">
        <v>141</v>
      </c>
      <c r="B708" s="19">
        <f>VLOOKUP(Table27[[#This Row],[Location 
(drop-down)]],'List source'!D$2:E$71,2,FALSE)</f>
        <v>165</v>
      </c>
      <c r="C708" s="178" t="s">
        <v>3729</v>
      </c>
      <c r="D708" s="21" t="str">
        <f t="shared" si="22"/>
        <v>PTO0707-165-25</v>
      </c>
      <c r="E708" s="65" t="s">
        <v>3730</v>
      </c>
      <c r="F708" s="10" t="s">
        <v>2065</v>
      </c>
      <c r="G7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08" s="136" t="s">
        <v>2698</v>
      </c>
      <c r="I708" s="12">
        <v>45854</v>
      </c>
      <c r="J708" s="12" t="s">
        <v>2074</v>
      </c>
      <c r="K708" s="63">
        <v>45854</v>
      </c>
      <c r="L708" s="37" t="s">
        <v>2592</v>
      </c>
      <c r="M708" s="10" t="str">
        <f t="shared" ca="1" si="23"/>
        <v>CLOSED</v>
      </c>
    </row>
    <row r="709" spans="1:13" ht="30" hidden="1" x14ac:dyDescent="0.25">
      <c r="A709" s="9" t="s">
        <v>141</v>
      </c>
      <c r="B709" s="19">
        <f>VLOOKUP(Table27[[#This Row],[Location 
(drop-down)]],'List source'!D$2:E$71,2,FALSE)</f>
        <v>165</v>
      </c>
      <c r="C709" s="178" t="s">
        <v>3731</v>
      </c>
      <c r="D709" s="21" t="str">
        <f t="shared" si="22"/>
        <v>PTO0708-165-25</v>
      </c>
      <c r="E709" s="9" t="s">
        <v>3732</v>
      </c>
      <c r="F709" s="10" t="s">
        <v>2065</v>
      </c>
      <c r="G7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709" s="136" t="s">
        <v>3098</v>
      </c>
      <c r="I709" s="12">
        <v>45854</v>
      </c>
      <c r="J709" s="12" t="s">
        <v>2074</v>
      </c>
      <c r="K709" s="63">
        <v>45854</v>
      </c>
      <c r="L709" s="37" t="s">
        <v>2592</v>
      </c>
      <c r="M709" s="10" t="str">
        <f t="shared" ca="1" si="23"/>
        <v>CLOSED</v>
      </c>
    </row>
    <row r="710" spans="1:13" ht="30" hidden="1" x14ac:dyDescent="0.25">
      <c r="A710" s="9" t="s">
        <v>107</v>
      </c>
      <c r="B710" s="19">
        <f>VLOOKUP(Table27[[#This Row],[Location 
(drop-down)]],'List source'!D$2:E$71,2,FALSE)</f>
        <v>170</v>
      </c>
      <c r="C710" s="178" t="s">
        <v>3733</v>
      </c>
      <c r="D710" s="21" t="str">
        <f t="shared" si="22"/>
        <v>PTO0709-170-25</v>
      </c>
      <c r="E710" s="9" t="s">
        <v>3734</v>
      </c>
      <c r="F710" s="10" t="s">
        <v>2065</v>
      </c>
      <c r="G7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710" s="136" t="s">
        <v>3735</v>
      </c>
      <c r="I710" s="12">
        <v>45854</v>
      </c>
      <c r="J710" s="12" t="s">
        <v>109</v>
      </c>
      <c r="K710" s="63">
        <v>45890</v>
      </c>
      <c r="L710" s="37"/>
      <c r="M710" s="10" t="str">
        <f t="shared" ca="1" si="23"/>
        <v>CLOSED</v>
      </c>
    </row>
    <row r="711" spans="1:13" ht="30" hidden="1" x14ac:dyDescent="0.25">
      <c r="A711" s="9" t="s">
        <v>107</v>
      </c>
      <c r="B711" s="19">
        <f>VLOOKUP(Table27[[#This Row],[Location 
(drop-down)]],'List source'!D$2:E$71,2,FALSE)</f>
        <v>170</v>
      </c>
      <c r="C711" s="178" t="s">
        <v>3736</v>
      </c>
      <c r="D711" s="21" t="str">
        <f t="shared" si="22"/>
        <v>PTO0710-170-25</v>
      </c>
      <c r="E711" s="9" t="s">
        <v>3737</v>
      </c>
      <c r="F711" s="10" t="s">
        <v>2065</v>
      </c>
      <c r="G7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D6591 - HC Type</v>
      </c>
      <c r="H711" s="136" t="s">
        <v>2400</v>
      </c>
      <c r="I711" s="12">
        <v>45854</v>
      </c>
      <c r="J711" s="12" t="s">
        <v>109</v>
      </c>
      <c r="K711" s="63">
        <v>46052</v>
      </c>
      <c r="L711" s="37"/>
      <c r="M711" s="10" t="str">
        <f t="shared" ca="1" si="23"/>
        <v>CLOSED</v>
      </c>
    </row>
    <row r="712" spans="1:13" ht="30" hidden="1" x14ac:dyDescent="0.25">
      <c r="A712" s="9" t="s">
        <v>107</v>
      </c>
      <c r="B712" s="19">
        <f>VLOOKUP(Table27[[#This Row],[Location 
(drop-down)]],'List source'!D$2:E$71,2,FALSE)</f>
        <v>170</v>
      </c>
      <c r="C712" s="178" t="s">
        <v>3738</v>
      </c>
      <c r="D712" s="21" t="str">
        <f t="shared" si="22"/>
        <v>PTO0711-170-25</v>
      </c>
      <c r="E712" s="9" t="s">
        <v>3739</v>
      </c>
      <c r="F712" s="10" t="s">
        <v>2065</v>
      </c>
      <c r="G7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D7346 - No Flow Point &amp; Pour Point</v>
      </c>
      <c r="H712" s="136" t="s">
        <v>3740</v>
      </c>
      <c r="I712" s="12">
        <v>45854</v>
      </c>
      <c r="J712" s="12" t="s">
        <v>109</v>
      </c>
      <c r="K712" s="63">
        <v>45891</v>
      </c>
      <c r="L712" s="37"/>
      <c r="M712" s="10" t="str">
        <f t="shared" ca="1" si="23"/>
        <v>CLOSED</v>
      </c>
    </row>
    <row r="713" spans="1:13" ht="30" hidden="1" x14ac:dyDescent="0.25">
      <c r="A713" s="9" t="s">
        <v>107</v>
      </c>
      <c r="B713" s="19">
        <f>VLOOKUP(Table27[[#This Row],[Location 
(drop-down)]],'List source'!D$2:E$71,2,FALSE)</f>
        <v>170</v>
      </c>
      <c r="C713" s="178" t="s">
        <v>3741</v>
      </c>
      <c r="D713" s="21" t="str">
        <f t="shared" si="22"/>
        <v>PTO0712-170-25</v>
      </c>
      <c r="E713" s="9" t="s">
        <v>3742</v>
      </c>
      <c r="F713" s="10" t="s">
        <v>2065</v>
      </c>
      <c r="G7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713" s="136" t="s">
        <v>2975</v>
      </c>
      <c r="I713" s="12">
        <v>45854</v>
      </c>
      <c r="J713" s="12" t="s">
        <v>109</v>
      </c>
      <c r="K713" s="63">
        <v>45891</v>
      </c>
      <c r="L713" s="37"/>
      <c r="M713" s="10" t="str">
        <f t="shared" ca="1" si="23"/>
        <v>CLOSED</v>
      </c>
    </row>
    <row r="714" spans="1:13" ht="18.75" hidden="1" x14ac:dyDescent="0.25">
      <c r="A714" s="9" t="s">
        <v>91</v>
      </c>
      <c r="B714" s="19">
        <f>VLOOKUP(Table27[[#This Row],[Location 
(drop-down)]],'List source'!D$2:E$71,2,FALSE)</f>
        <v>190</v>
      </c>
      <c r="C714" s="178" t="s">
        <v>3743</v>
      </c>
      <c r="D714" s="21" t="str">
        <f t="shared" si="22"/>
        <v>PTO0713-190-25</v>
      </c>
      <c r="E714" s="9" t="s">
        <v>3744</v>
      </c>
      <c r="F714" s="10" t="s">
        <v>2065</v>
      </c>
      <c r="G7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714" s="136" t="s">
        <v>3745</v>
      </c>
      <c r="I714" s="12">
        <v>45854</v>
      </c>
      <c r="J714" s="12" t="s">
        <v>109</v>
      </c>
      <c r="K714" s="63">
        <v>45887</v>
      </c>
      <c r="L714" s="37"/>
      <c r="M714" s="10" t="str">
        <f t="shared" ca="1" si="23"/>
        <v>CLOSED</v>
      </c>
    </row>
    <row r="715" spans="1:13" ht="18.75" hidden="1" x14ac:dyDescent="0.25">
      <c r="A715" s="9" t="s">
        <v>91</v>
      </c>
      <c r="B715" s="19">
        <f>VLOOKUP(Table27[[#This Row],[Location 
(drop-down)]],'List source'!D$2:E$71,2,FALSE)</f>
        <v>190</v>
      </c>
      <c r="C715" s="178" t="s">
        <v>3746</v>
      </c>
      <c r="D715" s="21" t="str">
        <f t="shared" si="22"/>
        <v>PTO0714-190-25</v>
      </c>
      <c r="E715" s="9" t="s">
        <v>3747</v>
      </c>
      <c r="F715" s="10" t="s">
        <v>2065</v>
      </c>
      <c r="G7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15" s="10">
        <v>2.99</v>
      </c>
      <c r="I715" s="12">
        <v>45854</v>
      </c>
      <c r="J715" s="12" t="s">
        <v>109</v>
      </c>
      <c r="K715" s="63">
        <v>45877</v>
      </c>
      <c r="L715" s="37"/>
      <c r="M715" s="10" t="str">
        <f t="shared" ca="1" si="23"/>
        <v>CLOSED</v>
      </c>
    </row>
    <row r="716" spans="1:13" ht="18.75" hidden="1" x14ac:dyDescent="0.25">
      <c r="A716" s="9" t="s">
        <v>37</v>
      </c>
      <c r="B716" s="19">
        <f>VLOOKUP(Table27[[#This Row],[Location 
(drop-down)]],'List source'!D$2:E$71,2,FALSE)</f>
        <v>210</v>
      </c>
      <c r="C716" s="178" t="s">
        <v>3748</v>
      </c>
      <c r="D716" s="21" t="str">
        <f t="shared" si="22"/>
        <v>PTO0715-210-25</v>
      </c>
      <c r="E716" s="9" t="s">
        <v>3749</v>
      </c>
      <c r="F716" s="10" t="s">
        <v>2065</v>
      </c>
      <c r="G7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16" s="136" t="s">
        <v>3750</v>
      </c>
      <c r="I716" s="12">
        <v>45854</v>
      </c>
      <c r="J716" s="12" t="s">
        <v>252</v>
      </c>
      <c r="K716" s="63">
        <v>45960</v>
      </c>
      <c r="L716" s="37"/>
      <c r="M716" s="10" t="str">
        <f t="shared" ca="1" si="23"/>
        <v>CLOSED</v>
      </c>
    </row>
    <row r="717" spans="1:13" ht="30" hidden="1" x14ac:dyDescent="0.25">
      <c r="A717" s="9" t="s">
        <v>37</v>
      </c>
      <c r="B717" s="19">
        <f>VLOOKUP(Table27[[#This Row],[Location 
(drop-down)]],'List source'!D$2:E$71,2,FALSE)</f>
        <v>210</v>
      </c>
      <c r="C717" s="178" t="s">
        <v>3751</v>
      </c>
      <c r="D717" s="21" t="str">
        <f t="shared" si="22"/>
        <v>PTO0716-210-25</v>
      </c>
      <c r="E717" s="9" t="s">
        <v>3752</v>
      </c>
      <c r="F717" s="10" t="s">
        <v>2065</v>
      </c>
      <c r="G7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D5949 - Pour Point</v>
      </c>
      <c r="H717" s="136" t="s">
        <v>2110</v>
      </c>
      <c r="I717" s="12">
        <v>45854</v>
      </c>
      <c r="J717" s="12" t="s">
        <v>252</v>
      </c>
      <c r="K717" s="63">
        <v>46034</v>
      </c>
      <c r="L717" s="37"/>
      <c r="M717" s="10" t="str">
        <f t="shared" ca="1" si="23"/>
        <v>CLOSED</v>
      </c>
    </row>
    <row r="718" spans="1:13" ht="30" hidden="1" x14ac:dyDescent="0.25">
      <c r="A718" s="9" t="s">
        <v>105</v>
      </c>
      <c r="B718" s="19">
        <f>VLOOKUP(Table27[[#This Row],[Location 
(drop-down)]],'List source'!D$2:E$71,2,FALSE)</f>
        <v>215</v>
      </c>
      <c r="C718" s="178" t="s">
        <v>3753</v>
      </c>
      <c r="D718" s="21" t="str">
        <f t="shared" si="22"/>
        <v>PTO0717-215-25</v>
      </c>
      <c r="E718" s="9" t="s">
        <v>3754</v>
      </c>
      <c r="F718" s="10" t="s">
        <v>2065</v>
      </c>
      <c r="G7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 &amp; Density</v>
      </c>
      <c r="H718" s="136" t="s">
        <v>3755</v>
      </c>
      <c r="I718" s="12">
        <v>45854</v>
      </c>
      <c r="J718" s="12" t="s">
        <v>252</v>
      </c>
      <c r="K718" s="63">
        <v>45882</v>
      </c>
      <c r="L718" s="37"/>
      <c r="M718" s="10" t="str">
        <f t="shared" ca="1" si="23"/>
        <v>CLOSED</v>
      </c>
    </row>
    <row r="719" spans="1:13" ht="18.75" hidden="1" x14ac:dyDescent="0.25">
      <c r="A719" s="9" t="s">
        <v>94</v>
      </c>
      <c r="B719" s="19">
        <f>VLOOKUP(Table27[[#This Row],[Location 
(drop-down)]],'List source'!D$2:E$71,2,FALSE)</f>
        <v>120</v>
      </c>
      <c r="C719" s="178" t="s">
        <v>3756</v>
      </c>
      <c r="D719" s="21" t="str">
        <f t="shared" si="22"/>
        <v>PTO0718-120-25</v>
      </c>
      <c r="E719" s="9" t="s">
        <v>3757</v>
      </c>
      <c r="F719" s="10" t="str" cm="1">
        <f t="array" aca="1" ref="F7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719" s="10" t="s">
        <v>3758</v>
      </c>
      <c r="I719" s="12">
        <v>45856</v>
      </c>
      <c r="J719" s="12" t="s">
        <v>18</v>
      </c>
      <c r="K719" s="63">
        <v>45911</v>
      </c>
      <c r="L719" s="37"/>
      <c r="M719" s="10" t="str">
        <f t="shared" ca="1" si="23"/>
        <v>CLOSED</v>
      </c>
    </row>
    <row r="720" spans="1:13" ht="18.75" hidden="1" x14ac:dyDescent="0.25">
      <c r="A720" s="9" t="s">
        <v>381</v>
      </c>
      <c r="B720" s="19">
        <f>VLOOKUP(Table27[[#This Row],[Location 
(drop-down)]],'List source'!D$2:E$71,2,FALSE)</f>
        <v>179</v>
      </c>
      <c r="C720" s="178" t="s">
        <v>3759</v>
      </c>
      <c r="D720" s="21" t="str">
        <f t="shared" si="22"/>
        <v>PTO0719-179-25</v>
      </c>
      <c r="E720" s="9" t="s">
        <v>3760</v>
      </c>
      <c r="F720" s="10" t="str" cm="1">
        <f t="array" aca="1" ref="F7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720" s="10">
        <v>2.4500000000000002</v>
      </c>
      <c r="I720" s="12">
        <v>45856</v>
      </c>
      <c r="J720" s="12"/>
      <c r="K720" s="63"/>
      <c r="L720" s="37"/>
      <c r="M720" s="10">
        <f t="shared" ca="1" si="23"/>
        <v>221</v>
      </c>
    </row>
    <row r="721" spans="1:13" ht="30" hidden="1" x14ac:dyDescent="0.25">
      <c r="A721" s="9" t="s">
        <v>91</v>
      </c>
      <c r="B721" s="19">
        <f>VLOOKUP(Table27[[#This Row],[Location 
(drop-down)]],'List source'!D$2:E$71,2,FALSE)</f>
        <v>190</v>
      </c>
      <c r="C721" s="178" t="s">
        <v>3761</v>
      </c>
      <c r="D721" s="21" t="str">
        <f t="shared" si="22"/>
        <v>PTO0720-190-25</v>
      </c>
      <c r="E721" s="9" t="s">
        <v>3762</v>
      </c>
      <c r="F721" s="10" t="str" cm="1">
        <f t="array" aca="1" ref="F7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D6667 - Sulfur in LPG</v>
      </c>
      <c r="H721" s="136">
        <v>2.2799999999999998</v>
      </c>
      <c r="I721" s="12">
        <v>45856</v>
      </c>
      <c r="J721" s="12" t="s">
        <v>2074</v>
      </c>
      <c r="K721" s="63">
        <v>45856</v>
      </c>
      <c r="L721" s="37" t="s">
        <v>2592</v>
      </c>
      <c r="M721" s="10" t="str">
        <f t="shared" ca="1" si="23"/>
        <v>CLOSED</v>
      </c>
    </row>
    <row r="722" spans="1:13" ht="30" hidden="1" x14ac:dyDescent="0.25">
      <c r="A722" s="9" t="s">
        <v>153</v>
      </c>
      <c r="B722" s="19">
        <f>VLOOKUP(Table27[[#This Row],[Location 
(drop-down)]],'List source'!D$2:E$71,2,FALSE)</f>
        <v>110</v>
      </c>
      <c r="C722" s="178" t="s">
        <v>3763</v>
      </c>
      <c r="D722" s="21" t="str">
        <f t="shared" si="22"/>
        <v>PTO0721-110-25</v>
      </c>
      <c r="E722" s="9" t="s">
        <v>3764</v>
      </c>
      <c r="F722" s="10" t="str" cm="1">
        <f t="array" aca="1" ref="F7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722" s="10">
        <v>2.2999999999999998</v>
      </c>
      <c r="I722" s="12">
        <v>45859</v>
      </c>
      <c r="J722" s="12" t="s">
        <v>2074</v>
      </c>
      <c r="K722" s="63">
        <v>45859</v>
      </c>
      <c r="L722" s="37" t="s">
        <v>2592</v>
      </c>
      <c r="M722" s="10" t="str">
        <f t="shared" ca="1" si="23"/>
        <v>CLOSED</v>
      </c>
    </row>
    <row r="723" spans="1:13" ht="30" hidden="1" x14ac:dyDescent="0.25">
      <c r="A723" s="9" t="s">
        <v>153</v>
      </c>
      <c r="B723" s="19">
        <f>VLOOKUP(Table27[[#This Row],[Location 
(drop-down)]],'List source'!D$2:E$71,2,FALSE)</f>
        <v>110</v>
      </c>
      <c r="C723" s="178" t="s">
        <v>3765</v>
      </c>
      <c r="D723" s="21" t="str">
        <f t="shared" si="22"/>
        <v>PTO0722-110-25</v>
      </c>
      <c r="E723" s="9" t="s">
        <v>3766</v>
      </c>
      <c r="F723" s="10" t="str" cm="1">
        <f t="array" aca="1" ref="F7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D1160 - Distillation</v>
      </c>
      <c r="H723" s="136" t="s">
        <v>2446</v>
      </c>
      <c r="I723" s="12">
        <v>45859</v>
      </c>
      <c r="J723" s="12" t="s">
        <v>2074</v>
      </c>
      <c r="K723" s="63">
        <v>45859</v>
      </c>
      <c r="L723" s="37" t="s">
        <v>2592</v>
      </c>
      <c r="M723" s="10" t="str">
        <f t="shared" ca="1" si="23"/>
        <v>CLOSED</v>
      </c>
    </row>
    <row r="724" spans="1:13" ht="30" hidden="1" x14ac:dyDescent="0.25">
      <c r="A724" s="9" t="s">
        <v>153</v>
      </c>
      <c r="B724" s="19">
        <f>VLOOKUP(Table27[[#This Row],[Location 
(drop-down)]],'List source'!D$2:E$71,2,FALSE)</f>
        <v>110</v>
      </c>
      <c r="C724" s="178" t="s">
        <v>3767</v>
      </c>
      <c r="D724" s="21" t="str">
        <f t="shared" si="22"/>
        <v>PTO0723-110-25</v>
      </c>
      <c r="E724" s="9" t="s">
        <v>3768</v>
      </c>
      <c r="F724" s="10" t="str" cm="1">
        <f t="array" aca="1" ref="F7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724" s="10">
        <v>2.2999999999999998</v>
      </c>
      <c r="I724" s="12">
        <v>45859</v>
      </c>
      <c r="J724" s="12" t="s">
        <v>2074</v>
      </c>
      <c r="K724" s="63">
        <v>45859</v>
      </c>
      <c r="L724" s="37" t="s">
        <v>2592</v>
      </c>
      <c r="M724" s="10" t="str">
        <f t="shared" ca="1" si="23"/>
        <v>CLOSED</v>
      </c>
    </row>
    <row r="725" spans="1:13" ht="30" hidden="1" x14ac:dyDescent="0.25">
      <c r="A725" s="9" t="s">
        <v>94</v>
      </c>
      <c r="B725" s="19">
        <f>VLOOKUP(Table27[[#This Row],[Location 
(drop-down)]],'List source'!D$2:E$71,2,FALSE)</f>
        <v>120</v>
      </c>
      <c r="C725" s="178" t="s">
        <v>3769</v>
      </c>
      <c r="D725" s="21" t="str">
        <f t="shared" si="22"/>
        <v>PTO0724-120-25</v>
      </c>
      <c r="E725" s="9" t="s">
        <v>3770</v>
      </c>
      <c r="F725" s="10" t="str" cm="1">
        <f t="array" aca="1" ref="F7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725" s="136">
        <v>2.4700000000000002</v>
      </c>
      <c r="I725" s="12">
        <v>45859</v>
      </c>
      <c r="J725" s="12" t="s">
        <v>2074</v>
      </c>
      <c r="K725" s="63">
        <v>45859</v>
      </c>
      <c r="L725" s="37" t="s">
        <v>2592</v>
      </c>
      <c r="M725" s="10" t="str">
        <f t="shared" ca="1" si="23"/>
        <v>CLOSED</v>
      </c>
    </row>
    <row r="726" spans="1:13" ht="30" hidden="1" x14ac:dyDescent="0.25">
      <c r="A726" s="9" t="s">
        <v>94</v>
      </c>
      <c r="B726" s="19">
        <f>VLOOKUP(Table27[[#This Row],[Location 
(drop-down)]],'List source'!D$2:E$71,2,FALSE)</f>
        <v>120</v>
      </c>
      <c r="C726" s="178" t="s">
        <v>3771</v>
      </c>
      <c r="D726" s="21" t="str">
        <f t="shared" si="22"/>
        <v>PTO0725-120-25</v>
      </c>
      <c r="E726" s="9" t="s">
        <v>3772</v>
      </c>
      <c r="F726" s="10" t="str" cm="1">
        <f t="array" aca="1" ref="F7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D5185 - Elements</v>
      </c>
      <c r="H726" s="136" t="s">
        <v>3773</v>
      </c>
      <c r="I726" s="12">
        <v>45859</v>
      </c>
      <c r="J726" s="12"/>
      <c r="K726" s="63"/>
      <c r="L726" s="37"/>
      <c r="M726" s="10">
        <f t="shared" ca="1" si="23"/>
        <v>218</v>
      </c>
    </row>
    <row r="727" spans="1:13" ht="30" hidden="1" x14ac:dyDescent="0.25">
      <c r="A727" s="9" t="s">
        <v>94</v>
      </c>
      <c r="B727" s="19">
        <f>VLOOKUP(Table27[[#This Row],[Location 
(drop-down)]],'List source'!D$2:E$71,2,FALSE)</f>
        <v>120</v>
      </c>
      <c r="C727" s="178" t="s">
        <v>3774</v>
      </c>
      <c r="D727" s="21" t="str">
        <f t="shared" si="22"/>
        <v>PTO0726-120-25</v>
      </c>
      <c r="E727" s="9" t="s">
        <v>3775</v>
      </c>
      <c r="F727" s="10" t="str" cm="1">
        <f t="array" aca="1" ref="F7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EN14538 - Elements</v>
      </c>
      <c r="H727" s="136">
        <v>2.68</v>
      </c>
      <c r="I727" s="12">
        <v>45859</v>
      </c>
      <c r="J727" s="12" t="s">
        <v>2074</v>
      </c>
      <c r="K727" s="63">
        <v>45859</v>
      </c>
      <c r="L727" s="37" t="s">
        <v>2592</v>
      </c>
      <c r="M727" s="10" t="str">
        <f t="shared" ca="1" si="23"/>
        <v>CLOSED</v>
      </c>
    </row>
    <row r="728" spans="1:13" ht="30" hidden="1" x14ac:dyDescent="0.25">
      <c r="A728" s="9" t="s">
        <v>156</v>
      </c>
      <c r="B728" s="19">
        <f>VLOOKUP(Table27[[#This Row],[Location 
(drop-down)]],'List source'!D$2:E$71,2,FALSE)</f>
        <v>130</v>
      </c>
      <c r="C728" s="178" t="s">
        <v>3776</v>
      </c>
      <c r="D728" s="21" t="str">
        <f t="shared" si="22"/>
        <v>PTO0727-130-25</v>
      </c>
      <c r="E728" s="9" t="s">
        <v>3777</v>
      </c>
      <c r="F728" s="10" t="str" cm="1">
        <f t="array" aca="1" ref="F7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D874 - Ash</v>
      </c>
      <c r="H728" s="10">
        <v>2.35</v>
      </c>
      <c r="I728" s="12">
        <v>45859</v>
      </c>
      <c r="J728" s="12" t="s">
        <v>2074</v>
      </c>
      <c r="K728" s="63">
        <v>45859</v>
      </c>
      <c r="L728" s="37" t="s">
        <v>2592</v>
      </c>
      <c r="M728" s="10" t="str">
        <f t="shared" ca="1" si="23"/>
        <v>CLOSED</v>
      </c>
    </row>
    <row r="729" spans="1:13" ht="30" hidden="1" x14ac:dyDescent="0.25">
      <c r="A729" s="9" t="s">
        <v>257</v>
      </c>
      <c r="B729" s="19">
        <f>VLOOKUP(Table27[[#This Row],[Location 
(drop-down)]],'List source'!D$2:E$71,2,FALSE)</f>
        <v>144</v>
      </c>
      <c r="C729" s="178" t="s">
        <v>3778</v>
      </c>
      <c r="D729" s="21" t="str">
        <f t="shared" si="22"/>
        <v>PTO0728-144-25</v>
      </c>
      <c r="E729" s="9" t="s">
        <v>3779</v>
      </c>
      <c r="F729" s="10" t="str" cm="1">
        <f t="array" aca="1" ref="F7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29" s="10">
        <v>2.48</v>
      </c>
      <c r="I729" s="12">
        <v>45859</v>
      </c>
      <c r="J729" s="12"/>
      <c r="K729" s="63"/>
      <c r="L729" s="37"/>
      <c r="M729" s="10">
        <f t="shared" ca="1" si="23"/>
        <v>218</v>
      </c>
    </row>
    <row r="730" spans="1:13" ht="30" hidden="1" x14ac:dyDescent="0.25">
      <c r="A730" s="9" t="s">
        <v>257</v>
      </c>
      <c r="B730" s="19">
        <f>VLOOKUP(Table27[[#This Row],[Location 
(drop-down)]],'List source'!D$2:E$71,2,FALSE)</f>
        <v>144</v>
      </c>
      <c r="C730" s="178" t="s">
        <v>3780</v>
      </c>
      <c r="D730" s="21" t="str">
        <f t="shared" si="22"/>
        <v>PTO0729-144-25</v>
      </c>
      <c r="E730" s="9" t="s">
        <v>3764</v>
      </c>
      <c r="F730" s="10" t="str" cm="1">
        <f t="array" aca="1" ref="F7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730" s="10">
        <v>2.2999999999999998</v>
      </c>
      <c r="I730" s="12">
        <v>45859</v>
      </c>
      <c r="J730" s="12" t="s">
        <v>2074</v>
      </c>
      <c r="K730" s="63">
        <v>45859</v>
      </c>
      <c r="L730" s="37" t="s">
        <v>2592</v>
      </c>
      <c r="M730" s="10" t="str">
        <f t="shared" ca="1" si="23"/>
        <v>CLOSED</v>
      </c>
    </row>
    <row r="731" spans="1:13" ht="30" hidden="1" x14ac:dyDescent="0.25">
      <c r="A731" s="9" t="s">
        <v>257</v>
      </c>
      <c r="B731" s="19">
        <f>VLOOKUP(Table27[[#This Row],[Location 
(drop-down)]],'List source'!D$2:E$71,2,FALSE)</f>
        <v>144</v>
      </c>
      <c r="C731" s="178" t="s">
        <v>3781</v>
      </c>
      <c r="D731" s="21" t="str">
        <f t="shared" si="22"/>
        <v>PTO0730-144-25</v>
      </c>
      <c r="E731" s="9" t="s">
        <v>3782</v>
      </c>
      <c r="F731" s="10" t="str" cm="1">
        <f t="array" aca="1" ref="F7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31" s="136" t="s">
        <v>3783</v>
      </c>
      <c r="I731" s="12">
        <v>45859</v>
      </c>
      <c r="J731" s="12"/>
      <c r="K731" s="63"/>
      <c r="L731" s="37"/>
      <c r="M731" s="10">
        <f t="shared" ca="1" si="23"/>
        <v>218</v>
      </c>
    </row>
    <row r="732" spans="1:13" ht="30" hidden="1" x14ac:dyDescent="0.25">
      <c r="A732" s="9" t="s">
        <v>107</v>
      </c>
      <c r="B732" s="19">
        <f>VLOOKUP(Table27[[#This Row],[Location 
(drop-down)]],'List source'!D$2:E$71,2,FALSE)</f>
        <v>170</v>
      </c>
      <c r="C732" s="178" t="s">
        <v>3784</v>
      </c>
      <c r="D732" s="21" t="str">
        <f t="shared" si="22"/>
        <v>PTO0731-170-25</v>
      </c>
      <c r="E732" s="9" t="s">
        <v>3785</v>
      </c>
      <c r="F732" s="10" t="str" cm="1">
        <f t="array" aca="1" ref="F7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32" s="10">
        <v>2.23</v>
      </c>
      <c r="I732" s="12">
        <v>45859</v>
      </c>
      <c r="J732" s="12" t="s">
        <v>109</v>
      </c>
      <c r="K732" s="63">
        <v>45896</v>
      </c>
      <c r="L732" s="37"/>
      <c r="M732" s="10" t="str">
        <f t="shared" ca="1" si="23"/>
        <v>CLOSED</v>
      </c>
    </row>
    <row r="733" spans="1:13" ht="30" hidden="1" x14ac:dyDescent="0.25">
      <c r="A733" s="9" t="s">
        <v>107</v>
      </c>
      <c r="B733" s="19">
        <f>VLOOKUP(Table27[[#This Row],[Location 
(drop-down)]],'List source'!D$2:E$71,2,FALSE)</f>
        <v>170</v>
      </c>
      <c r="C733" s="178" t="s">
        <v>3786</v>
      </c>
      <c r="D733" s="21" t="str">
        <f t="shared" si="22"/>
        <v>PTO0732-170-25</v>
      </c>
      <c r="E733" s="9" t="s">
        <v>3787</v>
      </c>
      <c r="F733" s="10" t="str" cm="1">
        <f t="array" aca="1" ref="F7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D974 - Acid Number</v>
      </c>
      <c r="H733" s="136">
        <v>2.15</v>
      </c>
      <c r="I733" s="12">
        <v>45859</v>
      </c>
      <c r="J733" s="12" t="s">
        <v>109</v>
      </c>
      <c r="K733" s="63">
        <v>45896</v>
      </c>
      <c r="L733" s="37"/>
      <c r="M733" s="10" t="str">
        <f t="shared" ca="1" si="23"/>
        <v>CLOSED</v>
      </c>
    </row>
    <row r="734" spans="1:13" ht="30" hidden="1" x14ac:dyDescent="0.25">
      <c r="A734" s="9" t="s">
        <v>107</v>
      </c>
      <c r="B734" s="19">
        <f>VLOOKUP(Table27[[#This Row],[Location 
(drop-down)]],'List source'!D$2:E$71,2,FALSE)</f>
        <v>170</v>
      </c>
      <c r="C734" s="178" t="s">
        <v>3788</v>
      </c>
      <c r="D734" s="21" t="str">
        <f t="shared" si="22"/>
        <v>PTO0733-170-25</v>
      </c>
      <c r="E734" s="9" t="s">
        <v>3789</v>
      </c>
      <c r="F734" s="10" t="str" cm="1">
        <f t="array" aca="1" ref="F7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ISO 12185 - Density</v>
      </c>
      <c r="H734" s="10">
        <v>2.1</v>
      </c>
      <c r="I734" s="12">
        <v>45859</v>
      </c>
      <c r="J734" s="12" t="s">
        <v>2074</v>
      </c>
      <c r="K734" s="63">
        <v>45859</v>
      </c>
      <c r="L734" s="37" t="s">
        <v>2592</v>
      </c>
      <c r="M734" s="10" t="str">
        <f t="shared" ca="1" si="23"/>
        <v>CLOSED</v>
      </c>
    </row>
    <row r="735" spans="1:13" ht="30" hidden="1" x14ac:dyDescent="0.25">
      <c r="A735" s="9" t="s">
        <v>107</v>
      </c>
      <c r="B735" s="19">
        <f>VLOOKUP(Table27[[#This Row],[Location 
(drop-down)]],'List source'!D$2:E$71,2,FALSE)</f>
        <v>170</v>
      </c>
      <c r="C735" s="178" t="s">
        <v>3790</v>
      </c>
      <c r="D735" s="21" t="str">
        <f t="shared" si="22"/>
        <v>PTO0734-170-25</v>
      </c>
      <c r="E735" s="9" t="s">
        <v>3791</v>
      </c>
      <c r="F735" s="10" t="str" cm="1">
        <f t="array" aca="1" ref="F7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ISO 2719-A - Flash Point</v>
      </c>
      <c r="H735" s="10">
        <v>5.19</v>
      </c>
      <c r="I735" s="12">
        <v>45859</v>
      </c>
      <c r="J735" s="12" t="s">
        <v>109</v>
      </c>
      <c r="K735" s="63">
        <v>45923</v>
      </c>
      <c r="L735" s="37"/>
      <c r="M735" s="10" t="str">
        <f t="shared" ca="1" si="23"/>
        <v>CLOSED</v>
      </c>
    </row>
    <row r="736" spans="1:13" ht="30" hidden="1" x14ac:dyDescent="0.25">
      <c r="A736" s="9" t="s">
        <v>107</v>
      </c>
      <c r="B736" s="19">
        <f>VLOOKUP(Table27[[#This Row],[Location 
(drop-down)]],'List source'!D$2:E$71,2,FALSE)</f>
        <v>170</v>
      </c>
      <c r="C736" s="178" t="s">
        <v>3792</v>
      </c>
      <c r="D736" s="21" t="str">
        <f t="shared" si="22"/>
        <v>PTO0735-170-25</v>
      </c>
      <c r="E736" s="9" t="s">
        <v>3793</v>
      </c>
      <c r="F736" s="10" t="str" cm="1">
        <f t="array" aca="1" ref="F7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Glycerin</v>
      </c>
      <c r="H736" s="136" t="s">
        <v>3794</v>
      </c>
      <c r="I736" s="12">
        <v>45859</v>
      </c>
      <c r="J736" s="12" t="s">
        <v>109</v>
      </c>
      <c r="K736" s="63">
        <v>45896</v>
      </c>
      <c r="L736" s="37"/>
      <c r="M736" s="10" t="str">
        <f t="shared" ca="1" si="23"/>
        <v>CLOSED</v>
      </c>
    </row>
    <row r="737" spans="1:13" ht="30" hidden="1" x14ac:dyDescent="0.25">
      <c r="A737" s="9" t="s">
        <v>107</v>
      </c>
      <c r="B737" s="19">
        <f>VLOOKUP(Table27[[#This Row],[Location 
(drop-down)]],'List source'!D$2:E$71,2,FALSE)</f>
        <v>170</v>
      </c>
      <c r="C737" s="178" t="s">
        <v>3795</v>
      </c>
      <c r="D737" s="21" t="str">
        <f t="shared" si="22"/>
        <v>PTO0736-170-25</v>
      </c>
      <c r="E737" s="9" t="s">
        <v>3796</v>
      </c>
      <c r="F737" s="10" t="str" cm="1">
        <f t="array" aca="1" ref="F7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ISO 20846 - Sulfur</v>
      </c>
      <c r="H737" s="10">
        <v>2.16</v>
      </c>
      <c r="I737" s="12">
        <v>45859</v>
      </c>
      <c r="J737" s="12" t="s">
        <v>2074</v>
      </c>
      <c r="K737" s="63">
        <v>45859</v>
      </c>
      <c r="L737" s="37" t="s">
        <v>2592</v>
      </c>
      <c r="M737" s="10" t="str">
        <f t="shared" ca="1" si="23"/>
        <v>CLOSED</v>
      </c>
    </row>
    <row r="738" spans="1:13" ht="18.75" hidden="1" x14ac:dyDescent="0.25">
      <c r="A738" s="9" t="s">
        <v>179</v>
      </c>
      <c r="B738" s="19">
        <f>VLOOKUP(Table27[[#This Row],[Location 
(drop-down)]],'List source'!D$2:E$71,2,FALSE)</f>
        <v>189</v>
      </c>
      <c r="C738" s="178" t="s">
        <v>3797</v>
      </c>
      <c r="D738" s="21" t="str">
        <f t="shared" si="22"/>
        <v>PTO0737-189-25</v>
      </c>
      <c r="E738" s="9" t="s">
        <v>3798</v>
      </c>
      <c r="F738" s="10" t="str" cm="1">
        <f t="array" aca="1" ref="F7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7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738" s="136" t="s">
        <v>3799</v>
      </c>
      <c r="I738" s="12">
        <v>45859</v>
      </c>
      <c r="J738" s="12" t="s">
        <v>2074</v>
      </c>
      <c r="K738" s="63">
        <v>46024</v>
      </c>
      <c r="L738" s="37" t="s">
        <v>2079</v>
      </c>
      <c r="M738" s="10" t="str">
        <f t="shared" ca="1" si="23"/>
        <v>CLOSED</v>
      </c>
    </row>
    <row r="739" spans="1:13" ht="30" hidden="1" x14ac:dyDescent="0.25">
      <c r="A739" s="9" t="s">
        <v>153</v>
      </c>
      <c r="B739" s="19">
        <f>VLOOKUP(Table27[[#This Row],[Location 
(drop-down)]],'List source'!D$2:E$71,2,FALSE)</f>
        <v>110</v>
      </c>
      <c r="C739" s="178" t="s">
        <v>3800</v>
      </c>
      <c r="D739" s="21" t="str">
        <f t="shared" si="22"/>
        <v>PTO0738-110-25</v>
      </c>
      <c r="E739" s="9" t="s">
        <v>3801</v>
      </c>
      <c r="F739" s="10" t="str" cm="1">
        <f t="array" aca="1" ref="F7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9" s="136" t="s">
        <v>3802</v>
      </c>
      <c r="I739" s="12">
        <v>45859</v>
      </c>
      <c r="J739" s="12" t="s">
        <v>2074</v>
      </c>
      <c r="K739" s="63">
        <v>45859</v>
      </c>
      <c r="L739" s="37" t="s">
        <v>2592</v>
      </c>
      <c r="M739" s="10" t="str">
        <f t="shared" ca="1" si="23"/>
        <v>CLOSED</v>
      </c>
    </row>
    <row r="740" spans="1:13" ht="18.75" hidden="1" x14ac:dyDescent="0.25">
      <c r="A740" s="9" t="s">
        <v>94</v>
      </c>
      <c r="B740" s="19">
        <f>VLOOKUP(Table27[[#This Row],[Location 
(drop-down)]],'List source'!D$2:E$71,2,FALSE)</f>
        <v>120</v>
      </c>
      <c r="C740" s="178" t="s">
        <v>3803</v>
      </c>
      <c r="D740" s="21" t="str">
        <f t="shared" si="22"/>
        <v>PTO0739-120-25</v>
      </c>
      <c r="E740" s="9" t="s">
        <v>3804</v>
      </c>
      <c r="F740" s="10" t="str" cm="1">
        <f t="array" aca="1" ref="F7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740" s="10">
        <v>80.7</v>
      </c>
      <c r="I740" s="12">
        <v>45859</v>
      </c>
      <c r="J740" s="12" t="s">
        <v>18</v>
      </c>
      <c r="K740" s="63">
        <v>45933</v>
      </c>
      <c r="L740" s="37"/>
      <c r="M740" s="10" t="str">
        <f t="shared" ca="1" si="23"/>
        <v>CLOSED</v>
      </c>
    </row>
    <row r="741" spans="1:13" ht="18.75" hidden="1" x14ac:dyDescent="0.25">
      <c r="A741" s="9" t="s">
        <v>94</v>
      </c>
      <c r="B741" s="19">
        <f>VLOOKUP(Table27[[#This Row],[Location 
(drop-down)]],'List source'!D$2:E$71,2,FALSE)</f>
        <v>120</v>
      </c>
      <c r="C741" s="178" t="s">
        <v>3805</v>
      </c>
      <c r="D741" s="21" t="str">
        <f t="shared" si="22"/>
        <v>PTO0740-120-25</v>
      </c>
      <c r="E741" s="9" t="s">
        <v>3806</v>
      </c>
      <c r="F741" s="10" t="str" cm="1">
        <f t="array" aca="1" ref="F7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741" s="136" t="s">
        <v>3807</v>
      </c>
      <c r="I741" s="12">
        <v>45859</v>
      </c>
      <c r="J741" s="12" t="s">
        <v>18</v>
      </c>
      <c r="K741" s="63">
        <v>45933</v>
      </c>
      <c r="L741" s="37"/>
      <c r="M741" s="10" t="str">
        <f t="shared" ca="1" si="23"/>
        <v>CLOSED</v>
      </c>
    </row>
    <row r="742" spans="1:13" ht="30" hidden="1" x14ac:dyDescent="0.25">
      <c r="A742" s="9" t="s">
        <v>46</v>
      </c>
      <c r="B742" s="19">
        <f>VLOOKUP(Table27[[#This Row],[Location 
(drop-down)]],'List source'!D$2:E$71,2,FALSE)</f>
        <v>155</v>
      </c>
      <c r="C742" s="178" t="s">
        <v>3808</v>
      </c>
      <c r="D742" s="21" t="str">
        <f t="shared" si="22"/>
        <v>PTO0741-155-25</v>
      </c>
      <c r="E742" s="9" t="s">
        <v>3809</v>
      </c>
      <c r="F742" s="10" t="str" cm="1">
        <f t="array" aca="1" ref="F7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742" s="10" t="s">
        <v>3810</v>
      </c>
      <c r="I742" s="12">
        <v>45859</v>
      </c>
      <c r="J742" s="12" t="s">
        <v>2074</v>
      </c>
      <c r="K742" s="63">
        <v>45904</v>
      </c>
      <c r="L742" s="37" t="s">
        <v>2079</v>
      </c>
      <c r="M742" s="10" t="str">
        <f t="shared" ca="1" si="23"/>
        <v>CLOSED</v>
      </c>
    </row>
    <row r="743" spans="1:13" ht="18.75" hidden="1" x14ac:dyDescent="0.25">
      <c r="A743" s="9" t="s">
        <v>46</v>
      </c>
      <c r="B743" s="19">
        <f>VLOOKUP(Table27[[#This Row],[Location 
(drop-down)]],'List source'!D$2:E$71,2,FALSE)</f>
        <v>155</v>
      </c>
      <c r="C743" s="178" t="s">
        <v>3811</v>
      </c>
      <c r="D743" s="21" t="str">
        <f t="shared" si="22"/>
        <v>PTO0742-155-25</v>
      </c>
      <c r="E743" s="9" t="s">
        <v>3812</v>
      </c>
      <c r="F743" s="10" t="str" cm="1">
        <f t="array" aca="1" ref="F7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743" s="10">
        <v>2.2400000000000002</v>
      </c>
      <c r="I743" s="12">
        <v>45859</v>
      </c>
      <c r="J743" s="12"/>
      <c r="K743" s="63"/>
      <c r="L743" s="37"/>
      <c r="M743" s="10">
        <f t="shared" ca="1" si="23"/>
        <v>218</v>
      </c>
    </row>
    <row r="744" spans="1:13" ht="30" hidden="1" x14ac:dyDescent="0.25">
      <c r="A744" s="9" t="s">
        <v>46</v>
      </c>
      <c r="B744" s="19">
        <f>VLOOKUP(Table27[[#This Row],[Location 
(drop-down)]],'List source'!D$2:E$71,2,FALSE)</f>
        <v>155</v>
      </c>
      <c r="C744" s="178" t="s">
        <v>3813</v>
      </c>
      <c r="D744" s="21" t="str">
        <f t="shared" si="22"/>
        <v>PTO0743-155-25</v>
      </c>
      <c r="E744" s="9" t="s">
        <v>3814</v>
      </c>
      <c r="F744" s="10" t="str" cm="1">
        <f t="array" aca="1" ref="F7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744" s="136">
        <v>2.33</v>
      </c>
      <c r="I744" s="12">
        <v>45859</v>
      </c>
      <c r="J744" s="12" t="s">
        <v>2074</v>
      </c>
      <c r="K744" s="63">
        <v>45859</v>
      </c>
      <c r="L744" s="37" t="s">
        <v>2592</v>
      </c>
      <c r="M744" s="10" t="str">
        <f t="shared" ca="1" si="23"/>
        <v>CLOSED</v>
      </c>
    </row>
    <row r="745" spans="1:13" ht="18.75" hidden="1" x14ac:dyDescent="0.25">
      <c r="A745" s="9" t="s">
        <v>46</v>
      </c>
      <c r="B745" s="19">
        <f>VLOOKUP(Table27[[#This Row],[Location 
(drop-down)]],'List source'!D$2:E$71,2,FALSE)</f>
        <v>155</v>
      </c>
      <c r="C745" s="178" t="s">
        <v>3815</v>
      </c>
      <c r="D745" s="21" t="str">
        <f t="shared" si="22"/>
        <v>PTO0744-155-25</v>
      </c>
      <c r="E745" s="9" t="s">
        <v>3816</v>
      </c>
      <c r="F745" s="10" t="str" cm="1">
        <f t="array" aca="1" ref="F7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45" s="10" t="s">
        <v>3817</v>
      </c>
      <c r="I745" s="12">
        <v>45859</v>
      </c>
      <c r="J745" s="12" t="s">
        <v>2074</v>
      </c>
      <c r="K745" s="63">
        <v>45904</v>
      </c>
      <c r="L745" s="37" t="s">
        <v>2079</v>
      </c>
      <c r="M745" s="10" t="str">
        <f t="shared" ca="1" si="23"/>
        <v>CLOSED</v>
      </c>
    </row>
    <row r="746" spans="1:13" ht="18.75" hidden="1" x14ac:dyDescent="0.25">
      <c r="A746" s="9" t="s">
        <v>25</v>
      </c>
      <c r="B746" s="19">
        <f>VLOOKUP(Table27[[#This Row],[Location 
(drop-down)]],'List source'!D$2:E$71,2,FALSE)</f>
        <v>158</v>
      </c>
      <c r="C746" s="178" t="s">
        <v>3818</v>
      </c>
      <c r="D746" s="21" t="str">
        <f t="shared" si="22"/>
        <v>PTO0745-158-25</v>
      </c>
      <c r="E746" s="9" t="s">
        <v>3819</v>
      </c>
      <c r="F746" s="10" t="str" cm="1">
        <f t="array" aca="1" ref="F7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46" s="10" t="s">
        <v>2400</v>
      </c>
      <c r="I746" s="12">
        <v>45859</v>
      </c>
      <c r="J746" s="12" t="s">
        <v>2074</v>
      </c>
      <c r="K746" s="63">
        <v>45890</v>
      </c>
      <c r="L746" s="37" t="s">
        <v>2288</v>
      </c>
      <c r="M746" s="10" t="str">
        <f t="shared" ca="1" si="23"/>
        <v>CLOSED</v>
      </c>
    </row>
    <row r="747" spans="1:13" ht="18.75" hidden="1" x14ac:dyDescent="0.25">
      <c r="A747" s="9" t="s">
        <v>25</v>
      </c>
      <c r="B747" s="19">
        <f>VLOOKUP(Table27[[#This Row],[Location 
(drop-down)]],'List source'!D$2:E$71,2,FALSE)</f>
        <v>158</v>
      </c>
      <c r="C747" s="178" t="s">
        <v>3820</v>
      </c>
      <c r="D747" s="21" t="str">
        <f t="shared" si="22"/>
        <v>PTO0746-158-25</v>
      </c>
      <c r="E747" s="9" t="s">
        <v>3821</v>
      </c>
      <c r="F747" s="10" t="str" cm="1">
        <f t="array" aca="1" ref="F7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747" s="136">
        <v>2.89</v>
      </c>
      <c r="I747" s="12">
        <v>45859</v>
      </c>
      <c r="J747" s="12" t="s">
        <v>82</v>
      </c>
      <c r="K747" s="63">
        <v>45915</v>
      </c>
      <c r="L747" s="37"/>
      <c r="M747" s="10" t="str">
        <f t="shared" ca="1" si="23"/>
        <v>CLOSED</v>
      </c>
    </row>
    <row r="748" spans="1:13" ht="18.75" hidden="1" x14ac:dyDescent="0.25">
      <c r="A748" s="9" t="s">
        <v>25</v>
      </c>
      <c r="B748" s="19">
        <f>VLOOKUP(Table27[[#This Row],[Location 
(drop-down)]],'List source'!D$2:E$71,2,FALSE)</f>
        <v>158</v>
      </c>
      <c r="C748" s="178" t="s">
        <v>3822</v>
      </c>
      <c r="D748" s="21" t="str">
        <f t="shared" si="22"/>
        <v>PTO0747-158-25</v>
      </c>
      <c r="E748" s="9" t="s">
        <v>3823</v>
      </c>
      <c r="F748" s="10" t="str" cm="1">
        <f t="array" aca="1" ref="F7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748" s="10" t="s">
        <v>3824</v>
      </c>
      <c r="I748" s="12">
        <v>45859</v>
      </c>
      <c r="J748" s="12" t="s">
        <v>82</v>
      </c>
      <c r="K748" s="63">
        <v>45915</v>
      </c>
      <c r="L748" s="37"/>
      <c r="M748" s="10" t="str">
        <f t="shared" ca="1" si="23"/>
        <v>CLOSED</v>
      </c>
    </row>
    <row r="749" spans="1:13" ht="30" hidden="1" x14ac:dyDescent="0.25">
      <c r="A749" s="9" t="s">
        <v>172</v>
      </c>
      <c r="B749" s="19" t="str">
        <f>VLOOKUP(Table27[[#This Row],[Location 
(drop-down)]],'List source'!D$2:E$71,2,FALSE)</f>
        <v>160A</v>
      </c>
      <c r="C749" s="178" t="s">
        <v>3825</v>
      </c>
      <c r="D749" s="21" t="str">
        <f t="shared" si="22"/>
        <v>PTO0748-160A-25</v>
      </c>
      <c r="E749" s="9" t="s">
        <v>3826</v>
      </c>
      <c r="F749" s="10" t="str" cm="1">
        <f t="array" aca="1" ref="F7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749" s="136">
        <v>-2.83</v>
      </c>
      <c r="I749" s="12">
        <v>45859</v>
      </c>
      <c r="J749" s="12" t="s">
        <v>2074</v>
      </c>
      <c r="K749" s="63">
        <v>45859</v>
      </c>
      <c r="L749" s="37" t="s">
        <v>2592</v>
      </c>
      <c r="M749" s="10" t="str">
        <f t="shared" ca="1" si="23"/>
        <v>CLOSED</v>
      </c>
    </row>
    <row r="750" spans="1:13" ht="30" hidden="1" x14ac:dyDescent="0.25">
      <c r="A750" s="9" t="s">
        <v>172</v>
      </c>
      <c r="B750" s="19" t="str">
        <f>VLOOKUP(Table27[[#This Row],[Location 
(drop-down)]],'List source'!D$2:E$71,2,FALSE)</f>
        <v>160A</v>
      </c>
      <c r="C750" s="178" t="s">
        <v>3827</v>
      </c>
      <c r="D750" s="21" t="str">
        <f t="shared" si="22"/>
        <v>PTO0749-160A-25</v>
      </c>
      <c r="E750" s="9" t="s">
        <v>3828</v>
      </c>
      <c r="F750" s="10" t="str" cm="1">
        <f t="array" aca="1" ref="F7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750" s="136" t="s">
        <v>3829</v>
      </c>
      <c r="I750" s="12">
        <v>45859</v>
      </c>
      <c r="J750" s="12" t="s">
        <v>2074</v>
      </c>
      <c r="K750" s="63">
        <v>45859</v>
      </c>
      <c r="L750" s="37" t="s">
        <v>2592</v>
      </c>
      <c r="M750" s="10" t="str">
        <f t="shared" ca="1" si="23"/>
        <v>CLOSED</v>
      </c>
    </row>
    <row r="751" spans="1:13" ht="30" hidden="1" x14ac:dyDescent="0.25">
      <c r="A751" s="9" t="s">
        <v>107</v>
      </c>
      <c r="B751" s="19">
        <f>VLOOKUP(Table27[[#This Row],[Location 
(drop-down)]],'List source'!D$2:E$71,2,FALSE)</f>
        <v>170</v>
      </c>
      <c r="C751" s="178" t="s">
        <v>3830</v>
      </c>
      <c r="D751" s="21" t="str">
        <f t="shared" si="22"/>
        <v>PTO0750-170-25</v>
      </c>
      <c r="E751" s="9" t="s">
        <v>3831</v>
      </c>
      <c r="F751" s="10" t="str" cm="1">
        <f t="array" aca="1" ref="F7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751" s="10">
        <v>2.33</v>
      </c>
      <c r="I751" s="12">
        <v>45859</v>
      </c>
      <c r="J751" s="12" t="s">
        <v>109</v>
      </c>
      <c r="K751" s="63">
        <v>45923</v>
      </c>
      <c r="L751" s="37"/>
      <c r="M751" s="10" t="str">
        <f t="shared" ca="1" si="23"/>
        <v>CLOSED</v>
      </c>
    </row>
    <row r="752" spans="1:13" ht="30" hidden="1" x14ac:dyDescent="0.25">
      <c r="A752" s="9" t="s">
        <v>107</v>
      </c>
      <c r="B752" s="19">
        <f>VLOOKUP(Table27[[#This Row],[Location 
(drop-down)]],'List source'!D$2:E$71,2,FALSE)</f>
        <v>170</v>
      </c>
      <c r="C752" s="178" t="s">
        <v>3832</v>
      </c>
      <c r="D752" s="21" t="str">
        <f t="shared" si="22"/>
        <v>PTO0751-170-25</v>
      </c>
      <c r="E752" s="9" t="s">
        <v>3833</v>
      </c>
      <c r="F752" s="10" t="str" cm="1">
        <f t="array" aca="1" ref="F7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752" s="10" t="s">
        <v>2400</v>
      </c>
      <c r="I752" s="12">
        <v>45859</v>
      </c>
      <c r="J752" s="12" t="s">
        <v>109</v>
      </c>
      <c r="K752" s="63">
        <v>45923</v>
      </c>
      <c r="L752" s="37"/>
      <c r="M752" s="10" t="str">
        <f t="shared" ca="1" si="23"/>
        <v>CLOSED</v>
      </c>
    </row>
    <row r="753" spans="1:13" ht="18.75" hidden="1" x14ac:dyDescent="0.25">
      <c r="A753" s="9" t="s">
        <v>179</v>
      </c>
      <c r="B753" s="19">
        <f>VLOOKUP(Table27[[#This Row],[Location 
(drop-down)]],'List source'!D$2:E$71,2,FALSE)</f>
        <v>189</v>
      </c>
      <c r="C753" s="178" t="s">
        <v>3834</v>
      </c>
      <c r="D753" s="21" t="str">
        <f t="shared" si="22"/>
        <v>PTO0752-189-25</v>
      </c>
      <c r="E753" s="9" t="s">
        <v>3831</v>
      </c>
      <c r="F753" s="10" t="str" cm="1">
        <f t="array" aca="1" ref="F7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753" s="10">
        <v>2.33</v>
      </c>
      <c r="I753" s="12">
        <v>45859</v>
      </c>
      <c r="J753" s="12" t="s">
        <v>48</v>
      </c>
      <c r="K753" s="63">
        <v>46053</v>
      </c>
      <c r="L753" s="37"/>
      <c r="M753" s="10" t="str">
        <f t="shared" ca="1" si="23"/>
        <v>CLOSED</v>
      </c>
    </row>
    <row r="754" spans="1:13" ht="18.75" hidden="1" x14ac:dyDescent="0.25">
      <c r="A754" s="9" t="s">
        <v>179</v>
      </c>
      <c r="B754" s="19">
        <f>VLOOKUP(Table27[[#This Row],[Location 
(drop-down)]],'List source'!D$2:E$71,2,FALSE)</f>
        <v>189</v>
      </c>
      <c r="C754" s="178" t="s">
        <v>3835</v>
      </c>
      <c r="D754" s="21" t="str">
        <f t="shared" si="22"/>
        <v>PTO0753-189-25</v>
      </c>
      <c r="E754" s="9" t="s">
        <v>3836</v>
      </c>
      <c r="F754" s="10" t="str" cm="1">
        <f t="array" aca="1" ref="F7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754" s="136" t="s">
        <v>3668</v>
      </c>
      <c r="I754" s="12">
        <v>45859</v>
      </c>
      <c r="J754" s="12"/>
      <c r="K754" s="63"/>
      <c r="L754" s="37"/>
      <c r="M754" s="10">
        <f t="shared" ca="1" si="23"/>
        <v>218</v>
      </c>
    </row>
    <row r="755" spans="1:13" ht="18.75" hidden="1" x14ac:dyDescent="0.25">
      <c r="A755" s="9" t="s">
        <v>220</v>
      </c>
      <c r="B755" s="19">
        <f>VLOOKUP(Table27[[#This Row],[Location 
(drop-down)]],'List source'!D$2:E$71,2,FALSE)</f>
        <v>197</v>
      </c>
      <c r="C755" s="178" t="s">
        <v>3837</v>
      </c>
      <c r="D755" s="21" t="str">
        <f t="shared" si="22"/>
        <v>PTO0754-197-25</v>
      </c>
      <c r="E755" s="9" t="s">
        <v>3838</v>
      </c>
      <c r="F755" s="10" t="str" cm="1">
        <f t="array" aca="1" ref="F7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55" s="10">
        <v>2.0499999999999998</v>
      </c>
      <c r="I755" s="12">
        <v>45859</v>
      </c>
      <c r="J755" s="12" t="s">
        <v>27</v>
      </c>
      <c r="K755" s="63">
        <v>45981</v>
      </c>
      <c r="L755" s="37"/>
      <c r="M755" s="10" t="str">
        <f t="shared" ca="1" si="23"/>
        <v>CLOSED</v>
      </c>
    </row>
    <row r="756" spans="1:13" ht="18.75" hidden="1" x14ac:dyDescent="0.25">
      <c r="A756" s="9" t="s">
        <v>105</v>
      </c>
      <c r="B756" s="19">
        <f>VLOOKUP(Table27[[#This Row],[Location 
(drop-down)]],'List source'!D$2:E$71,2,FALSE)</f>
        <v>215</v>
      </c>
      <c r="C756" s="178" t="s">
        <v>3839</v>
      </c>
      <c r="D756" s="21" t="str">
        <f t="shared" si="22"/>
        <v>PTO0755-215-25</v>
      </c>
      <c r="E756" s="9" t="s">
        <v>3840</v>
      </c>
      <c r="F756" s="10" t="str" cm="1">
        <f t="array" aca="1" ref="F7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756" s="136" t="s">
        <v>3841</v>
      </c>
      <c r="I756" s="12">
        <v>45859</v>
      </c>
      <c r="J756" s="12"/>
      <c r="K756" s="63"/>
      <c r="L756" s="37"/>
      <c r="M756" s="10">
        <f t="shared" ca="1" si="23"/>
        <v>218</v>
      </c>
    </row>
    <row r="757" spans="1:13" ht="30" hidden="1" x14ac:dyDescent="0.25">
      <c r="A757" s="9" t="s">
        <v>105</v>
      </c>
      <c r="B757" s="19">
        <f>VLOOKUP(Table27[[#This Row],[Location 
(drop-down)]],'List source'!D$2:E$71,2,FALSE)</f>
        <v>215</v>
      </c>
      <c r="C757" s="178" t="s">
        <v>3842</v>
      </c>
      <c r="D757" s="21" t="str">
        <f t="shared" si="22"/>
        <v>PTO0756-215-25</v>
      </c>
      <c r="E757" s="9" t="s">
        <v>3843</v>
      </c>
      <c r="F757" s="10" t="str" cm="1">
        <f t="array" aca="1" ref="F7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7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57" s="10" t="s">
        <v>3844</v>
      </c>
      <c r="I757" s="12">
        <v>45859</v>
      </c>
      <c r="J757" s="12"/>
      <c r="K757" s="63"/>
      <c r="L757" s="37"/>
      <c r="M757" s="10">
        <f t="shared" ca="1" si="23"/>
        <v>218</v>
      </c>
    </row>
    <row r="758" spans="1:13" ht="27" hidden="1" customHeight="1" x14ac:dyDescent="0.25">
      <c r="A758" s="9" t="s">
        <v>287</v>
      </c>
      <c r="B758" s="19">
        <f>VLOOKUP(Table27[[#This Row],[Location 
(drop-down)]],'List source'!D$2:E$71,2,FALSE)</f>
        <v>180</v>
      </c>
      <c r="C758" s="178" t="s">
        <v>3845</v>
      </c>
      <c r="D758" s="21" t="str">
        <f t="shared" si="22"/>
        <v>PTO0757-180-25</v>
      </c>
      <c r="E758" s="9" t="s">
        <v>3846</v>
      </c>
      <c r="F758" s="10" t="str" cm="1">
        <f t="array" aca="1" ref="F7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AASHTO Vis</v>
      </c>
      <c r="G7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Vis279+280; T49 Pen 1/10 mm</v>
      </c>
      <c r="H758" s="10" t="s">
        <v>3847</v>
      </c>
      <c r="I758" s="12">
        <v>45834</v>
      </c>
      <c r="J758" s="12" t="s">
        <v>48</v>
      </c>
      <c r="K758" s="63">
        <v>46001</v>
      </c>
      <c r="L758" s="37"/>
      <c r="M758" s="10" t="str">
        <f t="shared" ca="1" si="23"/>
        <v>CLOSED</v>
      </c>
    </row>
    <row r="759" spans="1:13" ht="18.75" hidden="1" x14ac:dyDescent="0.25">
      <c r="A759" s="9" t="s">
        <v>153</v>
      </c>
      <c r="B759" s="19">
        <f>VLOOKUP(Table27[[#This Row],[Location 
(drop-down)]],'List source'!D$2:E$71,2,FALSE)</f>
        <v>110</v>
      </c>
      <c r="C759" s="178" t="s">
        <v>3848</v>
      </c>
      <c r="D759" s="21" t="str">
        <f t="shared" si="22"/>
        <v>PTO0758-110-25</v>
      </c>
      <c r="E759" s="9" t="s">
        <v>3849</v>
      </c>
      <c r="F759" s="10" t="s">
        <v>3850</v>
      </c>
      <c r="G7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59" s="136" t="s">
        <v>3851</v>
      </c>
      <c r="I759" s="12">
        <v>45862</v>
      </c>
      <c r="J759" s="12" t="s">
        <v>252</v>
      </c>
      <c r="K759" s="63">
        <v>45960</v>
      </c>
      <c r="L759" s="37"/>
      <c r="M759" s="10" t="str">
        <f t="shared" ca="1" si="23"/>
        <v>CLOSED</v>
      </c>
    </row>
    <row r="760" spans="1:13" ht="18.75" hidden="1" x14ac:dyDescent="0.25">
      <c r="A760" s="9" t="s">
        <v>186</v>
      </c>
      <c r="B760" s="19">
        <f>VLOOKUP(Table27[[#This Row],[Location 
(drop-down)]],'List source'!D$2:E$71,2,FALSE)</f>
        <v>136</v>
      </c>
      <c r="C760" s="178" t="s">
        <v>3852</v>
      </c>
      <c r="D760" s="21" t="str">
        <f t="shared" si="22"/>
        <v>PTO0759-136-25</v>
      </c>
      <c r="E760" s="9" t="s">
        <v>3853</v>
      </c>
      <c r="F760" s="10" t="s">
        <v>3850</v>
      </c>
      <c r="G7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D2699/D2700 - Pump-AKI</v>
      </c>
      <c r="H760" s="10">
        <v>2.04</v>
      </c>
      <c r="I760" s="12">
        <v>45862</v>
      </c>
      <c r="J760" s="12" t="s">
        <v>109</v>
      </c>
      <c r="K760" s="63">
        <v>45896</v>
      </c>
      <c r="L760" s="37"/>
      <c r="M760" s="10" t="str">
        <f t="shared" ca="1" si="23"/>
        <v>CLOSED</v>
      </c>
    </row>
    <row r="761" spans="1:13" ht="30" hidden="1" x14ac:dyDescent="0.25">
      <c r="A761" s="9" t="s">
        <v>58</v>
      </c>
      <c r="B761" s="19">
        <f>VLOOKUP(Table27[[#This Row],[Location 
(drop-down)]],'List source'!D$2:E$71,2,FALSE)</f>
        <v>146</v>
      </c>
      <c r="C761" s="178" t="s">
        <v>3854</v>
      </c>
      <c r="D761" s="21" t="str">
        <f t="shared" si="22"/>
        <v>PTO0760-146-25</v>
      </c>
      <c r="E761" s="9" t="s">
        <v>3855</v>
      </c>
      <c r="F761" s="10" t="s">
        <v>3850</v>
      </c>
      <c r="G7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61" s="136" t="s">
        <v>3856</v>
      </c>
      <c r="I761" s="12">
        <v>45862</v>
      </c>
      <c r="J761" s="12" t="s">
        <v>2074</v>
      </c>
      <c r="K761" s="63">
        <v>45862</v>
      </c>
      <c r="L761" s="37" t="s">
        <v>2075</v>
      </c>
      <c r="M761" s="10" t="str">
        <f t="shared" ca="1" si="23"/>
        <v>CLOSED</v>
      </c>
    </row>
    <row r="762" spans="1:13" ht="30" hidden="1" x14ac:dyDescent="0.25">
      <c r="A762" s="9" t="s">
        <v>107</v>
      </c>
      <c r="B762" s="19">
        <f>VLOOKUP(Table27[[#This Row],[Location 
(drop-down)]],'List source'!D$2:E$71,2,FALSE)</f>
        <v>170</v>
      </c>
      <c r="C762" s="178" t="s">
        <v>3857</v>
      </c>
      <c r="D762" s="21" t="str">
        <f t="shared" si="22"/>
        <v>PTO0761-170-25</v>
      </c>
      <c r="E762" s="9" t="s">
        <v>3858</v>
      </c>
      <c r="F762" s="10" t="s">
        <v>3850</v>
      </c>
      <c r="G7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762" s="136" t="s">
        <v>3859</v>
      </c>
      <c r="I762" s="12">
        <v>45862</v>
      </c>
      <c r="J762" s="12" t="s">
        <v>109</v>
      </c>
      <c r="K762" s="63">
        <v>45871</v>
      </c>
      <c r="L762" s="37"/>
      <c r="M762" s="10" t="str">
        <f t="shared" ca="1" si="23"/>
        <v>CLOSED</v>
      </c>
    </row>
    <row r="763" spans="1:13" ht="30" hidden="1" x14ac:dyDescent="0.25">
      <c r="A763" s="9" t="s">
        <v>107</v>
      </c>
      <c r="B763" s="19">
        <f>VLOOKUP(Table27[[#This Row],[Location 
(drop-down)]],'List source'!D$2:E$71,2,FALSE)</f>
        <v>170</v>
      </c>
      <c r="C763" s="178" t="s">
        <v>3860</v>
      </c>
      <c r="D763" s="21" t="str">
        <f t="shared" si="22"/>
        <v>PTO0762-170-25</v>
      </c>
      <c r="E763" s="9" t="s">
        <v>3861</v>
      </c>
      <c r="F763" s="10" t="s">
        <v>3850</v>
      </c>
      <c r="G7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63" s="136" t="s">
        <v>3862</v>
      </c>
      <c r="I763" s="12">
        <v>45862</v>
      </c>
      <c r="J763" s="12" t="s">
        <v>109</v>
      </c>
      <c r="K763" s="63">
        <v>45896</v>
      </c>
      <c r="L763" s="37"/>
      <c r="M763" s="10" t="str">
        <f t="shared" ca="1" si="23"/>
        <v>CLOSED</v>
      </c>
    </row>
    <row r="764" spans="1:13" ht="30" hidden="1" x14ac:dyDescent="0.25">
      <c r="A764" s="9" t="s">
        <v>107</v>
      </c>
      <c r="B764" s="19">
        <f>VLOOKUP(Table27[[#This Row],[Location 
(drop-down)]],'List source'!D$2:E$71,2,FALSE)</f>
        <v>170</v>
      </c>
      <c r="C764" s="178" t="s">
        <v>3863</v>
      </c>
      <c r="D764" s="21" t="str">
        <f t="shared" si="22"/>
        <v>PTO0763-170-25</v>
      </c>
      <c r="E764" s="9" t="s">
        <v>3864</v>
      </c>
      <c r="F764" s="10" t="s">
        <v>3850</v>
      </c>
      <c r="G7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764" s="136" t="s">
        <v>2484</v>
      </c>
      <c r="I764" s="12">
        <v>45862</v>
      </c>
      <c r="J764" s="12" t="s">
        <v>109</v>
      </c>
      <c r="K764" s="63">
        <v>45870</v>
      </c>
      <c r="L764" s="37"/>
      <c r="M764" s="10" t="str">
        <f t="shared" ca="1" si="23"/>
        <v>CLOSED</v>
      </c>
    </row>
    <row r="765" spans="1:13" ht="30" hidden="1" x14ac:dyDescent="0.25">
      <c r="A765" s="9" t="s">
        <v>107</v>
      </c>
      <c r="B765" s="19">
        <f>VLOOKUP(Table27[[#This Row],[Location 
(drop-down)]],'List source'!D$2:E$71,2,FALSE)</f>
        <v>170</v>
      </c>
      <c r="C765" s="178" t="s">
        <v>3865</v>
      </c>
      <c r="D765" s="21" t="str">
        <f t="shared" si="22"/>
        <v>PTO0764-170-25</v>
      </c>
      <c r="E765" s="9" t="s">
        <v>3866</v>
      </c>
      <c r="F765" s="10" t="s">
        <v>3850</v>
      </c>
      <c r="G7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765" s="10">
        <v>6.53</v>
      </c>
      <c r="I765" s="12">
        <v>45862</v>
      </c>
      <c r="J765" s="12" t="s">
        <v>109</v>
      </c>
      <c r="K765" s="63">
        <v>45897</v>
      </c>
      <c r="L765" s="37"/>
      <c r="M765" s="10" t="str">
        <f t="shared" ca="1" si="23"/>
        <v>CLOSED</v>
      </c>
    </row>
    <row r="766" spans="1:13" ht="18.75" hidden="1" x14ac:dyDescent="0.25">
      <c r="A766" s="9" t="s">
        <v>338</v>
      </c>
      <c r="B766" s="19">
        <f>VLOOKUP(Table27[[#This Row],[Location 
(drop-down)]],'List source'!D$2:E$71,2,FALSE)</f>
        <v>191</v>
      </c>
      <c r="C766" s="178" t="s">
        <v>3867</v>
      </c>
      <c r="D766" s="21" t="str">
        <f t="shared" si="22"/>
        <v>PTO0765-191-25</v>
      </c>
      <c r="E766" s="65" t="s">
        <v>3868</v>
      </c>
      <c r="F766" s="10" t="s">
        <v>3850</v>
      </c>
      <c r="G7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766" s="136" t="s">
        <v>3216</v>
      </c>
      <c r="I766" s="12">
        <v>45862</v>
      </c>
      <c r="J766" s="12" t="s">
        <v>109</v>
      </c>
      <c r="K766" s="63">
        <v>45915</v>
      </c>
      <c r="L766" s="37"/>
      <c r="M766" s="10" t="str">
        <f t="shared" ca="1" si="23"/>
        <v>CLOSED</v>
      </c>
    </row>
    <row r="767" spans="1:13" ht="18.75" hidden="1" x14ac:dyDescent="0.25">
      <c r="A767" s="9" t="s">
        <v>153</v>
      </c>
      <c r="B767" s="19">
        <f>VLOOKUP(Table27[[#This Row],[Location 
(drop-down)]],'List source'!D$2:E$71,2,FALSE)</f>
        <v>110</v>
      </c>
      <c r="C767" s="178" t="s">
        <v>3869</v>
      </c>
      <c r="D767" s="21" t="str">
        <f t="shared" si="22"/>
        <v>PTO0766-110-25</v>
      </c>
      <c r="E767" s="9" t="s">
        <v>3870</v>
      </c>
      <c r="F767" s="10" t="str" cm="1">
        <f t="array" aca="1" ref="F7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67" s="136" t="s">
        <v>3871</v>
      </c>
      <c r="I767" s="12">
        <v>45863</v>
      </c>
      <c r="J767" s="12" t="s">
        <v>2074</v>
      </c>
      <c r="K767" s="63">
        <v>45867</v>
      </c>
      <c r="L767" s="37" t="s">
        <v>2079</v>
      </c>
      <c r="M767" s="10" t="str">
        <f t="shared" ca="1" si="23"/>
        <v>CLOSED</v>
      </c>
    </row>
    <row r="768" spans="1:13" ht="18.75" hidden="1" x14ac:dyDescent="0.25">
      <c r="A768" s="9" t="s">
        <v>151</v>
      </c>
      <c r="B768" s="19">
        <f>VLOOKUP(Table27[[#This Row],[Location 
(drop-down)]],'List source'!D$2:E$71,2,FALSE)</f>
        <v>115</v>
      </c>
      <c r="C768" s="178" t="s">
        <v>3872</v>
      </c>
      <c r="D768" s="21" t="str">
        <f t="shared" si="22"/>
        <v>PTO0767-115-25</v>
      </c>
      <c r="E768" s="9" t="s">
        <v>3873</v>
      </c>
      <c r="F768" s="10" t="str" cm="1">
        <f t="array" aca="1" ref="F7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768" s="136">
        <v>2.88</v>
      </c>
      <c r="I768" s="12">
        <v>45863</v>
      </c>
      <c r="J768" s="12" t="s">
        <v>109</v>
      </c>
      <c r="K768" s="63">
        <v>45889</v>
      </c>
      <c r="L768" s="37"/>
      <c r="M768" s="10" t="str">
        <f t="shared" ca="1" si="23"/>
        <v>CLOSED</v>
      </c>
    </row>
    <row r="769" spans="1:13" ht="30" hidden="1" x14ac:dyDescent="0.25">
      <c r="A769" s="9" t="s">
        <v>94</v>
      </c>
      <c r="B769" s="19">
        <f>VLOOKUP(Table27[[#This Row],[Location 
(drop-down)]],'List source'!D$2:E$71,2,FALSE)</f>
        <v>120</v>
      </c>
      <c r="C769" s="178" t="s">
        <v>3874</v>
      </c>
      <c r="D769" s="21" t="str">
        <f t="shared" si="22"/>
        <v>PTO0768-120-25</v>
      </c>
      <c r="E769" s="9" t="s">
        <v>3875</v>
      </c>
      <c r="F769" s="10" t="str" cm="1">
        <f t="array" aca="1" ref="F7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69" s="136" t="s">
        <v>3876</v>
      </c>
      <c r="I769" s="12">
        <v>45863</v>
      </c>
      <c r="J769" s="12" t="s">
        <v>2074</v>
      </c>
      <c r="K769" s="63">
        <v>45863</v>
      </c>
      <c r="L769" s="37" t="s">
        <v>2592</v>
      </c>
      <c r="M769" s="10" t="str">
        <f t="shared" ca="1" si="23"/>
        <v>CLOSED</v>
      </c>
    </row>
    <row r="770" spans="1:13" ht="30" hidden="1" x14ac:dyDescent="0.25">
      <c r="A770" s="9" t="s">
        <v>177</v>
      </c>
      <c r="B770" s="19">
        <f>VLOOKUP(Table27[[#This Row],[Location 
(drop-down)]],'List source'!D$2:E$71,2,FALSE)</f>
        <v>126</v>
      </c>
      <c r="C770" s="178" t="s">
        <v>3877</v>
      </c>
      <c r="D770" s="21" t="str">
        <f t="shared" ref="D770:D833" si="24">"PTO" &amp; C770 &amp; "-" &amp; B770 &amp; "-" &amp; "25"</f>
        <v>PTO0769-126-25</v>
      </c>
      <c r="E770" s="9" t="s">
        <v>3878</v>
      </c>
      <c r="F770" s="10" t="str" cm="1">
        <f t="array" aca="1" ref="F7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70" s="10">
        <v>2.3199999999999998</v>
      </c>
      <c r="I770" s="12">
        <v>45863</v>
      </c>
      <c r="J770" s="12" t="s">
        <v>2074</v>
      </c>
      <c r="K770" s="63">
        <v>45863</v>
      </c>
      <c r="L770" s="37" t="s">
        <v>2592</v>
      </c>
      <c r="M770" s="10" t="str">
        <f t="shared" ref="M770:M833" ca="1" si="25">IF(ISBLANK(K770), TODAY()-(I770), "CLOSED")</f>
        <v>CLOSED</v>
      </c>
    </row>
    <row r="771" spans="1:13" ht="18.75" hidden="1" x14ac:dyDescent="0.25">
      <c r="A771" s="9" t="s">
        <v>71</v>
      </c>
      <c r="B771" s="19">
        <f>VLOOKUP(Table27[[#This Row],[Location 
(drop-down)]],'List source'!D$2:E$71,2,FALSE)</f>
        <v>127</v>
      </c>
      <c r="C771" s="178" t="s">
        <v>3879</v>
      </c>
      <c r="D771" s="226" t="str">
        <f t="shared" si="24"/>
        <v>PTO0770-127-25</v>
      </c>
      <c r="E771" s="9" t="s">
        <v>3880</v>
      </c>
      <c r="F771" s="10" t="str" cm="1">
        <f t="array" aca="1" ref="F7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771" s="10">
        <v>2.0499999999999998</v>
      </c>
      <c r="I771" s="12">
        <v>45863</v>
      </c>
      <c r="J771" s="12" t="s">
        <v>252</v>
      </c>
      <c r="K771" s="63">
        <v>45881</v>
      </c>
      <c r="L771" s="338" t="s">
        <v>3881</v>
      </c>
      <c r="M771" s="10" t="str">
        <f t="shared" ca="1" si="25"/>
        <v>CLOSED</v>
      </c>
    </row>
    <row r="772" spans="1:13" ht="18.75" hidden="1" x14ac:dyDescent="0.25">
      <c r="A772" s="9" t="s">
        <v>156</v>
      </c>
      <c r="B772" s="19">
        <f>VLOOKUP(Table27[[#This Row],[Location 
(drop-down)]],'List source'!D$2:E$71,2,FALSE)</f>
        <v>130</v>
      </c>
      <c r="C772" s="178" t="s">
        <v>3882</v>
      </c>
      <c r="D772" s="21" t="str">
        <f t="shared" si="24"/>
        <v>PTO0771-130-25</v>
      </c>
      <c r="E772" s="65" t="s">
        <v>3883</v>
      </c>
      <c r="F772" s="10" t="str" cm="1">
        <f t="array" aca="1" ref="F7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772" s="136">
        <v>3.09</v>
      </c>
      <c r="I772" s="12">
        <v>45863</v>
      </c>
      <c r="J772" s="12"/>
      <c r="K772" s="63"/>
      <c r="L772" s="37"/>
      <c r="M772" s="10">
        <f t="shared" ca="1" si="25"/>
        <v>214</v>
      </c>
    </row>
    <row r="773" spans="1:13" ht="30" hidden="1" x14ac:dyDescent="0.25">
      <c r="A773" s="9" t="s">
        <v>14</v>
      </c>
      <c r="B773" s="19">
        <f>VLOOKUP(Table27[[#This Row],[Location 
(drop-down)]],'List source'!D$2:E$71,2,FALSE)</f>
        <v>131</v>
      </c>
      <c r="C773" s="178" t="s">
        <v>3884</v>
      </c>
      <c r="D773" s="21" t="str">
        <f t="shared" si="24"/>
        <v>PTO0772-131-25</v>
      </c>
      <c r="E773" s="9" t="s">
        <v>3885</v>
      </c>
      <c r="F773" s="10" t="str" cm="1">
        <f t="array" aca="1" ref="F7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773" s="10">
        <v>2.0499999999999998</v>
      </c>
      <c r="I773" s="12">
        <v>45863</v>
      </c>
      <c r="J773" s="12" t="s">
        <v>2074</v>
      </c>
      <c r="K773" s="63">
        <v>45863</v>
      </c>
      <c r="L773" s="37" t="s">
        <v>2592</v>
      </c>
      <c r="M773" s="10" t="str">
        <f t="shared" ca="1" si="25"/>
        <v>CLOSED</v>
      </c>
    </row>
    <row r="774" spans="1:13" ht="30" hidden="1" x14ac:dyDescent="0.25">
      <c r="A774" s="9" t="s">
        <v>14</v>
      </c>
      <c r="B774" s="19">
        <f>VLOOKUP(Table27[[#This Row],[Location 
(drop-down)]],'List source'!D$2:E$71,2,FALSE)</f>
        <v>131</v>
      </c>
      <c r="C774" s="178" t="s">
        <v>3886</v>
      </c>
      <c r="D774" s="21" t="str">
        <f t="shared" si="24"/>
        <v>PTO0773-131-25</v>
      </c>
      <c r="E774" s="9" t="s">
        <v>3887</v>
      </c>
      <c r="F774" s="10" t="str" cm="1">
        <f t="array" aca="1" ref="F7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74" s="10" t="s">
        <v>3888</v>
      </c>
      <c r="I774" s="12">
        <v>45863</v>
      </c>
      <c r="J774" s="12" t="s">
        <v>2074</v>
      </c>
      <c r="K774" s="63">
        <v>45863</v>
      </c>
      <c r="L774" s="37" t="s">
        <v>2592</v>
      </c>
      <c r="M774" s="10" t="str">
        <f t="shared" ca="1" si="25"/>
        <v>CLOSED</v>
      </c>
    </row>
    <row r="775" spans="1:13" ht="18.75" hidden="1" x14ac:dyDescent="0.25">
      <c r="A775" s="9" t="s">
        <v>51</v>
      </c>
      <c r="B775" s="19">
        <f>VLOOKUP(Table27[[#This Row],[Location 
(drop-down)]],'List source'!D$2:E$71,2,FALSE)</f>
        <v>139</v>
      </c>
      <c r="C775" s="178" t="s">
        <v>3889</v>
      </c>
      <c r="D775" s="226" t="str">
        <f t="shared" si="24"/>
        <v>PTO0774-139-25</v>
      </c>
      <c r="E775" s="9" t="s">
        <v>3890</v>
      </c>
      <c r="F775" s="10" t="str" cm="1">
        <f t="array" aca="1" ref="F7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775" s="10">
        <v>5.76</v>
      </c>
      <c r="I775" s="12">
        <v>45863</v>
      </c>
      <c r="J775" s="12" t="s">
        <v>109</v>
      </c>
      <c r="K775" s="63">
        <v>46008</v>
      </c>
      <c r="L775" s="338" t="s">
        <v>3881</v>
      </c>
      <c r="M775" s="10" t="str">
        <f t="shared" ca="1" si="25"/>
        <v>CLOSED</v>
      </c>
    </row>
    <row r="776" spans="1:13" ht="30" hidden="1" x14ac:dyDescent="0.25">
      <c r="A776" s="9" t="s">
        <v>257</v>
      </c>
      <c r="B776" s="19">
        <f>VLOOKUP(Table27[[#This Row],[Location 
(drop-down)]],'List source'!D$2:E$71,2,FALSE)</f>
        <v>144</v>
      </c>
      <c r="C776" s="178" t="s">
        <v>3891</v>
      </c>
      <c r="D776" s="21" t="str">
        <f t="shared" si="24"/>
        <v>PTO0775-144-25</v>
      </c>
      <c r="E776" s="9" t="s">
        <v>3892</v>
      </c>
      <c r="F776" s="10" t="str" cm="1">
        <f t="array" aca="1" ref="F7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76" s="136" t="s">
        <v>3893</v>
      </c>
      <c r="I776" s="12">
        <v>45863</v>
      </c>
      <c r="J776" s="12" t="s">
        <v>2074</v>
      </c>
      <c r="K776" s="63">
        <v>45863</v>
      </c>
      <c r="L776" s="37" t="s">
        <v>2592</v>
      </c>
      <c r="M776" s="10" t="str">
        <f t="shared" ca="1" si="25"/>
        <v>CLOSED</v>
      </c>
    </row>
    <row r="777" spans="1:13" ht="18.75" hidden="1" x14ac:dyDescent="0.25">
      <c r="A777" s="9" t="s">
        <v>58</v>
      </c>
      <c r="B777" s="19">
        <f>VLOOKUP(Table27[[#This Row],[Location 
(drop-down)]],'List source'!D$2:E$71,2,FALSE)</f>
        <v>146</v>
      </c>
      <c r="C777" s="178" t="s">
        <v>3894</v>
      </c>
      <c r="D777" s="226" t="str">
        <f t="shared" si="24"/>
        <v>PTO0776-146-25</v>
      </c>
      <c r="E777" s="9" t="s">
        <v>3895</v>
      </c>
      <c r="F777" s="10" t="str" cm="1">
        <f t="array" aca="1" ref="F7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777" s="136" t="s">
        <v>3896</v>
      </c>
      <c r="I777" s="12">
        <v>45863</v>
      </c>
      <c r="J777" s="12" t="s">
        <v>109</v>
      </c>
      <c r="K777" s="63">
        <v>45877</v>
      </c>
      <c r="L777" s="338" t="s">
        <v>3881</v>
      </c>
      <c r="M777" s="10" t="str">
        <f t="shared" ca="1" si="25"/>
        <v>CLOSED</v>
      </c>
    </row>
    <row r="778" spans="1:13" ht="30" hidden="1" x14ac:dyDescent="0.25">
      <c r="A778" s="9" t="s">
        <v>86</v>
      </c>
      <c r="B778" s="19">
        <f>VLOOKUP(Table27[[#This Row],[Location 
(drop-down)]],'List source'!D$2:E$71,2,FALSE)</f>
        <v>150</v>
      </c>
      <c r="C778" s="178" t="s">
        <v>3897</v>
      </c>
      <c r="D778" s="21" t="str">
        <f t="shared" si="24"/>
        <v>PTO0777-150-25</v>
      </c>
      <c r="E778" s="9" t="s">
        <v>3898</v>
      </c>
      <c r="F778" s="10" t="str" cm="1">
        <f t="array" aca="1" ref="F7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78" s="10">
        <v>2.02</v>
      </c>
      <c r="I778" s="12">
        <v>45863</v>
      </c>
      <c r="J778" s="12" t="s">
        <v>2074</v>
      </c>
      <c r="K778" s="63">
        <v>45863</v>
      </c>
      <c r="L778" s="37" t="s">
        <v>2592</v>
      </c>
      <c r="M778" s="10" t="str">
        <f t="shared" ca="1" si="25"/>
        <v>CLOSED</v>
      </c>
    </row>
    <row r="779" spans="1:13" ht="18.75" hidden="1" x14ac:dyDescent="0.25">
      <c r="A779" s="9" t="s">
        <v>86</v>
      </c>
      <c r="B779" s="19">
        <f>VLOOKUP(Table27[[#This Row],[Location 
(drop-down)]],'List source'!D$2:E$71,2,FALSE)</f>
        <v>150</v>
      </c>
      <c r="C779" s="178" t="s">
        <v>3899</v>
      </c>
      <c r="D779" s="21" t="str">
        <f t="shared" si="24"/>
        <v>PTO0778-150-25</v>
      </c>
      <c r="E779" s="9" t="s">
        <v>3900</v>
      </c>
      <c r="F779" s="10" t="str" cm="1">
        <f t="array" aca="1" ref="F7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779" s="10">
        <v>2.04</v>
      </c>
      <c r="I779" s="12">
        <v>45863</v>
      </c>
      <c r="J779" s="12" t="s">
        <v>82</v>
      </c>
      <c r="K779" s="63">
        <v>46055</v>
      </c>
      <c r="L779" s="37"/>
      <c r="M779" s="10" t="str">
        <f t="shared" ca="1" si="25"/>
        <v>CLOSED</v>
      </c>
    </row>
    <row r="780" spans="1:13" ht="18.75" hidden="1" x14ac:dyDescent="0.25">
      <c r="A780" s="9" t="s">
        <v>46</v>
      </c>
      <c r="B780" s="19">
        <f>VLOOKUP(Table27[[#This Row],[Location 
(drop-down)]],'List source'!D$2:E$71,2,FALSE)</f>
        <v>155</v>
      </c>
      <c r="C780" s="178" t="s">
        <v>3901</v>
      </c>
      <c r="D780" s="21" t="str">
        <f t="shared" si="24"/>
        <v>PTO0779-155-25</v>
      </c>
      <c r="E780" s="9" t="s">
        <v>3902</v>
      </c>
      <c r="F780" s="10" t="str" cm="1">
        <f t="array" aca="1" ref="F7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780" s="10">
        <v>8.1199999999999992</v>
      </c>
      <c r="I780" s="12">
        <v>45863</v>
      </c>
      <c r="J780" s="12" t="s">
        <v>2074</v>
      </c>
      <c r="K780" s="63">
        <v>45866</v>
      </c>
      <c r="L780" s="37" t="s">
        <v>2079</v>
      </c>
      <c r="M780" s="10" t="str">
        <f t="shared" ca="1" si="25"/>
        <v>CLOSED</v>
      </c>
    </row>
    <row r="781" spans="1:13" ht="30" hidden="1" x14ac:dyDescent="0.25">
      <c r="A781" s="9" t="s">
        <v>46</v>
      </c>
      <c r="B781" s="19">
        <f>VLOOKUP(Table27[[#This Row],[Location 
(drop-down)]],'List source'!D$2:E$71,2,FALSE)</f>
        <v>155</v>
      </c>
      <c r="C781" s="178" t="s">
        <v>3903</v>
      </c>
      <c r="D781" s="21" t="str">
        <f t="shared" si="24"/>
        <v>PTO0780-155-25</v>
      </c>
      <c r="E781" s="9" t="s">
        <v>3898</v>
      </c>
      <c r="F781" s="10" t="str" cm="1">
        <f t="array" aca="1" ref="F7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81" s="10">
        <v>2.02</v>
      </c>
      <c r="I781" s="12">
        <v>45863</v>
      </c>
      <c r="J781" s="12" t="s">
        <v>2074</v>
      </c>
      <c r="K781" s="63">
        <v>45863</v>
      </c>
      <c r="L781" s="37" t="s">
        <v>2592</v>
      </c>
      <c r="M781" s="10" t="str">
        <f t="shared" ca="1" si="25"/>
        <v>CLOSED</v>
      </c>
    </row>
    <row r="782" spans="1:13" ht="30" hidden="1" x14ac:dyDescent="0.25">
      <c r="A782" s="9" t="s">
        <v>46</v>
      </c>
      <c r="B782" s="19">
        <f>VLOOKUP(Table27[[#This Row],[Location 
(drop-down)]],'List source'!D$2:E$71,2,FALSE)</f>
        <v>155</v>
      </c>
      <c r="C782" s="178" t="s">
        <v>3904</v>
      </c>
      <c r="D782" s="21" t="str">
        <f t="shared" si="24"/>
        <v>PTO0781-155-25</v>
      </c>
      <c r="E782" s="9" t="s">
        <v>3905</v>
      </c>
      <c r="F782" s="10" t="str" cm="1">
        <f t="array" aca="1" ref="F7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82" s="136" t="s">
        <v>3906</v>
      </c>
      <c r="I782" s="12">
        <v>45863</v>
      </c>
      <c r="J782" s="12" t="s">
        <v>2074</v>
      </c>
      <c r="K782" s="63">
        <v>45863</v>
      </c>
      <c r="L782" s="37" t="s">
        <v>2592</v>
      </c>
      <c r="M782" s="10" t="str">
        <f t="shared" ca="1" si="25"/>
        <v>CLOSED</v>
      </c>
    </row>
    <row r="783" spans="1:13" ht="30" hidden="1" x14ac:dyDescent="0.25">
      <c r="A783" s="9" t="s">
        <v>79</v>
      </c>
      <c r="B783" s="19">
        <f>VLOOKUP(Table27[[#This Row],[Location 
(drop-down)]],'List source'!D$2:E$71,2,FALSE)</f>
        <v>160</v>
      </c>
      <c r="C783" s="178" t="s">
        <v>3907</v>
      </c>
      <c r="D783" s="21" t="str">
        <f t="shared" si="24"/>
        <v>PTO0782-160-25</v>
      </c>
      <c r="E783" s="9" t="s">
        <v>3898</v>
      </c>
      <c r="F783" s="10" t="str" cm="1">
        <f t="array" aca="1" ref="F7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83" s="10">
        <v>2.02</v>
      </c>
      <c r="I783" s="12">
        <v>45863</v>
      </c>
      <c r="J783" s="12" t="s">
        <v>2074</v>
      </c>
      <c r="K783" s="63">
        <v>45863</v>
      </c>
      <c r="L783" s="37" t="s">
        <v>2592</v>
      </c>
      <c r="M783" s="10" t="str">
        <f t="shared" ca="1" si="25"/>
        <v>CLOSED</v>
      </c>
    </row>
    <row r="784" spans="1:13" ht="30" hidden="1" x14ac:dyDescent="0.25">
      <c r="A784" s="9" t="s">
        <v>141</v>
      </c>
      <c r="B784" s="19">
        <f>VLOOKUP(Table27[[#This Row],[Location 
(drop-down)]],'List source'!D$2:E$71,2,FALSE)</f>
        <v>165</v>
      </c>
      <c r="C784" s="178" t="s">
        <v>3908</v>
      </c>
      <c r="D784" s="21" t="str">
        <f t="shared" si="24"/>
        <v>PTO0783-165-25</v>
      </c>
      <c r="E784" s="9" t="s">
        <v>3909</v>
      </c>
      <c r="F784" s="10" t="str" cm="1">
        <f t="array" aca="1" ref="F7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84" s="136" t="s">
        <v>3910</v>
      </c>
      <c r="I784" s="12">
        <v>45863</v>
      </c>
      <c r="J784" s="12"/>
      <c r="K784" s="63"/>
      <c r="L784" s="37"/>
      <c r="M784" s="10">
        <f t="shared" ca="1" si="25"/>
        <v>214</v>
      </c>
    </row>
    <row r="785" spans="1:13" ht="30" hidden="1" x14ac:dyDescent="0.25">
      <c r="A785" s="9" t="s">
        <v>107</v>
      </c>
      <c r="B785" s="19">
        <f>VLOOKUP(Table27[[#This Row],[Location 
(drop-down)]],'List source'!D$2:E$71,2,FALSE)</f>
        <v>170</v>
      </c>
      <c r="C785" s="178" t="s">
        <v>3911</v>
      </c>
      <c r="D785" s="21" t="str">
        <f t="shared" si="24"/>
        <v>PTO0784-170-25</v>
      </c>
      <c r="E785" s="9" t="s">
        <v>3912</v>
      </c>
      <c r="F785" s="10" t="str" cm="1">
        <f t="array" aca="1" ref="F7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785" s="136" t="s">
        <v>3913</v>
      </c>
      <c r="I785" s="12">
        <v>45863</v>
      </c>
      <c r="J785" s="12" t="s">
        <v>109</v>
      </c>
      <c r="K785" s="63">
        <v>45923</v>
      </c>
      <c r="L785" s="37"/>
      <c r="M785" s="10" t="str">
        <f t="shared" ca="1" si="25"/>
        <v>CLOSED</v>
      </c>
    </row>
    <row r="786" spans="1:13" ht="30" hidden="1" x14ac:dyDescent="0.25">
      <c r="A786" s="9" t="s">
        <v>107</v>
      </c>
      <c r="B786" s="19">
        <f>VLOOKUP(Table27[[#This Row],[Location 
(drop-down)]],'List source'!D$2:E$71,2,FALSE)</f>
        <v>170</v>
      </c>
      <c r="C786" s="178" t="s">
        <v>3914</v>
      </c>
      <c r="D786" s="21" t="str">
        <f t="shared" si="24"/>
        <v>PTO0785-170-25</v>
      </c>
      <c r="E786" s="9" t="s">
        <v>3915</v>
      </c>
      <c r="F786" s="10" t="str" cm="1">
        <f t="array" aca="1" ref="F7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786" s="136" t="s">
        <v>3916</v>
      </c>
      <c r="I786" s="12">
        <v>45863</v>
      </c>
      <c r="J786" s="12" t="s">
        <v>2074</v>
      </c>
      <c r="K786" s="63">
        <v>45863</v>
      </c>
      <c r="L786" s="37" t="s">
        <v>2592</v>
      </c>
      <c r="M786" s="10" t="str">
        <f t="shared" ca="1" si="25"/>
        <v>CLOSED</v>
      </c>
    </row>
    <row r="787" spans="1:13" ht="30" hidden="1" x14ac:dyDescent="0.25">
      <c r="A787" s="9" t="s">
        <v>123</v>
      </c>
      <c r="B787" s="19">
        <f>VLOOKUP(Table27[[#This Row],[Location 
(drop-down)]],'List source'!D$2:E$71,2,FALSE)</f>
        <v>192</v>
      </c>
      <c r="C787" s="178" t="s">
        <v>3917</v>
      </c>
      <c r="D787" s="21" t="str">
        <f t="shared" si="24"/>
        <v>PTO0786-192-25</v>
      </c>
      <c r="E787" s="9" t="s">
        <v>3918</v>
      </c>
      <c r="F787" s="10" t="str" cm="1">
        <f t="array" aca="1" ref="F7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87" s="136" t="s">
        <v>3919</v>
      </c>
      <c r="I787" s="12">
        <v>45863</v>
      </c>
      <c r="J787" s="12" t="s">
        <v>2074</v>
      </c>
      <c r="K787" s="63">
        <v>45863</v>
      </c>
      <c r="L787" s="37" t="s">
        <v>2592</v>
      </c>
      <c r="M787" s="10" t="str">
        <f t="shared" ca="1" si="25"/>
        <v>CLOSED</v>
      </c>
    </row>
    <row r="788" spans="1:13" ht="18.75" hidden="1" x14ac:dyDescent="0.25">
      <c r="A788" s="9" t="s">
        <v>123</v>
      </c>
      <c r="B788" s="19">
        <f>VLOOKUP(Table27[[#This Row],[Location 
(drop-down)]],'List source'!D$2:E$71,2,FALSE)</f>
        <v>192</v>
      </c>
      <c r="C788" s="178" t="s">
        <v>3920</v>
      </c>
      <c r="D788" s="21" t="str">
        <f t="shared" si="24"/>
        <v>PTO0787-192-25</v>
      </c>
      <c r="E788" s="9" t="s">
        <v>3921</v>
      </c>
      <c r="F788" s="10" t="str" cm="1">
        <f t="array" aca="1" ref="F7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788" s="136" t="s">
        <v>3922</v>
      </c>
      <c r="I788" s="12">
        <v>45863</v>
      </c>
      <c r="J788" s="12" t="s">
        <v>2074</v>
      </c>
      <c r="K788" s="63">
        <v>45877</v>
      </c>
      <c r="L788" s="37" t="s">
        <v>2079</v>
      </c>
      <c r="M788" s="10" t="str">
        <f t="shared" ca="1" si="25"/>
        <v>CLOSED</v>
      </c>
    </row>
    <row r="789" spans="1:13" ht="18.75" hidden="1" x14ac:dyDescent="0.25">
      <c r="A789" s="9" t="s">
        <v>37</v>
      </c>
      <c r="B789" s="19">
        <f>VLOOKUP(Table27[[#This Row],[Location 
(drop-down)]],'List source'!D$2:E$71,2,FALSE)</f>
        <v>210</v>
      </c>
      <c r="C789" s="178" t="s">
        <v>3923</v>
      </c>
      <c r="D789" s="21" t="str">
        <f t="shared" si="24"/>
        <v>PTO0788-210-25</v>
      </c>
      <c r="E789" s="9" t="s">
        <v>3924</v>
      </c>
      <c r="F789" s="10" t="str" cm="1">
        <f t="array" aca="1" ref="F7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7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789" s="10">
        <v>6.04</v>
      </c>
      <c r="I789" s="12">
        <v>45863</v>
      </c>
      <c r="J789" s="12" t="s">
        <v>252</v>
      </c>
      <c r="K789" s="63">
        <v>46006</v>
      </c>
      <c r="L789" s="37"/>
      <c r="M789" s="10" t="str">
        <f t="shared" ca="1" si="25"/>
        <v>CLOSED</v>
      </c>
    </row>
    <row r="790" spans="1:13" ht="30" hidden="1" x14ac:dyDescent="0.25">
      <c r="A790" s="9" t="s">
        <v>287</v>
      </c>
      <c r="B790" s="19">
        <f>VLOOKUP(Table27[[#This Row],[Location 
(drop-down)]],'List source'!D$2:E$71,2,FALSE)</f>
        <v>180</v>
      </c>
      <c r="C790" s="178" t="s">
        <v>3925</v>
      </c>
      <c r="D790" s="21" t="str">
        <f t="shared" si="24"/>
        <v>PTO0789-180-25</v>
      </c>
      <c r="E790" s="9" t="s">
        <v>3926</v>
      </c>
      <c r="F790" s="10" t="s">
        <v>2952</v>
      </c>
      <c r="G7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790" s="10">
        <v>2.1</v>
      </c>
      <c r="I790" s="12">
        <v>45867</v>
      </c>
      <c r="J790" s="12" t="s">
        <v>2074</v>
      </c>
      <c r="K790" s="63">
        <v>45867</v>
      </c>
      <c r="L790" s="37" t="s">
        <v>2592</v>
      </c>
      <c r="M790" s="10" t="str">
        <f t="shared" ca="1" si="25"/>
        <v>CLOSED</v>
      </c>
    </row>
    <row r="791" spans="1:13" ht="30" hidden="1" x14ac:dyDescent="0.25">
      <c r="A791" s="9" t="s">
        <v>151</v>
      </c>
      <c r="B791" s="19">
        <f>VLOOKUP(Table27[[#This Row],[Location 
(drop-down)]],'List source'!D$2:E$71,2,FALSE)</f>
        <v>115</v>
      </c>
      <c r="C791" s="178" t="s">
        <v>3927</v>
      </c>
      <c r="D791" s="21" t="str">
        <f t="shared" si="24"/>
        <v>PTO0790-115-25</v>
      </c>
      <c r="E791" s="65" t="s">
        <v>3928</v>
      </c>
      <c r="F791" s="10" t="s">
        <v>2664</v>
      </c>
      <c r="G7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791" s="10">
        <v>2.06</v>
      </c>
      <c r="I791" s="12">
        <v>45869</v>
      </c>
      <c r="J791" s="12" t="s">
        <v>2074</v>
      </c>
      <c r="K791" s="63">
        <v>45869</v>
      </c>
      <c r="L791" s="37" t="s">
        <v>2592</v>
      </c>
      <c r="M791" s="10" t="str">
        <f t="shared" ca="1" si="25"/>
        <v>CLOSED</v>
      </c>
    </row>
    <row r="792" spans="1:13" ht="30" hidden="1" x14ac:dyDescent="0.25">
      <c r="A792" s="9" t="s">
        <v>25</v>
      </c>
      <c r="B792" s="19">
        <f>VLOOKUP(Table27[[#This Row],[Location 
(drop-down)]],'List source'!D$2:E$71,2,FALSE)</f>
        <v>158</v>
      </c>
      <c r="C792" s="178" t="s">
        <v>3929</v>
      </c>
      <c r="D792" s="21" t="str">
        <f t="shared" si="24"/>
        <v>PTO0791-158-25</v>
      </c>
      <c r="E792" s="9" t="s">
        <v>3928</v>
      </c>
      <c r="F792" s="10" t="s">
        <v>2664</v>
      </c>
      <c r="G7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792" s="136" t="s">
        <v>2308</v>
      </c>
      <c r="I792" s="12">
        <v>45869</v>
      </c>
      <c r="J792" s="12" t="s">
        <v>2074</v>
      </c>
      <c r="K792" s="63">
        <v>45869</v>
      </c>
      <c r="L792" s="37" t="s">
        <v>2592</v>
      </c>
      <c r="M792" s="10" t="str">
        <f t="shared" ca="1" si="25"/>
        <v>CLOSED</v>
      </c>
    </row>
    <row r="793" spans="1:13" ht="30" hidden="1" x14ac:dyDescent="0.25">
      <c r="A793" s="9" t="s">
        <v>25</v>
      </c>
      <c r="B793" s="19">
        <f>VLOOKUP(Table27[[#This Row],[Location 
(drop-down)]],'List source'!D$2:E$71,2,FALSE)</f>
        <v>158</v>
      </c>
      <c r="C793" s="178" t="s">
        <v>3930</v>
      </c>
      <c r="D793" s="21" t="str">
        <f t="shared" si="24"/>
        <v>PTO0792-158-25</v>
      </c>
      <c r="E793" s="9" t="s">
        <v>3931</v>
      </c>
      <c r="F793" s="10" t="s">
        <v>2664</v>
      </c>
      <c r="G7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793" s="10">
        <v>2.1800000000000002</v>
      </c>
      <c r="I793" s="12">
        <v>45869</v>
      </c>
      <c r="J793" s="12" t="s">
        <v>2074</v>
      </c>
      <c r="K793" s="63">
        <v>45869</v>
      </c>
      <c r="L793" s="37" t="s">
        <v>2592</v>
      </c>
      <c r="M793" s="10" t="str">
        <f t="shared" ca="1" si="25"/>
        <v>CLOSED</v>
      </c>
    </row>
    <row r="794" spans="1:13" ht="18.75" hidden="1" x14ac:dyDescent="0.25">
      <c r="A794" s="9" t="s">
        <v>179</v>
      </c>
      <c r="B794" s="19">
        <f>VLOOKUP(Table27[[#This Row],[Location 
(drop-down)]],'List source'!D$2:E$71,2,FALSE)</f>
        <v>189</v>
      </c>
      <c r="C794" s="178" t="s">
        <v>3932</v>
      </c>
      <c r="D794" s="21" t="str">
        <f t="shared" si="24"/>
        <v>PTO0793-189-25</v>
      </c>
      <c r="E794" s="9" t="s">
        <v>3933</v>
      </c>
      <c r="F794" s="10" t="s">
        <v>3047</v>
      </c>
      <c r="G7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94" s="136">
        <v>6.85</v>
      </c>
      <c r="I794" s="12">
        <v>45876</v>
      </c>
      <c r="J794" s="12"/>
      <c r="K794" s="63"/>
      <c r="L794" s="37"/>
      <c r="M794" s="10">
        <f t="shared" ca="1" si="25"/>
        <v>201</v>
      </c>
    </row>
    <row r="795" spans="1:13" ht="18.75" hidden="1" x14ac:dyDescent="0.25">
      <c r="A795" s="9" t="s">
        <v>220</v>
      </c>
      <c r="B795" s="19">
        <f>VLOOKUP(Table27[[#This Row],[Location 
(drop-down)]],'List source'!D$2:E$71,2,FALSE)</f>
        <v>197</v>
      </c>
      <c r="C795" s="178" t="s">
        <v>3934</v>
      </c>
      <c r="D795" s="21" t="str">
        <f t="shared" si="24"/>
        <v>PTO0794-197-25</v>
      </c>
      <c r="E795" s="9" t="s">
        <v>3935</v>
      </c>
      <c r="F795" s="10" t="s">
        <v>3047</v>
      </c>
      <c r="G7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95" s="136" t="s">
        <v>3936</v>
      </c>
      <c r="I795" s="12">
        <v>45876</v>
      </c>
      <c r="J795" s="12"/>
      <c r="K795" s="63"/>
      <c r="L795" s="37"/>
      <c r="M795" s="10">
        <f t="shared" ca="1" si="25"/>
        <v>201</v>
      </c>
    </row>
    <row r="796" spans="1:13" ht="30" hidden="1" x14ac:dyDescent="0.25">
      <c r="A796" s="9" t="s">
        <v>220</v>
      </c>
      <c r="B796" s="19">
        <f>VLOOKUP(Table27[[#This Row],[Location 
(drop-down)]],'List source'!D$2:E$71,2,FALSE)</f>
        <v>197</v>
      </c>
      <c r="C796" s="178" t="s">
        <v>3937</v>
      </c>
      <c r="D796" s="21" t="str">
        <f t="shared" si="24"/>
        <v>PTO0795-197-25</v>
      </c>
      <c r="E796" s="9" t="s">
        <v>3938</v>
      </c>
      <c r="F796" s="10" t="s">
        <v>3047</v>
      </c>
      <c r="G7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96" s="10">
        <v>2.02</v>
      </c>
      <c r="I796" s="12">
        <v>45876</v>
      </c>
      <c r="J796" s="12" t="s">
        <v>2074</v>
      </c>
      <c r="K796" s="63">
        <v>45876</v>
      </c>
      <c r="L796" s="37" t="s">
        <v>2592</v>
      </c>
      <c r="M796" s="10" t="str">
        <f t="shared" ca="1" si="25"/>
        <v>CLOSED</v>
      </c>
    </row>
    <row r="797" spans="1:13" ht="30" hidden="1" x14ac:dyDescent="0.25">
      <c r="A797" s="9" t="s">
        <v>99</v>
      </c>
      <c r="B797" s="19">
        <f>VLOOKUP(Table27[[#This Row],[Location 
(drop-down)]],'List source'!D$2:E$71,2,FALSE)</f>
        <v>198</v>
      </c>
      <c r="C797" s="178" t="s">
        <v>3939</v>
      </c>
      <c r="D797" s="21" t="str">
        <f t="shared" si="24"/>
        <v>PTO0796-198-25</v>
      </c>
      <c r="E797" s="9" t="s">
        <v>3940</v>
      </c>
      <c r="F797" s="10" t="s">
        <v>3047</v>
      </c>
      <c r="G7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97" s="136">
        <v>2.15</v>
      </c>
      <c r="I797" s="12">
        <v>45876</v>
      </c>
      <c r="J797" s="12" t="s">
        <v>2074</v>
      </c>
      <c r="K797" s="63">
        <v>45876</v>
      </c>
      <c r="L797" s="37" t="s">
        <v>2592</v>
      </c>
      <c r="M797" s="10" t="str">
        <f t="shared" ca="1" si="25"/>
        <v>CLOSED</v>
      </c>
    </row>
    <row r="798" spans="1:13" ht="30" hidden="1" x14ac:dyDescent="0.25">
      <c r="A798" s="9" t="s">
        <v>99</v>
      </c>
      <c r="B798" s="19">
        <f>VLOOKUP(Table27[[#This Row],[Location 
(drop-down)]],'List source'!D$2:E$71,2,FALSE)</f>
        <v>198</v>
      </c>
      <c r="C798" s="178" t="s">
        <v>3941</v>
      </c>
      <c r="D798" s="21" t="str">
        <f t="shared" si="24"/>
        <v>PTO0797-198-25</v>
      </c>
      <c r="E798" s="9" t="s">
        <v>3942</v>
      </c>
      <c r="F798" s="10" t="s">
        <v>3047</v>
      </c>
      <c r="G7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SOR/97-493 - Winter Regulation - Benzene Emissions Number</v>
      </c>
      <c r="H798" s="10">
        <v>30.14</v>
      </c>
      <c r="I798" s="12">
        <v>45876</v>
      </c>
      <c r="J798" s="12" t="s">
        <v>2074</v>
      </c>
      <c r="K798" s="63">
        <v>46028</v>
      </c>
      <c r="L798" s="37" t="s">
        <v>3943</v>
      </c>
      <c r="M798" s="10" t="str">
        <f t="shared" ca="1" si="25"/>
        <v>CLOSED</v>
      </c>
    </row>
    <row r="799" spans="1:13" ht="18.75" hidden="1" x14ac:dyDescent="0.25">
      <c r="A799" s="9" t="s">
        <v>46</v>
      </c>
      <c r="B799" s="19">
        <f>VLOOKUP(Table27[[#This Row],[Location 
(drop-down)]],'List source'!D$2:E$71,2,FALSE)</f>
        <v>155</v>
      </c>
      <c r="C799" s="178" t="s">
        <v>3944</v>
      </c>
      <c r="D799" s="21" t="str">
        <f t="shared" si="24"/>
        <v>PTO0798-155-25</v>
      </c>
      <c r="E799" s="9" t="s">
        <v>3945</v>
      </c>
      <c r="F799" s="10" t="s">
        <v>2664</v>
      </c>
      <c r="G7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799" s="136">
        <v>8.7899999999999991</v>
      </c>
      <c r="I799" s="12">
        <v>45880</v>
      </c>
      <c r="J799" s="12" t="s">
        <v>18</v>
      </c>
      <c r="K799" s="63">
        <v>45917</v>
      </c>
      <c r="L799" s="37"/>
      <c r="M799" s="10" t="str">
        <f t="shared" ca="1" si="25"/>
        <v>CLOSED</v>
      </c>
    </row>
    <row r="800" spans="1:13" ht="18.75" hidden="1" x14ac:dyDescent="0.25">
      <c r="A800" s="9" t="s">
        <v>46</v>
      </c>
      <c r="B800" s="19">
        <f>VLOOKUP(Table27[[#This Row],[Location 
(drop-down)]],'List source'!D$2:E$71,2,FALSE)</f>
        <v>155</v>
      </c>
      <c r="C800" s="178" t="s">
        <v>3946</v>
      </c>
      <c r="D800" s="21" t="str">
        <f t="shared" si="24"/>
        <v>PTO0799-155-25</v>
      </c>
      <c r="E800" s="9" t="s">
        <v>3947</v>
      </c>
      <c r="F800" s="10" t="s">
        <v>2664</v>
      </c>
      <c r="G8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00" s="10" t="s">
        <v>3948</v>
      </c>
      <c r="I800" s="12">
        <v>45880</v>
      </c>
      <c r="J800" s="12"/>
      <c r="K800" s="63"/>
      <c r="L800" s="37"/>
      <c r="M800" s="10">
        <f t="shared" ca="1" si="25"/>
        <v>197</v>
      </c>
    </row>
    <row r="801" spans="1:13" ht="30" hidden="1" x14ac:dyDescent="0.25">
      <c r="A801" s="71" t="s">
        <v>79</v>
      </c>
      <c r="B801" s="19">
        <f>VLOOKUP(Table27[[#This Row],[Location 
(drop-down)]],'List source'!D$2:E$71,2,FALSE)</f>
        <v>160</v>
      </c>
      <c r="C801" s="178" t="s">
        <v>3949</v>
      </c>
      <c r="D801" s="21" t="str">
        <f t="shared" si="24"/>
        <v>PTO0800-160-25</v>
      </c>
      <c r="E801" s="71" t="s">
        <v>3950</v>
      </c>
      <c r="F801" s="10" t="s">
        <v>2664</v>
      </c>
      <c r="G8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Digital</v>
      </c>
      <c r="H801" s="201" t="s">
        <v>3951</v>
      </c>
      <c r="I801" s="12">
        <v>45880</v>
      </c>
      <c r="J801" s="12" t="s">
        <v>2074</v>
      </c>
      <c r="K801" s="63">
        <v>45880</v>
      </c>
      <c r="L801" s="37" t="s">
        <v>2592</v>
      </c>
      <c r="M801" s="10" t="str">
        <f t="shared" ca="1" si="25"/>
        <v>CLOSED</v>
      </c>
    </row>
    <row r="802" spans="1:13" ht="30" hidden="1" x14ac:dyDescent="0.25">
      <c r="A802" s="71" t="s">
        <v>220</v>
      </c>
      <c r="B802" s="19">
        <f>VLOOKUP(Table27[[#This Row],[Location 
(drop-down)]],'List source'!D$2:E$71,2,FALSE)</f>
        <v>197</v>
      </c>
      <c r="C802" s="178" t="s">
        <v>3952</v>
      </c>
      <c r="D802" s="21" t="str">
        <f t="shared" si="24"/>
        <v>PTO0801-197-25</v>
      </c>
      <c r="E802" s="71" t="s">
        <v>3953</v>
      </c>
      <c r="F802" s="10" t="s">
        <v>3062</v>
      </c>
      <c r="G8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Total Sulfur</v>
      </c>
      <c r="H802" s="75">
        <v>-2.4</v>
      </c>
      <c r="I802" s="73">
        <v>45888</v>
      </c>
      <c r="J802" s="73" t="s">
        <v>2074</v>
      </c>
      <c r="K802" s="74">
        <v>45888</v>
      </c>
      <c r="L802" s="37" t="s">
        <v>2592</v>
      </c>
      <c r="M802" s="10" t="str">
        <f t="shared" ca="1" si="25"/>
        <v>CLOSED</v>
      </c>
    </row>
    <row r="803" spans="1:13" ht="18.75" hidden="1" x14ac:dyDescent="0.25">
      <c r="A803" s="71" t="s">
        <v>153</v>
      </c>
      <c r="B803" s="19">
        <f>VLOOKUP(Table27[[#This Row],[Location 
(drop-down)]],'List source'!D$2:E$71,2,FALSE)</f>
        <v>110</v>
      </c>
      <c r="C803" s="178" t="s">
        <v>3954</v>
      </c>
      <c r="D803" s="21" t="str">
        <f t="shared" si="24"/>
        <v>PTO0802-110-25</v>
      </c>
      <c r="E803" s="71" t="s">
        <v>3955</v>
      </c>
      <c r="F803" s="10" t="s">
        <v>3956</v>
      </c>
      <c r="G8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803" s="75">
        <v>-2.0099999999999998</v>
      </c>
      <c r="I803" s="73">
        <v>45889</v>
      </c>
      <c r="J803" s="73" t="s">
        <v>252</v>
      </c>
      <c r="K803" s="74">
        <v>46034</v>
      </c>
      <c r="L803" s="68"/>
      <c r="M803" s="10" t="str">
        <f t="shared" ca="1" si="25"/>
        <v>CLOSED</v>
      </c>
    </row>
    <row r="804" spans="1:13" ht="18.75" hidden="1" x14ac:dyDescent="0.25">
      <c r="A804" s="71" t="s">
        <v>153</v>
      </c>
      <c r="B804" s="19">
        <f>VLOOKUP(Table27[[#This Row],[Location 
(drop-down)]],'List source'!D$2:E$71,2,FALSE)</f>
        <v>110</v>
      </c>
      <c r="C804" s="178" t="s">
        <v>3957</v>
      </c>
      <c r="D804" s="21" t="str">
        <f t="shared" si="24"/>
        <v>PTO0803-110-25</v>
      </c>
      <c r="E804" s="71" t="s">
        <v>3958</v>
      </c>
      <c r="F804" s="10" t="str" cm="1">
        <f t="array" aca="1" ref="F8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04" s="75">
        <v>-55.44</v>
      </c>
      <c r="I804" s="73">
        <v>45891</v>
      </c>
      <c r="J804" s="73" t="s">
        <v>2074</v>
      </c>
      <c r="K804" s="74">
        <v>45895</v>
      </c>
      <c r="L804" s="68" t="s">
        <v>2079</v>
      </c>
      <c r="M804" s="10" t="str">
        <f t="shared" ca="1" si="25"/>
        <v>CLOSED</v>
      </c>
    </row>
    <row r="805" spans="1:13" ht="18.75" hidden="1" x14ac:dyDescent="0.25">
      <c r="A805" s="71" t="s">
        <v>117</v>
      </c>
      <c r="B805" s="19">
        <f>VLOOKUP(Table27[[#This Row],[Location 
(drop-down)]],'List source'!D$2:E$71,2,FALSE)</f>
        <v>125</v>
      </c>
      <c r="C805" s="178" t="s">
        <v>3959</v>
      </c>
      <c r="D805" s="226" t="str">
        <f t="shared" si="24"/>
        <v>PTO0804-125-25</v>
      </c>
      <c r="E805" s="71" t="s">
        <v>3960</v>
      </c>
      <c r="F805" s="10" t="str" cm="1">
        <f t="array" aca="1" ref="F8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05" s="75">
        <v>2.2200000000000002</v>
      </c>
      <c r="I805" s="73">
        <v>45891</v>
      </c>
      <c r="J805" s="73" t="s">
        <v>189</v>
      </c>
      <c r="K805" s="74">
        <v>45896</v>
      </c>
      <c r="L805" s="338" t="s">
        <v>3881</v>
      </c>
      <c r="M805" s="10" t="str">
        <f t="shared" ca="1" si="25"/>
        <v>CLOSED</v>
      </c>
    </row>
    <row r="806" spans="1:13" ht="30" hidden="1" x14ac:dyDescent="0.25">
      <c r="A806" s="71" t="s">
        <v>177</v>
      </c>
      <c r="B806" s="19">
        <f>VLOOKUP(Table27[[#This Row],[Location 
(drop-down)]],'List source'!D$2:E$71,2,FALSE)</f>
        <v>126</v>
      </c>
      <c r="C806" s="178" t="s">
        <v>3961</v>
      </c>
      <c r="D806" s="21" t="str">
        <f t="shared" si="24"/>
        <v>PTO0805-126-25</v>
      </c>
      <c r="E806" s="71" t="s">
        <v>3962</v>
      </c>
      <c r="F806" s="10" t="str" cm="1">
        <f t="array" aca="1" ref="F8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806" s="75" t="s">
        <v>3963</v>
      </c>
      <c r="I806" s="73">
        <v>45891</v>
      </c>
      <c r="J806" s="73" t="s">
        <v>2074</v>
      </c>
      <c r="K806" s="74">
        <v>45891</v>
      </c>
      <c r="L806" s="68" t="s">
        <v>2592</v>
      </c>
      <c r="M806" s="10" t="str">
        <f t="shared" ca="1" si="25"/>
        <v>CLOSED</v>
      </c>
    </row>
    <row r="807" spans="1:13" ht="30" hidden="1" x14ac:dyDescent="0.25">
      <c r="A807" s="71" t="s">
        <v>71</v>
      </c>
      <c r="B807" s="19">
        <f>VLOOKUP(Table27[[#This Row],[Location 
(drop-down)]],'List source'!D$2:E$71,2,FALSE)</f>
        <v>127</v>
      </c>
      <c r="C807" s="178" t="s">
        <v>3964</v>
      </c>
      <c r="D807" s="21" t="str">
        <f t="shared" si="24"/>
        <v>PTO0806-127-25</v>
      </c>
      <c r="E807" s="71" t="s">
        <v>3965</v>
      </c>
      <c r="F807" s="10" t="str" cm="1">
        <f t="array" aca="1" ref="F8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807" s="201" t="s">
        <v>3966</v>
      </c>
      <c r="I807" s="73">
        <v>45891</v>
      </c>
      <c r="J807" s="73" t="s">
        <v>2074</v>
      </c>
      <c r="K807" s="74">
        <v>45891</v>
      </c>
      <c r="L807" s="68" t="s">
        <v>2592</v>
      </c>
      <c r="M807" s="10" t="str">
        <f t="shared" ca="1" si="25"/>
        <v>CLOSED</v>
      </c>
    </row>
    <row r="808" spans="1:13" ht="30" hidden="1" x14ac:dyDescent="0.25">
      <c r="A808" s="71" t="s">
        <v>71</v>
      </c>
      <c r="B808" s="19">
        <f>VLOOKUP(Table27[[#This Row],[Location 
(drop-down)]],'List source'!D$2:E$71,2,FALSE)</f>
        <v>127</v>
      </c>
      <c r="C808" s="178" t="s">
        <v>3967</v>
      </c>
      <c r="D808" s="21" t="str">
        <f t="shared" si="24"/>
        <v>PTO0807-127-25</v>
      </c>
      <c r="E808" s="71" t="s">
        <v>3968</v>
      </c>
      <c r="F808" s="10" t="str" cm="1">
        <f t="array" aca="1" ref="F8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08" s="75">
        <v>2.0499999999999998</v>
      </c>
      <c r="I808" s="73">
        <v>45891</v>
      </c>
      <c r="J808" s="73" t="s">
        <v>2074</v>
      </c>
      <c r="K808" s="74">
        <v>45891</v>
      </c>
      <c r="L808" s="68" t="s">
        <v>2592</v>
      </c>
      <c r="M808" s="10" t="str">
        <f t="shared" ca="1" si="25"/>
        <v>CLOSED</v>
      </c>
    </row>
    <row r="809" spans="1:13" ht="18.75" hidden="1" x14ac:dyDescent="0.25">
      <c r="A809" s="71" t="s">
        <v>156</v>
      </c>
      <c r="B809" s="19">
        <f>VLOOKUP(Table27[[#This Row],[Location 
(drop-down)]],'List source'!D$2:E$71,2,FALSE)</f>
        <v>130</v>
      </c>
      <c r="C809" s="178" t="s">
        <v>3969</v>
      </c>
      <c r="D809" s="21" t="str">
        <f t="shared" si="24"/>
        <v>PTO0808-130-25</v>
      </c>
      <c r="E809" s="71" t="s">
        <v>3970</v>
      </c>
      <c r="F809" s="10" t="str" cm="1">
        <f t="array" aca="1" ref="F8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09" s="201" t="s">
        <v>3971</v>
      </c>
      <c r="I809" s="73">
        <v>45891</v>
      </c>
      <c r="J809" s="73"/>
      <c r="K809" s="74"/>
      <c r="L809" s="68"/>
      <c r="M809" s="10">
        <f t="shared" ca="1" si="25"/>
        <v>186</v>
      </c>
    </row>
    <row r="810" spans="1:13" ht="18.75" hidden="1" x14ac:dyDescent="0.25">
      <c r="A810" s="71" t="s">
        <v>156</v>
      </c>
      <c r="B810" s="19">
        <f>VLOOKUP(Table27[[#This Row],[Location 
(drop-down)]],'List source'!D$2:E$71,2,FALSE)</f>
        <v>130</v>
      </c>
      <c r="C810" s="178" t="s">
        <v>3972</v>
      </c>
      <c r="D810" s="21" t="str">
        <f t="shared" si="24"/>
        <v>PTO0809-130-25</v>
      </c>
      <c r="E810" s="71" t="s">
        <v>3973</v>
      </c>
      <c r="F810" s="10" t="str" cm="1">
        <f t="array" aca="1" ref="F8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10" s="75" t="s">
        <v>3974</v>
      </c>
      <c r="I810" s="73">
        <v>45891</v>
      </c>
      <c r="J810" s="73"/>
      <c r="K810" s="74"/>
      <c r="L810" s="68"/>
      <c r="M810" s="10">
        <f t="shared" ca="1" si="25"/>
        <v>186</v>
      </c>
    </row>
    <row r="811" spans="1:13" ht="30" hidden="1" x14ac:dyDescent="0.25">
      <c r="A811" s="71" t="s">
        <v>14</v>
      </c>
      <c r="B811" s="19">
        <f>VLOOKUP(Table27[[#This Row],[Location 
(drop-down)]],'List source'!D$2:E$71,2,FALSE)</f>
        <v>131</v>
      </c>
      <c r="C811" s="178" t="s">
        <v>3975</v>
      </c>
      <c r="D811" s="21" t="str">
        <f t="shared" si="24"/>
        <v>PTO0810-131-25</v>
      </c>
      <c r="E811" s="71" t="s">
        <v>3976</v>
      </c>
      <c r="F811" s="10" t="str" cm="1">
        <f t="array" aca="1" ref="F8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811" s="201" t="s">
        <v>3216</v>
      </c>
      <c r="I811" s="73">
        <v>45891</v>
      </c>
      <c r="J811" s="73" t="s">
        <v>2074</v>
      </c>
      <c r="K811" s="74">
        <v>45891</v>
      </c>
      <c r="L811" s="68" t="s">
        <v>2592</v>
      </c>
      <c r="M811" s="10" t="str">
        <f t="shared" ca="1" si="25"/>
        <v>CLOSED</v>
      </c>
    </row>
    <row r="812" spans="1:13" ht="18.75" hidden="1" x14ac:dyDescent="0.25">
      <c r="A812" s="71" t="s">
        <v>211</v>
      </c>
      <c r="B812" s="19">
        <f>VLOOKUP(Table27[[#This Row],[Location 
(drop-down)]],'List source'!D$2:E$71,2,FALSE)</f>
        <v>132</v>
      </c>
      <c r="C812" s="178" t="s">
        <v>3977</v>
      </c>
      <c r="D812" s="21" t="str">
        <f t="shared" si="24"/>
        <v>PTO0811-132-25</v>
      </c>
      <c r="E812" s="71" t="s">
        <v>3978</v>
      </c>
      <c r="F812" s="10" t="str" cm="1">
        <f t="array" aca="1" ref="F8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812" s="75">
        <v>2.84</v>
      </c>
      <c r="I812" s="73">
        <v>45891</v>
      </c>
      <c r="J812" s="73"/>
      <c r="K812" s="74"/>
      <c r="L812" s="68"/>
      <c r="M812" s="10">
        <f t="shared" ca="1" si="25"/>
        <v>186</v>
      </c>
    </row>
    <row r="813" spans="1:13" ht="18.75" hidden="1" x14ac:dyDescent="0.25">
      <c r="A813" s="71" t="s">
        <v>211</v>
      </c>
      <c r="B813" s="19">
        <f>VLOOKUP(Table27[[#This Row],[Location 
(drop-down)]],'List source'!D$2:E$71,2,FALSE)</f>
        <v>132</v>
      </c>
      <c r="C813" s="178" t="s">
        <v>3979</v>
      </c>
      <c r="D813" s="226" t="str">
        <f t="shared" si="24"/>
        <v>PTO0812-132-25</v>
      </c>
      <c r="E813" s="71" t="s">
        <v>3980</v>
      </c>
      <c r="F813" s="10" t="str" cm="1">
        <f t="array" aca="1" ref="F8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13" s="201">
        <v>2.57</v>
      </c>
      <c r="I813" s="73">
        <v>45891</v>
      </c>
      <c r="J813" s="73" t="s">
        <v>35</v>
      </c>
      <c r="K813" s="74">
        <v>45898</v>
      </c>
      <c r="L813" s="338" t="s">
        <v>3881</v>
      </c>
      <c r="M813" s="10" t="str">
        <f t="shared" ca="1" si="25"/>
        <v>CLOSED</v>
      </c>
    </row>
    <row r="814" spans="1:13" ht="18.75" hidden="1" x14ac:dyDescent="0.25">
      <c r="A814" s="71" t="s">
        <v>186</v>
      </c>
      <c r="B814" s="19">
        <f>VLOOKUP(Table27[[#This Row],[Location 
(drop-down)]],'List source'!D$2:E$71,2,FALSE)</f>
        <v>136</v>
      </c>
      <c r="C814" s="178" t="s">
        <v>3981</v>
      </c>
      <c r="D814" s="21" t="str">
        <f t="shared" si="24"/>
        <v>PTO0813-136-25</v>
      </c>
      <c r="E814" s="71" t="s">
        <v>3982</v>
      </c>
      <c r="F814" s="10" t="str" cm="1">
        <f t="array" aca="1" ref="F8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14" s="201" t="s">
        <v>2500</v>
      </c>
      <c r="I814" s="73">
        <v>45891</v>
      </c>
      <c r="J814" s="73" t="s">
        <v>109</v>
      </c>
      <c r="K814" s="74">
        <v>45898</v>
      </c>
      <c r="L814" s="68"/>
      <c r="M814" s="10" t="str">
        <f t="shared" ca="1" si="25"/>
        <v>CLOSED</v>
      </c>
    </row>
    <row r="815" spans="1:13" ht="18.75" hidden="1" x14ac:dyDescent="0.25">
      <c r="A815" s="71" t="s">
        <v>69</v>
      </c>
      <c r="B815" s="19">
        <f>VLOOKUP(Table27[[#This Row],[Location 
(drop-down)]],'List source'!D$2:E$71,2,FALSE)</f>
        <v>141</v>
      </c>
      <c r="C815" s="178" t="s">
        <v>3983</v>
      </c>
      <c r="D815" s="21" t="str">
        <f t="shared" si="24"/>
        <v>PTO0814-141-25</v>
      </c>
      <c r="E815" s="71" t="s">
        <v>3984</v>
      </c>
      <c r="F815" s="10" t="str" cm="1">
        <f t="array" aca="1" ref="F8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15" s="201" t="s">
        <v>3023</v>
      </c>
      <c r="I815" s="73">
        <v>45891</v>
      </c>
      <c r="J815" s="73" t="s">
        <v>2074</v>
      </c>
      <c r="K815" s="74">
        <v>45894</v>
      </c>
      <c r="L815" s="68" t="s">
        <v>2079</v>
      </c>
      <c r="M815" s="10" t="str">
        <f t="shared" ca="1" si="25"/>
        <v>CLOSED</v>
      </c>
    </row>
    <row r="816" spans="1:13" ht="30" hidden="1" x14ac:dyDescent="0.25">
      <c r="A816" s="71" t="s">
        <v>58</v>
      </c>
      <c r="B816" s="19">
        <f>VLOOKUP(Table27[[#This Row],[Location 
(drop-down)]],'List source'!D$2:E$71,2,FALSE)</f>
        <v>146</v>
      </c>
      <c r="C816" s="178" t="s">
        <v>3985</v>
      </c>
      <c r="D816" s="21" t="str">
        <f t="shared" si="24"/>
        <v>PTO0815-146-25</v>
      </c>
      <c r="E816" s="71" t="s">
        <v>3986</v>
      </c>
      <c r="F816" s="10" t="str" cm="1">
        <f t="array" aca="1" ref="F8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16" s="201" t="s">
        <v>3987</v>
      </c>
      <c r="I816" s="73">
        <v>45891</v>
      </c>
      <c r="J816" s="73" t="s">
        <v>109</v>
      </c>
      <c r="K816" s="74">
        <v>45931</v>
      </c>
      <c r="L816" s="68"/>
      <c r="M816" s="10" t="str">
        <f t="shared" ca="1" si="25"/>
        <v>CLOSED</v>
      </c>
    </row>
    <row r="817" spans="1:13" ht="30" hidden="1" x14ac:dyDescent="0.25">
      <c r="A817" s="71" t="s">
        <v>58</v>
      </c>
      <c r="B817" s="19">
        <f>VLOOKUP(Table27[[#This Row],[Location 
(drop-down)]],'List source'!D$2:E$71,2,FALSE)</f>
        <v>146</v>
      </c>
      <c r="C817" s="178" t="s">
        <v>3988</v>
      </c>
      <c r="D817" s="21" t="str">
        <f t="shared" si="24"/>
        <v>PTO0816-146-25</v>
      </c>
      <c r="E817" s="71" t="s">
        <v>3989</v>
      </c>
      <c r="F817" s="10" t="str" cm="1">
        <f t="array" aca="1" ref="F8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817" s="201" t="s">
        <v>3990</v>
      </c>
      <c r="I817" s="73">
        <v>45891</v>
      </c>
      <c r="J817" s="73" t="s">
        <v>2074</v>
      </c>
      <c r="K817" s="74">
        <v>45891</v>
      </c>
      <c r="L817" s="68" t="s">
        <v>2592</v>
      </c>
      <c r="M817" s="10" t="str">
        <f t="shared" ca="1" si="25"/>
        <v>CLOSED</v>
      </c>
    </row>
    <row r="818" spans="1:13" ht="18.75" hidden="1" x14ac:dyDescent="0.25">
      <c r="A818" s="71" t="s">
        <v>79</v>
      </c>
      <c r="B818" s="19">
        <f>VLOOKUP(Table27[[#This Row],[Location 
(drop-down)]],'List source'!D$2:E$71,2,FALSE)</f>
        <v>160</v>
      </c>
      <c r="C818" s="178" t="s">
        <v>3991</v>
      </c>
      <c r="D818" s="21" t="str">
        <f t="shared" si="24"/>
        <v>PTO0817-160-25</v>
      </c>
      <c r="E818" s="71" t="s">
        <v>3992</v>
      </c>
      <c r="F818" s="10" t="str" cm="1">
        <f t="array" aca="1" ref="F8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818" s="201" t="s">
        <v>3993</v>
      </c>
      <c r="I818" s="73">
        <v>45891</v>
      </c>
      <c r="J818" s="73"/>
      <c r="K818" s="74"/>
      <c r="L818" s="68"/>
      <c r="M818" s="10">
        <f t="shared" ca="1" si="25"/>
        <v>186</v>
      </c>
    </row>
    <row r="819" spans="1:13" ht="18.75" hidden="1" x14ac:dyDescent="0.25">
      <c r="A819" s="71" t="s">
        <v>79</v>
      </c>
      <c r="B819" s="19">
        <f>VLOOKUP(Table27[[#This Row],[Location 
(drop-down)]],'List source'!D$2:E$71,2,FALSE)</f>
        <v>160</v>
      </c>
      <c r="C819" s="178" t="s">
        <v>3994</v>
      </c>
      <c r="D819" s="226" t="str">
        <f t="shared" si="24"/>
        <v>PTO0818-160-25</v>
      </c>
      <c r="E819" s="71" t="s">
        <v>3995</v>
      </c>
      <c r="F819" s="10" t="str" cm="1">
        <f t="array" aca="1" ref="F8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 &amp; Toluene</v>
      </c>
      <c r="H819" s="75" t="s">
        <v>3996</v>
      </c>
      <c r="I819" s="73">
        <v>45891</v>
      </c>
      <c r="J819" s="73" t="s">
        <v>135</v>
      </c>
      <c r="K819" s="74">
        <v>45902</v>
      </c>
      <c r="L819" s="338" t="s">
        <v>3881</v>
      </c>
      <c r="M819" s="10" t="str">
        <f t="shared" ca="1" si="25"/>
        <v>CLOSED</v>
      </c>
    </row>
    <row r="820" spans="1:13" ht="30" hidden="1" x14ac:dyDescent="0.25">
      <c r="A820" s="71" t="s">
        <v>141</v>
      </c>
      <c r="B820" s="19">
        <f>VLOOKUP(Table27[[#This Row],[Location 
(drop-down)]],'List source'!D$2:E$71,2,FALSE)</f>
        <v>165</v>
      </c>
      <c r="C820" s="178" t="s">
        <v>3997</v>
      </c>
      <c r="D820" s="21" t="str">
        <f t="shared" si="24"/>
        <v>PTO0819-165-25</v>
      </c>
      <c r="E820" s="71" t="s">
        <v>3998</v>
      </c>
      <c r="F820" s="10" t="str" cm="1">
        <f t="array" aca="1" ref="F8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20" s="201" t="s">
        <v>3999</v>
      </c>
      <c r="I820" s="73">
        <v>45891</v>
      </c>
      <c r="J820" s="73"/>
      <c r="K820" s="74"/>
      <c r="L820" s="68"/>
      <c r="M820" s="10">
        <f t="shared" ca="1" si="25"/>
        <v>186</v>
      </c>
    </row>
    <row r="821" spans="1:13" ht="18.75" hidden="1" x14ac:dyDescent="0.25">
      <c r="A821" s="71" t="s">
        <v>141</v>
      </c>
      <c r="B821" s="19">
        <f>VLOOKUP(Table27[[#This Row],[Location 
(drop-down)]],'List source'!D$2:E$71,2,FALSE)</f>
        <v>165</v>
      </c>
      <c r="C821" s="178" t="s">
        <v>4000</v>
      </c>
      <c r="D821" s="226" t="str">
        <f t="shared" si="24"/>
        <v>PTO0820-165-25</v>
      </c>
      <c r="E821" s="71" t="s">
        <v>4001</v>
      </c>
      <c r="F821" s="10" t="str" cm="1">
        <f t="array" aca="1" ref="F8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21" s="75">
        <v>2.2400000000000002</v>
      </c>
      <c r="I821" s="73">
        <v>45891</v>
      </c>
      <c r="J821" s="73" t="s">
        <v>82</v>
      </c>
      <c r="K821" s="74">
        <v>45905</v>
      </c>
      <c r="L821" s="338" t="s">
        <v>3881</v>
      </c>
      <c r="M821" s="10" t="str">
        <f t="shared" ca="1" si="25"/>
        <v>CLOSED</v>
      </c>
    </row>
    <row r="822" spans="1:13" ht="30" hidden="1" x14ac:dyDescent="0.25">
      <c r="A822" s="71" t="s">
        <v>107</v>
      </c>
      <c r="B822" s="19">
        <f>VLOOKUP(Table27[[#This Row],[Location 
(drop-down)]],'List source'!D$2:E$71,2,FALSE)</f>
        <v>170</v>
      </c>
      <c r="C822" s="178" t="s">
        <v>4002</v>
      </c>
      <c r="D822" s="21" t="str">
        <f t="shared" si="24"/>
        <v>PTO0821-170-25</v>
      </c>
      <c r="E822" s="71" t="s">
        <v>4003</v>
      </c>
      <c r="F822" s="10" t="str" cm="1">
        <f t="array" aca="1" ref="F8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822" s="201" t="s">
        <v>4004</v>
      </c>
      <c r="I822" s="73">
        <v>45891</v>
      </c>
      <c r="J822" s="73" t="s">
        <v>109</v>
      </c>
      <c r="K822" s="74">
        <v>45980</v>
      </c>
      <c r="L822" s="68"/>
      <c r="M822" s="10" t="str">
        <f t="shared" ca="1" si="25"/>
        <v>CLOSED</v>
      </c>
    </row>
    <row r="823" spans="1:13" ht="18.75" hidden="1" x14ac:dyDescent="0.25">
      <c r="A823" s="71" t="s">
        <v>287</v>
      </c>
      <c r="B823" s="19">
        <f>VLOOKUP(Table27[[#This Row],[Location 
(drop-down)]],'List source'!D$2:E$71,2,FALSE)</f>
        <v>180</v>
      </c>
      <c r="C823" s="178" t="s">
        <v>4005</v>
      </c>
      <c r="D823" s="21" t="str">
        <f t="shared" si="24"/>
        <v>PTO0822-180-25</v>
      </c>
      <c r="E823" s="71" t="s">
        <v>4006</v>
      </c>
      <c r="F823" s="10" t="str" cm="1">
        <f t="array" aca="1" ref="F8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23" s="201" t="s">
        <v>4007</v>
      </c>
      <c r="I823" s="73">
        <v>45891</v>
      </c>
      <c r="J823" s="73" t="s">
        <v>2074</v>
      </c>
      <c r="K823" s="74">
        <v>45894</v>
      </c>
      <c r="L823" s="68" t="s">
        <v>2288</v>
      </c>
      <c r="M823" s="10" t="str">
        <f t="shared" ca="1" si="25"/>
        <v>CLOSED</v>
      </c>
    </row>
    <row r="824" spans="1:13" ht="30" hidden="1" x14ac:dyDescent="0.25">
      <c r="A824" s="71" t="s">
        <v>37</v>
      </c>
      <c r="B824" s="19">
        <f>VLOOKUP(Table27[[#This Row],[Location 
(drop-down)]],'List source'!D$2:E$71,2,FALSE)</f>
        <v>210</v>
      </c>
      <c r="C824" s="178" t="s">
        <v>4008</v>
      </c>
      <c r="D824" s="21" t="str">
        <f t="shared" si="24"/>
        <v>PTO0823-210-25</v>
      </c>
      <c r="E824" s="71" t="s">
        <v>4009</v>
      </c>
      <c r="F824" s="10" t="str" cm="1">
        <f t="array" aca="1" ref="F8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24" s="201" t="s">
        <v>4010</v>
      </c>
      <c r="I824" s="73">
        <v>45891</v>
      </c>
      <c r="J824" s="73" t="s">
        <v>2074</v>
      </c>
      <c r="K824" s="74">
        <v>45891</v>
      </c>
      <c r="L824" s="68" t="s">
        <v>2592</v>
      </c>
      <c r="M824" s="10" t="str">
        <f t="shared" ca="1" si="25"/>
        <v>CLOSED</v>
      </c>
    </row>
    <row r="825" spans="1:13" ht="18.75" hidden="1" x14ac:dyDescent="0.25">
      <c r="A825" s="71" t="s">
        <v>105</v>
      </c>
      <c r="B825" s="19">
        <f>VLOOKUP(Table27[[#This Row],[Location 
(drop-down)]],'List source'!D$2:E$71,2,FALSE)</f>
        <v>215</v>
      </c>
      <c r="C825" s="178" t="s">
        <v>4011</v>
      </c>
      <c r="D825" s="226" t="str">
        <f t="shared" si="24"/>
        <v>PTO0824-215-25</v>
      </c>
      <c r="E825" s="71" t="s">
        <v>4012</v>
      </c>
      <c r="F825" s="10" t="str" cm="1">
        <f t="array" aca="1" ref="F8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825" s="201" t="s">
        <v>4013</v>
      </c>
      <c r="I825" s="73">
        <v>45891</v>
      </c>
      <c r="J825" s="73"/>
      <c r="K825" s="74"/>
      <c r="L825" s="338" t="s">
        <v>3881</v>
      </c>
      <c r="M825" s="10">
        <f t="shared" ca="1" si="25"/>
        <v>186</v>
      </c>
    </row>
    <row r="826" spans="1:13" ht="18.75" hidden="1" x14ac:dyDescent="0.25">
      <c r="A826" s="71" t="s">
        <v>105</v>
      </c>
      <c r="B826" s="19">
        <f>VLOOKUP(Table27[[#This Row],[Location 
(drop-down)]],'List source'!D$2:E$71,2,FALSE)</f>
        <v>215</v>
      </c>
      <c r="C826" s="178" t="s">
        <v>4014</v>
      </c>
      <c r="D826" s="21" t="str">
        <f t="shared" si="24"/>
        <v>PTO0825-215-25</v>
      </c>
      <c r="E826" s="71" t="s">
        <v>4015</v>
      </c>
      <c r="F826" s="10" t="str" cm="1">
        <f t="array" aca="1" ref="F8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26" s="75">
        <v>2.2799999999999998</v>
      </c>
      <c r="I826" s="73">
        <v>45891</v>
      </c>
      <c r="J826" s="73"/>
      <c r="K826" s="74"/>
      <c r="L826" s="68"/>
      <c r="M826" s="10">
        <f t="shared" ca="1" si="25"/>
        <v>186</v>
      </c>
    </row>
    <row r="827" spans="1:13" ht="18.75" hidden="1" x14ac:dyDescent="0.25">
      <c r="A827" s="71" t="s">
        <v>58</v>
      </c>
      <c r="B827" s="19">
        <f>VLOOKUP(Table27[[#This Row],[Location 
(drop-down)]],'List source'!D$2:E$71,2,FALSE)</f>
        <v>146</v>
      </c>
      <c r="C827" s="178" t="s">
        <v>4016</v>
      </c>
      <c r="D827" s="21" t="str">
        <f t="shared" si="24"/>
        <v>PTO0826-146-25</v>
      </c>
      <c r="E827" s="71" t="s">
        <v>4017</v>
      </c>
      <c r="F827" s="10" t="str" cm="1">
        <f t="array" aca="1" ref="F8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827" s="75">
        <v>2.66</v>
      </c>
      <c r="I827" s="73">
        <v>45894</v>
      </c>
      <c r="J827" s="73" t="s">
        <v>109</v>
      </c>
      <c r="K827" s="74">
        <v>45915</v>
      </c>
      <c r="L827" s="68"/>
      <c r="M827" s="10" t="str">
        <f t="shared" ca="1" si="25"/>
        <v>CLOSED</v>
      </c>
    </row>
    <row r="828" spans="1:13" ht="18.75" hidden="1" x14ac:dyDescent="0.25">
      <c r="A828" s="71" t="s">
        <v>46</v>
      </c>
      <c r="B828" s="19">
        <f>VLOOKUP(Table27[[#This Row],[Location 
(drop-down)]],'List source'!D$2:E$71,2,FALSE)</f>
        <v>155</v>
      </c>
      <c r="C828" s="178" t="s">
        <v>4018</v>
      </c>
      <c r="D828" s="21" t="str">
        <f t="shared" si="24"/>
        <v>PTO0827-155-25</v>
      </c>
      <c r="E828" s="71" t="s">
        <v>4019</v>
      </c>
      <c r="F828" s="10" t="str" cm="1">
        <f t="array" aca="1" ref="F8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828" s="75">
        <v>5.17</v>
      </c>
      <c r="I828" s="73">
        <v>45894</v>
      </c>
      <c r="J828" s="73" t="s">
        <v>82</v>
      </c>
      <c r="K828" s="74">
        <v>45938</v>
      </c>
      <c r="L828" s="37"/>
      <c r="M828" s="10" t="str">
        <f t="shared" ca="1" si="25"/>
        <v>CLOSED</v>
      </c>
    </row>
    <row r="829" spans="1:13" ht="30" hidden="1" x14ac:dyDescent="0.25">
      <c r="A829" s="71" t="s">
        <v>79</v>
      </c>
      <c r="B829" s="19">
        <f>VLOOKUP(Table27[[#This Row],[Location 
(drop-down)]],'List source'!D$2:E$71,2,FALSE)</f>
        <v>160</v>
      </c>
      <c r="C829" s="178" t="s">
        <v>4020</v>
      </c>
      <c r="D829" s="21" t="str">
        <f t="shared" si="24"/>
        <v>PTO0828-160-25</v>
      </c>
      <c r="E829" s="71" t="s">
        <v>4021</v>
      </c>
      <c r="F829" s="10" t="str" cm="1">
        <f t="array" aca="1" ref="F8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29" s="75">
        <v>2.39</v>
      </c>
      <c r="I829" s="73">
        <v>45894</v>
      </c>
      <c r="J829" s="73" t="s">
        <v>2074</v>
      </c>
      <c r="K829" s="74">
        <v>45894</v>
      </c>
      <c r="L829" s="68" t="s">
        <v>2592</v>
      </c>
      <c r="M829" s="10" t="str">
        <f t="shared" ca="1" si="25"/>
        <v>CLOSED</v>
      </c>
    </row>
    <row r="830" spans="1:13" ht="18.75" hidden="1" x14ac:dyDescent="0.25">
      <c r="A830" s="71" t="s">
        <v>220</v>
      </c>
      <c r="B830" s="19">
        <f>VLOOKUP(Table27[[#This Row],[Location 
(drop-down)]],'List source'!D$2:E$71,2,FALSE)</f>
        <v>197</v>
      </c>
      <c r="C830" s="178" t="s">
        <v>4022</v>
      </c>
      <c r="D830" s="21" t="str">
        <f t="shared" si="24"/>
        <v>PTO0829-197-25</v>
      </c>
      <c r="E830" s="71" t="s">
        <v>4023</v>
      </c>
      <c r="F830" s="10" t="str" cm="1">
        <f t="array" aca="1" ref="F8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30" s="201" t="s">
        <v>4024</v>
      </c>
      <c r="I830" s="73">
        <v>45894</v>
      </c>
      <c r="J830" s="73" t="s">
        <v>27</v>
      </c>
      <c r="K830" s="74">
        <v>46010</v>
      </c>
      <c r="L830" s="68"/>
      <c r="M830" s="10" t="str">
        <f t="shared" ca="1" si="25"/>
        <v>CLOSED</v>
      </c>
    </row>
    <row r="831" spans="1:13" ht="18.75" hidden="1" x14ac:dyDescent="0.25">
      <c r="A831" s="71" t="s">
        <v>37</v>
      </c>
      <c r="B831" s="19">
        <f>VLOOKUP(Table27[[#This Row],[Location 
(drop-down)]],'List source'!D$2:E$71,2,FALSE)</f>
        <v>210</v>
      </c>
      <c r="C831" s="178" t="s">
        <v>4025</v>
      </c>
      <c r="D831" s="21" t="str">
        <f t="shared" si="24"/>
        <v>PTO0830-210-25</v>
      </c>
      <c r="E831" s="71" t="s">
        <v>4026</v>
      </c>
      <c r="F831" s="10" t="str" cm="1">
        <f t="array" aca="1" ref="F8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8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31" s="201" t="s">
        <v>3041</v>
      </c>
      <c r="I831" s="73">
        <v>45894</v>
      </c>
      <c r="J831" s="73" t="s">
        <v>252</v>
      </c>
      <c r="K831" s="74">
        <v>45960</v>
      </c>
      <c r="L831" s="68"/>
      <c r="M831" s="10" t="str">
        <f t="shared" ca="1" si="25"/>
        <v>CLOSED</v>
      </c>
    </row>
    <row r="832" spans="1:13" ht="30" hidden="1" x14ac:dyDescent="0.25">
      <c r="A832" s="71" t="s">
        <v>86</v>
      </c>
      <c r="B832" s="19">
        <f>VLOOKUP(Table27[[#This Row],[Location 
(drop-down)]],'List source'!D$2:E$71,2,FALSE)</f>
        <v>150</v>
      </c>
      <c r="C832" s="178" t="s">
        <v>4027</v>
      </c>
      <c r="D832" s="21" t="str">
        <f t="shared" si="24"/>
        <v>PTO0831-150-25</v>
      </c>
      <c r="E832" s="71" t="s">
        <v>4028</v>
      </c>
      <c r="F832" s="10" t="s">
        <v>2664</v>
      </c>
      <c r="G8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32" s="75" t="s">
        <v>4029</v>
      </c>
      <c r="I832" s="73">
        <v>45895</v>
      </c>
      <c r="J832" s="73" t="s">
        <v>2074</v>
      </c>
      <c r="K832" s="74">
        <v>45895</v>
      </c>
      <c r="L832" s="68" t="s">
        <v>2592</v>
      </c>
      <c r="M832" s="10" t="str">
        <f t="shared" ca="1" si="25"/>
        <v>CLOSED</v>
      </c>
    </row>
    <row r="833" spans="1:13" ht="18.75" hidden="1" x14ac:dyDescent="0.25">
      <c r="A833" s="71" t="s">
        <v>46</v>
      </c>
      <c r="B833" s="19">
        <f>VLOOKUP(Table27[[#This Row],[Location 
(drop-down)]],'List source'!D$2:E$71,2,FALSE)</f>
        <v>155</v>
      </c>
      <c r="C833" s="178" t="s">
        <v>4030</v>
      </c>
      <c r="D833" s="21" t="str">
        <f t="shared" si="24"/>
        <v>PTO0832-155-25</v>
      </c>
      <c r="E833" s="71" t="s">
        <v>4031</v>
      </c>
      <c r="F833" s="10" t="s">
        <v>2664</v>
      </c>
      <c r="G8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833" s="201">
        <v>2.12</v>
      </c>
      <c r="I833" s="73">
        <v>45895</v>
      </c>
      <c r="J833" s="73"/>
      <c r="K833" s="74"/>
      <c r="L833" s="68"/>
      <c r="M833" s="10">
        <f t="shared" ca="1" si="25"/>
        <v>182</v>
      </c>
    </row>
    <row r="834" spans="1:13" ht="30" hidden="1" x14ac:dyDescent="0.25">
      <c r="A834" s="71" t="s">
        <v>94</v>
      </c>
      <c r="B834" s="19">
        <f>VLOOKUP(Table27[[#This Row],[Location 
(drop-down)]],'List source'!D$2:E$71,2,FALSE)</f>
        <v>120</v>
      </c>
      <c r="C834" s="178" t="s">
        <v>4032</v>
      </c>
      <c r="D834" s="21" t="str">
        <f t="shared" ref="D834:D897" si="26">"PTO" &amp; C834 &amp; "-" &amp; B834 &amp; "-" &amp; "25"</f>
        <v>PTO0833-120-25</v>
      </c>
      <c r="E834" s="71" t="s">
        <v>4033</v>
      </c>
      <c r="F834" s="10" t="str" cm="1">
        <f t="array" aca="1" ref="F8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8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834" s="75">
        <v>2.17</v>
      </c>
      <c r="I834" s="73">
        <v>45917</v>
      </c>
      <c r="J834" s="73" t="s">
        <v>2074</v>
      </c>
      <c r="K834" s="74">
        <v>45917</v>
      </c>
      <c r="L834" s="68" t="s">
        <v>2592</v>
      </c>
      <c r="M834" s="10" t="str">
        <f t="shared" ref="M834:M897" ca="1" si="27">IF(ISBLANK(K834), TODAY()-(I834), "CLOSED")</f>
        <v>CLOSED</v>
      </c>
    </row>
    <row r="835" spans="1:13" ht="30" hidden="1" x14ac:dyDescent="0.25">
      <c r="A835" s="71" t="s">
        <v>179</v>
      </c>
      <c r="B835" s="19">
        <f>VLOOKUP(Table27[[#This Row],[Location 
(drop-down)]],'List source'!D$2:E$71,2,FALSE)</f>
        <v>189</v>
      </c>
      <c r="C835" s="178" t="s">
        <v>4034</v>
      </c>
      <c r="D835" s="21" t="str">
        <f t="shared" si="26"/>
        <v>PTO0834-189-25</v>
      </c>
      <c r="E835" s="71" t="s">
        <v>4035</v>
      </c>
      <c r="F835" s="10" t="s">
        <v>4036</v>
      </c>
      <c r="G8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D2598 - Vapor Pressure LPG at 37.8°C</v>
      </c>
      <c r="H835" s="75">
        <v>10.35</v>
      </c>
      <c r="I835" s="73">
        <v>45917</v>
      </c>
      <c r="J835" s="73" t="s">
        <v>2074</v>
      </c>
      <c r="K835" s="74">
        <v>46041</v>
      </c>
      <c r="L835" s="37" t="s">
        <v>3437</v>
      </c>
      <c r="M835" s="10" t="str">
        <f t="shared" ca="1" si="27"/>
        <v>CLOSED</v>
      </c>
    </row>
    <row r="836" spans="1:13" ht="30" hidden="1" x14ac:dyDescent="0.25">
      <c r="A836" s="71" t="s">
        <v>151</v>
      </c>
      <c r="B836" s="19">
        <f>VLOOKUP(Table27[[#This Row],[Location 
(drop-down)]],'List source'!D$2:E$71,2,FALSE)</f>
        <v>115</v>
      </c>
      <c r="C836" s="178" t="s">
        <v>4037</v>
      </c>
      <c r="D836" s="21" t="str">
        <f t="shared" si="26"/>
        <v>PTO0835-115-25</v>
      </c>
      <c r="E836" s="71" t="s">
        <v>4038</v>
      </c>
      <c r="F836" s="10" t="s">
        <v>2664</v>
      </c>
      <c r="G8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836" s="75"/>
      <c r="I836" s="73">
        <v>45917</v>
      </c>
      <c r="J836" s="73" t="s">
        <v>2074</v>
      </c>
      <c r="K836" s="74">
        <v>45917</v>
      </c>
      <c r="L836" s="68" t="s">
        <v>2592</v>
      </c>
      <c r="M836" s="10" t="str">
        <f t="shared" ca="1" si="27"/>
        <v>CLOSED</v>
      </c>
    </row>
    <row r="837" spans="1:13" ht="30" hidden="1" x14ac:dyDescent="0.25">
      <c r="A837" s="71" t="s">
        <v>79</v>
      </c>
      <c r="B837" s="19">
        <f>VLOOKUP(Table27[[#This Row],[Location 
(drop-down)]],'List source'!D$2:E$71,2,FALSE)</f>
        <v>160</v>
      </c>
      <c r="C837" s="178" t="s">
        <v>4039</v>
      </c>
      <c r="D837" s="21" t="str">
        <f t="shared" si="26"/>
        <v>PTO0836-160-25</v>
      </c>
      <c r="E837" s="71" t="s">
        <v>4040</v>
      </c>
      <c r="F837" s="10" t="s">
        <v>2664</v>
      </c>
      <c r="G8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37" s="75"/>
      <c r="I837" s="73">
        <v>45917</v>
      </c>
      <c r="J837" s="73" t="s">
        <v>2074</v>
      </c>
      <c r="K837" s="74">
        <v>45917</v>
      </c>
      <c r="L837" s="68" t="s">
        <v>2592</v>
      </c>
      <c r="M837" s="10" t="str">
        <f t="shared" ca="1" si="27"/>
        <v>CLOSED</v>
      </c>
    </row>
    <row r="838" spans="1:13" ht="18.75" hidden="1" x14ac:dyDescent="0.25">
      <c r="A838" s="71" t="s">
        <v>153</v>
      </c>
      <c r="B838" s="19">
        <f>VLOOKUP(Table27[[#This Row],[Location 
(drop-down)]],'List source'!D$2:E$71,2,FALSE)</f>
        <v>110</v>
      </c>
      <c r="C838" s="178" t="s">
        <v>4041</v>
      </c>
      <c r="D838" s="21" t="str">
        <f t="shared" si="26"/>
        <v>PTO0837-110-25</v>
      </c>
      <c r="E838" s="71" t="s">
        <v>4042</v>
      </c>
      <c r="F838" s="10" t="str" cm="1">
        <f t="array" aca="1" ref="F8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838" s="201" t="s">
        <v>2746</v>
      </c>
      <c r="I838" s="73">
        <v>45918</v>
      </c>
      <c r="J838" s="73" t="s">
        <v>252</v>
      </c>
      <c r="K838" s="74">
        <v>45950</v>
      </c>
      <c r="L838" s="68"/>
      <c r="M838" s="10" t="str">
        <f t="shared" ca="1" si="27"/>
        <v>CLOSED</v>
      </c>
    </row>
    <row r="839" spans="1:13" ht="18.75" hidden="1" x14ac:dyDescent="0.25">
      <c r="A839" s="71" t="s">
        <v>151</v>
      </c>
      <c r="B839" s="19">
        <f>VLOOKUP(Table27[[#This Row],[Location 
(drop-down)]],'List source'!D$2:E$71,2,FALSE)</f>
        <v>115</v>
      </c>
      <c r="C839" s="178" t="s">
        <v>4043</v>
      </c>
      <c r="D839" s="21" t="str">
        <f t="shared" si="26"/>
        <v>PTO0838-115-25</v>
      </c>
      <c r="E839" s="71" t="s">
        <v>4044</v>
      </c>
      <c r="F839" s="10" t="str" cm="1">
        <f t="array" aca="1" ref="F8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39" s="75">
        <v>14.04</v>
      </c>
      <c r="I839" s="73">
        <v>45918</v>
      </c>
      <c r="J839" s="73" t="s">
        <v>2074</v>
      </c>
      <c r="K839" s="74">
        <v>45951</v>
      </c>
      <c r="L839" s="68" t="s">
        <v>2079</v>
      </c>
      <c r="M839" s="10" t="str">
        <f t="shared" ca="1" si="27"/>
        <v>CLOSED</v>
      </c>
    </row>
    <row r="840" spans="1:13" ht="30" hidden="1" x14ac:dyDescent="0.25">
      <c r="A840" s="71" t="s">
        <v>71</v>
      </c>
      <c r="B840" s="19">
        <f>VLOOKUP(Table27[[#This Row],[Location 
(drop-down)]],'List source'!D$2:E$71,2,FALSE)</f>
        <v>127</v>
      </c>
      <c r="C840" s="178" t="s">
        <v>4045</v>
      </c>
      <c r="D840" s="21" t="str">
        <f t="shared" si="26"/>
        <v>PTO0839-127-25</v>
      </c>
      <c r="E840" s="71" t="s">
        <v>4046</v>
      </c>
      <c r="F840" s="10" t="str" cm="1">
        <f t="array" aca="1" ref="F8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840" s="201" t="s">
        <v>2236</v>
      </c>
      <c r="I840" s="73">
        <v>45918</v>
      </c>
      <c r="J840" s="73" t="s">
        <v>2074</v>
      </c>
      <c r="K840" s="74">
        <v>45918</v>
      </c>
      <c r="L840" s="68" t="s">
        <v>2592</v>
      </c>
      <c r="M840" s="10" t="str">
        <f t="shared" ca="1" si="27"/>
        <v>CLOSED</v>
      </c>
    </row>
    <row r="841" spans="1:13" ht="30" hidden="1" x14ac:dyDescent="0.25">
      <c r="A841" s="71" t="s">
        <v>156</v>
      </c>
      <c r="B841" s="19">
        <f>VLOOKUP(Table27[[#This Row],[Location 
(drop-down)]],'List source'!D$2:E$71,2,FALSE)</f>
        <v>130</v>
      </c>
      <c r="C841" s="178" t="s">
        <v>4047</v>
      </c>
      <c r="D841" s="21" t="str">
        <f t="shared" si="26"/>
        <v>PTO0840-130-25</v>
      </c>
      <c r="E841" s="71" t="s">
        <v>4048</v>
      </c>
      <c r="F841" s="10" t="str" cm="1">
        <f t="array" aca="1" ref="F8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841" s="201">
        <v>2.0499999999999998</v>
      </c>
      <c r="I841" s="73">
        <v>45918</v>
      </c>
      <c r="J841" s="73" t="s">
        <v>2074</v>
      </c>
      <c r="K841" s="74">
        <v>45918</v>
      </c>
      <c r="L841" s="68" t="s">
        <v>2592</v>
      </c>
      <c r="M841" s="10" t="str">
        <f t="shared" ca="1" si="27"/>
        <v>CLOSED</v>
      </c>
    </row>
    <row r="842" spans="1:13" ht="18.75" hidden="1" x14ac:dyDescent="0.25">
      <c r="A842" s="71" t="s">
        <v>156</v>
      </c>
      <c r="B842" s="19">
        <f>VLOOKUP(Table27[[#This Row],[Location 
(drop-down)]],'List source'!D$2:E$71,2,FALSE)</f>
        <v>130</v>
      </c>
      <c r="C842" s="178" t="s">
        <v>4049</v>
      </c>
      <c r="D842" s="21" t="str">
        <f t="shared" si="26"/>
        <v>PTO0841-130-25</v>
      </c>
      <c r="E842" s="71" t="s">
        <v>4050</v>
      </c>
      <c r="F842" s="10" t="str" cm="1">
        <f t="array" aca="1" ref="F8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42" s="201">
        <v>3.18</v>
      </c>
      <c r="I842" s="73">
        <v>45918</v>
      </c>
      <c r="J842" s="73"/>
      <c r="K842" s="74"/>
      <c r="L842" s="68"/>
      <c r="M842" s="10">
        <f t="shared" ca="1" si="27"/>
        <v>159</v>
      </c>
    </row>
    <row r="843" spans="1:13" ht="30" hidden="1" x14ac:dyDescent="0.25">
      <c r="A843" s="71" t="s">
        <v>14</v>
      </c>
      <c r="B843" s="19">
        <f>VLOOKUP(Table27[[#This Row],[Location 
(drop-down)]],'List source'!D$2:E$71,2,FALSE)</f>
        <v>131</v>
      </c>
      <c r="C843" s="178" t="s">
        <v>4051</v>
      </c>
      <c r="D843" s="21" t="str">
        <f t="shared" si="26"/>
        <v>PTO0842-131-25</v>
      </c>
      <c r="E843" s="71" t="s">
        <v>4052</v>
      </c>
      <c r="F843" s="10" t="str" cm="1">
        <f t="array" aca="1" ref="F8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843" s="201" t="s">
        <v>2520</v>
      </c>
      <c r="I843" s="73">
        <v>45918</v>
      </c>
      <c r="J843" s="73" t="s">
        <v>2074</v>
      </c>
      <c r="K843" s="74">
        <v>45918</v>
      </c>
      <c r="L843" s="68" t="s">
        <v>2592</v>
      </c>
      <c r="M843" s="10" t="str">
        <f t="shared" ca="1" si="27"/>
        <v>CLOSED</v>
      </c>
    </row>
    <row r="844" spans="1:13" ht="18.75" hidden="1" x14ac:dyDescent="0.25">
      <c r="A844" s="71" t="s">
        <v>211</v>
      </c>
      <c r="B844" s="19">
        <f>VLOOKUP(Table27[[#This Row],[Location 
(drop-down)]],'List source'!D$2:E$71,2,FALSE)</f>
        <v>132</v>
      </c>
      <c r="C844" s="178" t="s">
        <v>4053</v>
      </c>
      <c r="D844" s="21" t="str">
        <f t="shared" si="26"/>
        <v>PTO0843-132-25</v>
      </c>
      <c r="E844" s="71" t="s">
        <v>4054</v>
      </c>
      <c r="F844" s="10" t="str" cm="1">
        <f t="array" aca="1" ref="F8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844" s="75">
        <v>2.09</v>
      </c>
      <c r="I844" s="73">
        <v>45918</v>
      </c>
      <c r="J844" s="73"/>
      <c r="K844" s="74"/>
      <c r="L844" s="68"/>
      <c r="M844" s="10">
        <f t="shared" ca="1" si="27"/>
        <v>159</v>
      </c>
    </row>
    <row r="845" spans="1:13" ht="18.75" hidden="1" x14ac:dyDescent="0.25">
      <c r="A845" s="71" t="s">
        <v>51</v>
      </c>
      <c r="B845" s="19">
        <f>VLOOKUP(Table27[[#This Row],[Location 
(drop-down)]],'List source'!D$2:E$71,2,FALSE)</f>
        <v>139</v>
      </c>
      <c r="C845" s="178" t="s">
        <v>4055</v>
      </c>
      <c r="D845" s="21" t="str">
        <f t="shared" si="26"/>
        <v>PTO0844-139-25</v>
      </c>
      <c r="E845" s="71" t="s">
        <v>4056</v>
      </c>
      <c r="F845" s="10" t="str" cm="1">
        <f t="array" aca="1" ref="F8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45" s="201" t="s">
        <v>4057</v>
      </c>
      <c r="I845" s="73">
        <v>45918</v>
      </c>
      <c r="J845" s="73" t="s">
        <v>109</v>
      </c>
      <c r="K845" s="74">
        <v>46008</v>
      </c>
      <c r="L845" s="37"/>
      <c r="M845" s="10" t="str">
        <f t="shared" ca="1" si="27"/>
        <v>CLOSED</v>
      </c>
    </row>
    <row r="846" spans="1:13" ht="18.75" hidden="1" x14ac:dyDescent="0.25">
      <c r="A846" s="71" t="s">
        <v>51</v>
      </c>
      <c r="B846" s="19">
        <f>VLOOKUP(Table27[[#This Row],[Location 
(drop-down)]],'List source'!D$2:E$71,2,FALSE)</f>
        <v>139</v>
      </c>
      <c r="C846" s="178" t="s">
        <v>4058</v>
      </c>
      <c r="D846" s="21" t="str">
        <f t="shared" si="26"/>
        <v>PTO0845-139-25</v>
      </c>
      <c r="E846" s="71" t="s">
        <v>4059</v>
      </c>
      <c r="F846" s="10" t="str" cm="1">
        <f t="array" aca="1" ref="F8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846" s="201" t="s">
        <v>4060</v>
      </c>
      <c r="I846" s="73">
        <v>45918</v>
      </c>
      <c r="J846" s="73" t="s">
        <v>109</v>
      </c>
      <c r="K846" s="74">
        <v>46008</v>
      </c>
      <c r="L846" s="68"/>
      <c r="M846" s="10" t="str">
        <f t="shared" ca="1" si="27"/>
        <v>CLOSED</v>
      </c>
    </row>
    <row r="847" spans="1:13" ht="30" hidden="1" x14ac:dyDescent="0.25">
      <c r="A847" s="71" t="s">
        <v>203</v>
      </c>
      <c r="B847" s="19">
        <f>VLOOKUP(Table27[[#This Row],[Location 
(drop-down)]],'List source'!D$2:E$71,2,FALSE)</f>
        <v>140</v>
      </c>
      <c r="C847" s="178" t="s">
        <v>4061</v>
      </c>
      <c r="D847" s="21" t="str">
        <f t="shared" si="26"/>
        <v>PTO0846-140-25</v>
      </c>
      <c r="E847" s="71" t="s">
        <v>4062</v>
      </c>
      <c r="F847" s="10" t="str" cm="1">
        <f t="array" aca="1" ref="F8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847" s="75">
        <v>2.0299999999999998</v>
      </c>
      <c r="I847" s="73">
        <v>45918</v>
      </c>
      <c r="J847" s="73" t="s">
        <v>2074</v>
      </c>
      <c r="K847" s="74">
        <v>45918</v>
      </c>
      <c r="L847" s="68" t="s">
        <v>2592</v>
      </c>
      <c r="M847" s="10" t="str">
        <f t="shared" ca="1" si="27"/>
        <v>CLOSED</v>
      </c>
    </row>
    <row r="848" spans="1:13" ht="18.75" hidden="1" x14ac:dyDescent="0.25">
      <c r="A848" s="71" t="s">
        <v>69</v>
      </c>
      <c r="B848" s="19">
        <f>VLOOKUP(Table27[[#This Row],[Location 
(drop-down)]],'List source'!D$2:E$71,2,FALSE)</f>
        <v>141</v>
      </c>
      <c r="C848" s="178" t="s">
        <v>4063</v>
      </c>
      <c r="D848" s="226" t="str">
        <f t="shared" si="26"/>
        <v>PTO0847-141-25</v>
      </c>
      <c r="E848" s="71" t="s">
        <v>4064</v>
      </c>
      <c r="F848" s="10" t="str" cm="1">
        <f t="array" aca="1" ref="F8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48" s="201" t="s">
        <v>2107</v>
      </c>
      <c r="I848" s="73">
        <v>45918</v>
      </c>
      <c r="J848" s="73" t="s">
        <v>27</v>
      </c>
      <c r="K848" s="74">
        <v>45964</v>
      </c>
      <c r="L848" s="339" t="s">
        <v>3881</v>
      </c>
      <c r="M848" s="10" t="str">
        <f t="shared" ca="1" si="27"/>
        <v>CLOSED</v>
      </c>
    </row>
    <row r="849" spans="1:13" ht="18.75" hidden="1" x14ac:dyDescent="0.25">
      <c r="A849" s="71" t="s">
        <v>58</v>
      </c>
      <c r="B849" s="19">
        <f>VLOOKUP(Table27[[#This Row],[Location 
(drop-down)]],'List source'!D$2:E$71,2,FALSE)</f>
        <v>146</v>
      </c>
      <c r="C849" s="178" t="s">
        <v>4065</v>
      </c>
      <c r="D849" s="226" t="str">
        <f t="shared" si="26"/>
        <v>PTO0848-146-25</v>
      </c>
      <c r="E849" s="71" t="s">
        <v>4064</v>
      </c>
      <c r="F849" s="10" t="str" cm="1">
        <f t="array" aca="1" ref="F8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49" s="201" t="s">
        <v>2107</v>
      </c>
      <c r="I849" s="73">
        <v>45918</v>
      </c>
      <c r="J849" s="73" t="s">
        <v>109</v>
      </c>
      <c r="K849" s="74">
        <v>45943</v>
      </c>
      <c r="L849" s="339" t="s">
        <v>3881</v>
      </c>
      <c r="M849" s="10" t="str">
        <f t="shared" ca="1" si="27"/>
        <v>CLOSED</v>
      </c>
    </row>
    <row r="850" spans="1:13" ht="30" hidden="1" x14ac:dyDescent="0.25">
      <c r="A850" s="71" t="s">
        <v>86</v>
      </c>
      <c r="B850" s="19">
        <f>VLOOKUP(Table27[[#This Row],[Location 
(drop-down)]],'List source'!D$2:E$71,2,FALSE)</f>
        <v>150</v>
      </c>
      <c r="C850" s="178" t="s">
        <v>4066</v>
      </c>
      <c r="D850" s="21" t="str">
        <f t="shared" si="26"/>
        <v>PTO0849-150-25</v>
      </c>
      <c r="E850" s="71" t="s">
        <v>4067</v>
      </c>
      <c r="F850" s="10" t="str" cm="1">
        <f t="array" aca="1" ref="F8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50" s="75" t="s">
        <v>4068</v>
      </c>
      <c r="I850" s="73">
        <v>45918</v>
      </c>
      <c r="J850" s="73" t="s">
        <v>2074</v>
      </c>
      <c r="K850" s="74">
        <v>45918</v>
      </c>
      <c r="L850" s="68" t="s">
        <v>2592</v>
      </c>
      <c r="M850" s="10" t="str">
        <f t="shared" ca="1" si="27"/>
        <v>CLOSED</v>
      </c>
    </row>
    <row r="851" spans="1:13" ht="18.75" hidden="1" x14ac:dyDescent="0.25">
      <c r="A851" s="71" t="s">
        <v>86</v>
      </c>
      <c r="B851" s="19">
        <f>VLOOKUP(Table27[[#This Row],[Location 
(drop-down)]],'List source'!D$2:E$71,2,FALSE)</f>
        <v>150</v>
      </c>
      <c r="C851" s="178" t="s">
        <v>4069</v>
      </c>
      <c r="D851" s="21" t="str">
        <f t="shared" si="26"/>
        <v>PTO0850-150-25</v>
      </c>
      <c r="E851" s="71" t="s">
        <v>4070</v>
      </c>
      <c r="F851" s="10" t="str" cm="1">
        <f t="array" aca="1" ref="F8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51" s="75" t="s">
        <v>4071</v>
      </c>
      <c r="I851" s="73">
        <v>45918</v>
      </c>
      <c r="J851" s="73"/>
      <c r="K851" s="74"/>
      <c r="L851" s="68"/>
      <c r="M851" s="10">
        <f t="shared" ca="1" si="27"/>
        <v>159</v>
      </c>
    </row>
    <row r="852" spans="1:13" ht="30" hidden="1" x14ac:dyDescent="0.25">
      <c r="A852" s="9" t="s">
        <v>86</v>
      </c>
      <c r="B852" s="19">
        <f>VLOOKUP(Table27[[#This Row],[Location 
(drop-down)]],'List source'!D$2:E$71,2,FALSE)</f>
        <v>150</v>
      </c>
      <c r="C852" s="178" t="s">
        <v>4072</v>
      </c>
      <c r="D852" s="21" t="str">
        <f t="shared" si="26"/>
        <v>PTO0851-150-25</v>
      </c>
      <c r="E852" s="9" t="s">
        <v>4052</v>
      </c>
      <c r="F852" s="10" t="str" cm="1">
        <f t="array" aca="1" ref="F8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852" s="136" t="s">
        <v>3078</v>
      </c>
      <c r="I852" s="73">
        <v>45918</v>
      </c>
      <c r="J852" s="73" t="s">
        <v>2074</v>
      </c>
      <c r="K852" s="74">
        <v>45918</v>
      </c>
      <c r="L852" s="68" t="s">
        <v>2592</v>
      </c>
      <c r="M852" s="10" t="str">
        <f t="shared" ca="1" si="27"/>
        <v>CLOSED</v>
      </c>
    </row>
    <row r="853" spans="1:13" ht="30" hidden="1" x14ac:dyDescent="0.25">
      <c r="A853" s="9" t="s">
        <v>46</v>
      </c>
      <c r="B853" s="19">
        <f>VLOOKUP(Table27[[#This Row],[Location 
(drop-down)]],'List source'!D$2:E$71,2,FALSE)</f>
        <v>155</v>
      </c>
      <c r="C853" s="178" t="s">
        <v>4073</v>
      </c>
      <c r="D853" s="21" t="str">
        <f t="shared" si="26"/>
        <v>PTO0852-155-25</v>
      </c>
      <c r="E853" s="9" t="s">
        <v>4067</v>
      </c>
      <c r="F853" s="10" t="str" cm="1">
        <f t="array" aca="1" ref="F8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53" s="10" t="s">
        <v>4074</v>
      </c>
      <c r="I853" s="73">
        <v>45918</v>
      </c>
      <c r="J853" s="73" t="s">
        <v>2074</v>
      </c>
      <c r="K853" s="74">
        <v>45918</v>
      </c>
      <c r="L853" s="68" t="s">
        <v>2592</v>
      </c>
      <c r="M853" s="10" t="str">
        <f t="shared" ca="1" si="27"/>
        <v>CLOSED</v>
      </c>
    </row>
    <row r="854" spans="1:13" ht="18.75" hidden="1" x14ac:dyDescent="0.25">
      <c r="A854" s="9" t="s">
        <v>46</v>
      </c>
      <c r="B854" s="19">
        <f>VLOOKUP(Table27[[#This Row],[Location 
(drop-down)]],'List source'!D$2:E$71,2,FALSE)</f>
        <v>155</v>
      </c>
      <c r="C854" s="178" t="s">
        <v>4075</v>
      </c>
      <c r="D854" s="21" t="str">
        <f t="shared" si="26"/>
        <v>PTO0853-155-25</v>
      </c>
      <c r="E854" s="9" t="s">
        <v>4076</v>
      </c>
      <c r="F854" s="10" t="str" cm="1">
        <f t="array" aca="1" ref="F8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54" s="136" t="s">
        <v>4077</v>
      </c>
      <c r="I854" s="73">
        <v>45918</v>
      </c>
      <c r="J854" s="12"/>
      <c r="K854" s="63"/>
      <c r="L854" s="37"/>
      <c r="M854" s="10">
        <f t="shared" ca="1" si="27"/>
        <v>159</v>
      </c>
    </row>
    <row r="855" spans="1:13" ht="18.75" hidden="1" x14ac:dyDescent="0.25">
      <c r="A855" s="9" t="s">
        <v>46</v>
      </c>
      <c r="B855" s="19">
        <f>VLOOKUP(Table27[[#This Row],[Location 
(drop-down)]],'List source'!D$2:E$71,2,FALSE)</f>
        <v>155</v>
      </c>
      <c r="C855" s="178" t="s">
        <v>4078</v>
      </c>
      <c r="D855" s="226" t="str">
        <f t="shared" si="26"/>
        <v>PTO0854-155-25</v>
      </c>
      <c r="E855" s="9" t="s">
        <v>4079</v>
      </c>
      <c r="F855" s="10" t="str" cm="1">
        <f t="array" aca="1" ref="F8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55" s="136" t="s">
        <v>4080</v>
      </c>
      <c r="I855" s="73">
        <v>45918</v>
      </c>
      <c r="J855" s="12" t="s">
        <v>18</v>
      </c>
      <c r="K855" s="63">
        <v>45932</v>
      </c>
      <c r="L855" s="339" t="s">
        <v>3881</v>
      </c>
      <c r="M855" s="10" t="str">
        <f t="shared" ca="1" si="27"/>
        <v>CLOSED</v>
      </c>
    </row>
    <row r="856" spans="1:13" ht="18.75" hidden="1" x14ac:dyDescent="0.25">
      <c r="A856" s="9" t="s">
        <v>79</v>
      </c>
      <c r="B856" s="19">
        <f>VLOOKUP(Table27[[#This Row],[Location 
(drop-down)]],'List source'!D$2:E$71,2,FALSE)</f>
        <v>160</v>
      </c>
      <c r="C856" s="178" t="s">
        <v>4081</v>
      </c>
      <c r="D856" s="21" t="str">
        <f t="shared" si="26"/>
        <v>PTO0855-160-25</v>
      </c>
      <c r="E856" s="9" t="s">
        <v>4082</v>
      </c>
      <c r="F856" s="10" t="str" cm="1">
        <f t="array" aca="1" ref="F8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856" s="136" t="s">
        <v>4083</v>
      </c>
      <c r="I856" s="73">
        <v>45918</v>
      </c>
      <c r="J856" s="12" t="s">
        <v>18</v>
      </c>
      <c r="K856" s="63">
        <v>45973</v>
      </c>
      <c r="L856" s="37"/>
      <c r="M856" s="10" t="str">
        <f t="shared" ca="1" si="27"/>
        <v>CLOSED</v>
      </c>
    </row>
    <row r="857" spans="1:13" ht="30" hidden="1" x14ac:dyDescent="0.25">
      <c r="A857" s="9" t="s">
        <v>79</v>
      </c>
      <c r="B857" s="19">
        <f>VLOOKUP(Table27[[#This Row],[Location 
(drop-down)]],'List source'!D$2:E$71,2,FALSE)</f>
        <v>160</v>
      </c>
      <c r="C857" s="178" t="s">
        <v>4084</v>
      </c>
      <c r="D857" s="21" t="str">
        <f t="shared" si="26"/>
        <v>PTO0856-160-25</v>
      </c>
      <c r="E857" s="9" t="s">
        <v>4085</v>
      </c>
      <c r="F857" s="10" t="str" cm="1">
        <f t="array" aca="1" ref="F8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57" s="10" t="s">
        <v>4086</v>
      </c>
      <c r="I857" s="73">
        <v>45918</v>
      </c>
      <c r="J857" s="73" t="s">
        <v>2074</v>
      </c>
      <c r="K857" s="74">
        <v>45918</v>
      </c>
      <c r="L857" s="68" t="s">
        <v>2592</v>
      </c>
      <c r="M857" s="10" t="str">
        <f t="shared" ca="1" si="27"/>
        <v>CLOSED</v>
      </c>
    </row>
    <row r="858" spans="1:13" ht="30" hidden="1" x14ac:dyDescent="0.25">
      <c r="A858" s="9" t="s">
        <v>141</v>
      </c>
      <c r="B858" s="19">
        <f>VLOOKUP(Table27[[#This Row],[Location 
(drop-down)]],'List source'!D$2:E$71,2,FALSE)</f>
        <v>165</v>
      </c>
      <c r="C858" s="178" t="s">
        <v>4087</v>
      </c>
      <c r="D858" s="21" t="str">
        <f t="shared" si="26"/>
        <v>PTO0857-165-25</v>
      </c>
      <c r="E858" s="9" t="s">
        <v>4088</v>
      </c>
      <c r="F858" s="10" t="str" cm="1">
        <f t="array" aca="1" ref="F8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58" s="136" t="s">
        <v>4089</v>
      </c>
      <c r="I858" s="73">
        <v>45918</v>
      </c>
      <c r="J858" s="12"/>
      <c r="K858" s="63"/>
      <c r="L858" s="37"/>
      <c r="M858" s="10">
        <f t="shared" ca="1" si="27"/>
        <v>159</v>
      </c>
    </row>
    <row r="859" spans="1:13" ht="18.75" hidden="1" x14ac:dyDescent="0.25">
      <c r="A859" s="9" t="s">
        <v>141</v>
      </c>
      <c r="B859" s="19">
        <f>VLOOKUP(Table27[[#This Row],[Location 
(drop-down)]],'List source'!D$2:E$71,2,FALSE)</f>
        <v>165</v>
      </c>
      <c r="C859" s="178" t="s">
        <v>4090</v>
      </c>
      <c r="D859" s="226" t="str">
        <f t="shared" si="26"/>
        <v>PTO0858-165-25</v>
      </c>
      <c r="E859" s="9" t="s">
        <v>4091</v>
      </c>
      <c r="F859" s="10" t="str" cm="1">
        <f t="array" aca="1" ref="F8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859" s="136" t="s">
        <v>4092</v>
      </c>
      <c r="I859" s="73">
        <v>45918</v>
      </c>
      <c r="J859" s="12" t="s">
        <v>4093</v>
      </c>
      <c r="K859" s="63">
        <v>45943</v>
      </c>
      <c r="L859" s="339" t="s">
        <v>3881</v>
      </c>
      <c r="M859" s="10" t="str">
        <f t="shared" ca="1" si="27"/>
        <v>CLOSED</v>
      </c>
    </row>
    <row r="860" spans="1:13" ht="30" hidden="1" x14ac:dyDescent="0.25">
      <c r="A860" s="9" t="s">
        <v>107</v>
      </c>
      <c r="B860" s="19">
        <f>VLOOKUP(Table27[[#This Row],[Location 
(drop-down)]],'List source'!D$2:E$71,2,FALSE)</f>
        <v>170</v>
      </c>
      <c r="C860" s="178" t="s">
        <v>4094</v>
      </c>
      <c r="D860" s="21" t="str">
        <f t="shared" si="26"/>
        <v>PTO0859-170-25</v>
      </c>
      <c r="E860" s="9" t="s">
        <v>4095</v>
      </c>
      <c r="F860" s="10" t="str" cm="1">
        <f t="array" aca="1" ref="F8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0" s="136" t="s">
        <v>2091</v>
      </c>
      <c r="I860" s="73">
        <v>45918</v>
      </c>
      <c r="J860" s="73" t="s">
        <v>2074</v>
      </c>
      <c r="K860" s="74">
        <v>45918</v>
      </c>
      <c r="L860" s="68" t="s">
        <v>2592</v>
      </c>
      <c r="M860" s="10" t="str">
        <f t="shared" ca="1" si="27"/>
        <v>CLOSED</v>
      </c>
    </row>
    <row r="861" spans="1:13" ht="30" hidden="1" x14ac:dyDescent="0.25">
      <c r="A861" s="9" t="s">
        <v>107</v>
      </c>
      <c r="B861" s="19">
        <f>VLOOKUP(Table27[[#This Row],[Location 
(drop-down)]],'List source'!D$2:E$71,2,FALSE)</f>
        <v>170</v>
      </c>
      <c r="C861" s="178" t="s">
        <v>4096</v>
      </c>
      <c r="D861" s="21" t="str">
        <f t="shared" si="26"/>
        <v>PTO0860-170-25</v>
      </c>
      <c r="E861" s="9" t="s">
        <v>4097</v>
      </c>
      <c r="F861" s="10" t="str" cm="1">
        <f t="array" aca="1" ref="F8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61" s="136" t="s">
        <v>2141</v>
      </c>
      <c r="I861" s="73">
        <v>45918</v>
      </c>
      <c r="J861" s="12" t="s">
        <v>109</v>
      </c>
      <c r="K861" s="63">
        <v>45954</v>
      </c>
      <c r="L861" s="37"/>
      <c r="M861" s="10" t="str">
        <f t="shared" ca="1" si="27"/>
        <v>CLOSED</v>
      </c>
    </row>
    <row r="862" spans="1:13" ht="30" hidden="1" x14ac:dyDescent="0.25">
      <c r="A862" s="9" t="s">
        <v>44</v>
      </c>
      <c r="B862" s="19">
        <f>VLOOKUP(Table27[[#This Row],[Location 
(drop-down)]],'List source'!D$2:E$71,2,FALSE)</f>
        <v>185</v>
      </c>
      <c r="C862" s="178" t="s">
        <v>4098</v>
      </c>
      <c r="D862" s="21" t="str">
        <f t="shared" si="26"/>
        <v>PTO0861-185-25</v>
      </c>
      <c r="E862" s="9" t="s">
        <v>4099</v>
      </c>
      <c r="F862" s="10" t="str" cm="1">
        <f t="array" aca="1" ref="F8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62" s="136" t="s">
        <v>2484</v>
      </c>
      <c r="I862" s="73">
        <v>45918</v>
      </c>
      <c r="J862" s="73" t="s">
        <v>2074</v>
      </c>
      <c r="K862" s="74">
        <v>45918</v>
      </c>
      <c r="L862" s="68" t="s">
        <v>2592</v>
      </c>
      <c r="M862" s="10" t="str">
        <f t="shared" ca="1" si="27"/>
        <v>CLOSED</v>
      </c>
    </row>
    <row r="863" spans="1:13" ht="18.75" hidden="1" x14ac:dyDescent="0.25">
      <c r="A863" s="9" t="s">
        <v>338</v>
      </c>
      <c r="B863" s="19">
        <f>VLOOKUP(Table27[[#This Row],[Location 
(drop-down)]],'List source'!D$2:E$71,2,FALSE)</f>
        <v>191</v>
      </c>
      <c r="C863" s="178" t="s">
        <v>4100</v>
      </c>
      <c r="D863" s="226" t="str">
        <f t="shared" si="26"/>
        <v>PTO0862-191-25</v>
      </c>
      <c r="E863" s="9" t="s">
        <v>4101</v>
      </c>
      <c r="F863" s="10" t="str" cm="1">
        <f t="array" aca="1" ref="F8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863" s="136" t="s">
        <v>2141</v>
      </c>
      <c r="I863" s="12">
        <v>45918</v>
      </c>
      <c r="J863" s="12" t="s">
        <v>2074</v>
      </c>
      <c r="K863" s="63">
        <v>45968</v>
      </c>
      <c r="L863" s="68" t="s">
        <v>2079</v>
      </c>
      <c r="M863" s="10" t="str">
        <f t="shared" ca="1" si="27"/>
        <v>CLOSED</v>
      </c>
    </row>
    <row r="864" spans="1:13" ht="30" hidden="1" x14ac:dyDescent="0.25">
      <c r="A864" s="9" t="s">
        <v>37</v>
      </c>
      <c r="B864" s="19">
        <f>VLOOKUP(Table27[[#This Row],[Location 
(drop-down)]],'List source'!D$2:E$71,2,FALSE)</f>
        <v>210</v>
      </c>
      <c r="C864" s="178" t="s">
        <v>4102</v>
      </c>
      <c r="D864" s="21" t="str">
        <f t="shared" si="26"/>
        <v>PTO0863-210-25</v>
      </c>
      <c r="E864" s="9" t="s">
        <v>4103</v>
      </c>
      <c r="F864" s="10" t="str" cm="1">
        <f t="array" aca="1" ref="F8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4" s="136" t="s">
        <v>4104</v>
      </c>
      <c r="I864" s="12">
        <v>45918</v>
      </c>
      <c r="J864" s="73" t="s">
        <v>2074</v>
      </c>
      <c r="K864" s="74">
        <v>45918</v>
      </c>
      <c r="L864" s="68" t="s">
        <v>2592</v>
      </c>
      <c r="M864" s="10" t="str">
        <f t="shared" ca="1" si="27"/>
        <v>CLOSED</v>
      </c>
    </row>
    <row r="865" spans="1:13" ht="30" hidden="1" x14ac:dyDescent="0.25">
      <c r="A865" s="9" t="s">
        <v>105</v>
      </c>
      <c r="B865" s="19">
        <f>VLOOKUP(Table27[[#This Row],[Location 
(drop-down)]],'List source'!D$2:E$71,2,FALSE)</f>
        <v>215</v>
      </c>
      <c r="C865" s="178" t="s">
        <v>4105</v>
      </c>
      <c r="D865" s="21" t="str">
        <f t="shared" si="26"/>
        <v>PTO0864-215-25</v>
      </c>
      <c r="E865" s="9" t="s">
        <v>4048</v>
      </c>
      <c r="F865" s="10" t="str" cm="1">
        <f t="array" aca="1" ref="F8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865" s="136" t="s">
        <v>4106</v>
      </c>
      <c r="I865" s="12">
        <v>45918</v>
      </c>
      <c r="J865" s="73" t="s">
        <v>2074</v>
      </c>
      <c r="K865" s="74">
        <v>45918</v>
      </c>
      <c r="L865" s="68" t="s">
        <v>2592</v>
      </c>
      <c r="M865" s="10" t="str">
        <f t="shared" ca="1" si="27"/>
        <v>CLOSED</v>
      </c>
    </row>
    <row r="866" spans="1:13" ht="18.75" hidden="1" x14ac:dyDescent="0.25">
      <c r="A866" s="9" t="s">
        <v>105</v>
      </c>
      <c r="B866" s="19">
        <f>VLOOKUP(Table27[[#This Row],[Location 
(drop-down)]],'List source'!D$2:E$71,2,FALSE)</f>
        <v>215</v>
      </c>
      <c r="C866" s="178" t="s">
        <v>4107</v>
      </c>
      <c r="D866" s="21" t="str">
        <f t="shared" si="26"/>
        <v>PTO0865-215-25</v>
      </c>
      <c r="E866" s="9" t="s">
        <v>4108</v>
      </c>
      <c r="F866" s="10" t="str" cm="1">
        <f t="array" aca="1" ref="F8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8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66" s="10">
        <v>3.01</v>
      </c>
      <c r="I866" s="12">
        <v>45918</v>
      </c>
      <c r="J866" s="12"/>
      <c r="K866" s="63"/>
      <c r="L866" s="37"/>
      <c r="M866" s="10">
        <f t="shared" ca="1" si="27"/>
        <v>159</v>
      </c>
    </row>
    <row r="867" spans="1:13" ht="18.75" hidden="1" x14ac:dyDescent="0.25">
      <c r="A867" s="9" t="s">
        <v>153</v>
      </c>
      <c r="B867" s="19">
        <f>VLOOKUP(Table27[[#This Row],[Location 
(drop-down)]],'List source'!D$2:E$71,2,FALSE)</f>
        <v>110</v>
      </c>
      <c r="C867" s="178" t="s">
        <v>4109</v>
      </c>
      <c r="D867" s="21" t="str">
        <f t="shared" si="26"/>
        <v>PTO0866-110-25</v>
      </c>
      <c r="E867" s="9" t="s">
        <v>4110</v>
      </c>
      <c r="F867" s="10" t="s">
        <v>2065</v>
      </c>
      <c r="G8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D6371 - Cold Filter Plugging Point</v>
      </c>
      <c r="H867" s="136" t="s">
        <v>2094</v>
      </c>
      <c r="I867" s="12">
        <v>45926</v>
      </c>
      <c r="J867" s="12" t="s">
        <v>252</v>
      </c>
      <c r="K867" s="63">
        <v>45944</v>
      </c>
      <c r="L867" s="37"/>
      <c r="M867" s="10" t="str">
        <f t="shared" ca="1" si="27"/>
        <v>CLOSED</v>
      </c>
    </row>
    <row r="868" spans="1:13" ht="30" hidden="1" x14ac:dyDescent="0.25">
      <c r="A868" s="9" t="s">
        <v>361</v>
      </c>
      <c r="B868" s="19">
        <f>VLOOKUP(Table27[[#This Row],[Location 
(drop-down)]],'List source'!D$2:E$71,2,FALSE)</f>
        <v>116</v>
      </c>
      <c r="C868" s="178" t="s">
        <v>4111</v>
      </c>
      <c r="D868" s="21" t="str">
        <f t="shared" si="26"/>
        <v>PTO0867-116-25</v>
      </c>
      <c r="E868" s="9" t="s">
        <v>4112</v>
      </c>
      <c r="F868" s="10" t="s">
        <v>2065</v>
      </c>
      <c r="G8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868" s="10">
        <v>2.06</v>
      </c>
      <c r="I868" s="12">
        <v>45926</v>
      </c>
      <c r="J868" s="12" t="s">
        <v>2074</v>
      </c>
      <c r="K868" s="63">
        <v>45926</v>
      </c>
      <c r="L868" s="37" t="s">
        <v>2592</v>
      </c>
      <c r="M868" s="10" t="str">
        <f t="shared" ca="1" si="27"/>
        <v>CLOSED</v>
      </c>
    </row>
    <row r="869" spans="1:13" ht="18.75" hidden="1" x14ac:dyDescent="0.25">
      <c r="A869" s="9" t="s">
        <v>361</v>
      </c>
      <c r="B869" s="19">
        <f>VLOOKUP(Table27[[#This Row],[Location 
(drop-down)]],'List source'!D$2:E$71,2,FALSE)</f>
        <v>116</v>
      </c>
      <c r="C869" s="178" t="s">
        <v>4113</v>
      </c>
      <c r="D869" s="21" t="str">
        <f t="shared" si="26"/>
        <v>PTO0868-116-25</v>
      </c>
      <c r="E869" s="9" t="s">
        <v>4114</v>
      </c>
      <c r="F869" s="10" t="s">
        <v>2065</v>
      </c>
      <c r="G8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869" s="136" t="s">
        <v>3232</v>
      </c>
      <c r="I869" s="12">
        <v>45926</v>
      </c>
      <c r="J869" s="12"/>
      <c r="K869" s="63"/>
      <c r="L869" s="37"/>
      <c r="M869" s="10">
        <f t="shared" ca="1" si="27"/>
        <v>151</v>
      </c>
    </row>
    <row r="870" spans="1:13" ht="18.75" hidden="1" x14ac:dyDescent="0.25">
      <c r="A870" s="9" t="s">
        <v>94</v>
      </c>
      <c r="B870" s="19">
        <f>VLOOKUP(Table27[[#This Row],[Location 
(drop-down)]],'List source'!D$2:E$71,2,FALSE)</f>
        <v>120</v>
      </c>
      <c r="C870" s="178" t="s">
        <v>4115</v>
      </c>
      <c r="D870" s="21" t="str">
        <f t="shared" si="26"/>
        <v>PTO0869-120-25</v>
      </c>
      <c r="E870" s="9" t="s">
        <v>4116</v>
      </c>
      <c r="F870" s="10" t="s">
        <v>2065</v>
      </c>
      <c r="G8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870" s="10">
        <v>7.73</v>
      </c>
      <c r="I870" s="12">
        <v>45926</v>
      </c>
      <c r="J870" s="12"/>
      <c r="K870" s="63"/>
      <c r="L870" s="194"/>
      <c r="M870" s="10">
        <f t="shared" ca="1" si="27"/>
        <v>151</v>
      </c>
    </row>
    <row r="871" spans="1:13" ht="30" hidden="1" x14ac:dyDescent="0.25">
      <c r="A871" s="9" t="s">
        <v>71</v>
      </c>
      <c r="B871" s="19">
        <f>VLOOKUP(Table27[[#This Row],[Location 
(drop-down)]],'List source'!D$2:E$71,2,FALSE)</f>
        <v>127</v>
      </c>
      <c r="C871" s="178" t="s">
        <v>4117</v>
      </c>
      <c r="D871" s="21" t="str">
        <f t="shared" si="26"/>
        <v>PTO0870-127-25</v>
      </c>
      <c r="E871" s="9" t="s">
        <v>4118</v>
      </c>
      <c r="F871" s="10" t="s">
        <v>2065</v>
      </c>
      <c r="G8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871" s="10">
        <v>2.06</v>
      </c>
      <c r="I871" s="12">
        <v>45926</v>
      </c>
      <c r="J871" s="12" t="s">
        <v>2074</v>
      </c>
      <c r="K871" s="63">
        <v>45926</v>
      </c>
      <c r="L871" s="37" t="s">
        <v>2592</v>
      </c>
      <c r="M871" s="10" t="str">
        <f t="shared" ca="1" si="27"/>
        <v>CLOSED</v>
      </c>
    </row>
    <row r="872" spans="1:13" ht="18.75" hidden="1" x14ac:dyDescent="0.25">
      <c r="A872" s="9" t="s">
        <v>211</v>
      </c>
      <c r="B872" s="19">
        <f>VLOOKUP(Table27[[#This Row],[Location 
(drop-down)]],'List source'!D$2:E$71,2,FALSE)</f>
        <v>132</v>
      </c>
      <c r="C872" s="178" t="s">
        <v>4119</v>
      </c>
      <c r="D872" s="21" t="str">
        <f t="shared" si="26"/>
        <v>PTO0871-132-25</v>
      </c>
      <c r="E872" s="9" t="s">
        <v>4120</v>
      </c>
      <c r="F872" s="10" t="s">
        <v>2065</v>
      </c>
      <c r="G8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872" s="10">
        <v>8.2899999999999991</v>
      </c>
      <c r="I872" s="12">
        <v>45926</v>
      </c>
      <c r="J872" s="12"/>
      <c r="K872" s="63"/>
      <c r="L872" s="194"/>
      <c r="M872" s="10">
        <f t="shared" ca="1" si="27"/>
        <v>151</v>
      </c>
    </row>
    <row r="873" spans="1:13" ht="18.75" hidden="1" x14ac:dyDescent="0.25">
      <c r="A873" s="9" t="s">
        <v>211</v>
      </c>
      <c r="B873" s="19">
        <f>VLOOKUP(Table27[[#This Row],[Location 
(drop-down)]],'List source'!D$2:E$71,2,FALSE)</f>
        <v>132</v>
      </c>
      <c r="C873" s="178" t="s">
        <v>4121</v>
      </c>
      <c r="D873" s="21" t="str">
        <f t="shared" si="26"/>
        <v>PTO0872-132-25</v>
      </c>
      <c r="E873" s="9" t="s">
        <v>4122</v>
      </c>
      <c r="F873" s="10" t="s">
        <v>2065</v>
      </c>
      <c r="G8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873" s="136" t="s">
        <v>3132</v>
      </c>
      <c r="I873" s="12">
        <v>45926</v>
      </c>
      <c r="J873" s="12"/>
      <c r="K873" s="63"/>
      <c r="L873" s="37"/>
      <c r="M873" s="10">
        <f t="shared" ca="1" si="27"/>
        <v>151</v>
      </c>
    </row>
    <row r="874" spans="1:13" ht="30" hidden="1" x14ac:dyDescent="0.25">
      <c r="A874" s="9" t="s">
        <v>211</v>
      </c>
      <c r="B874" s="19">
        <f>VLOOKUP(Table27[[#This Row],[Location 
(drop-down)]],'List source'!D$2:E$71,2,FALSE)</f>
        <v>132</v>
      </c>
      <c r="C874" s="178" t="s">
        <v>4123</v>
      </c>
      <c r="D874" s="21" t="str">
        <f t="shared" si="26"/>
        <v>PTO0873-132-25</v>
      </c>
      <c r="E874" s="9" t="s">
        <v>4124</v>
      </c>
      <c r="F874" s="10" t="s">
        <v>2065</v>
      </c>
      <c r="G8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74" s="136" t="s">
        <v>2984</v>
      </c>
      <c r="I874" s="12">
        <v>45926</v>
      </c>
      <c r="J874" s="12" t="s">
        <v>2074</v>
      </c>
      <c r="K874" s="63">
        <v>45926</v>
      </c>
      <c r="L874" s="37" t="s">
        <v>2592</v>
      </c>
      <c r="M874" s="10" t="str">
        <f t="shared" ca="1" si="27"/>
        <v>CLOSED</v>
      </c>
    </row>
    <row r="875" spans="1:13" ht="18.75" hidden="1" x14ac:dyDescent="0.25">
      <c r="A875" s="9" t="s">
        <v>186</v>
      </c>
      <c r="B875" s="19">
        <f>VLOOKUP(Table27[[#This Row],[Location 
(drop-down)]],'List source'!D$2:E$71,2,FALSE)</f>
        <v>136</v>
      </c>
      <c r="C875" s="178" t="s">
        <v>4125</v>
      </c>
      <c r="D875" s="21" t="str">
        <f t="shared" si="26"/>
        <v>PTO0874-136-25</v>
      </c>
      <c r="E875" s="9" t="s">
        <v>4126</v>
      </c>
      <c r="F875" s="10" t="s">
        <v>2065</v>
      </c>
      <c r="G8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v>
      </c>
      <c r="H875" s="136" t="s">
        <v>3453</v>
      </c>
      <c r="I875" s="12">
        <v>45926</v>
      </c>
      <c r="J875" s="12"/>
      <c r="K875" s="63"/>
      <c r="L875" s="37"/>
      <c r="M875" s="10">
        <f t="shared" ca="1" si="27"/>
        <v>151</v>
      </c>
    </row>
    <row r="876" spans="1:13" ht="30" hidden="1" x14ac:dyDescent="0.25">
      <c r="A876" s="9" t="s">
        <v>58</v>
      </c>
      <c r="B876" s="19">
        <f>VLOOKUP(Table27[[#This Row],[Location 
(drop-down)]],'List source'!D$2:E$71,2,FALSE)</f>
        <v>146</v>
      </c>
      <c r="C876" s="178" t="s">
        <v>4127</v>
      </c>
      <c r="D876" s="21" t="str">
        <f t="shared" si="26"/>
        <v>PTO0875-146-25</v>
      </c>
      <c r="E876" s="9" t="s">
        <v>4128</v>
      </c>
      <c r="F876" s="10" t="s">
        <v>2065</v>
      </c>
      <c r="G8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876" s="10">
        <v>2.2000000000000002</v>
      </c>
      <c r="I876" s="12">
        <v>45926</v>
      </c>
      <c r="J876" s="12" t="s">
        <v>2074</v>
      </c>
      <c r="K876" s="63">
        <v>45926</v>
      </c>
      <c r="L876" s="37" t="s">
        <v>2592</v>
      </c>
      <c r="M876" s="10" t="str">
        <f t="shared" ca="1" si="27"/>
        <v>CLOSED</v>
      </c>
    </row>
    <row r="877" spans="1:13" ht="30" hidden="1" x14ac:dyDescent="0.25">
      <c r="A877" s="9" t="s">
        <v>86</v>
      </c>
      <c r="B877" s="19">
        <f>VLOOKUP(Table27[[#This Row],[Location 
(drop-down)]],'List source'!D$2:E$71,2,FALSE)</f>
        <v>150</v>
      </c>
      <c r="C877" s="178" t="s">
        <v>4129</v>
      </c>
      <c r="D877" s="21" t="str">
        <f t="shared" si="26"/>
        <v>PTO0876-150-25</v>
      </c>
      <c r="E877" s="9" t="s">
        <v>4130</v>
      </c>
      <c r="F877" s="10" t="s">
        <v>2065</v>
      </c>
      <c r="G8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877" s="10">
        <v>2.15</v>
      </c>
      <c r="I877" s="12">
        <v>45926</v>
      </c>
      <c r="J877" s="12" t="s">
        <v>2074</v>
      </c>
      <c r="K877" s="63">
        <v>45926</v>
      </c>
      <c r="L877" s="37" t="s">
        <v>2592</v>
      </c>
      <c r="M877" s="10" t="str">
        <f t="shared" ca="1" si="27"/>
        <v>CLOSED</v>
      </c>
    </row>
    <row r="878" spans="1:13" ht="18.75" hidden="1" x14ac:dyDescent="0.25">
      <c r="A878" s="9" t="s">
        <v>86</v>
      </c>
      <c r="B878" s="19">
        <f>VLOOKUP(Table27[[#This Row],[Location 
(drop-down)]],'List source'!D$2:E$71,2,FALSE)</f>
        <v>150</v>
      </c>
      <c r="C878" s="178" t="s">
        <v>4131</v>
      </c>
      <c r="D878" s="21" t="str">
        <f t="shared" si="26"/>
        <v>PTO0877-150-25</v>
      </c>
      <c r="E878" s="9" t="s">
        <v>4132</v>
      </c>
      <c r="F878" s="10" t="s">
        <v>2065</v>
      </c>
      <c r="G8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D524 - Carbon Residue</v>
      </c>
      <c r="H878" s="136" t="s">
        <v>2968</v>
      </c>
      <c r="I878" s="12">
        <v>45926</v>
      </c>
      <c r="J878" s="12" t="s">
        <v>82</v>
      </c>
      <c r="K878" s="63">
        <v>46035</v>
      </c>
      <c r="L878" s="194"/>
      <c r="M878" s="10" t="str">
        <f t="shared" ca="1" si="27"/>
        <v>CLOSED</v>
      </c>
    </row>
    <row r="879" spans="1:13" ht="18.75" hidden="1" x14ac:dyDescent="0.25">
      <c r="A879" s="9" t="s">
        <v>46</v>
      </c>
      <c r="B879" s="19">
        <f>VLOOKUP(Table27[[#This Row],[Location 
(drop-down)]],'List source'!D$2:E$71,2,FALSE)</f>
        <v>155</v>
      </c>
      <c r="C879" s="178" t="s">
        <v>4133</v>
      </c>
      <c r="D879" s="21" t="str">
        <f t="shared" si="26"/>
        <v>PTO0878-155-25</v>
      </c>
      <c r="E879" s="9" t="s">
        <v>4134</v>
      </c>
      <c r="F879" s="10" t="s">
        <v>2065</v>
      </c>
      <c r="G8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879" s="136">
        <v>24.42</v>
      </c>
      <c r="I879" s="12">
        <v>45926</v>
      </c>
      <c r="J879" s="12" t="s">
        <v>18</v>
      </c>
      <c r="K879" s="63">
        <v>45971</v>
      </c>
      <c r="L879" s="37"/>
      <c r="M879" s="10" t="str">
        <f t="shared" ca="1" si="27"/>
        <v>CLOSED</v>
      </c>
    </row>
    <row r="880" spans="1:13" ht="18.75" hidden="1" x14ac:dyDescent="0.25">
      <c r="A880" s="9" t="s">
        <v>25</v>
      </c>
      <c r="B880" s="19">
        <f>VLOOKUP(Table27[[#This Row],[Location 
(drop-down)]],'List source'!D$2:E$71,2,FALSE)</f>
        <v>158</v>
      </c>
      <c r="C880" s="178" t="s">
        <v>4135</v>
      </c>
      <c r="D880" s="21" t="str">
        <f t="shared" si="26"/>
        <v>PTO0879-158-25</v>
      </c>
      <c r="E880" s="9" t="s">
        <v>4136</v>
      </c>
      <c r="F880" s="10" t="s">
        <v>2065</v>
      </c>
      <c r="G8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80" s="10" t="s">
        <v>4137</v>
      </c>
      <c r="I880" s="12">
        <v>45926</v>
      </c>
      <c r="J880" s="12" t="s">
        <v>82</v>
      </c>
      <c r="K880" s="63">
        <v>45958</v>
      </c>
      <c r="L880" s="37"/>
      <c r="M880" s="10" t="str">
        <f t="shared" ca="1" si="27"/>
        <v>CLOSED</v>
      </c>
    </row>
    <row r="881" spans="1:13" ht="30" hidden="1" x14ac:dyDescent="0.25">
      <c r="A881" s="9" t="s">
        <v>25</v>
      </c>
      <c r="B881" s="19">
        <f>VLOOKUP(Table27[[#This Row],[Location 
(drop-down)]],'List source'!D$2:E$71,2,FALSE)</f>
        <v>158</v>
      </c>
      <c r="C881" s="178" t="s">
        <v>4138</v>
      </c>
      <c r="D881" s="21" t="str">
        <f t="shared" si="26"/>
        <v>PTO0880-158-25</v>
      </c>
      <c r="E881" s="9" t="s">
        <v>4128</v>
      </c>
      <c r="F881" s="10" t="s">
        <v>2065</v>
      </c>
      <c r="G8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881" s="10">
        <v>2.7</v>
      </c>
      <c r="I881" s="12">
        <v>45926</v>
      </c>
      <c r="J881" s="12" t="s">
        <v>2074</v>
      </c>
      <c r="K881" s="63">
        <v>45926</v>
      </c>
      <c r="L881" s="37" t="s">
        <v>2592</v>
      </c>
      <c r="M881" s="10" t="str">
        <f t="shared" ca="1" si="27"/>
        <v>CLOSED</v>
      </c>
    </row>
    <row r="882" spans="1:13" ht="30" hidden="1" x14ac:dyDescent="0.25">
      <c r="A882" s="9" t="s">
        <v>79</v>
      </c>
      <c r="B882" s="19">
        <f>VLOOKUP(Table27[[#This Row],[Location 
(drop-down)]],'List source'!D$2:E$71,2,FALSE)</f>
        <v>160</v>
      </c>
      <c r="C882" s="178" t="s">
        <v>4139</v>
      </c>
      <c r="D882" s="21" t="str">
        <f t="shared" si="26"/>
        <v>PTO0881-160-25</v>
      </c>
      <c r="E882" s="9" t="s">
        <v>4140</v>
      </c>
      <c r="F882" s="10" t="s">
        <v>2065</v>
      </c>
      <c r="G8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882" s="136" t="s">
        <v>4141</v>
      </c>
      <c r="I882" s="12">
        <v>45926</v>
      </c>
      <c r="J882" s="12" t="s">
        <v>18</v>
      </c>
      <c r="K882" s="63">
        <v>46022</v>
      </c>
      <c r="L882" s="37"/>
      <c r="M882" s="10" t="str">
        <f t="shared" ca="1" si="27"/>
        <v>CLOSED</v>
      </c>
    </row>
    <row r="883" spans="1:13" ht="30" hidden="1" x14ac:dyDescent="0.25">
      <c r="A883" s="9" t="s">
        <v>79</v>
      </c>
      <c r="B883" s="19">
        <f>VLOOKUP(Table27[[#This Row],[Location 
(drop-down)]],'List source'!D$2:E$71,2,FALSE)</f>
        <v>160</v>
      </c>
      <c r="C883" s="178" t="s">
        <v>4142</v>
      </c>
      <c r="D883" s="21" t="str">
        <f t="shared" si="26"/>
        <v>PTO0882-160-25</v>
      </c>
      <c r="E883" s="9" t="s">
        <v>4130</v>
      </c>
      <c r="F883" s="10" t="s">
        <v>2065</v>
      </c>
      <c r="G8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883" s="10">
        <v>2.15</v>
      </c>
      <c r="I883" s="12">
        <v>45926</v>
      </c>
      <c r="J883" s="12" t="s">
        <v>2074</v>
      </c>
      <c r="K883" s="63">
        <v>45926</v>
      </c>
      <c r="L883" s="37" t="s">
        <v>2592</v>
      </c>
      <c r="M883" s="10" t="str">
        <f t="shared" ca="1" si="27"/>
        <v>CLOSED</v>
      </c>
    </row>
    <row r="884" spans="1:13" ht="18.75" hidden="1" x14ac:dyDescent="0.25">
      <c r="A884" s="9" t="s">
        <v>79</v>
      </c>
      <c r="B884" s="19">
        <f>VLOOKUP(Table27[[#This Row],[Location 
(drop-down)]],'List source'!D$2:E$71,2,FALSE)</f>
        <v>160</v>
      </c>
      <c r="C884" s="178" t="s">
        <v>4143</v>
      </c>
      <c r="D884" s="21" t="str">
        <f t="shared" si="26"/>
        <v>PTO0883-160-25</v>
      </c>
      <c r="E884" s="9" t="s">
        <v>4132</v>
      </c>
      <c r="F884" s="10" t="s">
        <v>2065</v>
      </c>
      <c r="G8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D524 - Carbon Residue</v>
      </c>
      <c r="H884" s="136" t="s">
        <v>2968</v>
      </c>
      <c r="I884" s="12">
        <v>45926</v>
      </c>
      <c r="J884" s="12" t="s">
        <v>18</v>
      </c>
      <c r="K884" s="63">
        <v>46017</v>
      </c>
      <c r="L884" s="37"/>
      <c r="M884" s="10" t="str">
        <f t="shared" ca="1" si="27"/>
        <v>CLOSED</v>
      </c>
    </row>
    <row r="885" spans="1:13" ht="18.75" hidden="1" x14ac:dyDescent="0.25">
      <c r="A885" s="9" t="s">
        <v>79</v>
      </c>
      <c r="B885" s="19">
        <f>VLOOKUP(Table27[[#This Row],[Location 
(drop-down)]],'List source'!D$2:E$71,2,FALSE)</f>
        <v>160</v>
      </c>
      <c r="C885" s="178" t="s">
        <v>4144</v>
      </c>
      <c r="D885" s="21" t="str">
        <f t="shared" si="26"/>
        <v>PTO0884-160-25</v>
      </c>
      <c r="E885" s="9" t="s">
        <v>4145</v>
      </c>
      <c r="F885" s="10" t="s">
        <v>2065</v>
      </c>
      <c r="G8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85" s="10">
        <v>2.13</v>
      </c>
      <c r="I885" s="12">
        <v>45926</v>
      </c>
      <c r="J885" s="12"/>
      <c r="K885" s="63"/>
      <c r="L885" s="37"/>
      <c r="M885" s="10">
        <f t="shared" ca="1" si="27"/>
        <v>151</v>
      </c>
    </row>
    <row r="886" spans="1:13" ht="30" hidden="1" x14ac:dyDescent="0.25">
      <c r="A886" s="9" t="s">
        <v>79</v>
      </c>
      <c r="B886" s="19">
        <f>VLOOKUP(Table27[[#This Row],[Location 
(drop-down)]],'List source'!D$2:E$71,2,FALSE)</f>
        <v>160</v>
      </c>
      <c r="C886" s="178" t="s">
        <v>4146</v>
      </c>
      <c r="D886" s="21" t="str">
        <f t="shared" si="26"/>
        <v>PTO0885-160-25</v>
      </c>
      <c r="E886" s="9" t="s">
        <v>4147</v>
      </c>
      <c r="F886" s="10" t="s">
        <v>2065</v>
      </c>
      <c r="G8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886" s="136" t="s">
        <v>4148</v>
      </c>
      <c r="I886" s="12">
        <v>45926</v>
      </c>
      <c r="J886" s="12" t="s">
        <v>18</v>
      </c>
      <c r="K886" s="63">
        <v>46010</v>
      </c>
      <c r="L886" s="37"/>
      <c r="M886" s="10" t="str">
        <f t="shared" ca="1" si="27"/>
        <v>CLOSED</v>
      </c>
    </row>
    <row r="887" spans="1:13" ht="18.75" hidden="1" x14ac:dyDescent="0.25">
      <c r="A887" s="9" t="s">
        <v>141</v>
      </c>
      <c r="B887" s="19">
        <f>VLOOKUP(Table27[[#This Row],[Location 
(drop-down)]],'List source'!D$2:E$71,2,FALSE)</f>
        <v>165</v>
      </c>
      <c r="C887" s="178" t="s">
        <v>4149</v>
      </c>
      <c r="D887" s="21" t="str">
        <f t="shared" si="26"/>
        <v>PTO0886-165-25</v>
      </c>
      <c r="E887" s="9" t="s">
        <v>4150</v>
      </c>
      <c r="F887" s="10" t="s">
        <v>2065</v>
      </c>
      <c r="G8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87" s="136" t="s">
        <v>3750</v>
      </c>
      <c r="I887" s="12">
        <v>45926</v>
      </c>
      <c r="J887" s="12"/>
      <c r="K887" s="63"/>
      <c r="L887" s="37"/>
      <c r="M887" s="10">
        <f t="shared" ca="1" si="27"/>
        <v>151</v>
      </c>
    </row>
    <row r="888" spans="1:13" ht="18.75" hidden="1" x14ac:dyDescent="0.25">
      <c r="A888" s="9" t="s">
        <v>141</v>
      </c>
      <c r="B888" s="19">
        <f>VLOOKUP(Table27[[#This Row],[Location 
(drop-down)]],'List source'!D$2:E$71,2,FALSE)</f>
        <v>165</v>
      </c>
      <c r="C888" s="178" t="s">
        <v>4151</v>
      </c>
      <c r="D888" s="21" t="str">
        <f t="shared" si="26"/>
        <v>PTO0887-165-25</v>
      </c>
      <c r="E888" s="9" t="s">
        <v>4152</v>
      </c>
      <c r="F888" s="10" t="s">
        <v>2065</v>
      </c>
      <c r="G8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888" s="10">
        <v>2.33</v>
      </c>
      <c r="I888" s="12">
        <v>45926</v>
      </c>
      <c r="J888" s="12"/>
      <c r="K888" s="63"/>
      <c r="L888" s="37"/>
      <c r="M888" s="10">
        <f t="shared" ca="1" si="27"/>
        <v>151</v>
      </c>
    </row>
    <row r="889" spans="1:13" ht="30" hidden="1" x14ac:dyDescent="0.25">
      <c r="A889" s="9" t="s">
        <v>107</v>
      </c>
      <c r="B889" s="19">
        <f>VLOOKUP(Table27[[#This Row],[Location 
(drop-down)]],'List source'!D$2:E$71,2,FALSE)</f>
        <v>170</v>
      </c>
      <c r="C889" s="178" t="s">
        <v>4153</v>
      </c>
      <c r="D889" s="21" t="str">
        <f t="shared" si="26"/>
        <v>PTO0888-170-25</v>
      </c>
      <c r="E889" s="9" t="s">
        <v>4154</v>
      </c>
      <c r="F889" s="10" t="s">
        <v>2065</v>
      </c>
      <c r="G8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889" s="136" t="s">
        <v>2968</v>
      </c>
      <c r="I889" s="12">
        <v>45926</v>
      </c>
      <c r="J889" s="12" t="s">
        <v>109</v>
      </c>
      <c r="K889" s="63">
        <v>45958</v>
      </c>
      <c r="L889" s="37"/>
      <c r="M889" s="10" t="str">
        <f t="shared" ca="1" si="27"/>
        <v>CLOSED</v>
      </c>
    </row>
    <row r="890" spans="1:13" ht="30" hidden="1" x14ac:dyDescent="0.25">
      <c r="A890" s="9" t="s">
        <v>107</v>
      </c>
      <c r="B890" s="19">
        <f>VLOOKUP(Table27[[#This Row],[Location 
(drop-down)]],'List source'!D$2:E$71,2,FALSE)</f>
        <v>170</v>
      </c>
      <c r="C890" s="178" t="s">
        <v>4155</v>
      </c>
      <c r="D890" s="21" t="str">
        <f t="shared" si="26"/>
        <v>PTO0889-170-25</v>
      </c>
      <c r="E890" s="9" t="s">
        <v>4156</v>
      </c>
      <c r="F890" s="10" t="s">
        <v>2065</v>
      </c>
      <c r="G8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890" s="10">
        <v>4.4000000000000004</v>
      </c>
      <c r="I890" s="12">
        <v>45926</v>
      </c>
      <c r="J890" s="12" t="s">
        <v>109</v>
      </c>
      <c r="K890" s="63">
        <v>45954</v>
      </c>
      <c r="L890" s="37"/>
      <c r="M890" s="10" t="str">
        <f t="shared" ca="1" si="27"/>
        <v>CLOSED</v>
      </c>
    </row>
    <row r="891" spans="1:13" ht="18.75" hidden="1" x14ac:dyDescent="0.25">
      <c r="A891" s="9" t="s">
        <v>179</v>
      </c>
      <c r="B891" s="19">
        <f>VLOOKUP(Table27[[#This Row],[Location 
(drop-down)]],'List source'!D$2:E$71,2,FALSE)</f>
        <v>189</v>
      </c>
      <c r="C891" s="178" t="s">
        <v>4157</v>
      </c>
      <c r="D891" s="21" t="str">
        <f t="shared" si="26"/>
        <v>PTO0890-189-25</v>
      </c>
      <c r="E891" s="9" t="s">
        <v>4158</v>
      </c>
      <c r="F891" s="10" t="s">
        <v>2065</v>
      </c>
      <c r="G8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891" s="136">
        <v>10.119999999999999</v>
      </c>
      <c r="I891" s="12">
        <v>45926</v>
      </c>
      <c r="J891" s="12" t="s">
        <v>27</v>
      </c>
      <c r="K891" s="63">
        <v>46052</v>
      </c>
      <c r="L891" s="37"/>
      <c r="M891" s="10" t="str">
        <f t="shared" ca="1" si="27"/>
        <v>CLOSED</v>
      </c>
    </row>
    <row r="892" spans="1:13" ht="18.75" hidden="1" x14ac:dyDescent="0.25">
      <c r="A892" s="9" t="s">
        <v>91</v>
      </c>
      <c r="B892" s="19">
        <f>VLOOKUP(Table27[[#This Row],[Location 
(drop-down)]],'List source'!D$2:E$71,2,FALSE)</f>
        <v>190</v>
      </c>
      <c r="C892" s="178" t="s">
        <v>4159</v>
      </c>
      <c r="D892" s="21" t="str">
        <f t="shared" si="26"/>
        <v>PTO0891-190-25</v>
      </c>
      <c r="E892" s="9" t="s">
        <v>4160</v>
      </c>
      <c r="F892" s="10" t="s">
        <v>2065</v>
      </c>
      <c r="G8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92" s="136" t="s">
        <v>2118</v>
      </c>
      <c r="I892" s="12">
        <v>45926</v>
      </c>
      <c r="J892" s="12" t="s">
        <v>109</v>
      </c>
      <c r="K892" s="63">
        <v>45951</v>
      </c>
      <c r="L892" s="37"/>
      <c r="M892" s="10" t="str">
        <f t="shared" ca="1" si="27"/>
        <v>CLOSED</v>
      </c>
    </row>
    <row r="893" spans="1:13" ht="18.75" hidden="1" x14ac:dyDescent="0.25">
      <c r="A893" s="9" t="s">
        <v>91</v>
      </c>
      <c r="B893" s="19">
        <f>VLOOKUP(Table27[[#This Row],[Location 
(drop-down)]],'List source'!D$2:E$71,2,FALSE)</f>
        <v>190</v>
      </c>
      <c r="C893" s="178" t="s">
        <v>4161</v>
      </c>
      <c r="D893" s="21" t="str">
        <f t="shared" si="26"/>
        <v>PTO0892-190-25</v>
      </c>
      <c r="E893" s="9" t="s">
        <v>4162</v>
      </c>
      <c r="F893" s="10" t="s">
        <v>2065</v>
      </c>
      <c r="G8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893" s="10">
        <v>2.64</v>
      </c>
      <c r="I893" s="12">
        <v>45926</v>
      </c>
      <c r="J893" s="12"/>
      <c r="K893" s="63"/>
      <c r="L893" s="37"/>
      <c r="M893" s="10">
        <f t="shared" ca="1" si="27"/>
        <v>151</v>
      </c>
    </row>
    <row r="894" spans="1:13" ht="30" hidden="1" x14ac:dyDescent="0.25">
      <c r="A894" s="9" t="s">
        <v>91</v>
      </c>
      <c r="B894" s="19">
        <f>VLOOKUP(Table27[[#This Row],[Location 
(drop-down)]],'List source'!D$2:E$71,2,FALSE)</f>
        <v>190</v>
      </c>
      <c r="C894" s="178" t="s">
        <v>4163</v>
      </c>
      <c r="D894" s="21" t="str">
        <f t="shared" si="26"/>
        <v>PTO0893-190-25</v>
      </c>
      <c r="E894" s="9" t="s">
        <v>4112</v>
      </c>
      <c r="F894" s="10" t="s">
        <v>2065</v>
      </c>
      <c r="G8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894" s="136" t="s">
        <v>2959</v>
      </c>
      <c r="I894" s="12">
        <v>45926</v>
      </c>
      <c r="J894" s="12" t="s">
        <v>2074</v>
      </c>
      <c r="K894" s="63">
        <v>45926</v>
      </c>
      <c r="L894" s="37" t="s">
        <v>2592</v>
      </c>
      <c r="M894" s="10" t="str">
        <f t="shared" ca="1" si="27"/>
        <v>CLOSED</v>
      </c>
    </row>
    <row r="895" spans="1:13" ht="30" hidden="1" x14ac:dyDescent="0.25">
      <c r="A895" s="9" t="s">
        <v>123</v>
      </c>
      <c r="B895" s="19">
        <f>VLOOKUP(Table27[[#This Row],[Location 
(drop-down)]],'List source'!D$2:E$71,2,FALSE)</f>
        <v>192</v>
      </c>
      <c r="C895" s="178" t="s">
        <v>4164</v>
      </c>
      <c r="D895" s="21" t="str">
        <f t="shared" si="26"/>
        <v>PTO0894-192-25</v>
      </c>
      <c r="E895" s="9" t="s">
        <v>4165</v>
      </c>
      <c r="F895" s="10" t="s">
        <v>2065</v>
      </c>
      <c r="G8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95" s="10" t="s">
        <v>4166</v>
      </c>
      <c r="I895" s="12">
        <v>45926</v>
      </c>
      <c r="J895" s="12" t="s">
        <v>2074</v>
      </c>
      <c r="K895" s="63">
        <v>45926</v>
      </c>
      <c r="L895" s="37" t="s">
        <v>2592</v>
      </c>
      <c r="M895" s="10" t="str">
        <f t="shared" ca="1" si="27"/>
        <v>CLOSED</v>
      </c>
    </row>
    <row r="896" spans="1:13" ht="18.75" hidden="1" x14ac:dyDescent="0.25">
      <c r="A896" s="9" t="s">
        <v>220</v>
      </c>
      <c r="B896" s="19">
        <f>VLOOKUP(Table27[[#This Row],[Location 
(drop-down)]],'List source'!D$2:E$71,2,FALSE)</f>
        <v>197</v>
      </c>
      <c r="C896" s="178" t="s">
        <v>4167</v>
      </c>
      <c r="D896" s="21" t="str">
        <f t="shared" si="26"/>
        <v>PTO0895-197-25</v>
      </c>
      <c r="E896" s="9" t="s">
        <v>4168</v>
      </c>
      <c r="F896" s="10" t="s">
        <v>3047</v>
      </c>
      <c r="G8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14.3 - HC Type</v>
      </c>
      <c r="H896" s="136">
        <v>12.27</v>
      </c>
      <c r="I896" s="12">
        <v>45926</v>
      </c>
      <c r="J896" s="12"/>
      <c r="K896" s="63"/>
      <c r="L896" s="37"/>
      <c r="M896" s="10">
        <f t="shared" ca="1" si="27"/>
        <v>151</v>
      </c>
    </row>
    <row r="897" spans="1:13" ht="30" hidden="1" x14ac:dyDescent="0.25">
      <c r="A897" s="9" t="s">
        <v>179</v>
      </c>
      <c r="B897" s="19">
        <f>VLOOKUP(Table27[[#This Row],[Location 
(drop-down)]],'List source'!D$2:E$71,2,FALSE)</f>
        <v>189</v>
      </c>
      <c r="C897" s="178" t="s">
        <v>4169</v>
      </c>
      <c r="D897" s="21" t="str">
        <f t="shared" si="26"/>
        <v>PTO0896-189-25</v>
      </c>
      <c r="E897" s="9" t="s">
        <v>4170</v>
      </c>
      <c r="F897" s="10" t="s">
        <v>3059</v>
      </c>
      <c r="G8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Sulfur</v>
      </c>
      <c r="H897" s="136" t="s">
        <v>3041</v>
      </c>
      <c r="I897" s="12">
        <v>45926</v>
      </c>
      <c r="J897" s="12" t="s">
        <v>2074</v>
      </c>
      <c r="K897" s="63">
        <v>45926</v>
      </c>
      <c r="L897" s="37" t="s">
        <v>2592</v>
      </c>
      <c r="M897" s="10" t="str">
        <f t="shared" ca="1" si="27"/>
        <v>CLOSED</v>
      </c>
    </row>
    <row r="898" spans="1:13" ht="18.75" hidden="1" x14ac:dyDescent="0.25">
      <c r="A898" s="9" t="s">
        <v>220</v>
      </c>
      <c r="B898" s="19">
        <f>VLOOKUP(Table27[[#This Row],[Location 
(drop-down)]],'List source'!D$2:E$71,2,FALSE)</f>
        <v>197</v>
      </c>
      <c r="C898" s="178" t="s">
        <v>4171</v>
      </c>
      <c r="D898" s="21" t="str">
        <f t="shared" ref="D898:D961" si="28">"PTO" &amp; C898 &amp; "-" &amp; B898 &amp; "-" &amp; "25"</f>
        <v>PTO0897-197-25</v>
      </c>
      <c r="E898" s="9" t="s">
        <v>4172</v>
      </c>
      <c r="F898" s="10" t="s">
        <v>3059</v>
      </c>
      <c r="G8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Sulfur</v>
      </c>
      <c r="H898" s="136" t="s">
        <v>4173</v>
      </c>
      <c r="I898" s="12">
        <v>45926</v>
      </c>
      <c r="J898" s="12"/>
      <c r="K898" s="63"/>
      <c r="L898" s="37"/>
      <c r="M898" s="10">
        <f t="shared" ref="M898:M961" ca="1" si="29">IF(ISBLANK(K898), TODAY()-(I898), "CLOSED")</f>
        <v>151</v>
      </c>
    </row>
    <row r="899" spans="1:13" ht="30" hidden="1" x14ac:dyDescent="0.25">
      <c r="A899" s="9" t="s">
        <v>220</v>
      </c>
      <c r="B899" s="19">
        <f>VLOOKUP(Table27[[#This Row],[Location 
(drop-down)]],'List source'!D$2:E$71,2,FALSE)</f>
        <v>197</v>
      </c>
      <c r="C899" s="178" t="s">
        <v>4174</v>
      </c>
      <c r="D899" s="21" t="str">
        <f t="shared" si="28"/>
        <v>PTO0898-197-25</v>
      </c>
      <c r="E899" s="9" t="s">
        <v>4175</v>
      </c>
      <c r="F899" s="10" t="s">
        <v>3059</v>
      </c>
      <c r="G8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JFTOT</v>
      </c>
      <c r="H899" s="10">
        <v>2.41</v>
      </c>
      <c r="I899" s="12">
        <v>45926</v>
      </c>
      <c r="J899" s="12" t="s">
        <v>2074</v>
      </c>
      <c r="K899" s="63">
        <v>45926</v>
      </c>
      <c r="L899" s="37" t="s">
        <v>2592</v>
      </c>
      <c r="M899" s="10" t="str">
        <f t="shared" ca="1" si="29"/>
        <v>CLOSED</v>
      </c>
    </row>
    <row r="900" spans="1:13" ht="30" hidden="1" x14ac:dyDescent="0.25">
      <c r="A900" s="9" t="s">
        <v>99</v>
      </c>
      <c r="B900" s="19">
        <f>VLOOKUP(Table27[[#This Row],[Location 
(drop-down)]],'List source'!D$2:E$71,2,FALSE)</f>
        <v>198</v>
      </c>
      <c r="C900" s="178" t="s">
        <v>4176</v>
      </c>
      <c r="D900" s="21" t="str">
        <f t="shared" si="28"/>
        <v>PTO0899-198-25</v>
      </c>
      <c r="E900" s="9" t="s">
        <v>4177</v>
      </c>
      <c r="F900" s="10" t="s">
        <v>3059</v>
      </c>
      <c r="G9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0" s="10" t="s">
        <v>4178</v>
      </c>
      <c r="I900" s="12">
        <v>45926</v>
      </c>
      <c r="J900" s="12" t="s">
        <v>2074</v>
      </c>
      <c r="K900" s="63">
        <v>45926</v>
      </c>
      <c r="L900" s="37" t="s">
        <v>2592</v>
      </c>
      <c r="M900" s="10" t="str">
        <f t="shared" ca="1" si="29"/>
        <v>CLOSED</v>
      </c>
    </row>
    <row r="901" spans="1:13" ht="30" hidden="1" x14ac:dyDescent="0.25">
      <c r="A901" s="9" t="s">
        <v>46</v>
      </c>
      <c r="B901" s="19">
        <f>VLOOKUP(Table27[[#This Row],[Location 
(drop-down)]],'List source'!D$2:E$71,2,FALSE)</f>
        <v>155</v>
      </c>
      <c r="C901" s="178" t="s">
        <v>4179</v>
      </c>
      <c r="D901" s="21" t="str">
        <f t="shared" si="28"/>
        <v>PTO0900-155-25</v>
      </c>
      <c r="E901" s="9" t="s">
        <v>4180</v>
      </c>
      <c r="F901" s="10" t="s">
        <v>2664</v>
      </c>
      <c r="G9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1" s="136" t="s">
        <v>4181</v>
      </c>
      <c r="I901" s="12">
        <v>45926</v>
      </c>
      <c r="J901" s="12"/>
      <c r="K901" s="63"/>
      <c r="L901" s="194"/>
      <c r="M901" s="10">
        <f t="shared" ca="1" si="29"/>
        <v>151</v>
      </c>
    </row>
    <row r="902" spans="1:13" ht="30" hidden="1" x14ac:dyDescent="0.25">
      <c r="A902" s="9" t="s">
        <v>79</v>
      </c>
      <c r="B902" s="19">
        <f>VLOOKUP(Table27[[#This Row],[Location 
(drop-down)]],'List source'!D$2:E$71,2,FALSE)</f>
        <v>160</v>
      </c>
      <c r="C902" s="178" t="s">
        <v>4182</v>
      </c>
      <c r="D902" s="21" t="str">
        <f t="shared" si="28"/>
        <v>PTO0901-160-25</v>
      </c>
      <c r="E902" s="9" t="s">
        <v>4183</v>
      </c>
      <c r="F902" s="10" t="s">
        <v>2664</v>
      </c>
      <c r="G9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2" s="10">
        <v>2.17</v>
      </c>
      <c r="I902" s="12">
        <v>45926</v>
      </c>
      <c r="J902" s="12" t="s">
        <v>2074</v>
      </c>
      <c r="K902" s="63">
        <v>45926</v>
      </c>
      <c r="L902" s="37" t="s">
        <v>2592</v>
      </c>
      <c r="M902" s="10" t="str">
        <f t="shared" ca="1" si="29"/>
        <v>CLOSED</v>
      </c>
    </row>
    <row r="903" spans="1:13" ht="18.75" hidden="1" x14ac:dyDescent="0.25">
      <c r="A903" s="9" t="s">
        <v>153</v>
      </c>
      <c r="B903" s="19">
        <f>VLOOKUP(Table27[[#This Row],[Location 
(drop-down)]],'List source'!D$2:E$71,2,FALSE)</f>
        <v>110</v>
      </c>
      <c r="C903" s="178" t="s">
        <v>4184</v>
      </c>
      <c r="D903" s="21" t="str">
        <f t="shared" si="28"/>
        <v>PTO0902-110-25</v>
      </c>
      <c r="E903" s="9" t="s">
        <v>4185</v>
      </c>
      <c r="F903" s="10" t="s">
        <v>3956</v>
      </c>
      <c r="G9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03" s="136" t="s">
        <v>4186</v>
      </c>
      <c r="I903" s="12">
        <v>45930</v>
      </c>
      <c r="J903" s="12" t="s">
        <v>252</v>
      </c>
      <c r="K903" s="63">
        <v>45953</v>
      </c>
      <c r="L903" s="37"/>
      <c r="M903" s="10" t="str">
        <f t="shared" ca="1" si="29"/>
        <v>CLOSED</v>
      </c>
    </row>
    <row r="904" spans="1:13" ht="18.75" hidden="1" x14ac:dyDescent="0.25">
      <c r="A904" s="9" t="s">
        <v>151</v>
      </c>
      <c r="B904" s="19">
        <f>VLOOKUP(Table27[[#This Row],[Location 
(drop-down)]],'List source'!D$2:E$71,2,FALSE)</f>
        <v>115</v>
      </c>
      <c r="C904" s="178" t="s">
        <v>4187</v>
      </c>
      <c r="D904" s="21" t="str">
        <f t="shared" si="28"/>
        <v>PTO0903-115-25</v>
      </c>
      <c r="E904" s="9" t="s">
        <v>4188</v>
      </c>
      <c r="F904" s="10" t="s">
        <v>3956</v>
      </c>
      <c r="G9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04" s="136" t="s">
        <v>4189</v>
      </c>
      <c r="I904" s="12">
        <v>45930</v>
      </c>
      <c r="J904" s="12" t="s">
        <v>109</v>
      </c>
      <c r="K904" s="63">
        <v>45943</v>
      </c>
      <c r="L904" s="37"/>
      <c r="M904" s="10" t="str">
        <f t="shared" ca="1" si="29"/>
        <v>CLOSED</v>
      </c>
    </row>
    <row r="905" spans="1:13" ht="30" hidden="1" x14ac:dyDescent="0.25">
      <c r="A905" s="9" t="s">
        <v>71</v>
      </c>
      <c r="B905" s="19">
        <f>VLOOKUP(Table27[[#This Row],[Location 
(drop-down)]],'List source'!D$2:E$71,2,FALSE)</f>
        <v>127</v>
      </c>
      <c r="C905" s="178" t="s">
        <v>4190</v>
      </c>
      <c r="D905" s="21" t="str">
        <f t="shared" si="28"/>
        <v>PTO0904-127-25</v>
      </c>
      <c r="E905" s="9" t="s">
        <v>4191</v>
      </c>
      <c r="F905" s="10" t="s">
        <v>3956</v>
      </c>
      <c r="G9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5" s="10" t="s">
        <v>4192</v>
      </c>
      <c r="I905" s="12">
        <v>45930</v>
      </c>
      <c r="J905" s="12" t="s">
        <v>2074</v>
      </c>
      <c r="K905" s="63">
        <v>45930</v>
      </c>
      <c r="L905" s="37" t="s">
        <v>2592</v>
      </c>
      <c r="M905" s="10" t="str">
        <f t="shared" ca="1" si="29"/>
        <v>CLOSED</v>
      </c>
    </row>
    <row r="906" spans="1:13" ht="18.75" hidden="1" x14ac:dyDescent="0.25">
      <c r="A906" s="9" t="s">
        <v>71</v>
      </c>
      <c r="B906" s="19">
        <f>VLOOKUP(Table27[[#This Row],[Location 
(drop-down)]],'List source'!D$2:E$71,2,FALSE)</f>
        <v>127</v>
      </c>
      <c r="C906" s="178" t="s">
        <v>4193</v>
      </c>
      <c r="D906" s="21" t="str">
        <f t="shared" si="28"/>
        <v>PTO0905-127-25</v>
      </c>
      <c r="E906" s="9" t="s">
        <v>4194</v>
      </c>
      <c r="F906" s="10" t="s">
        <v>3956</v>
      </c>
      <c r="G9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06" s="136" t="s">
        <v>2449</v>
      </c>
      <c r="I906" s="12">
        <v>45930</v>
      </c>
      <c r="J906" s="12" t="s">
        <v>252</v>
      </c>
      <c r="K906" s="63">
        <v>45938</v>
      </c>
      <c r="L906" s="37"/>
      <c r="M906" s="10" t="str">
        <f t="shared" ca="1" si="29"/>
        <v>CLOSED</v>
      </c>
    </row>
    <row r="907" spans="1:13" ht="30" hidden="1" x14ac:dyDescent="0.25">
      <c r="A907" s="9" t="s">
        <v>186</v>
      </c>
      <c r="B907" s="19">
        <f>VLOOKUP(Table27[[#This Row],[Location 
(drop-down)]],'List source'!D$2:E$71,2,FALSE)</f>
        <v>136</v>
      </c>
      <c r="C907" s="178" t="s">
        <v>4195</v>
      </c>
      <c r="D907" s="21" t="str">
        <f t="shared" si="28"/>
        <v>PTO0906-136-25</v>
      </c>
      <c r="E907" s="9" t="s">
        <v>4196</v>
      </c>
      <c r="F907" s="10" t="s">
        <v>3956</v>
      </c>
      <c r="G9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7" s="10">
        <v>2.21</v>
      </c>
      <c r="I907" s="12">
        <v>45930</v>
      </c>
      <c r="J907" s="12" t="s">
        <v>2074</v>
      </c>
      <c r="K907" s="63">
        <v>45930</v>
      </c>
      <c r="L907" s="37" t="s">
        <v>2592</v>
      </c>
      <c r="M907" s="10" t="str">
        <f t="shared" ca="1" si="29"/>
        <v>CLOSED</v>
      </c>
    </row>
    <row r="908" spans="1:13" ht="30" hidden="1" x14ac:dyDescent="0.25">
      <c r="A908" s="9" t="s">
        <v>51</v>
      </c>
      <c r="B908" s="19">
        <f>VLOOKUP(Table27[[#This Row],[Location 
(drop-down)]],'List source'!D$2:E$71,2,FALSE)</f>
        <v>139</v>
      </c>
      <c r="C908" s="178" t="s">
        <v>4197</v>
      </c>
      <c r="D908" s="21" t="str">
        <f t="shared" si="28"/>
        <v>PTO0907-139-25</v>
      </c>
      <c r="E908" s="9" t="s">
        <v>4198</v>
      </c>
      <c r="F908" s="10" t="s">
        <v>3956</v>
      </c>
      <c r="G9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D2699/D2700 - Octane Number</v>
      </c>
      <c r="H908" s="136" t="s">
        <v>4199</v>
      </c>
      <c r="I908" s="12">
        <v>45930</v>
      </c>
      <c r="J908" s="12" t="s">
        <v>2074</v>
      </c>
      <c r="K908" s="63">
        <v>45931</v>
      </c>
      <c r="L908" s="37" t="s">
        <v>2288</v>
      </c>
      <c r="M908" s="10" t="str">
        <f t="shared" ca="1" si="29"/>
        <v>CLOSED</v>
      </c>
    </row>
    <row r="909" spans="1:13" ht="18.75" hidden="1" x14ac:dyDescent="0.25">
      <c r="A909" s="9" t="s">
        <v>69</v>
      </c>
      <c r="B909" s="19">
        <f>VLOOKUP(Table27[[#This Row],[Location 
(drop-down)]],'List source'!D$2:E$71,2,FALSE)</f>
        <v>141</v>
      </c>
      <c r="C909" s="178" t="s">
        <v>4200</v>
      </c>
      <c r="D909" s="21" t="str">
        <f t="shared" si="28"/>
        <v>PTO0908-141-25</v>
      </c>
      <c r="E909" s="9" t="s">
        <v>4201</v>
      </c>
      <c r="F909" s="10" t="s">
        <v>3956</v>
      </c>
      <c r="G9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9" s="10">
        <v>1280.28</v>
      </c>
      <c r="I909" s="12">
        <v>45930</v>
      </c>
      <c r="J909" s="12" t="s">
        <v>2074</v>
      </c>
      <c r="K909" s="63">
        <v>45930</v>
      </c>
      <c r="L909" s="37" t="s">
        <v>2079</v>
      </c>
      <c r="M909" s="10" t="str">
        <f t="shared" ca="1" si="29"/>
        <v>CLOSED</v>
      </c>
    </row>
    <row r="910" spans="1:13" ht="30" hidden="1" x14ac:dyDescent="0.25">
      <c r="A910" s="9" t="s">
        <v>257</v>
      </c>
      <c r="B910" s="19">
        <f>VLOOKUP(Table27[[#This Row],[Location 
(drop-down)]],'List source'!D$2:E$71,2,FALSE)</f>
        <v>144</v>
      </c>
      <c r="C910" s="178" t="s">
        <v>4202</v>
      </c>
      <c r="D910" s="21" t="str">
        <f t="shared" si="28"/>
        <v>PTO0909-144-25</v>
      </c>
      <c r="E910" s="9" t="s">
        <v>4203</v>
      </c>
      <c r="F910" s="10" t="s">
        <v>3956</v>
      </c>
      <c r="G9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0" s="136" t="s">
        <v>4204</v>
      </c>
      <c r="I910" s="12">
        <v>45930</v>
      </c>
      <c r="J910" s="12" t="s">
        <v>2074</v>
      </c>
      <c r="K910" s="63">
        <v>45930</v>
      </c>
      <c r="L910" s="37" t="s">
        <v>2288</v>
      </c>
      <c r="M910" s="10" t="str">
        <f t="shared" ca="1" si="29"/>
        <v>CLOSED</v>
      </c>
    </row>
    <row r="911" spans="1:13" ht="30" hidden="1" x14ac:dyDescent="0.25">
      <c r="A911" s="9" t="s">
        <v>58</v>
      </c>
      <c r="B911" s="19">
        <f>VLOOKUP(Table27[[#This Row],[Location 
(drop-down)]],'List source'!D$2:E$71,2,FALSE)</f>
        <v>146</v>
      </c>
      <c r="C911" s="178" t="s">
        <v>4205</v>
      </c>
      <c r="D911" s="21" t="str">
        <f t="shared" si="28"/>
        <v>PTO0910-146-25</v>
      </c>
      <c r="E911" s="9" t="s">
        <v>4206</v>
      </c>
      <c r="F911" s="10" t="s">
        <v>3956</v>
      </c>
      <c r="G9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1" s="10">
        <v>2.2799999999999998</v>
      </c>
      <c r="I911" s="12">
        <v>45930</v>
      </c>
      <c r="J911" s="12" t="s">
        <v>2074</v>
      </c>
      <c r="K911" s="63">
        <v>45930</v>
      </c>
      <c r="L911" s="37" t="s">
        <v>2592</v>
      </c>
      <c r="M911" s="10" t="str">
        <f t="shared" ca="1" si="29"/>
        <v>CLOSED</v>
      </c>
    </row>
    <row r="912" spans="1:13" ht="30" hidden="1" x14ac:dyDescent="0.25">
      <c r="A912" s="9" t="s">
        <v>107</v>
      </c>
      <c r="B912" s="19">
        <f>VLOOKUP(Table27[[#This Row],[Location 
(drop-down)]],'List source'!D$2:E$71,2,FALSE)</f>
        <v>170</v>
      </c>
      <c r="C912" s="178" t="s">
        <v>4207</v>
      </c>
      <c r="D912" s="21" t="str">
        <f t="shared" si="28"/>
        <v>PTO0911-170-25</v>
      </c>
      <c r="E912" s="9" t="s">
        <v>4208</v>
      </c>
      <c r="F912" s="10" t="s">
        <v>3956</v>
      </c>
      <c r="G9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2" s="136" t="s">
        <v>4209</v>
      </c>
      <c r="I912" s="12">
        <v>45930</v>
      </c>
      <c r="J912" s="12" t="s">
        <v>109</v>
      </c>
      <c r="K912" s="63">
        <v>45972</v>
      </c>
      <c r="L912" s="37"/>
      <c r="M912" s="10" t="str">
        <f t="shared" ca="1" si="29"/>
        <v>CLOSED</v>
      </c>
    </row>
    <row r="913" spans="1:13" ht="30" hidden="1" x14ac:dyDescent="0.25">
      <c r="A913" s="9" t="s">
        <v>107</v>
      </c>
      <c r="B913" s="19">
        <f>VLOOKUP(Table27[[#This Row],[Location 
(drop-down)]],'List source'!D$2:E$71,2,FALSE)</f>
        <v>170</v>
      </c>
      <c r="C913" s="178" t="s">
        <v>4210</v>
      </c>
      <c r="D913" s="21" t="str">
        <f t="shared" si="28"/>
        <v>PTO0912-170-25</v>
      </c>
      <c r="E913" s="9" t="s">
        <v>4211</v>
      </c>
      <c r="F913" s="10" t="s">
        <v>3956</v>
      </c>
      <c r="G9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13" s="136" t="s">
        <v>2236</v>
      </c>
      <c r="I913" s="12">
        <v>45930</v>
      </c>
      <c r="J913" s="12" t="s">
        <v>2074</v>
      </c>
      <c r="K913" s="63">
        <v>45930</v>
      </c>
      <c r="L913" s="37" t="s">
        <v>2592</v>
      </c>
      <c r="M913" s="10" t="str">
        <f t="shared" ca="1" si="29"/>
        <v>CLOSED</v>
      </c>
    </row>
    <row r="914" spans="1:13" ht="30" hidden="1" x14ac:dyDescent="0.25">
      <c r="A914" s="9" t="s">
        <v>107</v>
      </c>
      <c r="B914" s="19">
        <f>VLOOKUP(Table27[[#This Row],[Location 
(drop-down)]],'List source'!D$2:E$71,2,FALSE)</f>
        <v>170</v>
      </c>
      <c r="C914" s="178" t="s">
        <v>4212</v>
      </c>
      <c r="D914" s="21" t="str">
        <f t="shared" si="28"/>
        <v>PTO0913-170-25</v>
      </c>
      <c r="E914" s="9" t="s">
        <v>4213</v>
      </c>
      <c r="F914" s="10" t="s">
        <v>3956</v>
      </c>
      <c r="G9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HC Type</v>
      </c>
      <c r="H914" s="136" t="s">
        <v>4214</v>
      </c>
      <c r="I914" s="12">
        <v>45930</v>
      </c>
      <c r="J914" s="12" t="s">
        <v>109</v>
      </c>
      <c r="K914" s="63">
        <v>45980</v>
      </c>
      <c r="L914" s="37"/>
      <c r="M914" s="10" t="str">
        <f t="shared" ca="1" si="29"/>
        <v>CLOSED</v>
      </c>
    </row>
    <row r="915" spans="1:13" ht="30" hidden="1" x14ac:dyDescent="0.25">
      <c r="A915" s="9" t="s">
        <v>44</v>
      </c>
      <c r="B915" s="19">
        <f>VLOOKUP(Table27[[#This Row],[Location 
(drop-down)]],'List source'!D$2:E$71,2,FALSE)</f>
        <v>185</v>
      </c>
      <c r="C915" s="178" t="s">
        <v>4215</v>
      </c>
      <c r="D915" s="21" t="str">
        <f t="shared" si="28"/>
        <v>PTO0914-185-25</v>
      </c>
      <c r="E915" s="9" t="s">
        <v>4216</v>
      </c>
      <c r="F915" s="10" t="s">
        <v>3956</v>
      </c>
      <c r="G9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5" s="136" t="s">
        <v>4217</v>
      </c>
      <c r="I915" s="12">
        <v>45930</v>
      </c>
      <c r="J915" s="12" t="s">
        <v>2074</v>
      </c>
      <c r="K915" s="63">
        <v>45930</v>
      </c>
      <c r="L915" s="37" t="s">
        <v>2592</v>
      </c>
      <c r="M915" s="10" t="str">
        <f t="shared" ca="1" si="29"/>
        <v>CLOSED</v>
      </c>
    </row>
    <row r="916" spans="1:13" ht="30" hidden="1" x14ac:dyDescent="0.25">
      <c r="A916" s="9" t="s">
        <v>44</v>
      </c>
      <c r="B916" s="19">
        <f>VLOOKUP(Table27[[#This Row],[Location 
(drop-down)]],'List source'!D$2:E$71,2,FALSE)</f>
        <v>185</v>
      </c>
      <c r="C916" s="178" t="s">
        <v>4218</v>
      </c>
      <c r="D916" s="21" t="str">
        <f t="shared" si="28"/>
        <v>PTO0915-185-25</v>
      </c>
      <c r="E916" s="9" t="s">
        <v>4219</v>
      </c>
      <c r="F916" s="10" t="s">
        <v>3956</v>
      </c>
      <c r="G9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HC Type</v>
      </c>
      <c r="H916" s="10">
        <v>2.5299999999999998</v>
      </c>
      <c r="I916" s="12">
        <v>45930</v>
      </c>
      <c r="J916" s="12" t="s">
        <v>2074</v>
      </c>
      <c r="K916" s="63">
        <v>45930</v>
      </c>
      <c r="L916" s="37" t="s">
        <v>2592</v>
      </c>
      <c r="M916" s="10" t="str">
        <f t="shared" ca="1" si="29"/>
        <v>CLOSED</v>
      </c>
    </row>
    <row r="917" spans="1:13" ht="30" hidden="1" x14ac:dyDescent="0.25">
      <c r="A917" s="9" t="s">
        <v>338</v>
      </c>
      <c r="B917" s="19">
        <f>VLOOKUP(Table27[[#This Row],[Location 
(drop-down)]],'List source'!D$2:E$71,2,FALSE)</f>
        <v>191</v>
      </c>
      <c r="C917" s="178" t="s">
        <v>4220</v>
      </c>
      <c r="D917" s="21" t="str">
        <f t="shared" si="28"/>
        <v>PTO0916-191-25</v>
      </c>
      <c r="E917" s="9" t="s">
        <v>4219</v>
      </c>
      <c r="F917" s="10" t="s">
        <v>3956</v>
      </c>
      <c r="G9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HC Type</v>
      </c>
      <c r="H917" s="136" t="s">
        <v>2476</v>
      </c>
      <c r="I917" s="12">
        <v>45930</v>
      </c>
      <c r="J917" s="12" t="s">
        <v>2074</v>
      </c>
      <c r="K917" s="63">
        <v>45930</v>
      </c>
      <c r="L917" s="37" t="s">
        <v>2592</v>
      </c>
      <c r="M917" s="10" t="str">
        <f t="shared" ca="1" si="29"/>
        <v>CLOSED</v>
      </c>
    </row>
    <row r="918" spans="1:13" ht="18.75" hidden="1" x14ac:dyDescent="0.25">
      <c r="A918" s="9" t="s">
        <v>156</v>
      </c>
      <c r="B918" s="19">
        <f>VLOOKUP(Table27[[#This Row],[Location 
(drop-down)]],'List source'!D$2:E$71,2,FALSE)</f>
        <v>130</v>
      </c>
      <c r="C918" s="178" t="s">
        <v>4221</v>
      </c>
      <c r="D918" s="21" t="str">
        <f t="shared" si="28"/>
        <v>PTO0917-130-25</v>
      </c>
      <c r="E918" s="9" t="s">
        <v>4222</v>
      </c>
      <c r="F918" s="10" t="s">
        <v>2952</v>
      </c>
      <c r="G9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918" s="136" t="s">
        <v>2668</v>
      </c>
      <c r="I918" s="12">
        <v>45954</v>
      </c>
      <c r="J918" s="12" t="s">
        <v>2074</v>
      </c>
      <c r="K918" s="63">
        <v>45954</v>
      </c>
      <c r="L918" s="37" t="s">
        <v>4223</v>
      </c>
      <c r="M918" s="10" t="str">
        <f t="shared" ca="1" si="29"/>
        <v>CLOSED</v>
      </c>
    </row>
    <row r="919" spans="1:13" ht="18.75" hidden="1" x14ac:dyDescent="0.25">
      <c r="A919" s="9" t="s">
        <v>156</v>
      </c>
      <c r="B919" s="19">
        <f>VLOOKUP(Table27[[#This Row],[Location 
(drop-down)]],'List source'!D$2:E$71,2,FALSE)</f>
        <v>130</v>
      </c>
      <c r="C919" s="178" t="s">
        <v>4224</v>
      </c>
      <c r="D919" s="21" t="str">
        <f t="shared" si="28"/>
        <v>PTO0918-130-25</v>
      </c>
      <c r="E919" s="9" t="s">
        <v>4225</v>
      </c>
      <c r="F919" s="10" t="s">
        <v>2952</v>
      </c>
      <c r="G9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9" s="136">
        <v>2.2599999999999998</v>
      </c>
      <c r="I919" s="12">
        <v>45954</v>
      </c>
      <c r="J919" s="12" t="s">
        <v>2074</v>
      </c>
      <c r="K919" s="63">
        <v>45954</v>
      </c>
      <c r="L919" s="37" t="s">
        <v>4223</v>
      </c>
      <c r="M919" s="10" t="str">
        <f t="shared" ca="1" si="29"/>
        <v>CLOSED</v>
      </c>
    </row>
    <row r="920" spans="1:13" ht="18.75" hidden="1" x14ac:dyDescent="0.25">
      <c r="A920" s="9" t="s">
        <v>211</v>
      </c>
      <c r="B920" s="19">
        <f>VLOOKUP(Table27[[#This Row],[Location 
(drop-down)]],'List source'!D$2:E$71,2,FALSE)</f>
        <v>132</v>
      </c>
      <c r="C920" s="178" t="s">
        <v>4226</v>
      </c>
      <c r="D920" s="21" t="str">
        <f t="shared" si="28"/>
        <v>PTO0919-132-25</v>
      </c>
      <c r="E920" s="9" t="s">
        <v>4227</v>
      </c>
      <c r="F920" s="10" t="s">
        <v>2952</v>
      </c>
      <c r="G9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920" s="10">
        <v>2.92</v>
      </c>
      <c r="I920" s="12">
        <v>45954</v>
      </c>
      <c r="J920" s="12"/>
      <c r="K920" s="63"/>
      <c r="L920" s="37"/>
      <c r="M920" s="10">
        <f t="shared" ca="1" si="29"/>
        <v>123</v>
      </c>
    </row>
    <row r="921" spans="1:13" ht="18.75" hidden="1" x14ac:dyDescent="0.25">
      <c r="A921" s="9" t="s">
        <v>287</v>
      </c>
      <c r="B921" s="19">
        <f>VLOOKUP(Table27[[#This Row],[Location 
(drop-down)]],'List source'!D$2:E$71,2,FALSE)</f>
        <v>180</v>
      </c>
      <c r="C921" s="178" t="s">
        <v>4228</v>
      </c>
      <c r="D921" s="21" t="str">
        <f t="shared" si="28"/>
        <v>PTO0920-180-25</v>
      </c>
      <c r="E921" s="9" t="s">
        <v>4229</v>
      </c>
      <c r="F921" s="10" t="s">
        <v>2952</v>
      </c>
      <c r="G9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921" s="136" t="s">
        <v>4230</v>
      </c>
      <c r="I921" s="12">
        <v>45954</v>
      </c>
      <c r="J921" s="12" t="s">
        <v>2074</v>
      </c>
      <c r="K921" s="63">
        <v>45965</v>
      </c>
      <c r="L921" s="37" t="s">
        <v>4231</v>
      </c>
      <c r="M921" s="10" t="str">
        <f t="shared" ca="1" si="29"/>
        <v>CLOSED</v>
      </c>
    </row>
    <row r="922" spans="1:13" ht="18.75" hidden="1" x14ac:dyDescent="0.25">
      <c r="A922" s="9" t="s">
        <v>117</v>
      </c>
      <c r="B922" s="19">
        <f>VLOOKUP(Table27[[#This Row],[Location 
(drop-down)]],'List source'!D$2:E$71,2,FALSE)</f>
        <v>125</v>
      </c>
      <c r="C922" s="178" t="s">
        <v>4232</v>
      </c>
      <c r="D922" s="21" t="str">
        <f t="shared" si="28"/>
        <v>PTO0921-125-25</v>
      </c>
      <c r="E922" s="9" t="s">
        <v>4233</v>
      </c>
      <c r="F922" s="10" t="s">
        <v>3956</v>
      </c>
      <c r="G9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22" s="136">
        <v>2.08</v>
      </c>
      <c r="I922" s="12">
        <v>45954</v>
      </c>
      <c r="J922" s="12"/>
      <c r="K922" s="63"/>
      <c r="L922" s="37"/>
      <c r="M922" s="10">
        <f t="shared" ca="1" si="29"/>
        <v>123</v>
      </c>
    </row>
    <row r="923" spans="1:13" ht="18.75" hidden="1" x14ac:dyDescent="0.25">
      <c r="A923" s="9" t="s">
        <v>71</v>
      </c>
      <c r="B923" s="19">
        <f>VLOOKUP(Table27[[#This Row],[Location 
(drop-down)]],'List source'!D$2:E$71,2,FALSE)</f>
        <v>127</v>
      </c>
      <c r="C923" s="178" t="s">
        <v>4234</v>
      </c>
      <c r="D923" s="21" t="str">
        <f t="shared" si="28"/>
        <v>PTO0922-127-25</v>
      </c>
      <c r="E923" s="9" t="s">
        <v>4235</v>
      </c>
      <c r="F923" s="10" t="s">
        <v>3956</v>
      </c>
      <c r="G9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v>
      </c>
      <c r="H923" s="136" t="s">
        <v>2984</v>
      </c>
      <c r="I923" s="12">
        <v>45954</v>
      </c>
      <c r="J923" s="12" t="s">
        <v>2074</v>
      </c>
      <c r="K923" s="63">
        <v>45957</v>
      </c>
      <c r="L923" s="37" t="s">
        <v>4231</v>
      </c>
      <c r="M923" s="10" t="str">
        <f t="shared" ca="1" si="29"/>
        <v>CLOSED</v>
      </c>
    </row>
    <row r="924" spans="1:13" ht="18.75" hidden="1" x14ac:dyDescent="0.25">
      <c r="A924" s="9" t="s">
        <v>186</v>
      </c>
      <c r="B924" s="19">
        <f>VLOOKUP(Table27[[#This Row],[Location 
(drop-down)]],'List source'!D$2:E$71,2,FALSE)</f>
        <v>136</v>
      </c>
      <c r="C924" s="178" t="s">
        <v>4236</v>
      </c>
      <c r="D924" s="21" t="str">
        <f t="shared" si="28"/>
        <v>PTO0923-136-25</v>
      </c>
      <c r="E924" s="9" t="s">
        <v>4237</v>
      </c>
      <c r="F924" s="10" t="s">
        <v>3956</v>
      </c>
      <c r="G9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924" s="136" t="s">
        <v>4238</v>
      </c>
      <c r="I924" s="12">
        <v>45954</v>
      </c>
      <c r="J924" s="12" t="s">
        <v>2074</v>
      </c>
      <c r="K924" s="63">
        <v>46031</v>
      </c>
      <c r="L924" s="37" t="s">
        <v>2079</v>
      </c>
      <c r="M924" s="10" t="str">
        <f t="shared" ca="1" si="29"/>
        <v>CLOSED</v>
      </c>
    </row>
    <row r="925" spans="1:13" ht="18.75" hidden="1" x14ac:dyDescent="0.25">
      <c r="A925" s="9" t="s">
        <v>186</v>
      </c>
      <c r="B925" s="19">
        <f>VLOOKUP(Table27[[#This Row],[Location 
(drop-down)]],'List source'!D$2:E$71,2,FALSE)</f>
        <v>136</v>
      </c>
      <c r="C925" s="178" t="s">
        <v>4239</v>
      </c>
      <c r="D925" s="21" t="str">
        <f t="shared" si="28"/>
        <v>PTO0924-136-25</v>
      </c>
      <c r="E925" s="9" t="s">
        <v>4240</v>
      </c>
      <c r="F925" s="10" t="s">
        <v>4241</v>
      </c>
      <c r="G9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5" s="136">
        <v>2.48</v>
      </c>
      <c r="I925" s="12">
        <v>45954</v>
      </c>
      <c r="J925" s="12" t="s">
        <v>2074</v>
      </c>
      <c r="K925" s="63">
        <v>45954</v>
      </c>
      <c r="L925" s="37" t="s">
        <v>4223</v>
      </c>
      <c r="M925" s="10" t="str">
        <f t="shared" ca="1" si="29"/>
        <v>CLOSED</v>
      </c>
    </row>
    <row r="926" spans="1:13" ht="18.75" hidden="1" x14ac:dyDescent="0.25">
      <c r="A926" s="9" t="s">
        <v>69</v>
      </c>
      <c r="B926" s="19">
        <f>VLOOKUP(Table27[[#This Row],[Location 
(drop-down)]],'List source'!D$2:E$71,2,FALSE)</f>
        <v>141</v>
      </c>
      <c r="C926" s="178" t="s">
        <v>4242</v>
      </c>
      <c r="D926" s="21" t="str">
        <f t="shared" si="28"/>
        <v>PTO0925-141-25</v>
      </c>
      <c r="E926" s="9" t="s">
        <v>4243</v>
      </c>
      <c r="F926" s="10" t="s">
        <v>4241</v>
      </c>
      <c r="G9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6" s="136" t="s">
        <v>4244</v>
      </c>
      <c r="I926" s="12">
        <v>45954</v>
      </c>
      <c r="J926" s="12" t="s">
        <v>48</v>
      </c>
      <c r="K926" s="63">
        <v>45961</v>
      </c>
      <c r="L926" s="37" t="s">
        <v>4231</v>
      </c>
      <c r="M926" s="10" t="str">
        <f t="shared" ca="1" si="29"/>
        <v>CLOSED</v>
      </c>
    </row>
    <row r="927" spans="1:13" ht="18.75" hidden="1" x14ac:dyDescent="0.25">
      <c r="A927" s="9" t="s">
        <v>69</v>
      </c>
      <c r="B927" s="19">
        <f>VLOOKUP(Table27[[#This Row],[Location 
(drop-down)]],'List source'!D$2:E$71,2,FALSE)</f>
        <v>141</v>
      </c>
      <c r="C927" s="178" t="s">
        <v>4245</v>
      </c>
      <c r="D927" s="21" t="str">
        <f t="shared" si="28"/>
        <v>PTO0926-141-25</v>
      </c>
      <c r="E927" s="9" t="s">
        <v>4246</v>
      </c>
      <c r="F927" s="10" t="s">
        <v>3956</v>
      </c>
      <c r="G9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 &amp; Total Aromatics</v>
      </c>
      <c r="H927" s="136" t="s">
        <v>4247</v>
      </c>
      <c r="I927" s="12">
        <v>45954</v>
      </c>
      <c r="J927" s="12"/>
      <c r="K927" s="63"/>
      <c r="L927" s="37"/>
      <c r="M927" s="10">
        <f t="shared" ca="1" si="29"/>
        <v>123</v>
      </c>
    </row>
    <row r="928" spans="1:13" ht="30" hidden="1" x14ac:dyDescent="0.25">
      <c r="A928" s="9" t="s">
        <v>107</v>
      </c>
      <c r="B928" s="19">
        <f>VLOOKUP(Table27[[#This Row],[Location 
(drop-down)]],'List source'!D$2:E$71,2,FALSE)</f>
        <v>170</v>
      </c>
      <c r="C928" s="178" t="s">
        <v>4248</v>
      </c>
      <c r="D928" s="21" t="str">
        <f t="shared" si="28"/>
        <v>PTO0927-170-25</v>
      </c>
      <c r="E928" s="9" t="s">
        <v>4249</v>
      </c>
      <c r="F928" s="10" t="s">
        <v>3956</v>
      </c>
      <c r="G9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8" s="136" t="s">
        <v>2118</v>
      </c>
      <c r="I928" s="12">
        <v>45954</v>
      </c>
      <c r="J928" s="12" t="s">
        <v>2074</v>
      </c>
      <c r="K928" s="63">
        <v>45973</v>
      </c>
      <c r="L928" s="37" t="s">
        <v>4231</v>
      </c>
      <c r="M928" s="10" t="str">
        <f t="shared" ca="1" si="29"/>
        <v>CLOSED</v>
      </c>
    </row>
    <row r="929" spans="1:13" ht="18.75" hidden="1" x14ac:dyDescent="0.25">
      <c r="A929" s="9" t="s">
        <v>153</v>
      </c>
      <c r="B929" s="19">
        <f>VLOOKUP(Table27[[#This Row],[Location 
(drop-down)]],'List source'!D$2:E$71,2,FALSE)</f>
        <v>110</v>
      </c>
      <c r="C929" s="178" t="s">
        <v>4250</v>
      </c>
      <c r="D929" s="21" t="str">
        <f t="shared" si="28"/>
        <v>PTO0928-110-25</v>
      </c>
      <c r="E929" s="9" t="s">
        <v>4251</v>
      </c>
      <c r="F929" s="10" t="str" cm="1">
        <f t="array" aca="1" ref="F9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9" s="136" t="s">
        <v>4252</v>
      </c>
      <c r="I929" s="12">
        <v>45954</v>
      </c>
      <c r="J929" s="12"/>
      <c r="K929" s="63"/>
      <c r="L929" s="37"/>
      <c r="M929" s="10">
        <f t="shared" ca="1" si="29"/>
        <v>123</v>
      </c>
    </row>
    <row r="930" spans="1:13" ht="30" hidden="1" x14ac:dyDescent="0.25">
      <c r="A930" s="9" t="s">
        <v>151</v>
      </c>
      <c r="B930" s="19">
        <f>VLOOKUP(Table27[[#This Row],[Location 
(drop-down)]],'List source'!D$2:E$71,2,FALSE)</f>
        <v>115</v>
      </c>
      <c r="C930" s="178" t="s">
        <v>4253</v>
      </c>
      <c r="D930" s="21" t="str">
        <f t="shared" si="28"/>
        <v>PTO0929-115-25</v>
      </c>
      <c r="E930" s="9" t="s">
        <v>4254</v>
      </c>
      <c r="F930" s="10" t="str" cm="1">
        <f t="array" aca="1" ref="F9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0" s="136" t="s">
        <v>2400</v>
      </c>
      <c r="I930" s="12">
        <v>45954</v>
      </c>
      <c r="J930" s="12"/>
      <c r="K930" s="63"/>
      <c r="L930" s="37"/>
      <c r="M930" s="10">
        <f t="shared" ca="1" si="29"/>
        <v>123</v>
      </c>
    </row>
    <row r="931" spans="1:13" ht="18.75" hidden="1" x14ac:dyDescent="0.25">
      <c r="A931" s="9" t="s">
        <v>177</v>
      </c>
      <c r="B931" s="19">
        <f>VLOOKUP(Table27[[#This Row],[Location 
(drop-down)]],'List source'!D$2:E$71,2,FALSE)</f>
        <v>126</v>
      </c>
      <c r="C931" s="178" t="s">
        <v>4255</v>
      </c>
      <c r="D931" s="21" t="str">
        <f t="shared" si="28"/>
        <v>PTO0930-126-25</v>
      </c>
      <c r="E931" s="9" t="s">
        <v>4256</v>
      </c>
      <c r="F931" s="10" t="str" cm="1">
        <f t="array" aca="1" ref="F9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1" s="10">
        <v>-5.14</v>
      </c>
      <c r="I931" s="12">
        <v>45954</v>
      </c>
      <c r="J931" s="12"/>
      <c r="K931" s="63"/>
      <c r="L931" s="37"/>
      <c r="M931" s="10">
        <f t="shared" ca="1" si="29"/>
        <v>123</v>
      </c>
    </row>
    <row r="932" spans="1:13" ht="18.75" hidden="1" x14ac:dyDescent="0.25">
      <c r="A932" s="9" t="s">
        <v>71</v>
      </c>
      <c r="B932" s="19">
        <f>VLOOKUP(Table27[[#This Row],[Location 
(drop-down)]],'List source'!D$2:E$71,2,FALSE)</f>
        <v>127</v>
      </c>
      <c r="C932" s="178" t="s">
        <v>4257</v>
      </c>
      <c r="D932" s="21" t="str">
        <f t="shared" si="28"/>
        <v>PTO0931-127-25</v>
      </c>
      <c r="E932" s="9" t="s">
        <v>4258</v>
      </c>
      <c r="F932" s="10" t="str" cm="1">
        <f t="array" aca="1" ref="F9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2" s="136">
        <v>2.08</v>
      </c>
      <c r="I932" s="12">
        <v>45954</v>
      </c>
      <c r="J932" s="12" t="s">
        <v>2074</v>
      </c>
      <c r="K932" s="63">
        <v>45958</v>
      </c>
      <c r="L932" s="37" t="s">
        <v>4231</v>
      </c>
      <c r="M932" s="10" t="str">
        <f t="shared" ca="1" si="29"/>
        <v>CLOSED</v>
      </c>
    </row>
    <row r="933" spans="1:13" ht="18.75" hidden="1" x14ac:dyDescent="0.25">
      <c r="A933" s="9" t="s">
        <v>71</v>
      </c>
      <c r="B933" s="19">
        <f>VLOOKUP(Table27[[#This Row],[Location 
(drop-down)]],'List source'!D$2:E$71,2,FALSE)</f>
        <v>127</v>
      </c>
      <c r="C933" s="178" t="s">
        <v>4259</v>
      </c>
      <c r="D933" s="226" t="str">
        <f t="shared" si="28"/>
        <v>PTO0932-127-25</v>
      </c>
      <c r="E933" s="9" t="s">
        <v>4260</v>
      </c>
      <c r="F933" s="10" t="str" cm="1">
        <f t="array" aca="1" ref="F9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933" s="10">
        <v>2.73</v>
      </c>
      <c r="I933" s="12">
        <v>45954</v>
      </c>
      <c r="J933" s="12" t="s">
        <v>2074</v>
      </c>
      <c r="K933" s="63">
        <v>45957</v>
      </c>
      <c r="L933" s="68" t="s">
        <v>4231</v>
      </c>
      <c r="M933" s="10" t="str">
        <f t="shared" ca="1" si="29"/>
        <v>CLOSED</v>
      </c>
    </row>
    <row r="934" spans="1:13" ht="18.75" hidden="1" x14ac:dyDescent="0.25">
      <c r="A934" s="9" t="s">
        <v>156</v>
      </c>
      <c r="B934" s="19">
        <f>VLOOKUP(Table27[[#This Row],[Location 
(drop-down)]],'List source'!D$2:E$71,2,FALSE)</f>
        <v>130</v>
      </c>
      <c r="C934" s="178" t="s">
        <v>4261</v>
      </c>
      <c r="D934" s="21" t="str">
        <f t="shared" si="28"/>
        <v>PTO0933-130-25</v>
      </c>
      <c r="E934" s="9" t="s">
        <v>4262</v>
      </c>
      <c r="F934" s="10" t="str" cm="1">
        <f t="array" aca="1" ref="F9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934" s="10"/>
      <c r="I934" s="12">
        <v>45954</v>
      </c>
      <c r="J934" s="12" t="s">
        <v>2074</v>
      </c>
      <c r="K934" s="63">
        <v>45954</v>
      </c>
      <c r="L934" s="37" t="s">
        <v>4223</v>
      </c>
      <c r="M934" s="10" t="str">
        <f t="shared" ca="1" si="29"/>
        <v>CLOSED</v>
      </c>
    </row>
    <row r="935" spans="1:13" ht="18.75" hidden="1" x14ac:dyDescent="0.25">
      <c r="A935" s="9" t="s">
        <v>156</v>
      </c>
      <c r="B935" s="19">
        <f>VLOOKUP(Table27[[#This Row],[Location 
(drop-down)]],'List source'!D$2:E$71,2,FALSE)</f>
        <v>130</v>
      </c>
      <c r="C935" s="178" t="s">
        <v>4263</v>
      </c>
      <c r="D935" s="21" t="str">
        <f t="shared" si="28"/>
        <v>PTO0934-130-25</v>
      </c>
      <c r="E935" s="9" t="s">
        <v>4264</v>
      </c>
      <c r="F935" s="10" t="str" cm="1">
        <f t="array" aca="1" ref="F9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35" s="136">
        <v>2.0099999999999998</v>
      </c>
      <c r="I935" s="12">
        <v>45954</v>
      </c>
      <c r="J935" s="12" t="s">
        <v>2074</v>
      </c>
      <c r="K935" s="63">
        <v>45978</v>
      </c>
      <c r="L935" s="37" t="s">
        <v>4265</v>
      </c>
      <c r="M935" s="10" t="str">
        <f t="shared" ca="1" si="29"/>
        <v>CLOSED</v>
      </c>
    </row>
    <row r="936" spans="1:13" ht="18.75" hidden="1" x14ac:dyDescent="0.25">
      <c r="A936" s="9" t="s">
        <v>156</v>
      </c>
      <c r="B936" s="19">
        <f>VLOOKUP(Table27[[#This Row],[Location 
(drop-down)]],'List source'!D$2:E$71,2,FALSE)</f>
        <v>130</v>
      </c>
      <c r="C936" s="178" t="s">
        <v>4266</v>
      </c>
      <c r="D936" s="21" t="str">
        <f t="shared" si="28"/>
        <v>PTO0935-130-25</v>
      </c>
      <c r="E936" s="9" t="s">
        <v>4267</v>
      </c>
      <c r="F936" s="10" t="str" cm="1">
        <f t="array" aca="1" ref="F9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6" s="10">
        <v>2.04</v>
      </c>
      <c r="I936" s="12">
        <v>45954</v>
      </c>
      <c r="J936" s="12" t="s">
        <v>2074</v>
      </c>
      <c r="K936" s="63">
        <v>46002</v>
      </c>
      <c r="L936" s="37" t="s">
        <v>4231</v>
      </c>
      <c r="M936" s="10" t="str">
        <f t="shared" ca="1" si="29"/>
        <v>CLOSED</v>
      </c>
    </row>
    <row r="937" spans="1:13" ht="18.75" hidden="1" x14ac:dyDescent="0.25">
      <c r="A937" s="9" t="s">
        <v>14</v>
      </c>
      <c r="B937" s="19">
        <f>VLOOKUP(Table27[[#This Row],[Location 
(drop-down)]],'List source'!D$2:E$71,2,FALSE)</f>
        <v>131</v>
      </c>
      <c r="C937" s="178" t="s">
        <v>4268</v>
      </c>
      <c r="D937" s="21" t="str">
        <f t="shared" si="28"/>
        <v>PTO0936-131-25</v>
      </c>
      <c r="E937" s="9" t="s">
        <v>4269</v>
      </c>
      <c r="F937" s="10" t="str" cm="1">
        <f t="array" aca="1" ref="F9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 Type</v>
      </c>
      <c r="H937" s="10"/>
      <c r="I937" s="12">
        <v>45954</v>
      </c>
      <c r="J937" s="12" t="s">
        <v>2074</v>
      </c>
      <c r="K937" s="63">
        <v>45954</v>
      </c>
      <c r="L937" s="37" t="s">
        <v>4223</v>
      </c>
      <c r="M937" s="10" t="str">
        <f t="shared" ca="1" si="29"/>
        <v>CLOSED</v>
      </c>
    </row>
    <row r="938" spans="1:13" ht="18.75" hidden="1" x14ac:dyDescent="0.25">
      <c r="A938" s="65" t="s">
        <v>14</v>
      </c>
      <c r="B938" s="19">
        <f>VLOOKUP(Table27[[#This Row],[Location 
(drop-down)]],'List source'!D$2:E$71,2,FALSE)</f>
        <v>131</v>
      </c>
      <c r="C938" s="178" t="s">
        <v>4270</v>
      </c>
      <c r="D938" s="21" t="str">
        <f t="shared" si="28"/>
        <v>PTO0937-131-25</v>
      </c>
      <c r="E938" s="9" t="s">
        <v>4271</v>
      </c>
      <c r="F938" s="10" t="str" cm="1">
        <f t="array" aca="1" ref="F9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8" s="10"/>
      <c r="I938" s="12">
        <v>45954</v>
      </c>
      <c r="J938" s="12" t="s">
        <v>2074</v>
      </c>
      <c r="K938" s="63">
        <v>45954</v>
      </c>
      <c r="L938" s="37" t="s">
        <v>4223</v>
      </c>
      <c r="M938" s="10" t="str">
        <f t="shared" ca="1" si="29"/>
        <v>CLOSED</v>
      </c>
    </row>
    <row r="939" spans="1:13" ht="18.75" hidden="1" x14ac:dyDescent="0.25">
      <c r="A939" s="65" t="s">
        <v>186</v>
      </c>
      <c r="B939" s="19">
        <f>VLOOKUP(Table27[[#This Row],[Location 
(drop-down)]],'List source'!D$2:E$71,2,FALSE)</f>
        <v>136</v>
      </c>
      <c r="C939" s="178" t="s">
        <v>4272</v>
      </c>
      <c r="D939" s="21" t="str">
        <f t="shared" si="28"/>
        <v>PTO0938-136-25</v>
      </c>
      <c r="E939" s="9" t="s">
        <v>4273</v>
      </c>
      <c r="F939" s="10" t="str" cm="1">
        <f t="array" aca="1" ref="F9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9" s="136" t="s">
        <v>4274</v>
      </c>
      <c r="I939" s="12">
        <v>45954</v>
      </c>
      <c r="J939" s="12" t="s">
        <v>2074</v>
      </c>
      <c r="K939" s="63">
        <v>46030</v>
      </c>
      <c r="L939" s="37" t="s">
        <v>2079</v>
      </c>
      <c r="M939" s="10" t="str">
        <f t="shared" ca="1" si="29"/>
        <v>CLOSED</v>
      </c>
    </row>
    <row r="940" spans="1:13" ht="18.75" hidden="1" x14ac:dyDescent="0.25">
      <c r="A940" s="65" t="s">
        <v>69</v>
      </c>
      <c r="B940" s="19">
        <f>VLOOKUP(Table27[[#This Row],[Location 
(drop-down)]],'List source'!D$2:E$71,2,FALSE)</f>
        <v>141</v>
      </c>
      <c r="C940" s="178" t="s">
        <v>4275</v>
      </c>
      <c r="D940" s="21" t="str">
        <f t="shared" si="28"/>
        <v>PTO0939-141-25</v>
      </c>
      <c r="E940" s="65" t="s">
        <v>4271</v>
      </c>
      <c r="F940" s="10" t="str" cm="1">
        <f t="array" aca="1" ref="F9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0" s="136"/>
      <c r="I940" s="12">
        <v>45954</v>
      </c>
      <c r="J940" s="12" t="s">
        <v>2074</v>
      </c>
      <c r="K940" s="63">
        <v>45954</v>
      </c>
      <c r="L940" s="37" t="s">
        <v>4223</v>
      </c>
      <c r="M940" s="10" t="str">
        <f t="shared" ca="1" si="29"/>
        <v>CLOSED</v>
      </c>
    </row>
    <row r="941" spans="1:13" ht="18.75" hidden="1" x14ac:dyDescent="0.25">
      <c r="A941" s="65" t="s">
        <v>73</v>
      </c>
      <c r="B941" s="19">
        <f>VLOOKUP(Table27[[#This Row],[Location 
(drop-down)]],'List source'!D$2:E$71,2,FALSE)</f>
        <v>142</v>
      </c>
      <c r="C941" s="178" t="s">
        <v>4276</v>
      </c>
      <c r="D941" s="21" t="str">
        <f t="shared" si="28"/>
        <v>PTO0940-142-25</v>
      </c>
      <c r="E941" s="65" t="s">
        <v>4277</v>
      </c>
      <c r="F941" s="10" t="str" cm="1">
        <f t="array" aca="1" ref="F9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1" s="10">
        <v>2.06</v>
      </c>
      <c r="I941" s="12">
        <v>45954</v>
      </c>
      <c r="J941" s="12"/>
      <c r="K941" s="63"/>
      <c r="L941" s="37"/>
      <c r="M941" s="10">
        <f t="shared" ca="1" si="29"/>
        <v>123</v>
      </c>
    </row>
    <row r="942" spans="1:13" ht="18.75" hidden="1" x14ac:dyDescent="0.25">
      <c r="A942" s="65" t="s">
        <v>257</v>
      </c>
      <c r="B942" s="19">
        <f>VLOOKUP(Table27[[#This Row],[Location 
(drop-down)]],'List source'!D$2:E$71,2,FALSE)</f>
        <v>144</v>
      </c>
      <c r="C942" s="178" t="s">
        <v>4278</v>
      </c>
      <c r="D942" s="21" t="str">
        <f t="shared" si="28"/>
        <v>PTO0941-144-25</v>
      </c>
      <c r="E942" s="65" t="s">
        <v>4271</v>
      </c>
      <c r="F942" s="10" t="str" cm="1">
        <f t="array" aca="1" ref="F9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2" s="10"/>
      <c r="I942" s="12">
        <v>45954</v>
      </c>
      <c r="J942" s="12" t="s">
        <v>2074</v>
      </c>
      <c r="K942" s="63">
        <v>45954</v>
      </c>
      <c r="L942" s="37" t="s">
        <v>4223</v>
      </c>
      <c r="M942" s="10" t="str">
        <f t="shared" ca="1" si="29"/>
        <v>CLOSED</v>
      </c>
    </row>
    <row r="943" spans="1:13" ht="18.75" hidden="1" x14ac:dyDescent="0.25">
      <c r="A943" s="65" t="s">
        <v>86</v>
      </c>
      <c r="B943" s="19">
        <f>VLOOKUP(Table27[[#This Row],[Location 
(drop-down)]],'List source'!D$2:E$71,2,FALSE)</f>
        <v>150</v>
      </c>
      <c r="C943" s="178" t="s">
        <v>4279</v>
      </c>
      <c r="D943" s="21" t="str">
        <f t="shared" si="28"/>
        <v>PTO0942-150-25</v>
      </c>
      <c r="E943" s="9" t="s">
        <v>4280</v>
      </c>
      <c r="F943" s="10" t="str" cm="1">
        <f t="array" aca="1" ref="F9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3" s="10"/>
      <c r="I943" s="12">
        <v>45954</v>
      </c>
      <c r="J943" s="12" t="s">
        <v>2074</v>
      </c>
      <c r="K943" s="63">
        <v>45954</v>
      </c>
      <c r="L943" s="37" t="s">
        <v>4223</v>
      </c>
      <c r="M943" s="10" t="str">
        <f t="shared" ca="1" si="29"/>
        <v>CLOSED</v>
      </c>
    </row>
    <row r="944" spans="1:13" ht="18.75" hidden="1" x14ac:dyDescent="0.25">
      <c r="A944" s="65" t="s">
        <v>46</v>
      </c>
      <c r="B944" s="19">
        <f>VLOOKUP(Table27[[#This Row],[Location 
(drop-down)]],'List source'!D$2:E$71,2,FALSE)</f>
        <v>155</v>
      </c>
      <c r="C944" s="178" t="s">
        <v>4281</v>
      </c>
      <c r="D944" s="21" t="str">
        <f t="shared" si="28"/>
        <v>PTO0943-155-25</v>
      </c>
      <c r="E944" s="9" t="s">
        <v>4282</v>
      </c>
      <c r="F944" s="10" t="str" cm="1">
        <f t="array" aca="1" ref="F9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944" s="136" t="s">
        <v>4283</v>
      </c>
      <c r="I944" s="12">
        <v>45954</v>
      </c>
      <c r="J944" s="12"/>
      <c r="K944" s="63"/>
      <c r="L944" s="37"/>
      <c r="M944" s="10">
        <f t="shared" ca="1" si="29"/>
        <v>123</v>
      </c>
    </row>
    <row r="945" spans="1:13" ht="30" hidden="1" x14ac:dyDescent="0.25">
      <c r="A945" s="9" t="s">
        <v>79</v>
      </c>
      <c r="B945" s="19">
        <f>VLOOKUP(Table27[[#This Row],[Location 
(drop-down)]],'List source'!D$2:E$71,2,FALSE)</f>
        <v>160</v>
      </c>
      <c r="C945" s="178" t="s">
        <v>4284</v>
      </c>
      <c r="D945" s="21" t="str">
        <f t="shared" si="28"/>
        <v>PTO0944-160-25</v>
      </c>
      <c r="E945" s="9" t="s">
        <v>4285</v>
      </c>
      <c r="F945" s="10" t="str" cm="1">
        <f t="array" aca="1" ref="F9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5" s="136" t="s">
        <v>4286</v>
      </c>
      <c r="I945" s="12">
        <v>45954</v>
      </c>
      <c r="J945" s="12" t="s">
        <v>82</v>
      </c>
      <c r="K945" s="63">
        <v>46058</v>
      </c>
      <c r="L945" s="37"/>
      <c r="M945" s="10" t="str">
        <f t="shared" ca="1" si="29"/>
        <v>CLOSED</v>
      </c>
    </row>
    <row r="946" spans="1:13" ht="18.75" hidden="1" x14ac:dyDescent="0.25">
      <c r="A946" s="9" t="s">
        <v>79</v>
      </c>
      <c r="B946" s="19">
        <f>VLOOKUP(Table27[[#This Row],[Location 
(drop-down)]],'List source'!D$2:E$71,2,FALSE)</f>
        <v>160</v>
      </c>
      <c r="C946" s="178" t="s">
        <v>4287</v>
      </c>
      <c r="D946" s="21" t="str">
        <f t="shared" si="28"/>
        <v>PTO0945-160-25</v>
      </c>
      <c r="E946" s="9" t="s">
        <v>4288</v>
      </c>
      <c r="F946" s="10" t="str" cm="1">
        <f t="array" aca="1" ref="F9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946" s="136" t="s">
        <v>4289</v>
      </c>
      <c r="I946" s="12">
        <v>45954</v>
      </c>
      <c r="J946" s="12" t="s">
        <v>2074</v>
      </c>
      <c r="K946" s="63">
        <v>45981</v>
      </c>
      <c r="L946" s="37" t="s">
        <v>2079</v>
      </c>
      <c r="M946" s="10" t="str">
        <f t="shared" ca="1" si="29"/>
        <v>CLOSED</v>
      </c>
    </row>
    <row r="947" spans="1:13" ht="18.75" hidden="1" x14ac:dyDescent="0.25">
      <c r="A947" s="9" t="s">
        <v>141</v>
      </c>
      <c r="B947" s="19">
        <f>VLOOKUP(Table27[[#This Row],[Location 
(drop-down)]],'List source'!D$2:E$71,2,FALSE)</f>
        <v>165</v>
      </c>
      <c r="C947" s="178" t="s">
        <v>4290</v>
      </c>
      <c r="D947" s="21" t="str">
        <f t="shared" si="28"/>
        <v>PTO0946-165-25</v>
      </c>
      <c r="E947" s="9" t="s">
        <v>4291</v>
      </c>
      <c r="F947" s="10" t="str" cm="1">
        <f t="array" aca="1" ref="F9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947" s="136" t="s">
        <v>3332</v>
      </c>
      <c r="I947" s="12">
        <v>45954</v>
      </c>
      <c r="J947" s="12" t="s">
        <v>2074</v>
      </c>
      <c r="K947" s="63">
        <v>46043</v>
      </c>
      <c r="L947" s="37" t="s">
        <v>2079</v>
      </c>
      <c r="M947" s="10" t="str">
        <f t="shared" ca="1" si="29"/>
        <v>CLOSED</v>
      </c>
    </row>
    <row r="948" spans="1:13" ht="18.75" hidden="1" x14ac:dyDescent="0.25">
      <c r="A948" s="9" t="s">
        <v>141</v>
      </c>
      <c r="B948" s="19">
        <f>VLOOKUP(Table27[[#This Row],[Location 
(drop-down)]],'List source'!D$2:E$71,2,FALSE)</f>
        <v>165</v>
      </c>
      <c r="C948" s="178" t="s">
        <v>4292</v>
      </c>
      <c r="D948" s="21" t="str">
        <f t="shared" si="28"/>
        <v>PTO0947-165-25</v>
      </c>
      <c r="E948" s="9" t="s">
        <v>4293</v>
      </c>
      <c r="F948" s="10" t="str" cm="1">
        <f t="array" aca="1" ref="F9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8" s="136" t="s">
        <v>4294</v>
      </c>
      <c r="I948" s="12">
        <v>45954</v>
      </c>
      <c r="J948" s="12" t="s">
        <v>2074</v>
      </c>
      <c r="K948" s="63">
        <v>46043</v>
      </c>
      <c r="L948" s="37" t="s">
        <v>2079</v>
      </c>
      <c r="M948" s="10" t="str">
        <f t="shared" ca="1" si="29"/>
        <v>CLOSED</v>
      </c>
    </row>
    <row r="949" spans="1:13" ht="18.75" hidden="1" x14ac:dyDescent="0.25">
      <c r="A949" s="9" t="s">
        <v>141</v>
      </c>
      <c r="B949" s="19">
        <f>VLOOKUP(Table27[[#This Row],[Location 
(drop-down)]],'List source'!D$2:E$71,2,FALSE)</f>
        <v>165</v>
      </c>
      <c r="C949" s="178" t="s">
        <v>4295</v>
      </c>
      <c r="D949" s="21" t="str">
        <f t="shared" si="28"/>
        <v>PTO0948-165-25</v>
      </c>
      <c r="E949" s="9" t="s">
        <v>4296</v>
      </c>
      <c r="F949" s="10" t="str" cm="1">
        <f t="array" aca="1" ref="F9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949" s="10">
        <v>2.85</v>
      </c>
      <c r="I949" s="12">
        <v>45954</v>
      </c>
      <c r="J949" s="12" t="s">
        <v>2074</v>
      </c>
      <c r="K949" s="63">
        <v>45959</v>
      </c>
      <c r="L949" s="37" t="s">
        <v>4265</v>
      </c>
      <c r="M949" s="10" t="str">
        <f t="shared" ca="1" si="29"/>
        <v>CLOSED</v>
      </c>
    </row>
    <row r="950" spans="1:13" ht="18.75" hidden="1" x14ac:dyDescent="0.25">
      <c r="A950" s="9" t="s">
        <v>141</v>
      </c>
      <c r="B950" s="19">
        <f>VLOOKUP(Table27[[#This Row],[Location 
(drop-down)]],'List source'!D$2:E$71,2,FALSE)</f>
        <v>165</v>
      </c>
      <c r="C950" s="178" t="s">
        <v>4297</v>
      </c>
      <c r="D950" s="226" t="str">
        <f t="shared" si="28"/>
        <v>PTO0949-165-25</v>
      </c>
      <c r="E950" s="9" t="s">
        <v>4298</v>
      </c>
      <c r="F950" s="10" t="str" cm="1">
        <f t="array" aca="1" ref="F9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50" s="136" t="s">
        <v>2484</v>
      </c>
      <c r="I950" s="12">
        <v>45954</v>
      </c>
      <c r="J950" s="12" t="s">
        <v>2074</v>
      </c>
      <c r="K950" s="63">
        <v>45959</v>
      </c>
      <c r="L950" s="68" t="s">
        <v>4265</v>
      </c>
      <c r="M950" s="10" t="str">
        <f t="shared" ca="1" si="29"/>
        <v>CLOSED</v>
      </c>
    </row>
    <row r="951" spans="1:13" ht="30" hidden="1" x14ac:dyDescent="0.25">
      <c r="A951" s="9" t="s">
        <v>107</v>
      </c>
      <c r="B951" s="19">
        <f>VLOOKUP(Table27[[#This Row],[Location 
(drop-down)]],'List source'!D$2:E$71,2,FALSE)</f>
        <v>170</v>
      </c>
      <c r="C951" s="178" t="s">
        <v>4299</v>
      </c>
      <c r="D951" s="21" t="str">
        <f t="shared" si="28"/>
        <v>PTO0950-170-25</v>
      </c>
      <c r="E951" s="9" t="s">
        <v>4300</v>
      </c>
      <c r="F951" s="10" t="str" cm="1">
        <f t="array" aca="1" ref="F9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951" s="136" t="s">
        <v>4301</v>
      </c>
      <c r="I951" s="12">
        <v>45954</v>
      </c>
      <c r="J951" s="12" t="s">
        <v>109</v>
      </c>
      <c r="K951" s="63">
        <v>45980</v>
      </c>
      <c r="L951" s="339"/>
      <c r="M951" s="10" t="str">
        <f t="shared" ca="1" si="29"/>
        <v>CLOSED</v>
      </c>
    </row>
    <row r="952" spans="1:13" ht="30" hidden="1" x14ac:dyDescent="0.25">
      <c r="A952" s="9" t="s">
        <v>107</v>
      </c>
      <c r="B952" s="19">
        <f>VLOOKUP(Table27[[#This Row],[Location 
(drop-down)]],'List source'!D$2:E$71,2,FALSE)</f>
        <v>170</v>
      </c>
      <c r="C952" s="178" t="s">
        <v>4302</v>
      </c>
      <c r="D952" s="21" t="str">
        <f t="shared" si="28"/>
        <v>PTO0951-170-25</v>
      </c>
      <c r="E952" s="9" t="s">
        <v>4303</v>
      </c>
      <c r="F952" s="10" t="str" cm="1">
        <f t="array" aca="1" ref="F9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52" s="10" t="s">
        <v>2400</v>
      </c>
      <c r="I952" s="12">
        <v>45954</v>
      </c>
      <c r="J952" s="12" t="s">
        <v>2074</v>
      </c>
      <c r="K952" s="63">
        <v>45980</v>
      </c>
      <c r="L952" s="37" t="s">
        <v>4265</v>
      </c>
      <c r="M952" s="10" t="str">
        <f t="shared" ca="1" si="29"/>
        <v>CLOSED</v>
      </c>
    </row>
    <row r="953" spans="1:13" ht="18.75" hidden="1" x14ac:dyDescent="0.25">
      <c r="A953" s="9" t="s">
        <v>44</v>
      </c>
      <c r="B953" s="19">
        <f>VLOOKUP(Table27[[#This Row],[Location 
(drop-down)]],'List source'!D$2:E$71,2,FALSE)</f>
        <v>185</v>
      </c>
      <c r="C953" s="178" t="s">
        <v>4304</v>
      </c>
      <c r="D953" s="21" t="str">
        <f t="shared" si="28"/>
        <v>PTO0952-185-25</v>
      </c>
      <c r="E953" s="9" t="s">
        <v>4305</v>
      </c>
      <c r="F953" s="10" t="str" cm="1">
        <f t="array" aca="1" ref="F9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3" s="10" t="s">
        <v>4306</v>
      </c>
      <c r="I953" s="12">
        <v>45954</v>
      </c>
      <c r="J953" s="12" t="s">
        <v>2074</v>
      </c>
      <c r="K953" s="63">
        <v>45960</v>
      </c>
      <c r="L953" s="37" t="s">
        <v>4265</v>
      </c>
      <c r="M953" s="10" t="str">
        <f t="shared" ca="1" si="29"/>
        <v>CLOSED</v>
      </c>
    </row>
    <row r="954" spans="1:13" ht="18.75" hidden="1" x14ac:dyDescent="0.25">
      <c r="A954" s="9" t="s">
        <v>105</v>
      </c>
      <c r="B954" s="19">
        <f>VLOOKUP(Table27[[#This Row],[Location 
(drop-down)]],'List source'!D$2:E$71,2,FALSE)</f>
        <v>215</v>
      </c>
      <c r="C954" s="178" t="s">
        <v>4307</v>
      </c>
      <c r="D954" s="21" t="str">
        <f t="shared" si="28"/>
        <v>PTO0953-215-25</v>
      </c>
      <c r="E954" s="9" t="s">
        <v>4308</v>
      </c>
      <c r="F954" s="10" t="str" cm="1">
        <f t="array" aca="1" ref="F9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4" s="136"/>
      <c r="I954" s="12">
        <v>45954</v>
      </c>
      <c r="J954" s="12" t="s">
        <v>2074</v>
      </c>
      <c r="K954" s="63">
        <v>45954</v>
      </c>
      <c r="L954" s="37" t="s">
        <v>4223</v>
      </c>
      <c r="M954" s="10" t="str">
        <f t="shared" ca="1" si="29"/>
        <v>CLOSED</v>
      </c>
    </row>
    <row r="955" spans="1:13" ht="18.75" hidden="1" x14ac:dyDescent="0.25">
      <c r="A955" s="9" t="s">
        <v>105</v>
      </c>
      <c r="B955" s="19">
        <f>VLOOKUP(Table27[[#This Row],[Location 
(drop-down)]],'List source'!D$2:E$71,2,FALSE)</f>
        <v>215</v>
      </c>
      <c r="C955" s="178" t="s">
        <v>4309</v>
      </c>
      <c r="D955" s="226" t="str">
        <f t="shared" si="28"/>
        <v>PTO0954-215-25</v>
      </c>
      <c r="E955" s="9" t="s">
        <v>4310</v>
      </c>
      <c r="F955" s="10" t="str" cm="1">
        <f t="array" aca="1" ref="F9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55" s="10">
        <v>2.4</v>
      </c>
      <c r="I955" s="12">
        <v>45957</v>
      </c>
      <c r="J955" s="12"/>
      <c r="K955" s="63"/>
      <c r="L955" s="339" t="s">
        <v>3881</v>
      </c>
      <c r="M955" s="10">
        <f t="shared" ca="1" si="29"/>
        <v>120</v>
      </c>
    </row>
    <row r="956" spans="1:13" ht="18.75" hidden="1" x14ac:dyDescent="0.25">
      <c r="A956" s="9" t="s">
        <v>105</v>
      </c>
      <c r="B956" s="19">
        <f>VLOOKUP(Table27[[#This Row],[Location 
(drop-down)]],'List source'!D$2:E$71,2,FALSE)</f>
        <v>215</v>
      </c>
      <c r="C956" s="178" t="s">
        <v>4311</v>
      </c>
      <c r="D956" s="226" t="str">
        <f t="shared" si="28"/>
        <v>PTO0955-215-25</v>
      </c>
      <c r="E956" s="9" t="s">
        <v>4312</v>
      </c>
      <c r="F956" s="10" t="str" cm="1">
        <f t="array" aca="1" ref="F9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56" s="10">
        <v>2.19</v>
      </c>
      <c r="I956" s="12">
        <v>45957</v>
      </c>
      <c r="J956" s="12"/>
      <c r="K956" s="63"/>
      <c r="L956" s="339" t="s">
        <v>3881</v>
      </c>
      <c r="M956" s="10">
        <f t="shared" ca="1" si="29"/>
        <v>120</v>
      </c>
    </row>
    <row r="957" spans="1:13" ht="18.75" hidden="1" x14ac:dyDescent="0.25">
      <c r="A957" s="9" t="s">
        <v>153</v>
      </c>
      <c r="B957" s="19">
        <f>VLOOKUP(Table27[[#This Row],[Location 
(drop-down)]],'List source'!D$2:E$71,2,FALSE)</f>
        <v>110</v>
      </c>
      <c r="C957" s="178" t="s">
        <v>4313</v>
      </c>
      <c r="D957" s="21" t="str">
        <f t="shared" si="28"/>
        <v>PTO0956-110-25</v>
      </c>
      <c r="E957" s="9" t="s">
        <v>4314</v>
      </c>
      <c r="F957" s="10" t="s">
        <v>3956</v>
      </c>
      <c r="G9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7" s="136" t="s">
        <v>4315</v>
      </c>
      <c r="I957" s="12">
        <v>45957</v>
      </c>
      <c r="J957" s="12"/>
      <c r="K957" s="63"/>
      <c r="L957" s="37"/>
      <c r="M957" s="10">
        <f t="shared" ca="1" si="29"/>
        <v>120</v>
      </c>
    </row>
    <row r="958" spans="1:13" ht="18.75" hidden="1" x14ac:dyDescent="0.25">
      <c r="A958" s="9" t="s">
        <v>71</v>
      </c>
      <c r="B958" s="19">
        <f>VLOOKUP(Table27[[#This Row],[Location 
(drop-down)]],'List source'!D$2:E$71,2,FALSE)</f>
        <v>127</v>
      </c>
      <c r="C958" s="178" t="s">
        <v>4316</v>
      </c>
      <c r="D958" s="21" t="str">
        <f t="shared" si="28"/>
        <v>PTO0957-127-25</v>
      </c>
      <c r="E958" s="9" t="s">
        <v>4317</v>
      </c>
      <c r="F958" s="10" t="s">
        <v>3956</v>
      </c>
      <c r="G9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8" s="10">
        <v>2.6</v>
      </c>
      <c r="I958" s="12">
        <v>45957</v>
      </c>
      <c r="J958" s="12" t="s">
        <v>252</v>
      </c>
      <c r="K958" s="63">
        <v>45973</v>
      </c>
      <c r="L958" s="37"/>
      <c r="M958" s="10" t="str">
        <f t="shared" ca="1" si="29"/>
        <v>CLOSED</v>
      </c>
    </row>
    <row r="959" spans="1:13" ht="18.75" hidden="1" x14ac:dyDescent="0.25">
      <c r="A959" s="9" t="s">
        <v>186</v>
      </c>
      <c r="B959" s="19">
        <f>VLOOKUP(Table27[[#This Row],[Location 
(drop-down)]],'List source'!D$2:E$71,2,FALSE)</f>
        <v>136</v>
      </c>
      <c r="C959" s="178" t="s">
        <v>4318</v>
      </c>
      <c r="D959" s="21" t="str">
        <f t="shared" si="28"/>
        <v>PTO0958-136-25</v>
      </c>
      <c r="E959" s="9" t="s">
        <v>4319</v>
      </c>
      <c r="F959" s="10" t="s">
        <v>3956</v>
      </c>
      <c r="G9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9" s="136">
        <v>2.02</v>
      </c>
      <c r="I959" s="12">
        <v>45957</v>
      </c>
      <c r="J959" s="12" t="s">
        <v>2074</v>
      </c>
      <c r="K959" s="63" t="s">
        <v>4320</v>
      </c>
      <c r="L959" s="37"/>
      <c r="M959" s="10" t="str">
        <f t="shared" ca="1" si="29"/>
        <v>CLOSED</v>
      </c>
    </row>
    <row r="960" spans="1:13" ht="18.75" hidden="1" x14ac:dyDescent="0.25">
      <c r="A960" s="9" t="s">
        <v>186</v>
      </c>
      <c r="B960" s="19">
        <f>VLOOKUP(Table27[[#This Row],[Location 
(drop-down)]],'List source'!D$2:E$71,2,FALSE)</f>
        <v>136</v>
      </c>
      <c r="C960" s="178" t="s">
        <v>4321</v>
      </c>
      <c r="D960" s="21" t="str">
        <f t="shared" si="28"/>
        <v>PTO0959-136-25</v>
      </c>
      <c r="E960" s="9" t="s">
        <v>4322</v>
      </c>
      <c r="F960" s="10" t="s">
        <v>3956</v>
      </c>
      <c r="G9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60" s="10" t="s">
        <v>4323</v>
      </c>
      <c r="I960" s="12">
        <v>45957</v>
      </c>
      <c r="J960" s="12"/>
      <c r="K960" s="63"/>
      <c r="L960" s="37"/>
      <c r="M960" s="10">
        <f t="shared" ca="1" si="29"/>
        <v>120</v>
      </c>
    </row>
    <row r="961" spans="1:13" ht="18.75" hidden="1" x14ac:dyDescent="0.25">
      <c r="A961" s="9" t="s">
        <v>58</v>
      </c>
      <c r="B961" s="19">
        <f>VLOOKUP(Table27[[#This Row],[Location 
(drop-down)]],'List source'!D$2:E$71,2,FALSE)</f>
        <v>146</v>
      </c>
      <c r="C961" s="178" t="s">
        <v>4324</v>
      </c>
      <c r="D961" s="21" t="str">
        <f t="shared" si="28"/>
        <v>PTO0960-146-25</v>
      </c>
      <c r="E961" s="9" t="s">
        <v>4325</v>
      </c>
      <c r="F961" s="10" t="s">
        <v>3956</v>
      </c>
      <c r="G9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61" s="136" t="s">
        <v>4326</v>
      </c>
      <c r="I961" s="12">
        <v>45957</v>
      </c>
      <c r="J961" s="12" t="s">
        <v>2074</v>
      </c>
      <c r="K961" s="63">
        <v>45965</v>
      </c>
      <c r="L961" s="37" t="s">
        <v>4265</v>
      </c>
      <c r="M961" s="10" t="str">
        <f t="shared" ca="1" si="29"/>
        <v>CLOSED</v>
      </c>
    </row>
    <row r="962" spans="1:13" ht="30" hidden="1" x14ac:dyDescent="0.25">
      <c r="A962" s="9" t="s">
        <v>107</v>
      </c>
      <c r="B962" s="19">
        <f>VLOOKUP(Table27[[#This Row],[Location 
(drop-down)]],'List source'!D$2:E$71,2,FALSE)</f>
        <v>170</v>
      </c>
      <c r="C962" s="178" t="s">
        <v>4327</v>
      </c>
      <c r="D962" s="21" t="str">
        <f t="shared" ref="D962:D1025" si="30">"PTO" &amp; C962 &amp; "-" &amp; B962 &amp; "-" &amp; "25"</f>
        <v>PTO0961-170-25</v>
      </c>
      <c r="E962" s="9" t="s">
        <v>4328</v>
      </c>
      <c r="F962" s="10" t="s">
        <v>3956</v>
      </c>
      <c r="G9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2" s="136" t="s">
        <v>3098</v>
      </c>
      <c r="I962" s="12">
        <v>45957</v>
      </c>
      <c r="J962" s="12" t="s">
        <v>2074</v>
      </c>
      <c r="K962" s="63">
        <v>45972</v>
      </c>
      <c r="L962" s="37" t="s">
        <v>4265</v>
      </c>
      <c r="M962" s="10" t="str">
        <f t="shared" ref="M962:M1025" ca="1" si="31">IF(ISBLANK(K962), TODAY()-(I962), "CLOSED")</f>
        <v>CLOSED</v>
      </c>
    </row>
    <row r="963" spans="1:13" ht="18.75" hidden="1" x14ac:dyDescent="0.25">
      <c r="A963" s="9" t="s">
        <v>44</v>
      </c>
      <c r="B963" s="19">
        <f>VLOOKUP(Table27[[#This Row],[Location 
(drop-down)]],'List source'!D$2:E$71,2,FALSE)</f>
        <v>185</v>
      </c>
      <c r="C963" s="178" t="s">
        <v>4329</v>
      </c>
      <c r="D963" s="21" t="str">
        <f t="shared" si="30"/>
        <v>PTO0962-185-25</v>
      </c>
      <c r="E963" s="9" t="s">
        <v>4330</v>
      </c>
      <c r="F963" s="10" t="s">
        <v>3956</v>
      </c>
      <c r="G9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963" s="136" t="s">
        <v>4331</v>
      </c>
      <c r="I963" s="12">
        <v>45957</v>
      </c>
      <c r="J963" s="12" t="s">
        <v>2074</v>
      </c>
      <c r="K963" s="63">
        <v>45964</v>
      </c>
      <c r="L963" s="37" t="s">
        <v>4265</v>
      </c>
      <c r="M963" s="10" t="str">
        <f t="shared" ca="1" si="31"/>
        <v>CLOSED</v>
      </c>
    </row>
    <row r="964" spans="1:13" ht="18.75" hidden="1" x14ac:dyDescent="0.25">
      <c r="A964" s="9" t="s">
        <v>338</v>
      </c>
      <c r="B964" s="19">
        <f>VLOOKUP(Table27[[#This Row],[Location 
(drop-down)]],'List source'!D$2:E$71,2,FALSE)</f>
        <v>191</v>
      </c>
      <c r="C964" s="178" t="s">
        <v>4332</v>
      </c>
      <c r="D964" s="21" t="str">
        <f t="shared" si="30"/>
        <v>PTO0963-191-25</v>
      </c>
      <c r="E964" s="9" t="s">
        <v>4333</v>
      </c>
      <c r="F964" s="10" t="s">
        <v>3956</v>
      </c>
      <c r="G9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4" s="10">
        <v>2.85</v>
      </c>
      <c r="I964" s="12">
        <v>45957</v>
      </c>
      <c r="J964" s="12" t="s">
        <v>2074</v>
      </c>
      <c r="K964" s="63">
        <v>45978</v>
      </c>
      <c r="L964" s="37" t="s">
        <v>4265</v>
      </c>
      <c r="M964" s="10" t="str">
        <f t="shared" ca="1" si="31"/>
        <v>CLOSED</v>
      </c>
    </row>
    <row r="965" spans="1:13" ht="18.75" hidden="1" x14ac:dyDescent="0.25">
      <c r="A965" s="9" t="s">
        <v>338</v>
      </c>
      <c r="B965" s="19">
        <f>VLOOKUP(Table27[[#This Row],[Location 
(drop-down)]],'List source'!D$2:E$71,2,FALSE)</f>
        <v>191</v>
      </c>
      <c r="C965" s="178" t="s">
        <v>4334</v>
      </c>
      <c r="D965" s="21" t="str">
        <f t="shared" si="30"/>
        <v>PTO0964-191-25</v>
      </c>
      <c r="E965" s="9" t="s">
        <v>4335</v>
      </c>
      <c r="F965" s="10" t="s">
        <v>3956</v>
      </c>
      <c r="G9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RVP</v>
      </c>
      <c r="H965" s="136" t="s">
        <v>3078</v>
      </c>
      <c r="I965" s="12">
        <v>45957</v>
      </c>
      <c r="J965" s="12" t="s">
        <v>2074</v>
      </c>
      <c r="K965" s="63">
        <v>45978</v>
      </c>
      <c r="L965" s="37" t="s">
        <v>4265</v>
      </c>
      <c r="M965" s="10" t="str">
        <f t="shared" ca="1" si="31"/>
        <v>CLOSED</v>
      </c>
    </row>
    <row r="966" spans="1:13" ht="18.75" hidden="1" x14ac:dyDescent="0.25">
      <c r="A966" s="9" t="s">
        <v>338</v>
      </c>
      <c r="B966" s="19">
        <f>VLOOKUP(Table27[[#This Row],[Location 
(drop-down)]],'List source'!D$2:E$71,2,FALSE)</f>
        <v>191</v>
      </c>
      <c r="C966" s="178" t="s">
        <v>4336</v>
      </c>
      <c r="D966" s="21" t="str">
        <f t="shared" si="30"/>
        <v>PTO0965-191-25</v>
      </c>
      <c r="E966" s="9" t="s">
        <v>4337</v>
      </c>
      <c r="F966" s="10" t="s">
        <v>3956</v>
      </c>
      <c r="G9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Temp</v>
      </c>
      <c r="H966" s="136" t="s">
        <v>4080</v>
      </c>
      <c r="I966" s="12">
        <v>45957</v>
      </c>
      <c r="J966" s="12"/>
      <c r="K966" s="63"/>
      <c r="L966" s="37"/>
      <c r="M966" s="10">
        <f t="shared" ca="1" si="31"/>
        <v>120</v>
      </c>
    </row>
    <row r="967" spans="1:13" ht="18.75" hidden="1" x14ac:dyDescent="0.25">
      <c r="A967" s="9" t="s">
        <v>153</v>
      </c>
      <c r="B967" s="19">
        <f>VLOOKUP(Table27[[#This Row],[Location 
(drop-down)]],'List source'!D$2:E$71,2,FALSE)</f>
        <v>110</v>
      </c>
      <c r="C967" s="178" t="s">
        <v>4338</v>
      </c>
      <c r="D967" s="21" t="str">
        <f t="shared" si="30"/>
        <v>PTO0966-110-25</v>
      </c>
      <c r="E967" s="9" t="s">
        <v>4339</v>
      </c>
      <c r="F967" s="10" t="str" cm="1">
        <f t="array" aca="1" ref="F9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API Gravity</v>
      </c>
      <c r="H967" s="10">
        <v>7096.82</v>
      </c>
      <c r="I967" s="12">
        <v>45978</v>
      </c>
      <c r="J967" s="12"/>
      <c r="K967" s="63"/>
      <c r="L967" s="37"/>
      <c r="M967" s="10">
        <f t="shared" ca="1" si="31"/>
        <v>99</v>
      </c>
    </row>
    <row r="968" spans="1:13" ht="18.75" hidden="1" x14ac:dyDescent="0.25">
      <c r="A968" s="9" t="s">
        <v>153</v>
      </c>
      <c r="B968" s="19">
        <f>VLOOKUP(Table27[[#This Row],[Location 
(drop-down)]],'List source'!D$2:E$71,2,FALSE)</f>
        <v>110</v>
      </c>
      <c r="C968" s="178" t="s">
        <v>4340</v>
      </c>
      <c r="D968" s="21" t="str">
        <f t="shared" si="30"/>
        <v>PTO0967-110-25</v>
      </c>
      <c r="E968" s="9" t="s">
        <v>4341</v>
      </c>
      <c r="F968" s="10" t="str" cm="1">
        <f t="array" aca="1" ref="F9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968" s="136" t="s">
        <v>4342</v>
      </c>
      <c r="I968" s="12">
        <v>45978</v>
      </c>
      <c r="J968" s="12"/>
      <c r="K968" s="63"/>
      <c r="L968" s="37"/>
      <c r="M968" s="10">
        <f t="shared" ca="1" si="31"/>
        <v>99</v>
      </c>
    </row>
    <row r="969" spans="1:13" ht="18.75" hidden="1" x14ac:dyDescent="0.25">
      <c r="A969" s="9" t="s">
        <v>281</v>
      </c>
      <c r="B969" s="19">
        <f>VLOOKUP(Table27[[#This Row],[Location 
(drop-down)]],'List source'!D$2:E$71,2,FALSE)</f>
        <v>129</v>
      </c>
      <c r="C969" s="178" t="s">
        <v>4343</v>
      </c>
      <c r="D969" s="21" t="str">
        <f t="shared" si="30"/>
        <v>PTO0968-129-25</v>
      </c>
      <c r="E969" s="9" t="s">
        <v>4344</v>
      </c>
      <c r="F969" s="10" t="str" cm="1">
        <f t="array" aca="1" ref="F9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969" s="10">
        <v>178.91</v>
      </c>
      <c r="I969" s="12">
        <v>45978</v>
      </c>
      <c r="J969" s="12"/>
      <c r="K969" s="63"/>
      <c r="L969" s="37"/>
      <c r="M969" s="10">
        <f t="shared" ca="1" si="31"/>
        <v>99</v>
      </c>
    </row>
    <row r="970" spans="1:13" ht="18.75" hidden="1" x14ac:dyDescent="0.25">
      <c r="A970" s="9" t="s">
        <v>281</v>
      </c>
      <c r="B970" s="19">
        <f>VLOOKUP(Table27[[#This Row],[Location 
(drop-down)]],'List source'!D$2:E$71,2,FALSE)</f>
        <v>129</v>
      </c>
      <c r="C970" s="178" t="s">
        <v>4345</v>
      </c>
      <c r="D970" s="21" t="str">
        <f t="shared" si="30"/>
        <v>PTO0969-129-25</v>
      </c>
      <c r="E970" s="9" t="s">
        <v>4346</v>
      </c>
      <c r="F970" s="10" t="str" cm="1">
        <f t="array" aca="1" ref="F9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970" s="10">
        <v>150.80000000000001</v>
      </c>
      <c r="I970" s="12">
        <v>45978</v>
      </c>
      <c r="J970" s="12"/>
      <c r="K970" s="63"/>
      <c r="L970" s="37"/>
      <c r="M970" s="10">
        <f t="shared" ca="1" si="31"/>
        <v>99</v>
      </c>
    </row>
    <row r="971" spans="1:13" ht="18.75" hidden="1" x14ac:dyDescent="0.25">
      <c r="A971" s="9" t="s">
        <v>281</v>
      </c>
      <c r="B971" s="19">
        <f>VLOOKUP(Table27[[#This Row],[Location 
(drop-down)]],'List source'!D$2:E$71,2,FALSE)</f>
        <v>129</v>
      </c>
      <c r="C971" s="178" t="s">
        <v>4347</v>
      </c>
      <c r="D971" s="21" t="str">
        <f t="shared" si="30"/>
        <v>PTO0970-129-25</v>
      </c>
      <c r="E971" s="9" t="s">
        <v>4348</v>
      </c>
      <c r="F971" s="10" t="str" cm="1">
        <f t="array" aca="1" ref="F9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971" s="10">
        <v>16.93</v>
      </c>
      <c r="I971" s="12">
        <v>45978</v>
      </c>
      <c r="J971" s="12"/>
      <c r="K971" s="63"/>
      <c r="L971" s="37"/>
      <c r="M971" s="10">
        <f t="shared" ca="1" si="31"/>
        <v>99</v>
      </c>
    </row>
    <row r="972" spans="1:13" ht="18.75" hidden="1" x14ac:dyDescent="0.25">
      <c r="A972" s="9" t="s">
        <v>156</v>
      </c>
      <c r="B972" s="19">
        <f>VLOOKUP(Table27[[#This Row],[Location 
(drop-down)]],'List source'!D$2:E$71,2,FALSE)</f>
        <v>130</v>
      </c>
      <c r="C972" s="178" t="s">
        <v>4349</v>
      </c>
      <c r="D972" s="21" t="str">
        <f t="shared" si="30"/>
        <v>PTO0971-130-25</v>
      </c>
      <c r="E972" s="9" t="s">
        <v>4350</v>
      </c>
      <c r="F972" s="10" t="str" cm="1">
        <f t="array" aca="1" ref="F9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972" s="136" t="s">
        <v>4351</v>
      </c>
      <c r="I972" s="12">
        <v>45978</v>
      </c>
      <c r="J972" s="12" t="s">
        <v>2074</v>
      </c>
      <c r="K972" s="63">
        <v>46008</v>
      </c>
      <c r="L972" s="37" t="s">
        <v>2079</v>
      </c>
      <c r="M972" s="10" t="str">
        <f t="shared" ca="1" si="31"/>
        <v>CLOSED</v>
      </c>
    </row>
    <row r="973" spans="1:13" ht="18.75" hidden="1" x14ac:dyDescent="0.25">
      <c r="A973" s="9" t="s">
        <v>211</v>
      </c>
      <c r="B973" s="19">
        <f>VLOOKUP(Table27[[#This Row],[Location 
(drop-down)]],'List source'!D$2:E$71,2,FALSE)</f>
        <v>132</v>
      </c>
      <c r="C973" s="178" t="s">
        <v>4352</v>
      </c>
      <c r="D973" s="21" t="str">
        <f t="shared" si="30"/>
        <v>PTO0972-132-25</v>
      </c>
      <c r="E973" s="9" t="s">
        <v>4353</v>
      </c>
      <c r="F973" s="10" t="str" cm="1">
        <f t="array" aca="1" ref="F9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973" s="10">
        <v>3</v>
      </c>
      <c r="I973" s="12">
        <v>45978</v>
      </c>
      <c r="J973" s="12"/>
      <c r="K973" s="63"/>
      <c r="L973" s="37"/>
      <c r="M973" s="10">
        <f t="shared" ca="1" si="31"/>
        <v>99</v>
      </c>
    </row>
    <row r="974" spans="1:13" ht="18.75" hidden="1" x14ac:dyDescent="0.25">
      <c r="A974" s="9" t="s">
        <v>254</v>
      </c>
      <c r="B974" s="19">
        <f>VLOOKUP(Table27[[#This Row],[Location 
(drop-down)]],'List source'!D$2:E$71,2,FALSE)</f>
        <v>133</v>
      </c>
      <c r="C974" s="178" t="s">
        <v>4354</v>
      </c>
      <c r="D974" s="21" t="str">
        <f t="shared" si="30"/>
        <v>PTO0973-133-25</v>
      </c>
      <c r="E974" s="9" t="s">
        <v>4355</v>
      </c>
      <c r="F974" s="10" t="str" cm="1">
        <f t="array" aca="1" ref="F9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974" s="136" t="s">
        <v>4356</v>
      </c>
      <c r="I974" s="12">
        <v>45978</v>
      </c>
      <c r="J974" s="12"/>
      <c r="K974" s="63"/>
      <c r="L974" s="37"/>
      <c r="M974" s="10">
        <f t="shared" ca="1" si="31"/>
        <v>99</v>
      </c>
    </row>
    <row r="975" spans="1:13" ht="18.75" hidden="1" x14ac:dyDescent="0.25">
      <c r="A975" s="9" t="s">
        <v>58</v>
      </c>
      <c r="B975" s="19">
        <f>VLOOKUP(Table27[[#This Row],[Location 
(drop-down)]],'List source'!D$2:E$71,2,FALSE)</f>
        <v>146</v>
      </c>
      <c r="C975" s="178" t="s">
        <v>4357</v>
      </c>
      <c r="D975" s="21" t="str">
        <f t="shared" si="30"/>
        <v>PTO0974-146-25</v>
      </c>
      <c r="E975" s="9" t="s">
        <v>4358</v>
      </c>
      <c r="F975" s="10" t="str" cm="1">
        <f t="array" aca="1" ref="F9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75" s="10">
        <v>3.02</v>
      </c>
      <c r="I975" s="12">
        <v>45978</v>
      </c>
      <c r="J975" s="12" t="s">
        <v>109</v>
      </c>
      <c r="K975" s="63">
        <v>45994</v>
      </c>
      <c r="L975" s="37"/>
      <c r="M975" s="10" t="str">
        <f t="shared" ca="1" si="31"/>
        <v>CLOSED</v>
      </c>
    </row>
    <row r="976" spans="1:13" ht="18.75" hidden="1" x14ac:dyDescent="0.25">
      <c r="A976" s="9" t="s">
        <v>58</v>
      </c>
      <c r="B976" s="19">
        <f>VLOOKUP(Table27[[#This Row],[Location 
(drop-down)]],'List source'!D$2:E$71,2,FALSE)</f>
        <v>146</v>
      </c>
      <c r="C976" s="178" t="s">
        <v>4359</v>
      </c>
      <c r="D976" s="21" t="str">
        <f t="shared" si="30"/>
        <v>PTO0975-146-25</v>
      </c>
      <c r="E976" s="9" t="s">
        <v>4360</v>
      </c>
      <c r="F976" s="10" t="str" cm="1">
        <f t="array" aca="1" ref="F9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976" s="10">
        <v>2.1800000000000002</v>
      </c>
      <c r="I976" s="12">
        <v>45978</v>
      </c>
      <c r="J976" s="12" t="s">
        <v>2074</v>
      </c>
      <c r="K976" s="63">
        <v>45978</v>
      </c>
      <c r="L976" s="37" t="s">
        <v>4361</v>
      </c>
      <c r="M976" s="10" t="str">
        <f t="shared" ca="1" si="31"/>
        <v>CLOSED</v>
      </c>
    </row>
    <row r="977" spans="1:13" ht="18.75" hidden="1" x14ac:dyDescent="0.25">
      <c r="A977" s="9" t="s">
        <v>58</v>
      </c>
      <c r="B977" s="19">
        <f>VLOOKUP(Table27[[#This Row],[Location 
(drop-down)]],'List source'!D$2:E$71,2,FALSE)</f>
        <v>146</v>
      </c>
      <c r="C977" s="178" t="s">
        <v>4362</v>
      </c>
      <c r="D977" s="21" t="str">
        <f t="shared" si="30"/>
        <v>PTO0976-146-25</v>
      </c>
      <c r="E977" s="9" t="s">
        <v>4363</v>
      </c>
      <c r="F977" s="10" t="str" cm="1">
        <f t="array" aca="1" ref="F9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977" s="10">
        <v>2.92</v>
      </c>
      <c r="I977" s="12">
        <v>45978</v>
      </c>
      <c r="J977" s="12" t="s">
        <v>2074</v>
      </c>
      <c r="K977" s="63">
        <v>46013</v>
      </c>
      <c r="L977" s="37" t="s">
        <v>2079</v>
      </c>
      <c r="M977" s="10" t="str">
        <f t="shared" ca="1" si="31"/>
        <v>CLOSED</v>
      </c>
    </row>
    <row r="978" spans="1:13" ht="30" hidden="1" x14ac:dyDescent="0.25">
      <c r="A978" s="9" t="s">
        <v>86</v>
      </c>
      <c r="B978" s="19">
        <f>VLOOKUP(Table27[[#This Row],[Location 
(drop-down)]],'List source'!D$2:E$71,2,FALSE)</f>
        <v>150</v>
      </c>
      <c r="C978" s="178" t="s">
        <v>4364</v>
      </c>
      <c r="D978" s="21" t="str">
        <f t="shared" si="30"/>
        <v>PTO0977-150-25</v>
      </c>
      <c r="E978" s="9" t="s">
        <v>4365</v>
      </c>
      <c r="F978" s="10" t="str" cm="1">
        <f t="array" aca="1" ref="F9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978" s="10" t="s">
        <v>4366</v>
      </c>
      <c r="I978" s="12">
        <v>45978</v>
      </c>
      <c r="J978" s="12"/>
      <c r="K978" s="63"/>
      <c r="L978" s="37"/>
      <c r="M978" s="10">
        <f t="shared" ca="1" si="31"/>
        <v>99</v>
      </c>
    </row>
    <row r="979" spans="1:13" ht="18.75" hidden="1" x14ac:dyDescent="0.25">
      <c r="A979" s="9" t="s">
        <v>86</v>
      </c>
      <c r="B979" s="19">
        <f>VLOOKUP(Table27[[#This Row],[Location 
(drop-down)]],'List source'!D$2:E$71,2,FALSE)</f>
        <v>150</v>
      </c>
      <c r="C979" s="178" t="s">
        <v>4367</v>
      </c>
      <c r="D979" s="21" t="str">
        <f t="shared" si="30"/>
        <v>PTO0978-150-25</v>
      </c>
      <c r="E979" s="9" t="s">
        <v>4368</v>
      </c>
      <c r="F979" s="10" t="str" cm="1">
        <f t="array" aca="1" ref="F9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79" s="10">
        <v>4.45</v>
      </c>
      <c r="I979" s="12">
        <v>45978</v>
      </c>
      <c r="J979" s="12"/>
      <c r="K979" s="63"/>
      <c r="L979" s="37"/>
      <c r="M979" s="10">
        <f t="shared" ca="1" si="31"/>
        <v>99</v>
      </c>
    </row>
    <row r="980" spans="1:13" ht="18.75" hidden="1" x14ac:dyDescent="0.25">
      <c r="A980" s="9" t="s">
        <v>46</v>
      </c>
      <c r="B980" s="19">
        <f>VLOOKUP(Table27[[#This Row],[Location 
(drop-down)]],'List source'!D$2:E$71,2,FALSE)</f>
        <v>155</v>
      </c>
      <c r="C980" s="178" t="s">
        <v>4369</v>
      </c>
      <c r="D980" s="21" t="str">
        <f t="shared" si="30"/>
        <v>PTO0979-155-25</v>
      </c>
      <c r="E980" s="9" t="s">
        <v>4370</v>
      </c>
      <c r="F980" s="10" t="str" cm="1">
        <f t="array" aca="1" ref="F9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980" s="10">
        <v>2.92</v>
      </c>
      <c r="I980" s="12">
        <v>45978</v>
      </c>
      <c r="J980" s="12" t="s">
        <v>2074</v>
      </c>
      <c r="K980" s="63">
        <v>45978</v>
      </c>
      <c r="L980" s="37" t="s">
        <v>4223</v>
      </c>
      <c r="M980" s="10" t="str">
        <f t="shared" ca="1" si="31"/>
        <v>CLOSED</v>
      </c>
    </row>
    <row r="981" spans="1:13" ht="18.75" hidden="1" x14ac:dyDescent="0.25">
      <c r="A981" s="9" t="s">
        <v>76</v>
      </c>
      <c r="B981" s="19">
        <f>VLOOKUP(Table27[[#This Row],[Location 
(drop-down)]],'List source'!D$2:E$71,2,FALSE)</f>
        <v>157</v>
      </c>
      <c r="C981" s="178" t="s">
        <v>4371</v>
      </c>
      <c r="D981" s="21" t="str">
        <f t="shared" si="30"/>
        <v>PTO0980-157-25</v>
      </c>
      <c r="E981" s="9" t="s">
        <v>4372</v>
      </c>
      <c r="F981" s="10" t="str" cm="1">
        <f t="array" aca="1" ref="F9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981" s="10" t="s">
        <v>4373</v>
      </c>
      <c r="I981" s="12">
        <v>45978</v>
      </c>
      <c r="J981" s="12"/>
      <c r="K981" s="63"/>
      <c r="L981" s="37"/>
      <c r="M981" s="10">
        <f t="shared" ca="1" si="31"/>
        <v>99</v>
      </c>
    </row>
    <row r="982" spans="1:13" ht="18.75" hidden="1" x14ac:dyDescent="0.25">
      <c r="A982" s="9" t="s">
        <v>76</v>
      </c>
      <c r="B982" s="19">
        <f>VLOOKUP(Table27[[#This Row],[Location 
(drop-down)]],'List source'!D$2:E$71,2,FALSE)</f>
        <v>157</v>
      </c>
      <c r="C982" s="178" t="s">
        <v>4374</v>
      </c>
      <c r="D982" s="21" t="str">
        <f t="shared" si="30"/>
        <v>PTO0981-157-25</v>
      </c>
      <c r="E982" s="9" t="s">
        <v>4375</v>
      </c>
      <c r="F982" s="10" t="str" cm="1">
        <f t="array" aca="1" ref="F9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982" s="10">
        <v>2.2200000000000002</v>
      </c>
      <c r="I982" s="12">
        <v>45978</v>
      </c>
      <c r="J982" s="12"/>
      <c r="K982" s="63"/>
      <c r="L982" s="37"/>
      <c r="M982" s="10">
        <f t="shared" ca="1" si="31"/>
        <v>99</v>
      </c>
    </row>
    <row r="983" spans="1:13" ht="18.75" hidden="1" x14ac:dyDescent="0.25">
      <c r="A983" s="9" t="s">
        <v>76</v>
      </c>
      <c r="B983" s="19">
        <f>VLOOKUP(Table27[[#This Row],[Location 
(drop-down)]],'List source'!D$2:E$71,2,FALSE)</f>
        <v>157</v>
      </c>
      <c r="C983" s="178" t="s">
        <v>4376</v>
      </c>
      <c r="D983" s="21" t="str">
        <f t="shared" si="30"/>
        <v>PTO0982-157-25</v>
      </c>
      <c r="E983" s="9" t="s">
        <v>4377</v>
      </c>
      <c r="F983" s="10" t="str" cm="1">
        <f t="array" aca="1" ref="F9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83" s="10">
        <v>4.91</v>
      </c>
      <c r="I983" s="12">
        <v>45978</v>
      </c>
      <c r="J983" s="12"/>
      <c r="K983" s="63"/>
      <c r="L983" s="37"/>
      <c r="M983" s="10">
        <f t="shared" ca="1" si="31"/>
        <v>99</v>
      </c>
    </row>
    <row r="984" spans="1:13" ht="18.75" hidden="1" x14ac:dyDescent="0.25">
      <c r="A984" s="9" t="s">
        <v>76</v>
      </c>
      <c r="B984" s="19">
        <f>VLOOKUP(Table27[[#This Row],[Location 
(drop-down)]],'List source'!D$2:E$71,2,FALSE)</f>
        <v>157</v>
      </c>
      <c r="C984" s="178" t="s">
        <v>4378</v>
      </c>
      <c r="D984" s="21" t="str">
        <f t="shared" si="30"/>
        <v>PTO0983-157-25</v>
      </c>
      <c r="E984" s="9" t="s">
        <v>4379</v>
      </c>
      <c r="F984" s="10" t="str" cm="1">
        <f t="array" aca="1" ref="F9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984" s="10">
        <v>6.76</v>
      </c>
      <c r="I984" s="12">
        <v>45978</v>
      </c>
      <c r="J984" s="12"/>
      <c r="K984" s="63"/>
      <c r="L984" s="37"/>
      <c r="M984" s="10">
        <f t="shared" ca="1" si="31"/>
        <v>99</v>
      </c>
    </row>
    <row r="985" spans="1:13" ht="18.75" hidden="1" x14ac:dyDescent="0.25">
      <c r="A985" s="9" t="s">
        <v>25</v>
      </c>
      <c r="B985" s="19">
        <f>VLOOKUP(Table27[[#This Row],[Location 
(drop-down)]],'List source'!D$2:E$71,2,FALSE)</f>
        <v>158</v>
      </c>
      <c r="C985" s="178" t="s">
        <v>4380</v>
      </c>
      <c r="D985" s="21" t="str">
        <f t="shared" si="30"/>
        <v>PTO0984-158-25</v>
      </c>
      <c r="E985" s="9" t="s">
        <v>4381</v>
      </c>
      <c r="F985" s="10" t="str" cm="1">
        <f t="array" aca="1" ref="F9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985" s="10">
        <v>2.4500000000000002</v>
      </c>
      <c r="I985" s="12">
        <v>45978</v>
      </c>
      <c r="J985" s="12" t="s">
        <v>2074</v>
      </c>
      <c r="K985" s="63">
        <v>45978</v>
      </c>
      <c r="L985" s="37" t="s">
        <v>4223</v>
      </c>
      <c r="M985" s="10" t="str">
        <f t="shared" ca="1" si="31"/>
        <v>CLOSED</v>
      </c>
    </row>
    <row r="986" spans="1:13" ht="18.75" hidden="1" x14ac:dyDescent="0.25">
      <c r="A986" s="9" t="s">
        <v>25</v>
      </c>
      <c r="B986" s="19">
        <f>VLOOKUP(Table27[[#This Row],[Location 
(drop-down)]],'List source'!D$2:E$71,2,FALSE)</f>
        <v>158</v>
      </c>
      <c r="C986" s="178" t="s">
        <v>4382</v>
      </c>
      <c r="D986" s="21" t="str">
        <f t="shared" si="30"/>
        <v>PTO0985-158-25</v>
      </c>
      <c r="E986" s="9" t="s">
        <v>4383</v>
      </c>
      <c r="F986" s="10" t="str" cm="1">
        <f t="array" aca="1" ref="F9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86" s="10">
        <v>169.25</v>
      </c>
      <c r="I986" s="12">
        <v>45978</v>
      </c>
      <c r="J986" s="12" t="s">
        <v>82</v>
      </c>
      <c r="K986" s="63">
        <v>45672</v>
      </c>
      <c r="L986" s="37"/>
      <c r="M986" s="10" t="str">
        <f t="shared" ca="1" si="31"/>
        <v>CLOSED</v>
      </c>
    </row>
    <row r="987" spans="1:13" ht="18.75" x14ac:dyDescent="0.25">
      <c r="A987" s="9" t="s">
        <v>79</v>
      </c>
      <c r="B987" s="19">
        <f>VLOOKUP(Table27[[#This Row],[Location 
(drop-down)]],'List source'!D$2:E$71,2,FALSE)</f>
        <v>160</v>
      </c>
      <c r="C987" s="178" t="s">
        <v>4384</v>
      </c>
      <c r="D987" s="21" t="str">
        <f t="shared" si="30"/>
        <v>PTO0986-160-25</v>
      </c>
      <c r="E987" s="9" t="s">
        <v>4385</v>
      </c>
      <c r="F987" s="10" t="str" cm="1">
        <f t="array" aca="1" ref="F9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87" s="136" t="s">
        <v>2236</v>
      </c>
      <c r="I987" s="12">
        <v>45978</v>
      </c>
      <c r="J987" s="12" t="s">
        <v>2074</v>
      </c>
      <c r="K987" s="63">
        <v>45978</v>
      </c>
      <c r="L987" s="37" t="s">
        <v>4223</v>
      </c>
      <c r="M987" s="10" t="str">
        <f t="shared" ca="1" si="31"/>
        <v>CLOSED</v>
      </c>
    </row>
    <row r="988" spans="1:13" ht="18.75" hidden="1" x14ac:dyDescent="0.25">
      <c r="A988" s="9" t="s">
        <v>141</v>
      </c>
      <c r="B988" s="19">
        <f>VLOOKUP(Table27[[#This Row],[Location 
(drop-down)]],'List source'!D$2:E$71,2,FALSE)</f>
        <v>165</v>
      </c>
      <c r="C988" s="178" t="s">
        <v>4386</v>
      </c>
      <c r="D988" s="21" t="str">
        <f t="shared" si="30"/>
        <v>PTO0987-165-25</v>
      </c>
      <c r="E988" s="9" t="s">
        <v>4387</v>
      </c>
      <c r="F988" s="10" t="str" cm="1">
        <f t="array" aca="1" ref="F9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988" s="136" t="s">
        <v>4388</v>
      </c>
      <c r="I988" s="12">
        <v>45978</v>
      </c>
      <c r="J988" s="12"/>
      <c r="K988" s="63"/>
      <c r="L988" s="37"/>
      <c r="M988" s="10">
        <f t="shared" ca="1" si="31"/>
        <v>99</v>
      </c>
    </row>
    <row r="989" spans="1:13" ht="18.75" x14ac:dyDescent="0.25">
      <c r="A989" s="9" t="s">
        <v>141</v>
      </c>
      <c r="B989" s="19">
        <f>VLOOKUP(Table27[[#This Row],[Location 
(drop-down)]],'List source'!D$2:E$71,2,FALSE)</f>
        <v>165</v>
      </c>
      <c r="C989" s="178" t="s">
        <v>4389</v>
      </c>
      <c r="D989" s="21" t="str">
        <f t="shared" si="30"/>
        <v>PTO0988-165-25</v>
      </c>
      <c r="E989" s="9" t="s">
        <v>4385</v>
      </c>
      <c r="F989" s="10" t="str" cm="1">
        <f t="array" aca="1" ref="F9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89" s="10">
        <v>2.34</v>
      </c>
      <c r="I989" s="12">
        <v>45978</v>
      </c>
      <c r="J989" s="12" t="s">
        <v>2074</v>
      </c>
      <c r="K989" s="63">
        <v>45978</v>
      </c>
      <c r="L989" s="37" t="s">
        <v>4223</v>
      </c>
      <c r="M989" s="10" t="str">
        <f t="shared" ca="1" si="31"/>
        <v>CLOSED</v>
      </c>
    </row>
    <row r="990" spans="1:13" ht="30" hidden="1" x14ac:dyDescent="0.25">
      <c r="A990" s="9" t="s">
        <v>107</v>
      </c>
      <c r="B990" s="19">
        <f>VLOOKUP(Table27[[#This Row],[Location 
(drop-down)]],'List source'!D$2:E$71,2,FALSE)</f>
        <v>170</v>
      </c>
      <c r="C990" s="178" t="s">
        <v>4390</v>
      </c>
      <c r="D990" s="21" t="str">
        <f t="shared" si="30"/>
        <v>PTO0989-170-25</v>
      </c>
      <c r="E990" s="9" t="s">
        <v>4391</v>
      </c>
      <c r="F990" s="10" t="str" cm="1">
        <f t="array" aca="1" ref="F9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990" s="136" t="s">
        <v>4392</v>
      </c>
      <c r="I990" s="12">
        <v>45978</v>
      </c>
      <c r="J990" s="12" t="s">
        <v>109</v>
      </c>
      <c r="K990" s="63">
        <v>46052</v>
      </c>
      <c r="L990" s="37"/>
      <c r="M990" s="10" t="str">
        <f t="shared" ca="1" si="31"/>
        <v>CLOSED</v>
      </c>
    </row>
    <row r="991" spans="1:13" ht="30" hidden="1" x14ac:dyDescent="0.25">
      <c r="A991" s="9" t="s">
        <v>107</v>
      </c>
      <c r="B991" s="19">
        <f>VLOOKUP(Table27[[#This Row],[Location 
(drop-down)]],'List source'!D$2:E$71,2,FALSE)</f>
        <v>170</v>
      </c>
      <c r="C991" s="178" t="s">
        <v>4393</v>
      </c>
      <c r="D991" s="21" t="str">
        <f t="shared" si="30"/>
        <v>PTO0990-170-25</v>
      </c>
      <c r="E991" s="9" t="s">
        <v>4394</v>
      </c>
      <c r="F991" s="10" t="str" cm="1">
        <f t="array" aca="1" ref="F9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D5002 - Density</v>
      </c>
      <c r="H991" s="10">
        <v>2.27</v>
      </c>
      <c r="I991" s="12">
        <v>45978</v>
      </c>
      <c r="J991" s="12" t="s">
        <v>2074</v>
      </c>
      <c r="K991" s="63">
        <v>46031</v>
      </c>
      <c r="L991" s="37" t="s">
        <v>4231</v>
      </c>
      <c r="M991" s="10" t="str">
        <f t="shared" ca="1" si="31"/>
        <v>CLOSED</v>
      </c>
    </row>
    <row r="992" spans="1:13" ht="30" hidden="1" x14ac:dyDescent="0.25">
      <c r="A992" s="9" t="s">
        <v>107</v>
      </c>
      <c r="B992" s="19">
        <f>VLOOKUP(Table27[[#This Row],[Location 
(drop-down)]],'List source'!D$2:E$71,2,FALSE)</f>
        <v>170</v>
      </c>
      <c r="C992" s="178" t="s">
        <v>4395</v>
      </c>
      <c r="D992" s="21" t="str">
        <f t="shared" si="30"/>
        <v>PTO0991-170-25</v>
      </c>
      <c r="E992" s="9" t="s">
        <v>4396</v>
      </c>
      <c r="F992" s="10" t="str" cm="1">
        <f t="array" aca="1" ref="F9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D5863 - Element</v>
      </c>
      <c r="H992" s="10">
        <v>6.53</v>
      </c>
      <c r="I992" s="12">
        <v>45978</v>
      </c>
      <c r="J992" s="12" t="s">
        <v>109</v>
      </c>
      <c r="K992" s="63">
        <v>46051</v>
      </c>
      <c r="L992" s="37"/>
      <c r="M992" s="10" t="str">
        <f t="shared" ca="1" si="31"/>
        <v>CLOSED</v>
      </c>
    </row>
    <row r="993" spans="1:13" ht="30" hidden="1" x14ac:dyDescent="0.25">
      <c r="A993" s="9" t="s">
        <v>107</v>
      </c>
      <c r="B993" s="19">
        <f>VLOOKUP(Table27[[#This Row],[Location 
(drop-down)]],'List source'!D$2:E$71,2,FALSE)</f>
        <v>170</v>
      </c>
      <c r="C993" s="178" t="s">
        <v>4397</v>
      </c>
      <c r="D993" s="21" t="str">
        <f t="shared" si="30"/>
        <v>PTO0992-170-25</v>
      </c>
      <c r="E993" s="9" t="s">
        <v>4398</v>
      </c>
      <c r="F993" s="10" t="str" cm="1">
        <f t="array" aca="1" ref="F9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D4929 - Organic Chloride</v>
      </c>
      <c r="H993" s="10">
        <v>5.56</v>
      </c>
      <c r="I993" s="12">
        <v>45978</v>
      </c>
      <c r="J993" s="12" t="s">
        <v>109</v>
      </c>
      <c r="K993" s="63">
        <v>46050</v>
      </c>
      <c r="L993" s="37"/>
      <c r="M993" s="10" t="str">
        <f t="shared" ca="1" si="31"/>
        <v>CLOSED</v>
      </c>
    </row>
    <row r="994" spans="1:13" ht="30" hidden="1" x14ac:dyDescent="0.25">
      <c r="A994" s="9" t="s">
        <v>107</v>
      </c>
      <c r="B994" s="19">
        <f>VLOOKUP(Table27[[#This Row],[Location 
(drop-down)]],'List source'!D$2:E$71,2,FALSE)</f>
        <v>170</v>
      </c>
      <c r="C994" s="178" t="s">
        <v>4399</v>
      </c>
      <c r="D994" s="21" t="str">
        <f t="shared" si="30"/>
        <v>PTO0993-170-25</v>
      </c>
      <c r="E994" s="9" t="s">
        <v>4400</v>
      </c>
      <c r="F994" s="10" t="str" cm="1">
        <f t="array" aca="1" ref="F9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D4807 - Sediment</v>
      </c>
      <c r="H994" s="10">
        <v>7.04</v>
      </c>
      <c r="I994" s="12">
        <v>45978</v>
      </c>
      <c r="J994" s="12" t="s">
        <v>109</v>
      </c>
      <c r="K994" s="63">
        <v>46015</v>
      </c>
      <c r="L994" s="37"/>
      <c r="M994" s="10" t="str">
        <f t="shared" ca="1" si="31"/>
        <v>CLOSED</v>
      </c>
    </row>
    <row r="995" spans="1:13" ht="30" hidden="1" x14ac:dyDescent="0.25">
      <c r="A995" s="9" t="s">
        <v>107</v>
      </c>
      <c r="B995" s="19">
        <f>VLOOKUP(Table27[[#This Row],[Location 
(drop-down)]],'List source'!D$2:E$71,2,FALSE)</f>
        <v>170</v>
      </c>
      <c r="C995" s="178" t="s">
        <v>4401</v>
      </c>
      <c r="D995" s="21" t="str">
        <f t="shared" si="30"/>
        <v>PTO0994-170-25</v>
      </c>
      <c r="E995" s="9" t="s">
        <v>4402</v>
      </c>
      <c r="F995" s="10" t="str" cm="1">
        <f t="array" aca="1" ref="F9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995" s="10">
        <v>127.8</v>
      </c>
      <c r="I995" s="12">
        <v>45978</v>
      </c>
      <c r="J995" s="12" t="s">
        <v>2074</v>
      </c>
      <c r="K995" s="63">
        <v>46050</v>
      </c>
      <c r="L995" s="37" t="s">
        <v>2079</v>
      </c>
      <c r="M995" s="10" t="str">
        <f t="shared" ca="1" si="31"/>
        <v>CLOSED</v>
      </c>
    </row>
    <row r="996" spans="1:13" ht="30" x14ac:dyDescent="0.25">
      <c r="A996" s="9" t="s">
        <v>107</v>
      </c>
      <c r="B996" s="19">
        <f>VLOOKUP(Table27[[#This Row],[Location 
(drop-down)]],'List source'!D$2:E$71,2,FALSE)</f>
        <v>170</v>
      </c>
      <c r="C996" s="178" t="s">
        <v>4403</v>
      </c>
      <c r="D996" s="21" t="str">
        <f t="shared" si="30"/>
        <v>PTO0995-170-25</v>
      </c>
      <c r="E996" s="9" t="s">
        <v>4404</v>
      </c>
      <c r="F996" s="10" t="str" cm="1">
        <f t="array" aca="1" ref="F9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996" s="10">
        <v>2.0699999999999998</v>
      </c>
      <c r="I996" s="12">
        <v>45978</v>
      </c>
      <c r="J996" s="12" t="s">
        <v>2074</v>
      </c>
      <c r="K996" s="63">
        <v>45978</v>
      </c>
      <c r="L996" s="37" t="s">
        <v>4223</v>
      </c>
      <c r="M996" s="10" t="str">
        <f t="shared" ca="1" si="31"/>
        <v>CLOSED</v>
      </c>
    </row>
    <row r="997" spans="1:13" ht="30" hidden="1" x14ac:dyDescent="0.25">
      <c r="A997" s="9" t="s">
        <v>107</v>
      </c>
      <c r="B997" s="19">
        <f>VLOOKUP(Table27[[#This Row],[Location 
(drop-down)]],'List source'!D$2:E$71,2,FALSE)</f>
        <v>170</v>
      </c>
      <c r="C997" s="178" t="s">
        <v>4405</v>
      </c>
      <c r="D997" s="21" t="str">
        <f t="shared" si="30"/>
        <v>PTO0996-170-25</v>
      </c>
      <c r="E997" s="9" t="s">
        <v>4406</v>
      </c>
      <c r="F997" s="10" t="str" cm="1">
        <f t="array" aca="1" ref="F9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997" s="10" t="s">
        <v>4407</v>
      </c>
      <c r="I997" s="12">
        <v>45978</v>
      </c>
      <c r="J997" s="12" t="s">
        <v>2074</v>
      </c>
      <c r="K997" s="63">
        <v>45978</v>
      </c>
      <c r="L997" s="37" t="s">
        <v>4223</v>
      </c>
      <c r="M997" s="10" t="str">
        <f t="shared" ca="1" si="31"/>
        <v>CLOSED</v>
      </c>
    </row>
    <row r="998" spans="1:13" ht="30" hidden="1" x14ac:dyDescent="0.25">
      <c r="A998" s="9" t="s">
        <v>107</v>
      </c>
      <c r="B998" s="19">
        <f>VLOOKUP(Table27[[#This Row],[Location 
(drop-down)]],'List source'!D$2:E$71,2,FALSE)</f>
        <v>170</v>
      </c>
      <c r="C998" s="178" t="s">
        <v>4408</v>
      </c>
      <c r="D998" s="21" t="str">
        <f t="shared" si="30"/>
        <v>PTO0997-170-25</v>
      </c>
      <c r="E998" s="9" t="s">
        <v>4353</v>
      </c>
      <c r="F998" s="10" t="str" cm="1">
        <f t="array" aca="1" ref="F9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998" s="136">
        <v>3</v>
      </c>
      <c r="I998" s="12">
        <v>45978</v>
      </c>
      <c r="J998" s="12" t="s">
        <v>109</v>
      </c>
      <c r="K998" s="63">
        <v>46014</v>
      </c>
      <c r="L998" s="37"/>
      <c r="M998" s="10" t="str">
        <f t="shared" ca="1" si="31"/>
        <v>CLOSED</v>
      </c>
    </row>
    <row r="999" spans="1:13" ht="18.75" hidden="1" x14ac:dyDescent="0.25">
      <c r="A999" s="9" t="s">
        <v>237</v>
      </c>
      <c r="B999" s="19">
        <f>VLOOKUP(Table27[[#This Row],[Location 
(drop-down)]],'List source'!D$2:E$71,2,FALSE)</f>
        <v>171</v>
      </c>
      <c r="C999" s="178" t="s">
        <v>4409</v>
      </c>
      <c r="D999" s="21" t="str">
        <f t="shared" si="30"/>
        <v>PTO0998-171-25</v>
      </c>
      <c r="E999" s="9" t="s">
        <v>4410</v>
      </c>
      <c r="F999" s="10" t="str" cm="1">
        <f t="array" aca="1" ref="F9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9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D4807 - Sediment</v>
      </c>
      <c r="H999" s="10">
        <v>3.38</v>
      </c>
      <c r="I999" s="12">
        <v>45978</v>
      </c>
      <c r="J999" s="12" t="s">
        <v>2074</v>
      </c>
      <c r="K999" s="63">
        <v>46030</v>
      </c>
      <c r="L999" s="37" t="s">
        <v>2079</v>
      </c>
      <c r="M999" s="10" t="str">
        <f t="shared" ca="1" si="31"/>
        <v>CLOSED</v>
      </c>
    </row>
    <row r="1000" spans="1:13" ht="18.75" hidden="1" x14ac:dyDescent="0.25">
      <c r="A1000" s="9" t="s">
        <v>287</v>
      </c>
      <c r="B1000" s="19">
        <f>VLOOKUP(Table27[[#This Row],[Location 
(drop-down)]],'List source'!D$2:E$71,2,FALSE)</f>
        <v>180</v>
      </c>
      <c r="C1000" s="178" t="s">
        <v>4411</v>
      </c>
      <c r="D1000" s="21" t="str">
        <f t="shared" si="30"/>
        <v>PTO0999-180-25</v>
      </c>
      <c r="E1000" s="9" t="s">
        <v>4412</v>
      </c>
      <c r="F1000" s="10" t="str" cm="1">
        <f t="array" aca="1" ref="F10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0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1000" s="10">
        <v>3.02</v>
      </c>
      <c r="I1000" s="12">
        <v>45978</v>
      </c>
      <c r="J1000" s="12" t="s">
        <v>2074</v>
      </c>
      <c r="K1000" s="63">
        <v>46027</v>
      </c>
      <c r="L1000" s="37" t="s">
        <v>2079</v>
      </c>
      <c r="M1000" s="10" t="str">
        <f t="shared" ca="1" si="31"/>
        <v>CLOSED</v>
      </c>
    </row>
    <row r="1001" spans="1:13" ht="18.75" hidden="1" x14ac:dyDescent="0.25">
      <c r="A1001" s="9" t="s">
        <v>287</v>
      </c>
      <c r="B1001" s="19">
        <f>VLOOKUP(Table27[[#This Row],[Location 
(drop-down)]],'List source'!D$2:E$71,2,FALSE)</f>
        <v>180</v>
      </c>
      <c r="C1001" s="178" t="s">
        <v>4413</v>
      </c>
      <c r="D1001" s="21" t="str">
        <f t="shared" si="30"/>
        <v>PTO1000-180-25</v>
      </c>
      <c r="E1001" s="9" t="s">
        <v>4414</v>
      </c>
      <c r="F1001" s="10" t="str" cm="1">
        <f t="array" aca="1" ref="F10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0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001" s="136" t="s">
        <v>3750</v>
      </c>
      <c r="I1001" s="12">
        <v>45978</v>
      </c>
      <c r="J1001" s="12" t="s">
        <v>2074</v>
      </c>
      <c r="K1001" s="63">
        <v>45982</v>
      </c>
      <c r="L1001" s="37" t="s">
        <v>4231</v>
      </c>
      <c r="M1001" s="10" t="str">
        <f t="shared" ca="1" si="31"/>
        <v>CLOSED</v>
      </c>
    </row>
    <row r="1002" spans="1:13" ht="18.75" hidden="1" x14ac:dyDescent="0.25">
      <c r="A1002" s="9" t="s">
        <v>91</v>
      </c>
      <c r="B1002" s="19">
        <f>VLOOKUP(Table27[[#This Row],[Location 
(drop-down)]],'List source'!D$2:E$71,2,FALSE)</f>
        <v>190</v>
      </c>
      <c r="C1002" s="178" t="s">
        <v>4415</v>
      </c>
      <c r="D1002" s="21" t="str">
        <f t="shared" si="30"/>
        <v>PTO1001-190-25</v>
      </c>
      <c r="E1002" s="9" t="s">
        <v>4416</v>
      </c>
      <c r="F1002" s="10" t="str" cm="1">
        <f t="array" aca="1" ref="F10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0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1002" s="10">
        <v>4.5999999999999996</v>
      </c>
      <c r="I1002" s="12">
        <v>45978</v>
      </c>
      <c r="J1002" s="12" t="s">
        <v>109</v>
      </c>
      <c r="K1002" s="63">
        <v>46020</v>
      </c>
      <c r="L1002" s="37"/>
      <c r="M1002" s="10" t="str">
        <f t="shared" ca="1" si="31"/>
        <v>CLOSED</v>
      </c>
    </row>
    <row r="1003" spans="1:13" ht="30" hidden="1" x14ac:dyDescent="0.25">
      <c r="A1003" s="9" t="s">
        <v>107</v>
      </c>
      <c r="B1003" s="19">
        <f>VLOOKUP(Table27[[#This Row],[Location 
(drop-down)]],'List source'!D$2:E$71,2,FALSE)</f>
        <v>170</v>
      </c>
      <c r="C1003" s="178" t="s">
        <v>4417</v>
      </c>
      <c r="D1003" s="21" t="str">
        <f t="shared" si="30"/>
        <v>PTO1002-170-25</v>
      </c>
      <c r="E1003" s="9" t="s">
        <v>4418</v>
      </c>
      <c r="F1003" s="10" t="s">
        <v>2664</v>
      </c>
      <c r="G10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3" s="136">
        <v>2.33</v>
      </c>
      <c r="I1003" s="12">
        <v>45979</v>
      </c>
      <c r="J1003" s="12" t="s">
        <v>2074</v>
      </c>
      <c r="K1003" s="63">
        <v>45979</v>
      </c>
      <c r="L1003" s="37" t="s">
        <v>4223</v>
      </c>
      <c r="M1003" s="10" t="str">
        <f t="shared" ca="1" si="31"/>
        <v>CLOSED</v>
      </c>
    </row>
    <row r="1004" spans="1:13" ht="18.75" hidden="1" x14ac:dyDescent="0.25">
      <c r="A1004" s="9" t="s">
        <v>94</v>
      </c>
      <c r="B1004" s="19">
        <f>VLOOKUP(Table27[[#This Row],[Location 
(drop-down)]],'List source'!D$2:E$71,2,FALSE)</f>
        <v>120</v>
      </c>
      <c r="C1004" s="178" t="s">
        <v>4419</v>
      </c>
      <c r="D1004" s="21" t="str">
        <f t="shared" si="30"/>
        <v>PTO1003-120-25</v>
      </c>
      <c r="E1004" s="9" t="s">
        <v>4420</v>
      </c>
      <c r="F1004" s="10" t="s">
        <v>2664</v>
      </c>
      <c r="G10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Oxygenates</v>
      </c>
      <c r="H1004" s="136" t="s">
        <v>3216</v>
      </c>
      <c r="I1004" s="12">
        <v>45979</v>
      </c>
      <c r="J1004" s="12" t="s">
        <v>2074</v>
      </c>
      <c r="K1004" s="63">
        <v>45979</v>
      </c>
      <c r="L1004" s="37" t="s">
        <v>4223</v>
      </c>
      <c r="M1004" s="10" t="str">
        <f t="shared" ca="1" si="31"/>
        <v>CLOSED</v>
      </c>
    </row>
    <row r="1005" spans="1:13" ht="18.75" hidden="1" x14ac:dyDescent="0.25">
      <c r="A1005" s="9" t="s">
        <v>94</v>
      </c>
      <c r="B1005" s="19">
        <f>VLOOKUP(Table27[[#This Row],[Location 
(drop-down)]],'List source'!D$2:E$71,2,FALSE)</f>
        <v>120</v>
      </c>
      <c r="C1005" s="178" t="s">
        <v>4421</v>
      </c>
      <c r="D1005" s="21" t="str">
        <f t="shared" si="30"/>
        <v>PTO1004-120-25</v>
      </c>
      <c r="E1005" s="9" t="s">
        <v>4422</v>
      </c>
      <c r="F1005" s="10" t="s">
        <v>2664</v>
      </c>
      <c r="G10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5" s="10">
        <v>2.12</v>
      </c>
      <c r="I1005" s="12">
        <v>45979</v>
      </c>
      <c r="J1005" s="12" t="s">
        <v>2074</v>
      </c>
      <c r="K1005" s="63">
        <v>45979</v>
      </c>
      <c r="L1005" s="37" t="s">
        <v>4223</v>
      </c>
      <c r="M1005" s="10" t="str">
        <f t="shared" ca="1" si="31"/>
        <v>CLOSED</v>
      </c>
    </row>
    <row r="1006" spans="1:13" ht="18.75" hidden="1" x14ac:dyDescent="0.25">
      <c r="A1006" s="9" t="s">
        <v>46</v>
      </c>
      <c r="B1006" s="19">
        <f>VLOOKUP(Table27[[#This Row],[Location 
(drop-down)]],'List source'!D$2:E$71,2,FALSE)</f>
        <v>155</v>
      </c>
      <c r="C1006" s="178" t="s">
        <v>4423</v>
      </c>
      <c r="D1006" s="21" t="str">
        <f t="shared" si="30"/>
        <v>PTO1005-155-25</v>
      </c>
      <c r="E1006" s="9" t="s">
        <v>4424</v>
      </c>
      <c r="F1006" s="10" t="s">
        <v>2664</v>
      </c>
      <c r="G10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RVP</v>
      </c>
      <c r="H1006" s="136" t="s">
        <v>2236</v>
      </c>
      <c r="I1006" s="12">
        <v>45979</v>
      </c>
      <c r="J1006" s="12" t="s">
        <v>2074</v>
      </c>
      <c r="K1006" s="63">
        <v>45979</v>
      </c>
      <c r="L1006" s="37" t="s">
        <v>4223</v>
      </c>
      <c r="M1006" s="10" t="str">
        <f t="shared" ca="1" si="31"/>
        <v>CLOSED</v>
      </c>
    </row>
    <row r="1007" spans="1:13" ht="18.75" hidden="1" x14ac:dyDescent="0.25">
      <c r="A1007" s="9" t="s">
        <v>46</v>
      </c>
      <c r="B1007" s="19">
        <f>VLOOKUP(Table27[[#This Row],[Location 
(drop-down)]],'List source'!D$2:E$71,2,FALSE)</f>
        <v>155</v>
      </c>
      <c r="C1007" s="178" t="s">
        <v>4425</v>
      </c>
      <c r="D1007" s="21" t="str">
        <f t="shared" si="30"/>
        <v>PTO1006-155-25</v>
      </c>
      <c r="E1007" s="9" t="s">
        <v>4426</v>
      </c>
      <c r="F1007" s="10" t="s">
        <v>2664</v>
      </c>
      <c r="G10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7" s="136" t="s">
        <v>4427</v>
      </c>
      <c r="I1007" s="12">
        <v>45979</v>
      </c>
      <c r="J1007" s="12"/>
      <c r="K1007" s="63"/>
      <c r="L1007" s="37"/>
      <c r="M1007" s="10">
        <f t="shared" ca="1" si="31"/>
        <v>98</v>
      </c>
    </row>
    <row r="1008" spans="1:13" ht="18.75" hidden="1" x14ac:dyDescent="0.25">
      <c r="A1008" s="9" t="s">
        <v>179</v>
      </c>
      <c r="B1008" s="19">
        <f>VLOOKUP(Table27[[#This Row],[Location 
(drop-down)]],'List source'!D$2:E$71,2,FALSE)</f>
        <v>189</v>
      </c>
      <c r="C1008" s="178" t="s">
        <v>4428</v>
      </c>
      <c r="D1008" s="21" t="str">
        <f t="shared" si="30"/>
        <v>PTO1007-189-25</v>
      </c>
      <c r="E1008" s="9" t="s">
        <v>4429</v>
      </c>
      <c r="F1008" s="10" t="s">
        <v>3047</v>
      </c>
      <c r="G10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8" s="10">
        <v>5.45</v>
      </c>
      <c r="I1008" s="12">
        <v>45980</v>
      </c>
      <c r="J1008" s="12"/>
      <c r="K1008" s="63"/>
      <c r="L1008" s="37"/>
      <c r="M1008" s="10">
        <f t="shared" ca="1" si="31"/>
        <v>97</v>
      </c>
    </row>
    <row r="1009" spans="1:13" ht="18.75" hidden="1" x14ac:dyDescent="0.25">
      <c r="A1009" s="9" t="s">
        <v>179</v>
      </c>
      <c r="B1009" s="19">
        <f>VLOOKUP(Table27[[#This Row],[Location 
(drop-down)]],'List source'!D$2:E$71,2,FALSE)</f>
        <v>189</v>
      </c>
      <c r="C1009" s="178" t="s">
        <v>4430</v>
      </c>
      <c r="D1009" s="21" t="str">
        <f t="shared" si="30"/>
        <v>PTO1008-189-25</v>
      </c>
      <c r="E1009" s="9" t="s">
        <v>4431</v>
      </c>
      <c r="F1009" s="10" t="s">
        <v>3047</v>
      </c>
      <c r="G10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v>
      </c>
      <c r="H1009" s="136" t="s">
        <v>4432</v>
      </c>
      <c r="I1009" s="12">
        <v>45980</v>
      </c>
      <c r="J1009" s="12"/>
      <c r="K1009" s="63"/>
      <c r="L1009" s="37"/>
      <c r="M1009" s="10">
        <f t="shared" ca="1" si="31"/>
        <v>97</v>
      </c>
    </row>
    <row r="1010" spans="1:13" ht="18.75" hidden="1" x14ac:dyDescent="0.25">
      <c r="A1010" s="9" t="s">
        <v>179</v>
      </c>
      <c r="B1010" s="19">
        <f>VLOOKUP(Table27[[#This Row],[Location 
(drop-down)]],'List source'!D$2:E$71,2,FALSE)</f>
        <v>189</v>
      </c>
      <c r="C1010" s="178" t="s">
        <v>4433</v>
      </c>
      <c r="D1010" s="21" t="str">
        <f t="shared" si="30"/>
        <v>PTO1009-189-25</v>
      </c>
      <c r="E1010" s="9" t="s">
        <v>4434</v>
      </c>
      <c r="F1010" s="10" t="s">
        <v>3047</v>
      </c>
      <c r="G10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Regulation SOR/97-493</v>
      </c>
      <c r="H1010" s="10">
        <v>2.5099999999999998</v>
      </c>
      <c r="I1010" s="12">
        <v>45980</v>
      </c>
      <c r="J1010" s="12" t="s">
        <v>2074</v>
      </c>
      <c r="K1010" s="63">
        <v>45980</v>
      </c>
      <c r="L1010" s="37" t="s">
        <v>4223</v>
      </c>
      <c r="M1010" s="10" t="str">
        <f t="shared" ca="1" si="31"/>
        <v>CLOSED</v>
      </c>
    </row>
    <row r="1011" spans="1:13" ht="18.75" hidden="1" x14ac:dyDescent="0.25">
      <c r="A1011" s="9" t="s">
        <v>179</v>
      </c>
      <c r="B1011" s="19">
        <f>VLOOKUP(Table27[[#This Row],[Location 
(drop-down)]],'List source'!D$2:E$71,2,FALSE)</f>
        <v>189</v>
      </c>
      <c r="C1011" s="178" t="s">
        <v>4435</v>
      </c>
      <c r="D1011" s="21" t="str">
        <f t="shared" si="30"/>
        <v>PTO1010-189-25</v>
      </c>
      <c r="E1011" s="9" t="s">
        <v>4436</v>
      </c>
      <c r="F1011" s="10" t="s">
        <v>3047</v>
      </c>
      <c r="G10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011" s="10">
        <v>2.02</v>
      </c>
      <c r="I1011" s="12">
        <v>45980</v>
      </c>
      <c r="J1011" s="12" t="s">
        <v>2074</v>
      </c>
      <c r="K1011" s="63">
        <v>45980</v>
      </c>
      <c r="L1011" s="37" t="s">
        <v>4223</v>
      </c>
      <c r="M1011" s="10" t="str">
        <f t="shared" ca="1" si="31"/>
        <v>CLOSED</v>
      </c>
    </row>
    <row r="1012" spans="1:13" ht="18.75" hidden="1" x14ac:dyDescent="0.25">
      <c r="A1012" s="9" t="s">
        <v>71</v>
      </c>
      <c r="B1012" s="19">
        <f>VLOOKUP(Table27[[#This Row],[Location 
(drop-down)]],'List source'!D$2:E$71,2,FALSE)</f>
        <v>127</v>
      </c>
      <c r="C1012" s="178" t="s">
        <v>4437</v>
      </c>
      <c r="D1012" s="21" t="str">
        <f t="shared" si="30"/>
        <v>PTO1011-127-25</v>
      </c>
      <c r="E1012" s="9" t="s">
        <v>4438</v>
      </c>
      <c r="F1012" s="10" t="str" cm="1">
        <f t="array" aca="1" ref="F10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12" s="10">
        <v>13.77</v>
      </c>
      <c r="I1012" s="12">
        <v>45982</v>
      </c>
      <c r="J1012" s="12" t="s">
        <v>2074</v>
      </c>
      <c r="K1012" s="63">
        <v>46027</v>
      </c>
      <c r="L1012" s="37" t="s">
        <v>2079</v>
      </c>
      <c r="M1012" s="10" t="str">
        <f t="shared" ca="1" si="31"/>
        <v>CLOSED</v>
      </c>
    </row>
    <row r="1013" spans="1:13" ht="18.75" hidden="1" x14ac:dyDescent="0.25">
      <c r="A1013" s="9" t="s">
        <v>71</v>
      </c>
      <c r="B1013" s="19">
        <f>VLOOKUP(Table27[[#This Row],[Location 
(drop-down)]],'List source'!D$2:E$71,2,FALSE)</f>
        <v>127</v>
      </c>
      <c r="C1013" s="178" t="s">
        <v>4439</v>
      </c>
      <c r="D1013" s="21" t="str">
        <f t="shared" si="30"/>
        <v>PTO1012-127-25</v>
      </c>
      <c r="E1013" s="9" t="s">
        <v>4440</v>
      </c>
      <c r="F1013" s="10" t="str" cm="1">
        <f t="array" aca="1" ref="F10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1013" s="136" t="s">
        <v>2881</v>
      </c>
      <c r="I1013" s="12">
        <v>45982</v>
      </c>
      <c r="J1013" s="12" t="s">
        <v>2074</v>
      </c>
      <c r="K1013" s="63">
        <v>45986</v>
      </c>
      <c r="L1013" s="37" t="s">
        <v>4231</v>
      </c>
      <c r="M1013" s="10" t="str">
        <f t="shared" ca="1" si="31"/>
        <v>CLOSED</v>
      </c>
    </row>
    <row r="1014" spans="1:13" ht="30" hidden="1" x14ac:dyDescent="0.25">
      <c r="A1014" s="9" t="s">
        <v>156</v>
      </c>
      <c r="B1014" s="19">
        <f>VLOOKUP(Table27[[#This Row],[Location 
(drop-down)]],'List source'!D$2:E$71,2,FALSE)</f>
        <v>130</v>
      </c>
      <c r="C1014" s="178" t="s">
        <v>4441</v>
      </c>
      <c r="D1014" s="21" t="str">
        <f t="shared" si="30"/>
        <v>PTO1013-130-25</v>
      </c>
      <c r="E1014" s="9" t="s">
        <v>4442</v>
      </c>
      <c r="F1014" s="10" t="str" cm="1">
        <f t="array" aca="1" ref="F10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14" s="10" t="s">
        <v>4443</v>
      </c>
      <c r="I1014" s="12">
        <v>45982</v>
      </c>
      <c r="J1014" s="12"/>
      <c r="K1014" s="63"/>
      <c r="L1014" s="37"/>
      <c r="M1014" s="10">
        <f t="shared" ca="1" si="31"/>
        <v>95</v>
      </c>
    </row>
    <row r="1015" spans="1:13" ht="18.75" hidden="1" x14ac:dyDescent="0.25">
      <c r="A1015" s="9" t="s">
        <v>156</v>
      </c>
      <c r="B1015" s="19">
        <f>VLOOKUP(Table27[[#This Row],[Location 
(drop-down)]],'List source'!D$2:E$71,2,FALSE)</f>
        <v>130</v>
      </c>
      <c r="C1015" s="178" t="s">
        <v>4444</v>
      </c>
      <c r="D1015" s="226" t="str">
        <f t="shared" si="30"/>
        <v>PTO1014-130-25</v>
      </c>
      <c r="E1015" s="9" t="s">
        <v>4445</v>
      </c>
      <c r="F1015" s="10" t="str" cm="1">
        <f t="array" aca="1" ref="F10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(EPA)</v>
      </c>
      <c r="H1015" s="136" t="s">
        <v>4446</v>
      </c>
      <c r="I1015" s="12">
        <v>45982</v>
      </c>
      <c r="J1015" s="12" t="s">
        <v>167</v>
      </c>
      <c r="K1015" s="63">
        <v>46029</v>
      </c>
      <c r="L1015" s="339" t="s">
        <v>3881</v>
      </c>
      <c r="M1015" s="10" t="str">
        <f t="shared" ca="1" si="31"/>
        <v>CLOSED</v>
      </c>
    </row>
    <row r="1016" spans="1:13" ht="18.75" hidden="1" x14ac:dyDescent="0.25">
      <c r="A1016" s="9" t="s">
        <v>156</v>
      </c>
      <c r="B1016" s="19">
        <f>VLOOKUP(Table27[[#This Row],[Location 
(drop-down)]],'List source'!D$2:E$71,2,FALSE)</f>
        <v>130</v>
      </c>
      <c r="C1016" s="178" t="s">
        <v>4447</v>
      </c>
      <c r="D1016" s="226" t="str">
        <f t="shared" si="30"/>
        <v>PTO1015-130-25</v>
      </c>
      <c r="E1016" s="9" t="s">
        <v>4448</v>
      </c>
      <c r="F1016" s="10" t="str" cm="1">
        <f t="array" aca="1" ref="F10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016" s="136" t="s">
        <v>4449</v>
      </c>
      <c r="I1016" s="12">
        <v>45982</v>
      </c>
      <c r="J1016" s="12" t="s">
        <v>167</v>
      </c>
      <c r="K1016" s="63">
        <v>46029</v>
      </c>
      <c r="L1016" s="339" t="s">
        <v>3881</v>
      </c>
      <c r="M1016" s="10" t="str">
        <f t="shared" ca="1" si="31"/>
        <v>CLOSED</v>
      </c>
    </row>
    <row r="1017" spans="1:13" ht="18.75" hidden="1" x14ac:dyDescent="0.25">
      <c r="A1017" s="9" t="s">
        <v>156</v>
      </c>
      <c r="B1017" s="19">
        <f>VLOOKUP(Table27[[#This Row],[Location 
(drop-down)]],'List source'!D$2:E$71,2,FALSE)</f>
        <v>130</v>
      </c>
      <c r="C1017" s="178" t="s">
        <v>4450</v>
      </c>
      <c r="D1017" s="226" t="str">
        <f t="shared" si="30"/>
        <v>PTO1016-130-25</v>
      </c>
      <c r="E1017" s="9" t="s">
        <v>4451</v>
      </c>
      <c r="F1017" s="10" t="str" cm="1">
        <f t="array" aca="1" ref="F10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17" s="136" t="s">
        <v>3032</v>
      </c>
      <c r="I1017" s="12">
        <v>45982</v>
      </c>
      <c r="J1017" s="12" t="s">
        <v>2074</v>
      </c>
      <c r="K1017" s="63">
        <v>46002</v>
      </c>
      <c r="L1017" s="342" t="s">
        <v>2079</v>
      </c>
      <c r="M1017" s="10" t="str">
        <f t="shared" ca="1" si="31"/>
        <v>CLOSED</v>
      </c>
    </row>
    <row r="1018" spans="1:13" ht="18.75" hidden="1" x14ac:dyDescent="0.25">
      <c r="A1018" s="9" t="s">
        <v>156</v>
      </c>
      <c r="B1018" s="19">
        <f>VLOOKUP(Table27[[#This Row],[Location 
(drop-down)]],'List source'!D$2:E$71,2,FALSE)</f>
        <v>130</v>
      </c>
      <c r="C1018" s="178" t="s">
        <v>4452</v>
      </c>
      <c r="D1018" s="226" t="str">
        <f t="shared" si="30"/>
        <v>PTO1017-130-25</v>
      </c>
      <c r="E1018" s="9" t="s">
        <v>4453</v>
      </c>
      <c r="F1018" s="10" t="str" cm="1">
        <f t="array" aca="1" ref="F10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018" s="136" t="s">
        <v>2107</v>
      </c>
      <c r="I1018" s="12">
        <v>45982</v>
      </c>
      <c r="J1018" s="12" t="s">
        <v>2074</v>
      </c>
      <c r="K1018" s="63">
        <v>46002</v>
      </c>
      <c r="L1018" s="339" t="s">
        <v>3881</v>
      </c>
      <c r="M1018" s="10" t="str">
        <f t="shared" ca="1" si="31"/>
        <v>CLOSED</v>
      </c>
    </row>
    <row r="1019" spans="1:13" ht="18.75" hidden="1" x14ac:dyDescent="0.25">
      <c r="A1019" s="9" t="s">
        <v>211</v>
      </c>
      <c r="B1019" s="19">
        <f>VLOOKUP(Table27[[#This Row],[Location 
(drop-down)]],'List source'!D$2:E$71,2,FALSE)</f>
        <v>132</v>
      </c>
      <c r="C1019" s="178" t="s">
        <v>4454</v>
      </c>
      <c r="D1019" s="21" t="str">
        <f t="shared" si="30"/>
        <v>PTO1018-132-25</v>
      </c>
      <c r="E1019" s="9" t="s">
        <v>4455</v>
      </c>
      <c r="F1019" s="10" t="str" cm="1">
        <f t="array" aca="1" ref="F10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19" s="10">
        <v>2.3199999999999998</v>
      </c>
      <c r="I1019" s="12">
        <v>45982</v>
      </c>
      <c r="J1019" s="12" t="s">
        <v>2074</v>
      </c>
      <c r="K1019" s="63">
        <v>45986</v>
      </c>
      <c r="L1019" s="37" t="s">
        <v>4231</v>
      </c>
      <c r="M1019" s="10" t="str">
        <f t="shared" ca="1" si="31"/>
        <v>CLOSED</v>
      </c>
    </row>
    <row r="1020" spans="1:13" ht="18.75" hidden="1" x14ac:dyDescent="0.25">
      <c r="A1020" s="9" t="s">
        <v>186</v>
      </c>
      <c r="B1020" s="19">
        <f>VLOOKUP(Table27[[#This Row],[Location 
(drop-down)]],'List source'!D$2:E$71,2,FALSE)</f>
        <v>136</v>
      </c>
      <c r="C1020" s="178" t="s">
        <v>4456</v>
      </c>
      <c r="D1020" s="21" t="str">
        <f t="shared" si="30"/>
        <v>PTO1019-136-25</v>
      </c>
      <c r="E1020" s="9" t="s">
        <v>4457</v>
      </c>
      <c r="F1020" s="10" t="str" cm="1">
        <f t="array" aca="1" ref="F10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0" s="136" t="s">
        <v>4458</v>
      </c>
      <c r="I1020" s="12">
        <v>45982</v>
      </c>
      <c r="J1020" s="12"/>
      <c r="K1020" s="63"/>
      <c r="L1020" s="37"/>
      <c r="M1020" s="10">
        <f t="shared" ca="1" si="31"/>
        <v>95</v>
      </c>
    </row>
    <row r="1021" spans="1:13" ht="18.75" hidden="1" x14ac:dyDescent="0.25">
      <c r="A1021" s="9" t="s">
        <v>186</v>
      </c>
      <c r="B1021" s="19">
        <f>VLOOKUP(Table27[[#This Row],[Location 
(drop-down)]],'List source'!D$2:E$71,2,FALSE)</f>
        <v>136</v>
      </c>
      <c r="C1021" s="178" t="s">
        <v>4459</v>
      </c>
      <c r="D1021" s="226" t="str">
        <f t="shared" si="30"/>
        <v>PTO1020-136-25</v>
      </c>
      <c r="E1021" s="9" t="s">
        <v>4460</v>
      </c>
      <c r="F1021" s="10" t="str" cm="1">
        <f t="array" aca="1" ref="F10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021" s="136" t="s">
        <v>2668</v>
      </c>
      <c r="I1021" s="12">
        <v>45982</v>
      </c>
      <c r="J1021" s="12" t="s">
        <v>2074</v>
      </c>
      <c r="K1021" s="63">
        <v>46030</v>
      </c>
      <c r="L1021" s="339" t="s">
        <v>2079</v>
      </c>
      <c r="M1021" s="10" t="str">
        <f t="shared" ca="1" si="31"/>
        <v>CLOSED</v>
      </c>
    </row>
    <row r="1022" spans="1:13" ht="18.75" hidden="1" x14ac:dyDescent="0.25">
      <c r="A1022" s="9" t="s">
        <v>186</v>
      </c>
      <c r="B1022" s="19">
        <f>VLOOKUP(Table27[[#This Row],[Location 
(drop-down)]],'List source'!D$2:E$71,2,FALSE)</f>
        <v>136</v>
      </c>
      <c r="C1022" s="178" t="s">
        <v>4461</v>
      </c>
      <c r="D1022" s="226" t="str">
        <f t="shared" si="30"/>
        <v>PTO1021-136-25</v>
      </c>
      <c r="E1022" s="9" t="s">
        <v>4462</v>
      </c>
      <c r="F1022" s="10" t="str" cm="1">
        <f t="array" aca="1" ref="F10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1022" s="136" t="s">
        <v>3856</v>
      </c>
      <c r="I1022" s="12">
        <v>45982</v>
      </c>
      <c r="J1022" s="12" t="s">
        <v>2074</v>
      </c>
      <c r="K1022" s="63">
        <v>46030</v>
      </c>
      <c r="L1022" s="339" t="s">
        <v>2079</v>
      </c>
      <c r="M1022" s="10" t="str">
        <f t="shared" ca="1" si="31"/>
        <v>CLOSED</v>
      </c>
    </row>
    <row r="1023" spans="1:13" ht="18.75" hidden="1" x14ac:dyDescent="0.25">
      <c r="A1023" s="9" t="s">
        <v>51</v>
      </c>
      <c r="B1023" s="19">
        <f>VLOOKUP(Table27[[#This Row],[Location 
(drop-down)]],'List source'!D$2:E$71,2,FALSE)</f>
        <v>139</v>
      </c>
      <c r="C1023" s="178" t="s">
        <v>4463</v>
      </c>
      <c r="D1023" s="21" t="str">
        <f t="shared" si="30"/>
        <v>PTO1022-139-25</v>
      </c>
      <c r="E1023" s="9" t="s">
        <v>4464</v>
      </c>
      <c r="F1023" s="10" t="str" cm="1">
        <f t="array" aca="1" ref="F10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3" s="136" t="s">
        <v>4465</v>
      </c>
      <c r="I1023" s="12">
        <v>45982</v>
      </c>
      <c r="J1023" s="12" t="s">
        <v>109</v>
      </c>
      <c r="K1023" s="63">
        <v>46008</v>
      </c>
      <c r="L1023" s="37"/>
      <c r="M1023" s="10" t="str">
        <f t="shared" ca="1" si="31"/>
        <v>CLOSED</v>
      </c>
    </row>
    <row r="1024" spans="1:13" ht="18.75" hidden="1" x14ac:dyDescent="0.25">
      <c r="A1024" s="9" t="s">
        <v>69</v>
      </c>
      <c r="B1024" s="19">
        <f>VLOOKUP(Table27[[#This Row],[Location 
(drop-down)]],'List source'!D$2:E$71,2,FALSE)</f>
        <v>141</v>
      </c>
      <c r="C1024" s="178" t="s">
        <v>4466</v>
      </c>
      <c r="D1024" s="21" t="str">
        <f t="shared" si="30"/>
        <v>PTO1023-141-25</v>
      </c>
      <c r="E1024" s="9" t="s">
        <v>4467</v>
      </c>
      <c r="F1024" s="10" t="str" cm="1">
        <f t="array" aca="1" ref="F10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4" s="136">
        <v>20.93</v>
      </c>
      <c r="I1024" s="12">
        <v>45982</v>
      </c>
      <c r="J1024" s="12" t="s">
        <v>2074</v>
      </c>
      <c r="K1024" s="63">
        <v>46031</v>
      </c>
      <c r="L1024" s="37" t="s">
        <v>2079</v>
      </c>
      <c r="M1024" s="10" t="str">
        <f t="shared" ca="1" si="31"/>
        <v>CLOSED</v>
      </c>
    </row>
    <row r="1025" spans="1:13" ht="30" hidden="1" x14ac:dyDescent="0.25">
      <c r="A1025" s="9" t="s">
        <v>257</v>
      </c>
      <c r="B1025" s="19">
        <f>VLOOKUP(Table27[[#This Row],[Location 
(drop-down)]],'List source'!D$2:E$71,2,FALSE)</f>
        <v>144</v>
      </c>
      <c r="C1025" s="178" t="s">
        <v>4468</v>
      </c>
      <c r="D1025" s="226" t="str">
        <f t="shared" si="30"/>
        <v>PTO1024-144-25</v>
      </c>
      <c r="E1025" s="9" t="s">
        <v>4469</v>
      </c>
      <c r="F1025" s="10" t="str" cm="1">
        <f t="array" aca="1" ref="F10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025" s="10">
        <v>2.39</v>
      </c>
      <c r="I1025" s="12">
        <v>45982</v>
      </c>
      <c r="J1025" s="12"/>
      <c r="K1025" s="63"/>
      <c r="L1025" s="339" t="s">
        <v>3881</v>
      </c>
      <c r="M1025" s="10">
        <f t="shared" ca="1" si="31"/>
        <v>95</v>
      </c>
    </row>
    <row r="1026" spans="1:13" ht="18.75" hidden="1" x14ac:dyDescent="0.25">
      <c r="A1026" s="9" t="s">
        <v>58</v>
      </c>
      <c r="B1026" s="19">
        <f>VLOOKUP(Table27[[#This Row],[Location 
(drop-down)]],'List source'!D$2:E$71,2,FALSE)</f>
        <v>146</v>
      </c>
      <c r="C1026" s="178" t="s">
        <v>4470</v>
      </c>
      <c r="D1026" s="21" t="str">
        <f t="shared" ref="D1026:D1089" si="32">"PTO" &amp; C1026 &amp; "-" &amp; B1026 &amp; "-" &amp; "25"</f>
        <v>PTO1025-146-25</v>
      </c>
      <c r="E1026" s="9" t="s">
        <v>4471</v>
      </c>
      <c r="F1026" s="10" t="str" cm="1">
        <f t="array" aca="1" ref="F10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26" s="136">
        <v>2.14</v>
      </c>
      <c r="I1026" s="12">
        <v>45982</v>
      </c>
      <c r="J1026" s="12" t="s">
        <v>2074</v>
      </c>
      <c r="K1026" s="63">
        <v>45995</v>
      </c>
      <c r="L1026" s="37" t="s">
        <v>4231</v>
      </c>
      <c r="M1026" s="10" t="str">
        <f t="shared" ref="M1026:M1089" ca="1" si="33">IF(ISBLANK(K1026), TODAY()-(I1026), "CLOSED")</f>
        <v>CLOSED</v>
      </c>
    </row>
    <row r="1027" spans="1:13" ht="18.75" hidden="1" x14ac:dyDescent="0.25">
      <c r="A1027" s="9" t="s">
        <v>79</v>
      </c>
      <c r="B1027" s="19">
        <f>VLOOKUP(Table27[[#This Row],[Location 
(drop-down)]],'List source'!D$2:E$71,2,FALSE)</f>
        <v>160</v>
      </c>
      <c r="C1027" s="178" t="s">
        <v>4472</v>
      </c>
      <c r="D1027" s="226" t="str">
        <f t="shared" si="32"/>
        <v>PTO1026-160-25</v>
      </c>
      <c r="E1027" s="9" t="s">
        <v>4473</v>
      </c>
      <c r="F1027" s="10" t="str" cm="1">
        <f t="array" aca="1" ref="F10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027" s="10" t="s">
        <v>4474</v>
      </c>
      <c r="I1027" s="12">
        <v>45982</v>
      </c>
      <c r="J1027" s="12" t="s">
        <v>135</v>
      </c>
      <c r="K1027" s="63">
        <v>45996</v>
      </c>
      <c r="L1027" s="339" t="s">
        <v>3881</v>
      </c>
      <c r="M1027" s="10" t="str">
        <f t="shared" ca="1" si="33"/>
        <v>CLOSED</v>
      </c>
    </row>
    <row r="1028" spans="1:13" ht="30" hidden="1" x14ac:dyDescent="0.25">
      <c r="A1028" s="9" t="s">
        <v>79</v>
      </c>
      <c r="B1028" s="19">
        <f>VLOOKUP(Table27[[#This Row],[Location 
(drop-down)]],'List source'!D$2:E$71,2,FALSE)</f>
        <v>160</v>
      </c>
      <c r="C1028" s="178" t="s">
        <v>4475</v>
      </c>
      <c r="D1028" s="21" t="str">
        <f t="shared" si="32"/>
        <v>PTO1027-160-25</v>
      </c>
      <c r="E1028" s="9" t="s">
        <v>4476</v>
      </c>
      <c r="F1028" s="10" t="str" cm="1">
        <f t="array" aca="1" ref="F10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8" s="10" t="s">
        <v>2400</v>
      </c>
      <c r="I1028" s="12">
        <v>45982</v>
      </c>
      <c r="J1028" s="12"/>
      <c r="K1028" s="63"/>
      <c r="L1028" s="37"/>
      <c r="M1028" s="10">
        <f t="shared" ca="1" si="33"/>
        <v>95</v>
      </c>
    </row>
    <row r="1029" spans="1:13" ht="30" hidden="1" x14ac:dyDescent="0.25">
      <c r="A1029" s="9" t="s">
        <v>79</v>
      </c>
      <c r="B1029" s="19">
        <f>VLOOKUP(Table27[[#This Row],[Location 
(drop-down)]],'List source'!D$2:E$71,2,FALSE)</f>
        <v>160</v>
      </c>
      <c r="C1029" s="178" t="s">
        <v>4477</v>
      </c>
      <c r="D1029" s="21" t="str">
        <f t="shared" si="32"/>
        <v>PTO1028-160-25</v>
      </c>
      <c r="E1029" s="9" t="s">
        <v>4478</v>
      </c>
      <c r="F1029" s="10" t="str" cm="1">
        <f t="array" aca="1" ref="F10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29" s="136" t="s">
        <v>4479</v>
      </c>
      <c r="I1029" s="12">
        <v>45982</v>
      </c>
      <c r="J1029" s="12"/>
      <c r="K1029" s="63"/>
      <c r="L1029" s="37"/>
      <c r="M1029" s="10">
        <f t="shared" ca="1" si="33"/>
        <v>95</v>
      </c>
    </row>
    <row r="1030" spans="1:13" ht="18.75" hidden="1" x14ac:dyDescent="0.25">
      <c r="A1030" s="9" t="s">
        <v>79</v>
      </c>
      <c r="B1030" s="19">
        <f>VLOOKUP(Table27[[#This Row],[Location 
(drop-down)]],'List source'!D$2:E$71,2,FALSE)</f>
        <v>160</v>
      </c>
      <c r="C1030" s="178" t="s">
        <v>4480</v>
      </c>
      <c r="D1030" s="226" t="str">
        <f t="shared" si="32"/>
        <v>PTO1029-160-25</v>
      </c>
      <c r="E1030" s="9" t="s">
        <v>4481</v>
      </c>
      <c r="F1030" s="10" t="str" cm="1">
        <f t="array" aca="1" ref="F10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030" s="136" t="s">
        <v>4482</v>
      </c>
      <c r="I1030" s="12">
        <v>45982</v>
      </c>
      <c r="J1030" s="12" t="s">
        <v>82</v>
      </c>
      <c r="K1030" s="63">
        <v>45996</v>
      </c>
      <c r="L1030" s="339" t="s">
        <v>3881</v>
      </c>
      <c r="M1030" s="10" t="str">
        <f t="shared" ca="1" si="33"/>
        <v>CLOSED</v>
      </c>
    </row>
    <row r="1031" spans="1:13" ht="18.75" hidden="1" x14ac:dyDescent="0.25">
      <c r="A1031" s="9" t="s">
        <v>79</v>
      </c>
      <c r="B1031" s="19">
        <f>VLOOKUP(Table27[[#This Row],[Location 
(drop-down)]],'List source'!D$2:E$71,2,FALSE)</f>
        <v>160</v>
      </c>
      <c r="C1031" s="178" t="s">
        <v>4483</v>
      </c>
      <c r="D1031" s="21" t="str">
        <f t="shared" si="32"/>
        <v>PTO1030-160-25</v>
      </c>
      <c r="E1031" s="9" t="s">
        <v>4484</v>
      </c>
      <c r="F1031" s="10" t="str" cm="1">
        <f t="array" aca="1" ref="F10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031" s="10">
        <v>2.0299999999999998</v>
      </c>
      <c r="I1031" s="12">
        <v>45982</v>
      </c>
      <c r="J1031" s="12" t="s">
        <v>18</v>
      </c>
      <c r="K1031" s="63">
        <v>46022</v>
      </c>
      <c r="L1031" s="37"/>
      <c r="M1031" s="10" t="str">
        <f t="shared" ca="1" si="33"/>
        <v>CLOSED</v>
      </c>
    </row>
    <row r="1032" spans="1:13" ht="30" hidden="1" x14ac:dyDescent="0.25">
      <c r="A1032" s="9" t="s">
        <v>107</v>
      </c>
      <c r="B1032" s="19">
        <f>VLOOKUP(Table27[[#This Row],[Location 
(drop-down)]],'List source'!D$2:E$71,2,FALSE)</f>
        <v>170</v>
      </c>
      <c r="C1032" s="178" t="s">
        <v>4485</v>
      </c>
      <c r="D1032" s="21" t="str">
        <f t="shared" si="32"/>
        <v>PTO1031-170-25</v>
      </c>
      <c r="E1032" s="9" t="s">
        <v>4486</v>
      </c>
      <c r="F1032" s="10" t="str" cm="1">
        <f t="array" aca="1" ref="F10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32" s="136" t="s">
        <v>4487</v>
      </c>
      <c r="I1032" s="12">
        <v>45982</v>
      </c>
      <c r="J1032" s="12" t="s">
        <v>109</v>
      </c>
      <c r="K1032" s="63">
        <v>46015</v>
      </c>
      <c r="L1032" s="37"/>
      <c r="M1032" s="10" t="str">
        <f t="shared" ca="1" si="33"/>
        <v>CLOSED</v>
      </c>
    </row>
    <row r="1033" spans="1:13" ht="30" hidden="1" x14ac:dyDescent="0.25">
      <c r="A1033" s="9" t="s">
        <v>107</v>
      </c>
      <c r="B1033" s="19">
        <f>VLOOKUP(Table27[[#This Row],[Location 
(drop-down)]],'List source'!D$2:E$71,2,FALSE)</f>
        <v>170</v>
      </c>
      <c r="C1033" s="178" t="s">
        <v>4488</v>
      </c>
      <c r="D1033" s="21" t="str">
        <f t="shared" si="32"/>
        <v>PTO1032-170-25</v>
      </c>
      <c r="E1033" s="9" t="s">
        <v>4489</v>
      </c>
      <c r="F1033" s="10" t="str" cm="1">
        <f t="array" aca="1" ref="F10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33" s="136" t="s">
        <v>4490</v>
      </c>
      <c r="I1033" s="12">
        <v>45982</v>
      </c>
      <c r="J1033" s="12" t="s">
        <v>109</v>
      </c>
      <c r="K1033" s="63">
        <v>46063</v>
      </c>
      <c r="L1033" s="37"/>
      <c r="M1033" s="10" t="str">
        <f t="shared" ca="1" si="33"/>
        <v>CLOSED</v>
      </c>
    </row>
    <row r="1034" spans="1:13" ht="30" hidden="1" x14ac:dyDescent="0.25">
      <c r="A1034" s="9" t="s">
        <v>107</v>
      </c>
      <c r="B1034" s="19">
        <f>VLOOKUP(Table27[[#This Row],[Location 
(drop-down)]],'List source'!D$2:E$71,2,FALSE)</f>
        <v>170</v>
      </c>
      <c r="C1034" s="178" t="s">
        <v>4491</v>
      </c>
      <c r="D1034" s="21" t="str">
        <f t="shared" si="32"/>
        <v>PTO1033-170-25</v>
      </c>
      <c r="E1034" s="9" t="s">
        <v>4492</v>
      </c>
      <c r="F1034" s="10" t="str" cm="1">
        <f t="array" aca="1" ref="F10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 - Olefins</v>
      </c>
      <c r="H1034" s="136" t="s">
        <v>4230</v>
      </c>
      <c r="I1034" s="12">
        <v>45982</v>
      </c>
      <c r="J1034" s="12"/>
      <c r="K1034" s="63"/>
      <c r="L1034" s="37"/>
      <c r="M1034" s="10">
        <f t="shared" ca="1" si="33"/>
        <v>95</v>
      </c>
    </row>
    <row r="1035" spans="1:13" ht="30" hidden="1" x14ac:dyDescent="0.25">
      <c r="A1035" s="9" t="s">
        <v>107</v>
      </c>
      <c r="B1035" s="19">
        <f>VLOOKUP(Table27[[#This Row],[Location 
(drop-down)]],'List source'!D$2:E$71,2,FALSE)</f>
        <v>170</v>
      </c>
      <c r="C1035" s="178" t="s">
        <v>4493</v>
      </c>
      <c r="D1035" s="226" t="str">
        <f t="shared" si="32"/>
        <v>PTO1034-170-25</v>
      </c>
      <c r="E1035" s="9" t="s">
        <v>4494</v>
      </c>
      <c r="F1035" s="10" t="str" cm="1">
        <f t="array" aca="1" ref="F10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1035" s="136" t="s">
        <v>4495</v>
      </c>
      <c r="I1035" s="12">
        <v>45982</v>
      </c>
      <c r="J1035" s="12" t="s">
        <v>2074</v>
      </c>
      <c r="K1035" s="63">
        <v>46052</v>
      </c>
      <c r="L1035" s="339" t="s">
        <v>4231</v>
      </c>
      <c r="M1035" s="10" t="str">
        <f t="shared" ca="1" si="33"/>
        <v>CLOSED</v>
      </c>
    </row>
    <row r="1036" spans="1:13" ht="30" hidden="1" x14ac:dyDescent="0.25">
      <c r="A1036" s="9" t="s">
        <v>37</v>
      </c>
      <c r="B1036" s="19">
        <f>VLOOKUP(Table27[[#This Row],[Location 
(drop-down)]],'List source'!D$2:E$71,2,FALSE)</f>
        <v>210</v>
      </c>
      <c r="C1036" s="178" t="s">
        <v>4496</v>
      </c>
      <c r="D1036" s="21" t="str">
        <f t="shared" si="32"/>
        <v>PTO1035-210-25</v>
      </c>
      <c r="E1036" s="9" t="s">
        <v>4497</v>
      </c>
      <c r="F1036" s="10" t="str" cm="1">
        <f t="array" aca="1" ref="F10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36" s="136" t="s">
        <v>4498</v>
      </c>
      <c r="I1036" s="12">
        <v>45982</v>
      </c>
      <c r="J1036" s="12" t="s">
        <v>252</v>
      </c>
      <c r="K1036" s="63">
        <v>46006</v>
      </c>
      <c r="L1036" s="37"/>
      <c r="M1036" s="10" t="str">
        <f t="shared" ca="1" si="33"/>
        <v>CLOSED</v>
      </c>
    </row>
    <row r="1037" spans="1:13" ht="18.75" hidden="1" x14ac:dyDescent="0.25">
      <c r="A1037" s="9" t="s">
        <v>105</v>
      </c>
      <c r="B1037" s="19">
        <f>VLOOKUP(Table27[[#This Row],[Location 
(drop-down)]],'List source'!D$2:E$71,2,FALSE)</f>
        <v>215</v>
      </c>
      <c r="C1037" s="178" t="s">
        <v>4499</v>
      </c>
      <c r="D1037" s="226" t="str">
        <f t="shared" si="32"/>
        <v>PTO1036-215-25</v>
      </c>
      <c r="E1037" s="9" t="s">
        <v>4500</v>
      </c>
      <c r="F1037" s="10" t="str" cm="1">
        <f t="array" aca="1" ref="F10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037" s="10">
        <v>2.82</v>
      </c>
      <c r="I1037" s="12">
        <v>45982</v>
      </c>
      <c r="J1037" s="12"/>
      <c r="K1037" s="63"/>
      <c r="L1037" s="339" t="s">
        <v>3881</v>
      </c>
      <c r="M1037" s="10">
        <f t="shared" ca="1" si="33"/>
        <v>95</v>
      </c>
    </row>
    <row r="1038" spans="1:13" ht="18.75" hidden="1" x14ac:dyDescent="0.25">
      <c r="A1038" s="9" t="s">
        <v>105</v>
      </c>
      <c r="B1038" s="19">
        <f>VLOOKUP(Table27[[#This Row],[Location 
(drop-down)]],'List source'!D$2:E$71,2,FALSE)</f>
        <v>215</v>
      </c>
      <c r="C1038" s="178" t="s">
        <v>4501</v>
      </c>
      <c r="D1038" s="21" t="str">
        <f t="shared" si="32"/>
        <v>PTO1037-215-25</v>
      </c>
      <c r="E1038" s="9" t="s">
        <v>4502</v>
      </c>
      <c r="F1038" s="10" t="str" cm="1">
        <f t="array" aca="1" ref="F10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38" s="136" t="s">
        <v>2181</v>
      </c>
      <c r="I1038" s="12">
        <v>45982</v>
      </c>
      <c r="J1038" s="12"/>
      <c r="K1038" s="63"/>
      <c r="L1038" s="37"/>
      <c r="M1038" s="10">
        <f t="shared" ca="1" si="33"/>
        <v>95</v>
      </c>
    </row>
    <row r="1039" spans="1:13" ht="18.75" hidden="1" x14ac:dyDescent="0.25">
      <c r="A1039" s="9" t="s">
        <v>105</v>
      </c>
      <c r="B1039" s="19">
        <f>VLOOKUP(Table27[[#This Row],[Location 
(drop-down)]],'List source'!D$2:E$71,2,FALSE)</f>
        <v>215</v>
      </c>
      <c r="C1039" s="178" t="s">
        <v>4503</v>
      </c>
      <c r="D1039" s="226" t="str">
        <f t="shared" si="32"/>
        <v>PTO1038-215-25</v>
      </c>
      <c r="E1039" s="9" t="s">
        <v>4504</v>
      </c>
      <c r="F1039" s="10" t="str" cm="1">
        <f t="array" aca="1" ref="F10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39" s="136" t="s">
        <v>4505</v>
      </c>
      <c r="I1039" s="12">
        <v>45982</v>
      </c>
      <c r="J1039" s="12"/>
      <c r="K1039" s="63"/>
      <c r="L1039" s="339" t="s">
        <v>3881</v>
      </c>
      <c r="M1039" s="10">
        <f t="shared" ca="1" si="33"/>
        <v>95</v>
      </c>
    </row>
    <row r="1040" spans="1:13" ht="18.75" hidden="1" x14ac:dyDescent="0.25">
      <c r="A1040" s="9" t="s">
        <v>94</v>
      </c>
      <c r="B1040" s="19">
        <f>VLOOKUP(Table27[[#This Row],[Location 
(drop-down)]],'List source'!D$2:E$71,2,FALSE)</f>
        <v>120</v>
      </c>
      <c r="C1040" s="178" t="s">
        <v>4506</v>
      </c>
      <c r="D1040" s="21" t="str">
        <f t="shared" si="32"/>
        <v>PTO1039-120-25</v>
      </c>
      <c r="E1040" s="9" t="s">
        <v>4507</v>
      </c>
      <c r="F1040" s="10" t="str" cm="1">
        <f t="array" aca="1" ref="F10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1040" s="10">
        <v>2.72</v>
      </c>
      <c r="I1040" s="12">
        <v>45992</v>
      </c>
      <c r="J1040" s="12"/>
      <c r="K1040" s="63"/>
      <c r="L1040" s="37"/>
      <c r="M1040" s="10">
        <f t="shared" ca="1" si="33"/>
        <v>85</v>
      </c>
    </row>
    <row r="1041" spans="1:13" ht="18.75" hidden="1" x14ac:dyDescent="0.25">
      <c r="A1041" s="9" t="s">
        <v>94</v>
      </c>
      <c r="B1041" s="19">
        <f>VLOOKUP(Table27[[#This Row],[Location 
(drop-down)]],'List source'!D$2:E$71,2,FALSE)</f>
        <v>120</v>
      </c>
      <c r="C1041" s="178" t="s">
        <v>4508</v>
      </c>
      <c r="D1041" s="21" t="str">
        <f t="shared" si="32"/>
        <v>PTO1040-120-25</v>
      </c>
      <c r="E1041" s="9" t="s">
        <v>4509</v>
      </c>
      <c r="F1041" s="10" t="str" cm="1">
        <f t="array" aca="1" ref="F10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041" s="136" t="s">
        <v>2959</v>
      </c>
      <c r="I1041" s="12">
        <v>45992</v>
      </c>
      <c r="J1041" s="12" t="s">
        <v>2074</v>
      </c>
      <c r="K1041" s="63">
        <v>45992</v>
      </c>
      <c r="L1041" s="196" t="s">
        <v>4510</v>
      </c>
      <c r="M1041" s="10" t="str">
        <f t="shared" ca="1" si="33"/>
        <v>CLOSED</v>
      </c>
    </row>
    <row r="1042" spans="1:13" ht="18.75" hidden="1" x14ac:dyDescent="0.25">
      <c r="A1042" s="9" t="s">
        <v>94</v>
      </c>
      <c r="B1042" s="19">
        <f>VLOOKUP(Table27[[#This Row],[Location 
(drop-down)]],'List source'!D$2:E$71,2,FALSE)</f>
        <v>120</v>
      </c>
      <c r="C1042" s="178" t="s">
        <v>4511</v>
      </c>
      <c r="D1042" s="21" t="str">
        <f t="shared" si="32"/>
        <v>PTO1041-120-25</v>
      </c>
      <c r="E1042" s="9" t="s">
        <v>4512</v>
      </c>
      <c r="F1042" s="10" t="str" cm="1">
        <f t="array" aca="1" ref="F10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42" s="136">
        <v>2.8</v>
      </c>
      <c r="I1042" s="12">
        <v>45992</v>
      </c>
      <c r="J1042" s="12" t="s">
        <v>2074</v>
      </c>
      <c r="K1042" s="63">
        <v>45992</v>
      </c>
      <c r="L1042" s="196" t="s">
        <v>4510</v>
      </c>
      <c r="M1042" s="10" t="str">
        <f t="shared" ca="1" si="33"/>
        <v>CLOSED</v>
      </c>
    </row>
    <row r="1043" spans="1:13" ht="18.75" hidden="1" x14ac:dyDescent="0.25">
      <c r="A1043" s="9" t="s">
        <v>14</v>
      </c>
      <c r="B1043" s="19">
        <f>VLOOKUP(Table27[[#This Row],[Location 
(drop-down)]],'List source'!D$2:E$71,2,FALSE)</f>
        <v>131</v>
      </c>
      <c r="C1043" s="178" t="s">
        <v>4513</v>
      </c>
      <c r="D1043" s="21" t="str">
        <f t="shared" si="32"/>
        <v>PTO1042-131-25</v>
      </c>
      <c r="E1043" s="9" t="s">
        <v>4514</v>
      </c>
      <c r="F1043" s="10" t="str" cm="1">
        <f t="array" aca="1" ref="F10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43" s="136">
        <v>-17.71</v>
      </c>
      <c r="I1043" s="12">
        <v>45992</v>
      </c>
      <c r="J1043" s="12"/>
      <c r="K1043" s="63"/>
      <c r="L1043" s="37"/>
      <c r="M1043" s="10">
        <f t="shared" ca="1" si="33"/>
        <v>85</v>
      </c>
    </row>
    <row r="1044" spans="1:13" ht="18.75" hidden="1" x14ac:dyDescent="0.25">
      <c r="A1044" s="9" t="s">
        <v>211</v>
      </c>
      <c r="B1044" s="19">
        <f>VLOOKUP(Table27[[#This Row],[Location 
(drop-down)]],'List source'!D$2:E$71,2,FALSE)</f>
        <v>132</v>
      </c>
      <c r="C1044" s="178" t="s">
        <v>4515</v>
      </c>
      <c r="D1044" s="21" t="str">
        <f t="shared" si="32"/>
        <v>PTO1043-132-25</v>
      </c>
      <c r="E1044" s="9" t="s">
        <v>4516</v>
      </c>
      <c r="F1044" s="10" t="str" cm="1">
        <f t="array" aca="1" ref="F10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1044" s="10">
        <v>2.2000000000000002</v>
      </c>
      <c r="I1044" s="12">
        <v>45992</v>
      </c>
      <c r="J1044" s="12"/>
      <c r="K1044" s="63"/>
      <c r="L1044" s="37"/>
      <c r="M1044" s="10">
        <f t="shared" ca="1" si="33"/>
        <v>85</v>
      </c>
    </row>
    <row r="1045" spans="1:13" ht="18.75" hidden="1" x14ac:dyDescent="0.25">
      <c r="A1045" s="9" t="s">
        <v>211</v>
      </c>
      <c r="B1045" s="19">
        <f>VLOOKUP(Table27[[#This Row],[Location 
(drop-down)]],'List source'!D$2:E$71,2,FALSE)</f>
        <v>132</v>
      </c>
      <c r="C1045" s="178" t="s">
        <v>4517</v>
      </c>
      <c r="D1045" s="21" t="str">
        <f t="shared" si="32"/>
        <v>PTO1044-132-25</v>
      </c>
      <c r="E1045" s="9" t="s">
        <v>4518</v>
      </c>
      <c r="F1045" s="10" t="str" cm="1">
        <f t="array" aca="1" ref="F10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045" s="136" t="s">
        <v>4519</v>
      </c>
      <c r="I1045" s="12">
        <v>45992</v>
      </c>
      <c r="J1045" s="12"/>
      <c r="K1045" s="63"/>
      <c r="L1045" s="37"/>
      <c r="M1045" s="10">
        <f t="shared" ca="1" si="33"/>
        <v>85</v>
      </c>
    </row>
    <row r="1046" spans="1:13" ht="18.75" hidden="1" x14ac:dyDescent="0.25">
      <c r="A1046" s="9" t="s">
        <v>186</v>
      </c>
      <c r="B1046" s="19">
        <f>VLOOKUP(Table27[[#This Row],[Location 
(drop-down)]],'List source'!D$2:E$71,2,FALSE)</f>
        <v>136</v>
      </c>
      <c r="C1046" s="178" t="s">
        <v>4520</v>
      </c>
      <c r="D1046" s="21" t="str">
        <f t="shared" si="32"/>
        <v>PTO1045-136-25</v>
      </c>
      <c r="E1046" s="9" t="s">
        <v>4521</v>
      </c>
      <c r="F1046" s="10" t="str" cm="1">
        <f t="array" aca="1" ref="F10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46" s="10" t="s">
        <v>4522</v>
      </c>
      <c r="I1046" s="12">
        <v>45992</v>
      </c>
      <c r="J1046" s="12" t="s">
        <v>2074</v>
      </c>
      <c r="K1046" s="63">
        <v>45992</v>
      </c>
      <c r="L1046" s="37" t="s">
        <v>4223</v>
      </c>
      <c r="M1046" s="10" t="str">
        <f t="shared" ca="1" si="33"/>
        <v>CLOSED</v>
      </c>
    </row>
    <row r="1047" spans="1:13" ht="30" hidden="1" x14ac:dyDescent="0.25">
      <c r="A1047" s="9" t="s">
        <v>51</v>
      </c>
      <c r="B1047" s="19">
        <f>VLOOKUP(Table27[[#This Row],[Location 
(drop-down)]],'List source'!D$2:E$71,2,FALSE)</f>
        <v>139</v>
      </c>
      <c r="C1047" s="178" t="s">
        <v>4523</v>
      </c>
      <c r="D1047" s="21" t="str">
        <f t="shared" si="32"/>
        <v>PTO1046-139-25</v>
      </c>
      <c r="E1047" s="9" t="s">
        <v>4524</v>
      </c>
      <c r="F1047" s="10" t="str" cm="1">
        <f t="array" aca="1" ref="F10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D8305 - HC Type</v>
      </c>
      <c r="H1047" s="136" t="s">
        <v>4525</v>
      </c>
      <c r="I1047" s="12">
        <v>45992</v>
      </c>
      <c r="J1047" s="12"/>
      <c r="K1047" s="63"/>
      <c r="L1047" s="37"/>
      <c r="M1047" s="10">
        <f t="shared" ca="1" si="33"/>
        <v>85</v>
      </c>
    </row>
    <row r="1048" spans="1:13" ht="18.75" hidden="1" x14ac:dyDescent="0.25">
      <c r="A1048" s="9" t="s">
        <v>131</v>
      </c>
      <c r="B1048" s="19">
        <f>VLOOKUP(Table27[[#This Row],[Location 
(drop-down)]],'List source'!D$2:E$71,2,FALSE)</f>
        <v>145</v>
      </c>
      <c r="C1048" s="178" t="s">
        <v>4526</v>
      </c>
      <c r="D1048" s="21" t="str">
        <f t="shared" si="32"/>
        <v>PTO1047-145-25</v>
      </c>
      <c r="E1048" s="9" t="s">
        <v>4527</v>
      </c>
      <c r="F1048" s="10" t="str" cm="1">
        <f t="array" aca="1" ref="F10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48" s="136" t="s">
        <v>4528</v>
      </c>
      <c r="I1048" s="12">
        <v>45992</v>
      </c>
      <c r="J1048" s="12" t="s">
        <v>2074</v>
      </c>
      <c r="K1048" s="63">
        <v>46017</v>
      </c>
      <c r="L1048" s="37" t="s">
        <v>2079</v>
      </c>
      <c r="M1048" s="10" t="str">
        <f t="shared" ca="1" si="33"/>
        <v>CLOSED</v>
      </c>
    </row>
    <row r="1049" spans="1:13" ht="18.75" hidden="1" x14ac:dyDescent="0.25">
      <c r="A1049" s="9" t="s">
        <v>58</v>
      </c>
      <c r="B1049" s="19">
        <f>VLOOKUP(Table27[[#This Row],[Location 
(drop-down)]],'List source'!D$2:E$71,2,FALSE)</f>
        <v>146</v>
      </c>
      <c r="C1049" s="178" t="s">
        <v>4529</v>
      </c>
      <c r="D1049" s="21" t="str">
        <f t="shared" si="32"/>
        <v>PTO1048-146-25</v>
      </c>
      <c r="E1049" s="9" t="s">
        <v>4530</v>
      </c>
      <c r="F1049" s="10" t="str" cm="1">
        <f t="array" aca="1" ref="F10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49" s="10">
        <v>2.97</v>
      </c>
      <c r="I1049" s="12">
        <v>45992</v>
      </c>
      <c r="J1049" s="12" t="s">
        <v>2074</v>
      </c>
      <c r="K1049" s="63">
        <v>46007</v>
      </c>
      <c r="L1049" s="194" t="s">
        <v>4231</v>
      </c>
      <c r="M1049" s="10" t="str">
        <f t="shared" ca="1" si="33"/>
        <v>CLOSED</v>
      </c>
    </row>
    <row r="1050" spans="1:13" ht="18.75" hidden="1" x14ac:dyDescent="0.25">
      <c r="A1050" s="9" t="s">
        <v>86</v>
      </c>
      <c r="B1050" s="19">
        <f>VLOOKUP(Table27[[#This Row],[Location 
(drop-down)]],'List source'!D$2:E$71,2,FALSE)</f>
        <v>150</v>
      </c>
      <c r="C1050" s="178" t="s">
        <v>4531</v>
      </c>
      <c r="D1050" s="21" t="str">
        <f t="shared" si="32"/>
        <v>PTO1049-150-25</v>
      </c>
      <c r="E1050" s="9" t="s">
        <v>4532</v>
      </c>
      <c r="F1050" s="10" t="str" cm="1">
        <f t="array" aca="1" ref="F10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1050" s="136" t="s">
        <v>3341</v>
      </c>
      <c r="I1050" s="12">
        <v>45992</v>
      </c>
      <c r="J1050" s="12" t="s">
        <v>82</v>
      </c>
      <c r="K1050" s="63">
        <v>46066</v>
      </c>
      <c r="L1050" s="37"/>
      <c r="M1050" s="10" t="str">
        <f t="shared" ca="1" si="33"/>
        <v>CLOSED</v>
      </c>
    </row>
    <row r="1051" spans="1:13" ht="18.75" hidden="1" x14ac:dyDescent="0.25">
      <c r="A1051" s="9" t="s">
        <v>86</v>
      </c>
      <c r="B1051" s="19">
        <f>VLOOKUP(Table27[[#This Row],[Location 
(drop-down)]],'List source'!D$2:E$71,2,FALSE)</f>
        <v>150</v>
      </c>
      <c r="C1051" s="178" t="s">
        <v>4533</v>
      </c>
      <c r="D1051" s="21" t="str">
        <f t="shared" si="32"/>
        <v>PTO1050-150-25</v>
      </c>
      <c r="E1051" s="9" t="s">
        <v>4534</v>
      </c>
      <c r="F1051" s="10" t="str" cm="1">
        <f t="array" aca="1" ref="F10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051" s="10">
        <v>4.63</v>
      </c>
      <c r="I1051" s="12">
        <v>45992</v>
      </c>
      <c r="J1051" s="12" t="s">
        <v>2074</v>
      </c>
      <c r="K1051" s="63">
        <v>46055</v>
      </c>
      <c r="L1051" s="37" t="s">
        <v>2079</v>
      </c>
      <c r="M1051" s="10" t="str">
        <f t="shared" ca="1" si="33"/>
        <v>CLOSED</v>
      </c>
    </row>
    <row r="1052" spans="1:13" ht="18.75" hidden="1" x14ac:dyDescent="0.25">
      <c r="A1052" s="9" t="s">
        <v>46</v>
      </c>
      <c r="B1052" s="19">
        <f>VLOOKUP(Table27[[#This Row],[Location 
(drop-down)]],'List source'!D$2:E$71,2,FALSE)</f>
        <v>155</v>
      </c>
      <c r="C1052" s="178" t="s">
        <v>4535</v>
      </c>
      <c r="D1052" s="21" t="str">
        <f t="shared" si="32"/>
        <v>PTO1051-155-25</v>
      </c>
      <c r="E1052" s="9" t="s">
        <v>4536</v>
      </c>
      <c r="F1052" s="10" t="str" cm="1">
        <f t="array" aca="1" ref="F10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1052" s="10">
        <v>2.14</v>
      </c>
      <c r="I1052" s="12">
        <v>45992</v>
      </c>
      <c r="J1052" s="12"/>
      <c r="K1052" s="63"/>
      <c r="L1052" s="37"/>
      <c r="M1052" s="10">
        <f t="shared" ca="1" si="33"/>
        <v>85</v>
      </c>
    </row>
    <row r="1053" spans="1:13" ht="18.75" hidden="1" x14ac:dyDescent="0.25">
      <c r="A1053" s="9" t="s">
        <v>46</v>
      </c>
      <c r="B1053" s="19">
        <f>VLOOKUP(Table27[[#This Row],[Location 
(drop-down)]],'List source'!D$2:E$71,2,FALSE)</f>
        <v>155</v>
      </c>
      <c r="C1053" s="178" t="s">
        <v>4537</v>
      </c>
      <c r="D1053" s="21" t="str">
        <f t="shared" si="32"/>
        <v>PTO1052-155-25</v>
      </c>
      <c r="E1053" s="9" t="s">
        <v>4538</v>
      </c>
      <c r="F1053" s="10" t="str" cm="1">
        <f t="array" aca="1" ref="F10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053" s="10">
        <v>12.46</v>
      </c>
      <c r="I1053" s="12">
        <v>45992</v>
      </c>
      <c r="J1053" s="12"/>
      <c r="K1053" s="63"/>
      <c r="L1053" s="194"/>
      <c r="M1053" s="10">
        <f t="shared" ca="1" si="33"/>
        <v>85</v>
      </c>
    </row>
    <row r="1054" spans="1:13" ht="18.75" hidden="1" x14ac:dyDescent="0.25">
      <c r="A1054" s="9" t="s">
        <v>79</v>
      </c>
      <c r="B1054" s="19">
        <f>VLOOKUP(Table27[[#This Row],[Location 
(drop-down)]],'List source'!D$2:E$71,2,FALSE)</f>
        <v>160</v>
      </c>
      <c r="C1054" s="178" t="s">
        <v>4539</v>
      </c>
      <c r="D1054" s="21" t="str">
        <f t="shared" si="32"/>
        <v>PTO1053-160-25</v>
      </c>
      <c r="E1054" s="9" t="s">
        <v>4540</v>
      </c>
      <c r="F1054" s="10" t="str" cm="1">
        <f t="array" aca="1" ref="F10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54" s="10">
        <v>3.46</v>
      </c>
      <c r="I1054" s="12">
        <v>45992</v>
      </c>
      <c r="J1054" s="12"/>
      <c r="K1054" s="63"/>
      <c r="L1054" s="37"/>
      <c r="M1054" s="10">
        <f t="shared" ca="1" si="33"/>
        <v>85</v>
      </c>
    </row>
    <row r="1055" spans="1:13" ht="18.75" hidden="1" x14ac:dyDescent="0.25">
      <c r="A1055" s="9" t="s">
        <v>79</v>
      </c>
      <c r="B1055" s="19">
        <f>VLOOKUP(Table27[[#This Row],[Location 
(drop-down)]],'List source'!D$2:E$71,2,FALSE)</f>
        <v>160</v>
      </c>
      <c r="C1055" s="178" t="s">
        <v>4541</v>
      </c>
      <c r="D1055" s="21" t="str">
        <f t="shared" si="32"/>
        <v>PTO1054-160-25</v>
      </c>
      <c r="E1055" s="9" t="s">
        <v>4542</v>
      </c>
      <c r="F1055" s="10" t="str" cm="1">
        <f t="array" aca="1" ref="F10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55" s="10">
        <v>2.63</v>
      </c>
      <c r="I1055" s="12">
        <v>45992</v>
      </c>
      <c r="J1055" s="12"/>
      <c r="K1055" s="63"/>
      <c r="L1055" s="194"/>
      <c r="M1055" s="10">
        <f t="shared" ca="1" si="33"/>
        <v>85</v>
      </c>
    </row>
    <row r="1056" spans="1:13" ht="18.75" x14ac:dyDescent="0.25">
      <c r="A1056" s="9" t="s">
        <v>79</v>
      </c>
      <c r="B1056" s="19">
        <f>VLOOKUP(Table27[[#This Row],[Location 
(drop-down)]],'List source'!D$2:E$71,2,FALSE)</f>
        <v>160</v>
      </c>
      <c r="C1056" s="178" t="s">
        <v>4543</v>
      </c>
      <c r="D1056" s="21" t="str">
        <f t="shared" si="32"/>
        <v>PTO1055-160-25</v>
      </c>
      <c r="E1056" s="9" t="s">
        <v>4544</v>
      </c>
      <c r="F1056" s="10" t="str" cm="1">
        <f t="array" aca="1" ref="F10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56" s="136" t="s">
        <v>4545</v>
      </c>
      <c r="I1056" s="12">
        <v>45992</v>
      </c>
      <c r="J1056" s="12"/>
      <c r="K1056" s="63"/>
      <c r="L1056" s="37"/>
      <c r="M1056" s="10">
        <f t="shared" ca="1" si="33"/>
        <v>85</v>
      </c>
    </row>
    <row r="1057" spans="1:13" ht="18.75" hidden="1" x14ac:dyDescent="0.25">
      <c r="A1057" s="9" t="s">
        <v>141</v>
      </c>
      <c r="B1057" s="19">
        <f>VLOOKUP(Table27[[#This Row],[Location 
(drop-down)]],'List source'!D$2:E$71,2,FALSE)</f>
        <v>165</v>
      </c>
      <c r="C1057" s="178" t="s">
        <v>4546</v>
      </c>
      <c r="D1057" s="21" t="str">
        <f t="shared" si="32"/>
        <v>PTO1056-165-25</v>
      </c>
      <c r="E1057" s="9" t="s">
        <v>4547</v>
      </c>
      <c r="F1057" s="10" t="str" cm="1">
        <f t="array" aca="1" ref="F10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57" s="10">
        <v>698.57</v>
      </c>
      <c r="I1057" s="12">
        <v>45992</v>
      </c>
      <c r="J1057" s="12" t="s">
        <v>2074</v>
      </c>
      <c r="K1057" s="63">
        <v>46048</v>
      </c>
      <c r="L1057" s="37" t="s">
        <v>2079</v>
      </c>
      <c r="M1057" s="10" t="str">
        <f t="shared" ca="1" si="33"/>
        <v>CLOSED</v>
      </c>
    </row>
    <row r="1058" spans="1:13" ht="18.75" x14ac:dyDescent="0.25">
      <c r="A1058" s="65" t="s">
        <v>141</v>
      </c>
      <c r="B1058" s="19">
        <f>VLOOKUP(Table27[[#This Row],[Location 
(drop-down)]],'List source'!D$2:E$71,2,FALSE)</f>
        <v>165</v>
      </c>
      <c r="C1058" s="178" t="s">
        <v>4548</v>
      </c>
      <c r="D1058" s="21" t="str">
        <f t="shared" si="32"/>
        <v>PTO1057-165-25</v>
      </c>
      <c r="E1058" s="9" t="s">
        <v>4549</v>
      </c>
      <c r="F1058" s="10" t="str" cm="1">
        <f t="array" aca="1" ref="F10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58" s="10">
        <v>2.09</v>
      </c>
      <c r="I1058" s="12">
        <v>45992</v>
      </c>
      <c r="J1058" s="12" t="s">
        <v>2074</v>
      </c>
      <c r="K1058" s="63">
        <v>45992</v>
      </c>
      <c r="L1058" s="37" t="s">
        <v>4223</v>
      </c>
      <c r="M1058" s="10" t="str">
        <f t="shared" ca="1" si="33"/>
        <v>CLOSED</v>
      </c>
    </row>
    <row r="1059" spans="1:13" ht="18.75" hidden="1" x14ac:dyDescent="0.25">
      <c r="A1059" s="65" t="s">
        <v>107</v>
      </c>
      <c r="B1059" s="19">
        <f>VLOOKUP(Table27[[#This Row],[Location 
(drop-down)]],'List source'!D$2:E$71,2,FALSE)</f>
        <v>170</v>
      </c>
      <c r="C1059" s="178" t="s">
        <v>4550</v>
      </c>
      <c r="D1059" s="21" t="str">
        <f t="shared" si="32"/>
        <v>PTO1058-170-25</v>
      </c>
      <c r="E1059" s="9" t="s">
        <v>4551</v>
      </c>
      <c r="F1059" s="10" t="str" cm="1">
        <f t="array" aca="1" ref="F10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59" s="10">
        <v>3.19</v>
      </c>
      <c r="I1059" s="12">
        <v>45992</v>
      </c>
      <c r="J1059" s="12" t="s">
        <v>109</v>
      </c>
      <c r="K1059" s="63">
        <v>46052</v>
      </c>
      <c r="L1059" s="37"/>
      <c r="M1059" s="10" t="str">
        <f t="shared" ca="1" si="33"/>
        <v>CLOSED</v>
      </c>
    </row>
    <row r="1060" spans="1:13" ht="30" hidden="1" x14ac:dyDescent="0.25">
      <c r="A1060" s="65" t="s">
        <v>107</v>
      </c>
      <c r="B1060" s="19">
        <f>VLOOKUP(Table27[[#This Row],[Location 
(drop-down)]],'List source'!D$2:E$71,2,FALSE)</f>
        <v>170</v>
      </c>
      <c r="C1060" s="178" t="s">
        <v>4552</v>
      </c>
      <c r="D1060" s="21" t="str">
        <f t="shared" si="32"/>
        <v>PTO1059-170-25</v>
      </c>
      <c r="E1060" s="9" t="s">
        <v>4553</v>
      </c>
      <c r="F1060" s="10" t="str" cm="1">
        <f t="array" aca="1" ref="F10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60" s="136" t="s">
        <v>4554</v>
      </c>
      <c r="I1060" s="12">
        <v>45992</v>
      </c>
      <c r="J1060" s="12" t="s">
        <v>109</v>
      </c>
      <c r="K1060" s="63">
        <v>46063</v>
      </c>
      <c r="L1060" s="37"/>
      <c r="M1060" s="10" t="str">
        <f t="shared" ca="1" si="33"/>
        <v>CLOSED</v>
      </c>
    </row>
    <row r="1061" spans="1:13" ht="30" hidden="1" x14ac:dyDescent="0.25">
      <c r="A1061" s="9" t="s">
        <v>287</v>
      </c>
      <c r="B1061" s="19">
        <f>VLOOKUP(Table27[[#This Row],[Location 
(drop-down)]],'List source'!D$2:E$71,2,FALSE)</f>
        <v>180</v>
      </c>
      <c r="C1061" s="178" t="s">
        <v>4555</v>
      </c>
      <c r="D1061" s="21" t="str">
        <f t="shared" si="32"/>
        <v>PTO1060-180-25</v>
      </c>
      <c r="E1061" s="9" t="s">
        <v>4556</v>
      </c>
      <c r="F1061" s="10" t="str" cm="1">
        <f t="array" aca="1" ref="F10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D5006 - Fuel System Icing Inhibitors</v>
      </c>
      <c r="H1061" s="10">
        <v>4.3</v>
      </c>
      <c r="I1061" s="12">
        <v>45992</v>
      </c>
      <c r="J1061" s="12"/>
      <c r="K1061" s="63"/>
      <c r="L1061" s="37"/>
      <c r="M1061" s="10">
        <f t="shared" ca="1" si="33"/>
        <v>85</v>
      </c>
    </row>
    <row r="1062" spans="1:13" ht="18.75" hidden="1" x14ac:dyDescent="0.25">
      <c r="A1062" s="9" t="s">
        <v>287</v>
      </c>
      <c r="B1062" s="19">
        <f>VLOOKUP(Table27[[#This Row],[Location 
(drop-down)]],'List source'!D$2:E$71,2,FALSE)</f>
        <v>180</v>
      </c>
      <c r="C1062" s="178" t="s">
        <v>4557</v>
      </c>
      <c r="D1062" s="21" t="str">
        <f t="shared" si="32"/>
        <v>PTO1061-180-25</v>
      </c>
      <c r="E1062" s="9" t="s">
        <v>4558</v>
      </c>
      <c r="F1062" s="10" t="str" cm="1">
        <f t="array" aca="1" ref="F10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062" s="136" t="s">
        <v>2110</v>
      </c>
      <c r="I1062" s="12">
        <v>45992</v>
      </c>
      <c r="J1062" s="12" t="s">
        <v>2074</v>
      </c>
      <c r="K1062" s="63">
        <v>46028</v>
      </c>
      <c r="L1062" s="37" t="s">
        <v>4231</v>
      </c>
      <c r="M1062" s="10" t="str">
        <f t="shared" ca="1" si="33"/>
        <v>CLOSED</v>
      </c>
    </row>
    <row r="1063" spans="1:13" ht="18.75" hidden="1" x14ac:dyDescent="0.25">
      <c r="A1063" s="9" t="s">
        <v>287</v>
      </c>
      <c r="B1063" s="19">
        <f>VLOOKUP(Table27[[#This Row],[Location 
(drop-down)]],'List source'!D$2:E$71,2,FALSE)</f>
        <v>180</v>
      </c>
      <c r="C1063" s="178" t="s">
        <v>4559</v>
      </c>
      <c r="D1063" s="21" t="str">
        <f t="shared" si="32"/>
        <v>PTO1062-180-25</v>
      </c>
      <c r="E1063" s="9" t="s">
        <v>4560</v>
      </c>
      <c r="F1063" s="10" t="str" cm="1">
        <f t="array" aca="1" ref="F10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063" s="136" t="s">
        <v>2446</v>
      </c>
      <c r="I1063" s="12">
        <v>45992</v>
      </c>
      <c r="J1063" s="12"/>
      <c r="K1063" s="63"/>
      <c r="L1063" s="37"/>
      <c r="M1063" s="10">
        <f t="shared" ca="1" si="33"/>
        <v>85</v>
      </c>
    </row>
    <row r="1064" spans="1:13" ht="30" hidden="1" x14ac:dyDescent="0.25">
      <c r="A1064" s="9" t="s">
        <v>287</v>
      </c>
      <c r="B1064" s="19">
        <f>VLOOKUP(Table27[[#This Row],[Location 
(drop-down)]],'List source'!D$2:E$71,2,FALSE)</f>
        <v>180</v>
      </c>
      <c r="C1064" s="178" t="s">
        <v>4561</v>
      </c>
      <c r="D1064" s="21" t="str">
        <f t="shared" si="32"/>
        <v>PTO1063-180-25</v>
      </c>
      <c r="E1064" s="9" t="s">
        <v>4562</v>
      </c>
      <c r="F1064" s="10" t="str" cm="1">
        <f t="array" aca="1" ref="F10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1064" s="10" t="s">
        <v>4563</v>
      </c>
      <c r="I1064" s="12">
        <v>45992</v>
      </c>
      <c r="J1064" s="12"/>
      <c r="K1064" s="63"/>
      <c r="L1064" s="37"/>
      <c r="M1064" s="10">
        <f t="shared" ca="1" si="33"/>
        <v>85</v>
      </c>
    </row>
    <row r="1065" spans="1:13" ht="18.75" hidden="1" x14ac:dyDescent="0.25">
      <c r="A1065" s="9" t="s">
        <v>287</v>
      </c>
      <c r="B1065" s="19">
        <f>VLOOKUP(Table27[[#This Row],[Location 
(drop-down)]],'List source'!D$2:E$71,2,FALSE)</f>
        <v>180</v>
      </c>
      <c r="C1065" s="178" t="s">
        <v>4564</v>
      </c>
      <c r="D1065" s="21" t="str">
        <f t="shared" si="32"/>
        <v>PTO1064-180-25</v>
      </c>
      <c r="E1065" s="9" t="s">
        <v>4565</v>
      </c>
      <c r="F1065" s="10" t="str" cm="1">
        <f t="array" aca="1" ref="F10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065" s="10">
        <v>2.5</v>
      </c>
      <c r="I1065" s="12">
        <v>45992</v>
      </c>
      <c r="J1065" s="12"/>
      <c r="K1065" s="63"/>
      <c r="L1065" s="37"/>
      <c r="M1065" s="10">
        <f t="shared" ca="1" si="33"/>
        <v>85</v>
      </c>
    </row>
    <row r="1066" spans="1:13" ht="18.75" hidden="1" x14ac:dyDescent="0.25">
      <c r="A1066" s="9" t="s">
        <v>123</v>
      </c>
      <c r="B1066" s="19">
        <f>VLOOKUP(Table27[[#This Row],[Location 
(drop-down)]],'List source'!D$2:E$71,2,FALSE)</f>
        <v>192</v>
      </c>
      <c r="C1066" s="178" t="s">
        <v>4566</v>
      </c>
      <c r="D1066" s="21" t="str">
        <f t="shared" si="32"/>
        <v>PTO1065-192-25</v>
      </c>
      <c r="E1066" s="9" t="s">
        <v>4567</v>
      </c>
      <c r="F1066" s="10" t="str" cm="1">
        <f t="array" aca="1" ref="F10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6" s="136" t="s">
        <v>4568</v>
      </c>
      <c r="I1066" s="12">
        <v>45992</v>
      </c>
      <c r="J1066" s="12" t="s">
        <v>252</v>
      </c>
      <c r="K1066" s="63">
        <v>46044</v>
      </c>
      <c r="L1066" s="37"/>
      <c r="M1066" s="10" t="str">
        <f t="shared" ca="1" si="33"/>
        <v>CLOSED</v>
      </c>
    </row>
    <row r="1067" spans="1:13" ht="18.75" hidden="1" x14ac:dyDescent="0.25">
      <c r="A1067" s="9" t="s">
        <v>99</v>
      </c>
      <c r="B1067" s="19">
        <f>VLOOKUP(Table27[[#This Row],[Location 
(drop-down)]],'List source'!D$2:E$71,2,FALSE)</f>
        <v>198</v>
      </c>
      <c r="C1067" s="178" t="s">
        <v>4569</v>
      </c>
      <c r="D1067" s="21" t="str">
        <f t="shared" si="32"/>
        <v>PTO1066-198-25</v>
      </c>
      <c r="E1067" s="9" t="s">
        <v>4570</v>
      </c>
      <c r="F1067" s="10" t="str" cm="1">
        <f t="array" aca="1" ref="F10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7" s="10" t="s">
        <v>4571</v>
      </c>
      <c r="I1067" s="12">
        <v>45992</v>
      </c>
      <c r="J1067" s="12" t="s">
        <v>2074</v>
      </c>
      <c r="K1067" s="63">
        <v>45992</v>
      </c>
      <c r="L1067" s="37" t="s">
        <v>4223</v>
      </c>
      <c r="M1067" s="10" t="str">
        <f t="shared" ca="1" si="33"/>
        <v>CLOSED</v>
      </c>
    </row>
    <row r="1068" spans="1:13" ht="30" hidden="1" x14ac:dyDescent="0.25">
      <c r="A1068" s="9" t="s">
        <v>46</v>
      </c>
      <c r="B1068" s="19">
        <f>VLOOKUP(Table27[[#This Row],[Location 
(drop-down)]],'List source'!D$2:E$71,2,FALSE)</f>
        <v>155</v>
      </c>
      <c r="C1068" s="178" t="s">
        <v>4572</v>
      </c>
      <c r="D1068" s="21" t="str">
        <f t="shared" si="32"/>
        <v>PTO1067-155-25</v>
      </c>
      <c r="E1068" s="9" t="s">
        <v>4573</v>
      </c>
      <c r="F1068" s="10" t="str" cm="1">
        <f t="array" aca="1" ref="F10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0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1068" s="10" t="s">
        <v>4574</v>
      </c>
      <c r="I1068" s="12">
        <v>45999</v>
      </c>
      <c r="J1068" s="12"/>
      <c r="K1068" s="63"/>
      <c r="L1068" s="37"/>
      <c r="M1068" s="10">
        <f t="shared" ca="1" si="33"/>
        <v>78</v>
      </c>
    </row>
    <row r="1069" spans="1:13" ht="18.75" hidden="1" x14ac:dyDescent="0.25">
      <c r="A1069" s="9" t="s">
        <v>79</v>
      </c>
      <c r="B1069" s="19">
        <f>VLOOKUP(Table27[[#This Row],[Location 
(drop-down)]],'List source'!D$2:E$71,2,FALSE)</f>
        <v>160</v>
      </c>
      <c r="C1069" s="178" t="s">
        <v>4575</v>
      </c>
      <c r="D1069" s="21" t="str">
        <f t="shared" si="32"/>
        <v>PTO1068-160-25</v>
      </c>
      <c r="E1069" s="9" t="s">
        <v>4576</v>
      </c>
      <c r="F1069" s="10" t="str" cm="1">
        <f t="array" aca="1" ref="F10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0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D6667 - Sulfur in LPG</v>
      </c>
      <c r="H1069" s="10">
        <v>2.29</v>
      </c>
      <c r="I1069" s="12">
        <v>45999</v>
      </c>
      <c r="J1069" s="12" t="s">
        <v>2074</v>
      </c>
      <c r="K1069" s="63">
        <v>45999</v>
      </c>
      <c r="L1069" s="37" t="s">
        <v>4223</v>
      </c>
      <c r="M1069" s="10" t="str">
        <f t="shared" ca="1" si="33"/>
        <v>CLOSED</v>
      </c>
    </row>
    <row r="1070" spans="1:13" ht="18.75" hidden="1" x14ac:dyDescent="0.25">
      <c r="A1070" s="9" t="s">
        <v>381</v>
      </c>
      <c r="B1070" s="19">
        <f>VLOOKUP(Table27[[#This Row],[Location 
(drop-down)]],'List source'!D$2:E$71,2,FALSE)</f>
        <v>179</v>
      </c>
      <c r="C1070" s="178" t="s">
        <v>4577</v>
      </c>
      <c r="D1070" s="21" t="str">
        <f t="shared" si="32"/>
        <v>PTO1069-179-25</v>
      </c>
      <c r="E1070" s="9" t="s">
        <v>4578</v>
      </c>
      <c r="F1070" s="10" t="str" cm="1">
        <f t="array" aca="1" ref="F10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0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1070" s="10" t="s">
        <v>3773</v>
      </c>
      <c r="I1070" s="12">
        <v>45999</v>
      </c>
      <c r="J1070" s="12"/>
      <c r="K1070" s="63"/>
      <c r="L1070" s="37"/>
      <c r="M1070" s="10">
        <f t="shared" ca="1" si="33"/>
        <v>78</v>
      </c>
    </row>
    <row r="1071" spans="1:13" ht="18.75" hidden="1" x14ac:dyDescent="0.25">
      <c r="A1071" s="9" t="s">
        <v>179</v>
      </c>
      <c r="B1071" s="19">
        <f>VLOOKUP(Table27[[#This Row],[Location 
(drop-down)]],'List source'!D$2:E$71,2,FALSE)</f>
        <v>189</v>
      </c>
      <c r="C1071" s="178" t="s">
        <v>4579</v>
      </c>
      <c r="D1071" s="21" t="str">
        <f t="shared" si="32"/>
        <v>PTO1070-189-25</v>
      </c>
      <c r="E1071" s="9" t="s">
        <v>4580</v>
      </c>
      <c r="F1071" s="10" t="s">
        <v>3062</v>
      </c>
      <c r="G10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71" s="10">
        <v>2.1800000000000002</v>
      </c>
      <c r="I1071" s="12">
        <v>45999</v>
      </c>
      <c r="J1071" s="12" t="s">
        <v>27</v>
      </c>
      <c r="K1071" s="63">
        <v>46052</v>
      </c>
      <c r="L1071" s="37"/>
      <c r="M1071" s="10" t="str">
        <f t="shared" ca="1" si="33"/>
        <v>CLOSED</v>
      </c>
    </row>
    <row r="1072" spans="1:13" ht="18.75" hidden="1" x14ac:dyDescent="0.25">
      <c r="A1072" s="9" t="s">
        <v>287</v>
      </c>
      <c r="B1072" s="19">
        <f>VLOOKUP(Table27[[#This Row],[Location 
(drop-down)]],'List source'!D$2:E$71,2,FALSE)</f>
        <v>180</v>
      </c>
      <c r="C1072" s="178" t="s">
        <v>4581</v>
      </c>
      <c r="D1072" s="21" t="str">
        <f t="shared" si="32"/>
        <v>PTO1071-180-25</v>
      </c>
      <c r="E1072" s="9" t="s">
        <v>4582</v>
      </c>
      <c r="F1072" s="10" t="str" cm="1">
        <f t="array" aca="1" ref="F10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AASHTO, T</v>
      </c>
      <c r="G1072" s="9" t="s">
        <v>4583</v>
      </c>
      <c r="H1072" s="10">
        <v>-3.05</v>
      </c>
      <c r="I1072" s="12">
        <v>45761</v>
      </c>
      <c r="J1072" s="12" t="s">
        <v>27</v>
      </c>
      <c r="K1072" s="63">
        <v>46001</v>
      </c>
      <c r="L1072" s="37"/>
      <c r="M1072" s="10" t="str">
        <f t="shared" ca="1" si="33"/>
        <v>CLOSED</v>
      </c>
    </row>
    <row r="1073" spans="1:13" ht="18.75" hidden="1" x14ac:dyDescent="0.25">
      <c r="A1073" s="9" t="s">
        <v>133</v>
      </c>
      <c r="B1073" s="19">
        <f>VLOOKUP(Table27[[#This Row],[Location 
(drop-down)]],'List source'!D$2:E$71,2,FALSE)</f>
        <v>194</v>
      </c>
      <c r="C1073" s="178" t="s">
        <v>4584</v>
      </c>
      <c r="D1073" s="21" t="str">
        <f t="shared" si="32"/>
        <v>PTO1072-194-25</v>
      </c>
      <c r="E1073" s="9" t="s">
        <v>4585</v>
      </c>
      <c r="F1073" s="10" t="s">
        <v>3059</v>
      </c>
      <c r="G10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3" s="10">
        <v>2.1</v>
      </c>
      <c r="I1073" s="12">
        <v>45999</v>
      </c>
      <c r="J1073" s="12" t="s">
        <v>2074</v>
      </c>
      <c r="K1073" s="63">
        <v>45999</v>
      </c>
      <c r="L1073" s="37" t="s">
        <v>4223</v>
      </c>
      <c r="M1073" s="10" t="str">
        <f t="shared" ca="1" si="33"/>
        <v>CLOSED</v>
      </c>
    </row>
    <row r="1074" spans="1:13" ht="18.75" hidden="1" x14ac:dyDescent="0.25">
      <c r="A1074" s="9" t="s">
        <v>99</v>
      </c>
      <c r="B1074" s="19">
        <f>VLOOKUP(Table27[[#This Row],[Location 
(drop-down)]],'List source'!D$2:E$71,2,FALSE)</f>
        <v>198</v>
      </c>
      <c r="C1074" s="178" t="s">
        <v>4586</v>
      </c>
      <c r="D1074" s="21" t="str">
        <f t="shared" si="32"/>
        <v>PTO1073-198-25</v>
      </c>
      <c r="E1074" s="9" t="s">
        <v>4587</v>
      </c>
      <c r="F1074" s="10" t="s">
        <v>3059</v>
      </c>
      <c r="G10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4" s="10">
        <v>4.6399999999999997</v>
      </c>
      <c r="I1074" s="12">
        <v>46007</v>
      </c>
      <c r="J1074" s="12"/>
      <c r="K1074" s="63"/>
      <c r="L1074" s="37"/>
      <c r="M1074" s="10">
        <f t="shared" ca="1" si="33"/>
        <v>70</v>
      </c>
    </row>
    <row r="1075" spans="1:13" ht="18.75" hidden="1" x14ac:dyDescent="0.25">
      <c r="A1075" s="9" t="s">
        <v>99</v>
      </c>
      <c r="B1075" s="19">
        <f>VLOOKUP(Table27[[#This Row],[Location 
(drop-down)]],'List source'!D$2:E$71,2,FALSE)</f>
        <v>198</v>
      </c>
      <c r="C1075" s="178" t="s">
        <v>4588</v>
      </c>
      <c r="D1075" s="21" t="str">
        <f t="shared" si="32"/>
        <v>PTO1074-198-25</v>
      </c>
      <c r="E1075" s="9" t="s">
        <v>4589</v>
      </c>
      <c r="F1075" s="10" t="s">
        <v>3059</v>
      </c>
      <c r="G10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75" s="10">
        <v>2.35</v>
      </c>
      <c r="I1075" s="12">
        <v>46007</v>
      </c>
      <c r="J1075" s="12" t="s">
        <v>2074</v>
      </c>
      <c r="K1075" s="63">
        <v>46007</v>
      </c>
      <c r="L1075" s="37" t="s">
        <v>4223</v>
      </c>
      <c r="M1075" s="10" t="str">
        <f t="shared" ca="1" si="33"/>
        <v>CLOSED</v>
      </c>
    </row>
    <row r="1076" spans="1:13" ht="18.75" hidden="1" x14ac:dyDescent="0.25">
      <c r="A1076" s="9" t="s">
        <v>99</v>
      </c>
      <c r="B1076" s="19">
        <f>VLOOKUP(Table27[[#This Row],[Location 
(drop-down)]],'List source'!D$2:E$71,2,FALSE)</f>
        <v>198</v>
      </c>
      <c r="C1076" s="178" t="s">
        <v>4590</v>
      </c>
      <c r="D1076" s="21" t="str">
        <f t="shared" si="32"/>
        <v>PTO1075-198-25</v>
      </c>
      <c r="E1076" s="9" t="s">
        <v>4591</v>
      </c>
      <c r="F1076" s="10" t="s">
        <v>3059</v>
      </c>
      <c r="G10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v>
      </c>
      <c r="H1076" s="136" t="s">
        <v>3179</v>
      </c>
      <c r="I1076" s="12">
        <v>46007</v>
      </c>
      <c r="J1076" s="12"/>
      <c r="K1076" s="63"/>
      <c r="L1076" s="37"/>
      <c r="M1076" s="10">
        <f t="shared" ca="1" si="33"/>
        <v>70</v>
      </c>
    </row>
    <row r="1077" spans="1:13" ht="18.75" hidden="1" x14ac:dyDescent="0.25">
      <c r="A1077" s="71" t="s">
        <v>220</v>
      </c>
      <c r="B1077" s="19">
        <f>VLOOKUP(Table27[[#This Row],[Location 
(drop-down)]],'List source'!D$2:E$71,2,FALSE)</f>
        <v>197</v>
      </c>
      <c r="C1077" s="178" t="s">
        <v>4592</v>
      </c>
      <c r="D1077" s="21" t="str">
        <f t="shared" si="32"/>
        <v>PTO1076-197-25</v>
      </c>
      <c r="E1077" s="71" t="s">
        <v>4593</v>
      </c>
      <c r="F1077" s="10" t="s">
        <v>3077</v>
      </c>
      <c r="G10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7" s="201" t="s">
        <v>2190</v>
      </c>
      <c r="I1077" s="73">
        <v>46007</v>
      </c>
      <c r="J1077" s="73"/>
      <c r="K1077" s="74"/>
      <c r="L1077" s="68"/>
      <c r="M1077" s="10">
        <f t="shared" ca="1" si="33"/>
        <v>70</v>
      </c>
    </row>
    <row r="1078" spans="1:13" ht="18.75" hidden="1" x14ac:dyDescent="0.25">
      <c r="A1078" s="9" t="s">
        <v>211</v>
      </c>
      <c r="B1078" s="19">
        <f>VLOOKUP(Table27[[#This Row],[Location 
(drop-down)]],'List source'!D$2:E$71,2,FALSE)</f>
        <v>132</v>
      </c>
      <c r="C1078" s="178" t="s">
        <v>4594</v>
      </c>
      <c r="D1078" s="21" t="str">
        <f t="shared" si="32"/>
        <v>PTO1077-132-25</v>
      </c>
      <c r="E1078" s="9" t="s">
        <v>4595</v>
      </c>
      <c r="F1078" s="10" t="s">
        <v>3044</v>
      </c>
      <c r="G10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1078" s="10">
        <v>2.1</v>
      </c>
      <c r="I1078" s="12">
        <v>46007</v>
      </c>
      <c r="J1078" s="12" t="s">
        <v>2074</v>
      </c>
      <c r="K1078" s="63">
        <v>46008</v>
      </c>
      <c r="L1078" s="37" t="s">
        <v>4231</v>
      </c>
      <c r="M1078" s="10" t="str">
        <f t="shared" ca="1" si="33"/>
        <v>CLOSED</v>
      </c>
    </row>
    <row r="1079" spans="1:13" ht="18.75" hidden="1" x14ac:dyDescent="0.25">
      <c r="A1079" s="9" t="s">
        <v>99</v>
      </c>
      <c r="B1079" s="19">
        <f>VLOOKUP(Table27[[#This Row],[Location 
(drop-down)]],'List source'!D$2:E$71,2,FALSE)</f>
        <v>198</v>
      </c>
      <c r="C1079" s="178" t="s">
        <v>4596</v>
      </c>
      <c r="D1079" s="21" t="str">
        <f t="shared" si="32"/>
        <v>PTO1078-198-25</v>
      </c>
      <c r="E1079" s="9" t="s">
        <v>4597</v>
      </c>
      <c r="F1079" s="10" t="s">
        <v>3059</v>
      </c>
      <c r="G10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9" s="10">
        <v>2.0699999999999998</v>
      </c>
      <c r="I1079" s="12">
        <v>46008</v>
      </c>
      <c r="J1079" s="12"/>
      <c r="K1079" s="63"/>
      <c r="L1079" s="37"/>
      <c r="M1079" s="10">
        <f t="shared" ca="1" si="33"/>
        <v>69</v>
      </c>
    </row>
    <row r="1080" spans="1:13" ht="18.75" hidden="1" x14ac:dyDescent="0.25">
      <c r="A1080" s="9" t="s">
        <v>99</v>
      </c>
      <c r="B1080" s="19">
        <f>VLOOKUP(Table27[[#This Row],[Location 
(drop-down)]],'List source'!D$2:E$71,2,FALSE)</f>
        <v>198</v>
      </c>
      <c r="C1080" s="178" t="s">
        <v>4598</v>
      </c>
      <c r="D1080" s="21" t="str">
        <f t="shared" si="32"/>
        <v>PTO1079-198-25</v>
      </c>
      <c r="E1080" s="9" t="s">
        <v>4599</v>
      </c>
      <c r="F1080" s="10" t="s">
        <v>3059</v>
      </c>
      <c r="G10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080" s="10">
        <v>2.2799999999999998</v>
      </c>
      <c r="I1080" s="12">
        <v>46008</v>
      </c>
      <c r="J1080" s="12"/>
      <c r="K1080" s="63"/>
      <c r="L1080" s="37"/>
      <c r="M1080" s="10">
        <f t="shared" ca="1" si="33"/>
        <v>69</v>
      </c>
    </row>
    <row r="1081" spans="1:13" ht="18.75" hidden="1" x14ac:dyDescent="0.25">
      <c r="A1081" s="9" t="s">
        <v>156</v>
      </c>
      <c r="B1081" s="19">
        <f>VLOOKUP(Table27[[#This Row],[Location 
(drop-down)]],'List source'!D$2:E$71,2,FALSE)</f>
        <v>130</v>
      </c>
      <c r="C1081" s="178" t="s">
        <v>4600</v>
      </c>
      <c r="D1081" s="21" t="str">
        <f t="shared" si="32"/>
        <v>PTO1080-130-25</v>
      </c>
      <c r="E1081" s="9" t="s">
        <v>4601</v>
      </c>
      <c r="F1081" s="10" t="s">
        <v>3044</v>
      </c>
      <c r="G10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1" s="10" t="s">
        <v>4602</v>
      </c>
      <c r="I1081" s="12">
        <v>46008</v>
      </c>
      <c r="J1081" s="12" t="s">
        <v>2074</v>
      </c>
      <c r="K1081" s="63">
        <v>46008</v>
      </c>
      <c r="L1081" s="37" t="s">
        <v>4223</v>
      </c>
      <c r="M1081" s="10" t="str">
        <f t="shared" ca="1" si="33"/>
        <v>CLOSED</v>
      </c>
    </row>
    <row r="1082" spans="1:13" ht="18.75" hidden="1" x14ac:dyDescent="0.25">
      <c r="A1082" s="9" t="s">
        <v>14</v>
      </c>
      <c r="B1082" s="19">
        <f>VLOOKUP(Table27[[#This Row],[Location 
(drop-down)]],'List source'!D$2:E$71,2,FALSE)</f>
        <v>131</v>
      </c>
      <c r="C1082" s="178" t="s">
        <v>4603</v>
      </c>
      <c r="D1082" s="21" t="str">
        <f t="shared" si="32"/>
        <v>PTO1081-131-25</v>
      </c>
      <c r="E1082" s="9" t="s">
        <v>4604</v>
      </c>
      <c r="F1082" s="10" t="s">
        <v>3044</v>
      </c>
      <c r="G10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1082" s="136" t="s">
        <v>2707</v>
      </c>
      <c r="I1082" s="12">
        <v>46008</v>
      </c>
      <c r="J1082" s="12"/>
      <c r="K1082" s="63"/>
      <c r="L1082" s="37"/>
      <c r="M1082" s="10">
        <f t="shared" ca="1" si="33"/>
        <v>69</v>
      </c>
    </row>
    <row r="1083" spans="1:13" ht="18.75" hidden="1" x14ac:dyDescent="0.25">
      <c r="A1083" s="9" t="s">
        <v>46</v>
      </c>
      <c r="B1083" s="19">
        <f>VLOOKUP(Table27[[#This Row],[Location 
(drop-down)]],'List source'!D$2:E$71,2,FALSE)</f>
        <v>155</v>
      </c>
      <c r="C1083" s="178" t="s">
        <v>4605</v>
      </c>
      <c r="D1083" s="21" t="str">
        <f t="shared" si="32"/>
        <v>PTO1082-155-25</v>
      </c>
      <c r="E1083" s="9" t="s">
        <v>4606</v>
      </c>
      <c r="F1083" s="10" t="str" cm="1">
        <f t="array" aca="1" ref="F10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0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3" s="10">
        <v>-2.0099999999999998</v>
      </c>
      <c r="I1083" s="12">
        <v>46009</v>
      </c>
      <c r="J1083" s="12" t="s">
        <v>2074</v>
      </c>
      <c r="K1083" s="63">
        <v>46009</v>
      </c>
      <c r="L1083" s="37" t="s">
        <v>4223</v>
      </c>
      <c r="M1083" s="10" t="str">
        <f t="shared" ca="1" si="33"/>
        <v>CLOSED</v>
      </c>
    </row>
    <row r="1084" spans="1:13" ht="30" hidden="1" x14ac:dyDescent="0.25">
      <c r="A1084" s="9" t="s">
        <v>46</v>
      </c>
      <c r="B1084" s="19">
        <f>VLOOKUP(Table27[[#This Row],[Location 
(drop-down)]],'List source'!D$2:E$71,2,FALSE)</f>
        <v>155</v>
      </c>
      <c r="C1084" s="178" t="s">
        <v>4607</v>
      </c>
      <c r="D1084" s="21" t="str">
        <f t="shared" si="32"/>
        <v>PTO1083-155-25</v>
      </c>
      <c r="E1084" s="9" t="s">
        <v>4608</v>
      </c>
      <c r="F1084" s="10" t="str" cm="1">
        <f t="array" aca="1" ref="F10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0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84" s="10" t="s">
        <v>4609</v>
      </c>
      <c r="I1084" s="12">
        <v>46009</v>
      </c>
      <c r="J1084" s="12" t="s">
        <v>2074</v>
      </c>
      <c r="K1084" s="63">
        <v>46057</v>
      </c>
      <c r="L1084" s="37" t="s">
        <v>2079</v>
      </c>
      <c r="M1084" s="10" t="str">
        <f t="shared" ca="1" si="33"/>
        <v>CLOSED</v>
      </c>
    </row>
    <row r="1085" spans="1:13" ht="30" hidden="1" x14ac:dyDescent="0.25">
      <c r="A1085" s="9" t="s">
        <v>220</v>
      </c>
      <c r="B1085" s="19">
        <f>VLOOKUP(Table27[[#This Row],[Location 
(drop-down)]],'List source'!D$2:E$71,2,FALSE)</f>
        <v>197</v>
      </c>
      <c r="C1085" s="178" t="s">
        <v>4610</v>
      </c>
      <c r="D1085" s="21" t="str">
        <f t="shared" si="32"/>
        <v>PTO1084-197-25</v>
      </c>
      <c r="E1085" s="9" t="s">
        <v>4611</v>
      </c>
      <c r="F1085" s="10" t="str" cm="1">
        <f t="array" aca="1" ref="F10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0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85" s="10" t="s">
        <v>4612</v>
      </c>
      <c r="I1085" s="12">
        <v>46009</v>
      </c>
      <c r="J1085" s="12" t="s">
        <v>2074</v>
      </c>
      <c r="K1085" s="63">
        <v>46027</v>
      </c>
      <c r="L1085" s="37" t="s">
        <v>2079</v>
      </c>
      <c r="M1085" s="10" t="str">
        <f t="shared" ca="1" si="33"/>
        <v>CLOSED</v>
      </c>
    </row>
    <row r="1086" spans="1:13" ht="18.75" hidden="1" x14ac:dyDescent="0.25">
      <c r="A1086" s="9" t="s">
        <v>153</v>
      </c>
      <c r="B1086" s="19">
        <f>VLOOKUP(Table27[[#This Row],[Location 
(drop-down)]],'List source'!D$2:E$71,2,FALSE)</f>
        <v>110</v>
      </c>
      <c r="C1086" s="178" t="s">
        <v>4613</v>
      </c>
      <c r="D1086" s="21" t="str">
        <f t="shared" si="32"/>
        <v>PTO1085-110-25</v>
      </c>
      <c r="E1086" s="9" t="s">
        <v>4614</v>
      </c>
      <c r="F1086" s="10" t="str" cm="1">
        <f t="array" aca="1" ref="F10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14103 - Total FAME (ester)</v>
      </c>
      <c r="H1086" s="136" t="s">
        <v>2308</v>
      </c>
      <c r="I1086" s="12">
        <v>46009</v>
      </c>
      <c r="J1086" s="12"/>
      <c r="K1086" s="63"/>
      <c r="L1086" s="37"/>
      <c r="M1086" s="10">
        <f t="shared" ca="1" si="33"/>
        <v>68</v>
      </c>
    </row>
    <row r="1087" spans="1:13" ht="18.75" hidden="1" x14ac:dyDescent="0.25">
      <c r="A1087" s="9" t="s">
        <v>94</v>
      </c>
      <c r="B1087" s="19">
        <f>VLOOKUP(Table27[[#This Row],[Location 
(drop-down)]],'List source'!D$2:E$71,2,FALSE)</f>
        <v>120</v>
      </c>
      <c r="C1087" s="178" t="s">
        <v>4615</v>
      </c>
      <c r="D1087" s="21" t="str">
        <f t="shared" si="32"/>
        <v>PTO1086-120-25</v>
      </c>
      <c r="E1087" s="9" t="s">
        <v>4616</v>
      </c>
      <c r="F1087" s="10" t="str" cm="1">
        <f t="array" aca="1" ref="F10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D5185 - Elements</v>
      </c>
      <c r="H1087" s="10">
        <v>3.1</v>
      </c>
      <c r="I1087" s="12">
        <v>46009</v>
      </c>
      <c r="J1087" s="12"/>
      <c r="K1087" s="63"/>
      <c r="L1087" s="37"/>
      <c r="M1087" s="10">
        <f t="shared" ca="1" si="33"/>
        <v>68</v>
      </c>
    </row>
    <row r="1088" spans="1:13" ht="18.75" hidden="1" x14ac:dyDescent="0.25">
      <c r="A1088" s="9" t="s">
        <v>94</v>
      </c>
      <c r="B1088" s="19">
        <f>VLOOKUP(Table27[[#This Row],[Location 
(drop-down)]],'List source'!D$2:E$71,2,FALSE)</f>
        <v>120</v>
      </c>
      <c r="C1088" s="178" t="s">
        <v>4617</v>
      </c>
      <c r="D1088" s="21" t="str">
        <f t="shared" si="32"/>
        <v>PTO1087-120-25</v>
      </c>
      <c r="E1088" s="9" t="s">
        <v>4618</v>
      </c>
      <c r="F1088" s="10" t="str" cm="1">
        <f t="array" aca="1" ref="F10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Glycerin</v>
      </c>
      <c r="H1088" s="10">
        <v>2.06</v>
      </c>
      <c r="I1088" s="12">
        <v>46009</v>
      </c>
      <c r="J1088" s="12" t="s">
        <v>2074</v>
      </c>
      <c r="K1088" s="63">
        <v>46045</v>
      </c>
      <c r="L1088" s="37" t="s">
        <v>4231</v>
      </c>
      <c r="M1088" s="10" t="str">
        <f t="shared" ca="1" si="33"/>
        <v>CLOSED</v>
      </c>
    </row>
    <row r="1089" spans="1:13" ht="30" hidden="1" x14ac:dyDescent="0.25">
      <c r="A1089" s="9" t="s">
        <v>94</v>
      </c>
      <c r="B1089" s="19">
        <f>VLOOKUP(Table27[[#This Row],[Location 
(drop-down)]],'List source'!D$2:E$71,2,FALSE)</f>
        <v>120</v>
      </c>
      <c r="C1089" s="178" t="s">
        <v>4619</v>
      </c>
      <c r="D1089" s="21" t="str">
        <f t="shared" si="32"/>
        <v>PTO1088-120-25</v>
      </c>
      <c r="E1089" s="9" t="s">
        <v>4620</v>
      </c>
      <c r="F1089" s="10" t="str" cm="1">
        <f t="array" aca="1" ref="F10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14103 - Linolenic Acid Methyl Ester</v>
      </c>
      <c r="H1089" s="136" t="s">
        <v>4621</v>
      </c>
      <c r="I1089" s="12">
        <v>46009</v>
      </c>
      <c r="J1089" s="12"/>
      <c r="K1089" s="63"/>
      <c r="L1089" s="37"/>
      <c r="M1089" s="10">
        <f t="shared" ca="1" si="33"/>
        <v>68</v>
      </c>
    </row>
    <row r="1090" spans="1:13" ht="30" hidden="1" x14ac:dyDescent="0.25">
      <c r="A1090" s="9" t="s">
        <v>257</v>
      </c>
      <c r="B1090" s="19">
        <f>VLOOKUP(Table27[[#This Row],[Location 
(drop-down)]],'List source'!D$2:E$71,2,FALSE)</f>
        <v>144</v>
      </c>
      <c r="C1090" s="178" t="s">
        <v>4622</v>
      </c>
      <c r="D1090" s="21" t="str">
        <f t="shared" ref="D1090:D1153" si="34">"PTO" &amp; C1090 &amp; "-" &amp; B1090 &amp; "-" &amp; "25"</f>
        <v>PTO1089-144-25</v>
      </c>
      <c r="E1090" s="9" t="s">
        <v>4623</v>
      </c>
      <c r="F1090" s="10" t="str" cm="1">
        <f t="array" aca="1" ref="F10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90" s="136" t="s">
        <v>3668</v>
      </c>
      <c r="I1090" s="12">
        <v>46009</v>
      </c>
      <c r="J1090" s="12"/>
      <c r="K1090" s="63"/>
      <c r="L1090" s="37"/>
      <c r="M1090" s="10">
        <f t="shared" ref="M1090:M1153" ca="1" si="35">IF(ISBLANK(K1090), TODAY()-(I1090), "CLOSED")</f>
        <v>68</v>
      </c>
    </row>
    <row r="1091" spans="1:13" ht="18.75" hidden="1" x14ac:dyDescent="0.25">
      <c r="A1091" s="9" t="s">
        <v>131</v>
      </c>
      <c r="B1091" s="19">
        <f>VLOOKUP(Table27[[#This Row],[Location 
(drop-down)]],'List source'!D$2:E$71,2,FALSE)</f>
        <v>145</v>
      </c>
      <c r="C1091" s="178" t="s">
        <v>4624</v>
      </c>
      <c r="D1091" s="21" t="str">
        <f t="shared" si="34"/>
        <v>PTO1090-145-25</v>
      </c>
      <c r="E1091" s="9" t="s">
        <v>4625</v>
      </c>
      <c r="F1091" s="10" t="str" cm="1">
        <f t="array" aca="1" ref="F10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91" s="136" t="s">
        <v>4626</v>
      </c>
      <c r="I1091" s="12">
        <v>46009</v>
      </c>
      <c r="J1091" s="12" t="s">
        <v>2074</v>
      </c>
      <c r="K1091" s="63">
        <v>46031</v>
      </c>
      <c r="L1091" s="37" t="s">
        <v>2079</v>
      </c>
      <c r="M1091" s="10" t="str">
        <f t="shared" ca="1" si="35"/>
        <v>CLOSED</v>
      </c>
    </row>
    <row r="1092" spans="1:13" ht="30" hidden="1" x14ac:dyDescent="0.25">
      <c r="A1092" s="9" t="s">
        <v>107</v>
      </c>
      <c r="B1092" s="19">
        <f>VLOOKUP(Table27[[#This Row],[Location 
(drop-down)]],'List source'!D$2:E$71,2,FALSE)</f>
        <v>170</v>
      </c>
      <c r="C1092" s="178" t="s">
        <v>4627</v>
      </c>
      <c r="D1092" s="21" t="str">
        <f t="shared" si="34"/>
        <v>PTO1091-170-25</v>
      </c>
      <c r="E1092" s="9" t="s">
        <v>4628</v>
      </c>
      <c r="F1092" s="10" t="str" cm="1">
        <f t="array" aca="1" ref="F10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D1160 - Distillation</v>
      </c>
      <c r="H1092" s="10" t="s">
        <v>2400</v>
      </c>
      <c r="I1092" s="12">
        <v>46009</v>
      </c>
      <c r="J1092" s="12"/>
      <c r="K1092" s="63"/>
      <c r="L1092" s="37"/>
      <c r="M1092" s="10">
        <f t="shared" ca="1" si="35"/>
        <v>68</v>
      </c>
    </row>
    <row r="1093" spans="1:13" ht="30" hidden="1" x14ac:dyDescent="0.25">
      <c r="A1093" s="9" t="s">
        <v>107</v>
      </c>
      <c r="B1093" s="19">
        <f>VLOOKUP(Table27[[#This Row],[Location 
(drop-down)]],'List source'!D$2:E$71,2,FALSE)</f>
        <v>170</v>
      </c>
      <c r="C1093" s="178" t="s">
        <v>4629</v>
      </c>
      <c r="D1093" s="21" t="str">
        <f t="shared" si="34"/>
        <v>PTO1092-170-25</v>
      </c>
      <c r="E1093" s="9" t="s">
        <v>4630</v>
      </c>
      <c r="F1093" s="10" t="str" cm="1">
        <f t="array" aca="1" ref="F10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14103 - Total FAME (ester) &amp; Linolenic Acid Methyl Ester</v>
      </c>
      <c r="H1093" s="136" t="s">
        <v>4631</v>
      </c>
      <c r="I1093" s="12">
        <v>46009</v>
      </c>
      <c r="J1093" s="12" t="s">
        <v>109</v>
      </c>
      <c r="K1093" s="63">
        <v>46064</v>
      </c>
      <c r="L1093" s="37"/>
      <c r="M1093" s="10" t="str">
        <f t="shared" ca="1" si="35"/>
        <v>CLOSED</v>
      </c>
    </row>
    <row r="1094" spans="1:13" ht="30" hidden="1" x14ac:dyDescent="0.25">
      <c r="A1094" s="9" t="s">
        <v>107</v>
      </c>
      <c r="B1094" s="19">
        <f>VLOOKUP(Table27[[#This Row],[Location 
(drop-down)]],'List source'!D$2:E$71,2,FALSE)</f>
        <v>170</v>
      </c>
      <c r="C1094" s="178" t="s">
        <v>4632</v>
      </c>
      <c r="D1094" s="21" t="str">
        <f t="shared" si="34"/>
        <v>PTO1093-170-25</v>
      </c>
      <c r="E1094" s="9" t="s">
        <v>4633</v>
      </c>
      <c r="F1094" s="10" t="str" cm="1">
        <f t="array" aca="1" ref="F10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94" s="10">
        <v>2.75</v>
      </c>
      <c r="I1094" s="12">
        <v>46009</v>
      </c>
      <c r="J1094" s="12" t="s">
        <v>2074</v>
      </c>
      <c r="K1094" s="63">
        <v>46050</v>
      </c>
      <c r="L1094" s="37" t="s">
        <v>4231</v>
      </c>
      <c r="M1094" s="10" t="str">
        <f t="shared" ca="1" si="35"/>
        <v>CLOSED</v>
      </c>
    </row>
    <row r="1095" spans="1:13" ht="30" hidden="1" x14ac:dyDescent="0.25">
      <c r="A1095" s="9" t="s">
        <v>107</v>
      </c>
      <c r="B1095" s="19">
        <f>VLOOKUP(Table27[[#This Row],[Location 
(drop-down)]],'List source'!D$2:E$71,2,FALSE)</f>
        <v>170</v>
      </c>
      <c r="C1095" s="178" t="s">
        <v>4634</v>
      </c>
      <c r="D1095" s="21" t="str">
        <f t="shared" si="34"/>
        <v>PTO1094-170-25</v>
      </c>
      <c r="E1095" s="9" t="s">
        <v>4635</v>
      </c>
      <c r="F1095" s="10" t="str" cm="1">
        <f t="array" aca="1" ref="F10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D7501 - Fuel Filter Blocking by CSFT</v>
      </c>
      <c r="H1095" s="10">
        <v>3.4</v>
      </c>
      <c r="I1095" s="12">
        <v>46009</v>
      </c>
      <c r="J1095" s="12"/>
      <c r="K1095" s="63"/>
      <c r="L1095" s="37"/>
      <c r="M1095" s="10">
        <f t="shared" ca="1" si="35"/>
        <v>68</v>
      </c>
    </row>
    <row r="1096" spans="1:13" ht="30" hidden="1" x14ac:dyDescent="0.25">
      <c r="A1096" s="9" t="s">
        <v>107</v>
      </c>
      <c r="B1096" s="19">
        <f>VLOOKUP(Table27[[#This Row],[Location 
(drop-down)]],'List source'!D$2:E$71,2,FALSE)</f>
        <v>170</v>
      </c>
      <c r="C1096" s="178" t="s">
        <v>4636</v>
      </c>
      <c r="D1096" s="21" t="str">
        <f t="shared" si="34"/>
        <v>PTO1095-170-25</v>
      </c>
      <c r="E1096" s="9" t="s">
        <v>4637</v>
      </c>
      <c r="F1096" s="10" t="str" cm="1">
        <f t="array" aca="1" ref="F10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096" s="10">
        <v>3.6</v>
      </c>
      <c r="I1096" s="12">
        <v>46009</v>
      </c>
      <c r="J1096" s="12" t="s">
        <v>109</v>
      </c>
      <c r="K1096" s="63">
        <v>46050</v>
      </c>
      <c r="L1096" s="37"/>
      <c r="M1096" s="10" t="str">
        <f t="shared" ca="1" si="35"/>
        <v>CLOSED</v>
      </c>
    </row>
    <row r="1097" spans="1:13" ht="18.75" hidden="1" x14ac:dyDescent="0.25">
      <c r="A1097" s="9" t="s">
        <v>179</v>
      </c>
      <c r="B1097" s="19">
        <f>VLOOKUP(Table27[[#This Row],[Location 
(drop-down)]],'List source'!D$2:E$71,2,FALSE)</f>
        <v>189</v>
      </c>
      <c r="C1097" s="178" t="s">
        <v>4638</v>
      </c>
      <c r="D1097" s="21" t="str">
        <f t="shared" si="34"/>
        <v>PTO1096-189-25</v>
      </c>
      <c r="E1097" s="9" t="s">
        <v>4639</v>
      </c>
      <c r="F1097" s="10" t="str" cm="1">
        <f t="array" aca="1" ref="F10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D5773 - Cloud Point</v>
      </c>
      <c r="H1097" s="10">
        <v>4.54</v>
      </c>
      <c r="I1097" s="12">
        <v>46009</v>
      </c>
      <c r="J1097" s="12"/>
      <c r="K1097" s="63"/>
      <c r="L1097" s="37"/>
      <c r="M1097" s="10">
        <f t="shared" ca="1" si="35"/>
        <v>68</v>
      </c>
    </row>
    <row r="1098" spans="1:13" ht="18.75" hidden="1" x14ac:dyDescent="0.25">
      <c r="A1098" s="9" t="s">
        <v>179</v>
      </c>
      <c r="B1098" s="19">
        <f>VLOOKUP(Table27[[#This Row],[Location 
(drop-down)]],'List source'!D$2:E$71,2,FALSE)</f>
        <v>189</v>
      </c>
      <c r="C1098" s="178" t="s">
        <v>4640</v>
      </c>
      <c r="D1098" s="21" t="str">
        <f t="shared" si="34"/>
        <v>PTO1097-189-25</v>
      </c>
      <c r="E1098" s="9" t="s">
        <v>4641</v>
      </c>
      <c r="F1098" s="10" t="str" cm="1">
        <f t="array" aca="1" ref="F10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98" s="10">
        <v>2.15</v>
      </c>
      <c r="I1098" s="12">
        <v>46009</v>
      </c>
      <c r="J1098" s="12"/>
      <c r="K1098" s="63"/>
      <c r="L1098" s="37"/>
      <c r="M1098" s="10">
        <f t="shared" ca="1" si="35"/>
        <v>68</v>
      </c>
    </row>
    <row r="1099" spans="1:13" ht="18.75" hidden="1" x14ac:dyDescent="0.25">
      <c r="A1099" s="9" t="s">
        <v>179</v>
      </c>
      <c r="B1099" s="19">
        <f>VLOOKUP(Table27[[#This Row],[Location 
(drop-down)]],'List source'!D$2:E$71,2,FALSE)</f>
        <v>189</v>
      </c>
      <c r="C1099" s="178" t="s">
        <v>4642</v>
      </c>
      <c r="D1099" s="21" t="str">
        <f t="shared" si="34"/>
        <v>PTO1098-189-25</v>
      </c>
      <c r="E1099" s="9" t="s">
        <v>4643</v>
      </c>
      <c r="F1099" s="10" t="str" cm="1">
        <f t="array" aca="1" ref="F10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0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99" s="136" t="s">
        <v>4644</v>
      </c>
      <c r="I1099" s="12">
        <v>46009</v>
      </c>
      <c r="J1099" s="12" t="s">
        <v>27</v>
      </c>
      <c r="K1099" s="63">
        <v>46055</v>
      </c>
      <c r="L1099" s="37"/>
      <c r="M1099" s="10" t="str">
        <f t="shared" ca="1" si="35"/>
        <v>CLOSED</v>
      </c>
    </row>
    <row r="1100" spans="1:13" ht="18.75" hidden="1" x14ac:dyDescent="0.25">
      <c r="A1100" s="9" t="s">
        <v>211</v>
      </c>
      <c r="B1100" s="19">
        <f>VLOOKUP(Table27[[#This Row],[Location 
(drop-down)]],'List source'!D$2:E$71,2,FALSE)</f>
        <v>132</v>
      </c>
      <c r="C1100" s="178" t="s">
        <v>4645</v>
      </c>
      <c r="D1100" s="21" t="str">
        <f t="shared" si="34"/>
        <v>PTO1099-132-25</v>
      </c>
      <c r="E1100" s="9" t="s">
        <v>4646</v>
      </c>
      <c r="F1100" s="10" t="s">
        <v>2952</v>
      </c>
      <c r="G11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100" s="10">
        <v>2.5299999999999998</v>
      </c>
      <c r="I1100" s="12">
        <v>46013</v>
      </c>
      <c r="J1100" s="12"/>
      <c r="K1100" s="63"/>
      <c r="L1100" s="37"/>
      <c r="M1100" s="10">
        <f t="shared" ca="1" si="35"/>
        <v>64</v>
      </c>
    </row>
    <row r="1101" spans="1:13" ht="18.75" hidden="1" x14ac:dyDescent="0.25">
      <c r="A1101" s="9" t="s">
        <v>287</v>
      </c>
      <c r="B1101" s="19">
        <f>VLOOKUP(Table27[[#This Row],[Location 
(drop-down)]],'List source'!D$2:E$71,2,FALSE)</f>
        <v>180</v>
      </c>
      <c r="C1101" s="178" t="s">
        <v>4647</v>
      </c>
      <c r="D1101" s="21" t="str">
        <f t="shared" si="34"/>
        <v>PTO1100-180-25</v>
      </c>
      <c r="E1101" s="9" t="s">
        <v>4648</v>
      </c>
      <c r="F1101" s="10" t="s">
        <v>2952</v>
      </c>
      <c r="G11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101" s="136" t="s">
        <v>3232</v>
      </c>
      <c r="I1101" s="12">
        <v>46013</v>
      </c>
      <c r="J1101" s="12"/>
      <c r="K1101" s="63"/>
      <c r="L1101" s="37"/>
      <c r="M1101" s="10">
        <f t="shared" ca="1" si="35"/>
        <v>64</v>
      </c>
    </row>
    <row r="1102" spans="1:13" ht="30" hidden="1" x14ac:dyDescent="0.25">
      <c r="A1102" s="9" t="s">
        <v>94</v>
      </c>
      <c r="B1102" s="19">
        <f>VLOOKUP(Table27[[#This Row],[Location 
(drop-down)]],'List source'!D$2:E$71,2,FALSE)</f>
        <v>120</v>
      </c>
      <c r="C1102" s="178" t="s">
        <v>4649</v>
      </c>
      <c r="D1102" s="21" t="str">
        <f t="shared" si="34"/>
        <v>PTO1101-120-25</v>
      </c>
      <c r="E1102" s="9" t="s">
        <v>4650</v>
      </c>
      <c r="F1102" s="10" t="str" cm="1">
        <f t="array" aca="1" ref="F11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102" s="10">
        <v>3.08</v>
      </c>
      <c r="I1102" s="12">
        <v>46017</v>
      </c>
      <c r="J1102" s="12"/>
      <c r="K1102" s="63"/>
      <c r="L1102" s="37"/>
      <c r="M1102" s="10">
        <f t="shared" ca="1" si="35"/>
        <v>60</v>
      </c>
    </row>
    <row r="1103" spans="1:13" ht="30" hidden="1" x14ac:dyDescent="0.25">
      <c r="A1103" s="9" t="s">
        <v>46</v>
      </c>
      <c r="B1103" s="19">
        <f>VLOOKUP(Table27[[#This Row],[Location 
(drop-down)]],'List source'!D$2:E$71,2,FALSE)</f>
        <v>155</v>
      </c>
      <c r="C1103" s="178" t="s">
        <v>4651</v>
      </c>
      <c r="D1103" s="21" t="str">
        <f t="shared" si="34"/>
        <v>PTO1102-155-25</v>
      </c>
      <c r="E1103" s="9" t="s">
        <v>4652</v>
      </c>
      <c r="F1103" s="10" t="str" cm="1">
        <f t="array" aca="1" ref="F11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 Type</v>
      </c>
      <c r="H1103" s="136" t="s">
        <v>4173</v>
      </c>
      <c r="I1103" s="12">
        <v>46017</v>
      </c>
      <c r="J1103" s="12"/>
      <c r="K1103" s="63"/>
      <c r="L1103" s="37"/>
      <c r="M1103" s="10">
        <f t="shared" ca="1" si="35"/>
        <v>60</v>
      </c>
    </row>
    <row r="1104" spans="1:13" ht="18.75" hidden="1" x14ac:dyDescent="0.25">
      <c r="A1104" s="9" t="s">
        <v>46</v>
      </c>
      <c r="B1104" s="19">
        <f>VLOOKUP(Table27[[#This Row],[Location 
(drop-down)]],'List source'!D$2:E$71,2,FALSE)</f>
        <v>155</v>
      </c>
      <c r="C1104" s="178" t="s">
        <v>4653</v>
      </c>
      <c r="D1104" s="21" t="str">
        <f t="shared" si="34"/>
        <v>PTO1103-155-25</v>
      </c>
      <c r="E1104" s="9" t="s">
        <v>4654</v>
      </c>
      <c r="F1104" s="10" t="str" cm="1">
        <f t="array" aca="1" ref="F11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04" s="10">
        <v>2.06</v>
      </c>
      <c r="I1104" s="12">
        <v>46017</v>
      </c>
      <c r="J1104" s="12" t="s">
        <v>82</v>
      </c>
      <c r="K1104" s="63">
        <v>46065</v>
      </c>
      <c r="L1104" s="37"/>
      <c r="M1104" s="10" t="str">
        <f t="shared" ca="1" si="35"/>
        <v>CLOSED</v>
      </c>
    </row>
    <row r="1105" spans="1:13" ht="18.75" hidden="1" x14ac:dyDescent="0.25">
      <c r="A1105" s="9" t="s">
        <v>46</v>
      </c>
      <c r="B1105" s="19">
        <f>VLOOKUP(Table27[[#This Row],[Location 
(drop-down)]],'List source'!D$2:E$71,2,FALSE)</f>
        <v>155</v>
      </c>
      <c r="C1105" s="178" t="s">
        <v>4655</v>
      </c>
      <c r="D1105" s="21" t="str">
        <f t="shared" si="34"/>
        <v>PTO1104-155-25</v>
      </c>
      <c r="E1105" s="9" t="s">
        <v>4656</v>
      </c>
      <c r="F1105" s="10" t="str" cm="1">
        <f t="array" aca="1" ref="F11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105" s="10" t="s">
        <v>4657</v>
      </c>
      <c r="I1105" s="12">
        <v>46017</v>
      </c>
      <c r="J1105" s="12" t="s">
        <v>2074</v>
      </c>
      <c r="K1105" s="63">
        <v>46017</v>
      </c>
      <c r="L1105" s="37" t="s">
        <v>4223</v>
      </c>
      <c r="M1105" s="10" t="str">
        <f t="shared" ca="1" si="35"/>
        <v>CLOSED</v>
      </c>
    </row>
    <row r="1106" spans="1:13" ht="18.75" hidden="1" x14ac:dyDescent="0.25">
      <c r="A1106" s="9" t="s">
        <v>25</v>
      </c>
      <c r="B1106" s="19">
        <f>VLOOKUP(Table27[[#This Row],[Location 
(drop-down)]],'List source'!D$2:E$71,2,FALSE)</f>
        <v>158</v>
      </c>
      <c r="C1106" s="178" t="s">
        <v>4658</v>
      </c>
      <c r="D1106" s="21" t="str">
        <f t="shared" si="34"/>
        <v>PTO1105-158-25</v>
      </c>
      <c r="E1106" s="9" t="s">
        <v>4659</v>
      </c>
      <c r="F1106" s="10" t="str" cm="1">
        <f t="array" aca="1" ref="F11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Aromatic Type</v>
      </c>
      <c r="H1106" s="136" t="s">
        <v>4660</v>
      </c>
      <c r="I1106" s="12">
        <v>46017</v>
      </c>
      <c r="J1106" s="12" t="s">
        <v>82</v>
      </c>
      <c r="K1106" s="63">
        <v>46064</v>
      </c>
      <c r="L1106" s="37"/>
      <c r="M1106" s="10" t="str">
        <f t="shared" ca="1" si="35"/>
        <v>CLOSED</v>
      </c>
    </row>
    <row r="1107" spans="1:13" ht="18.75" hidden="1" x14ac:dyDescent="0.25">
      <c r="A1107" s="9" t="s">
        <v>79</v>
      </c>
      <c r="B1107" s="19">
        <f>VLOOKUP(Table27[[#This Row],[Location 
(drop-down)]],'List source'!D$2:E$71,2,FALSE)</f>
        <v>160</v>
      </c>
      <c r="C1107" s="178" t="s">
        <v>4661</v>
      </c>
      <c r="D1107" s="21" t="str">
        <f t="shared" si="34"/>
        <v>PTO1106-160-25</v>
      </c>
      <c r="E1107" s="9" t="s">
        <v>4662</v>
      </c>
      <c r="F1107" s="10" t="str" cm="1">
        <f t="array" aca="1" ref="F11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1107" s="10">
        <v>2.34</v>
      </c>
      <c r="I1107" s="12">
        <v>46017</v>
      </c>
      <c r="J1107" s="12"/>
      <c r="K1107" s="63"/>
      <c r="L1107" s="37"/>
      <c r="M1107" s="10">
        <f t="shared" ca="1" si="35"/>
        <v>60</v>
      </c>
    </row>
    <row r="1108" spans="1:13" ht="30" hidden="1" x14ac:dyDescent="0.25">
      <c r="A1108" s="9" t="s">
        <v>172</v>
      </c>
      <c r="B1108" s="19" t="str">
        <f>VLOOKUP(Table27[[#This Row],[Location 
(drop-down)]],'List source'!D$2:E$71,2,FALSE)</f>
        <v>160A</v>
      </c>
      <c r="C1108" s="178" t="s">
        <v>4663</v>
      </c>
      <c r="D1108" s="21" t="str">
        <f t="shared" si="34"/>
        <v>PTO1107-160A-25</v>
      </c>
      <c r="E1108" s="9" t="s">
        <v>4664</v>
      </c>
      <c r="F1108" s="10" t="str" cm="1">
        <f t="array" aca="1" ref="F11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108" s="10">
        <v>2.0499999999999998</v>
      </c>
      <c r="I1108" s="12">
        <v>46017</v>
      </c>
      <c r="J1108" s="12" t="s">
        <v>2074</v>
      </c>
      <c r="K1108" s="63">
        <v>46017</v>
      </c>
      <c r="L1108" s="37" t="s">
        <v>4223</v>
      </c>
      <c r="M1108" s="10" t="str">
        <f t="shared" ca="1" si="35"/>
        <v>CLOSED</v>
      </c>
    </row>
    <row r="1109" spans="1:13" ht="30" hidden="1" x14ac:dyDescent="0.25">
      <c r="A1109" s="9" t="s">
        <v>107</v>
      </c>
      <c r="B1109" s="19">
        <f>VLOOKUP(Table27[[#This Row],[Location 
(drop-down)]],'List source'!D$2:E$71,2,FALSE)</f>
        <v>170</v>
      </c>
      <c r="C1109" s="178" t="s">
        <v>4665</v>
      </c>
      <c r="D1109" s="21" t="str">
        <f t="shared" si="34"/>
        <v>PTO1108-170-25</v>
      </c>
      <c r="E1109" s="9" t="s">
        <v>4666</v>
      </c>
      <c r="F1109" s="10" t="str" cm="1">
        <f t="array" aca="1" ref="F11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 Type</v>
      </c>
      <c r="H1109" s="136" t="s">
        <v>4667</v>
      </c>
      <c r="I1109" s="12">
        <v>46017</v>
      </c>
      <c r="J1109" s="12" t="s">
        <v>2074</v>
      </c>
      <c r="K1109" s="63">
        <v>46030</v>
      </c>
      <c r="L1109" s="37" t="s">
        <v>4231</v>
      </c>
      <c r="M1109" s="10" t="str">
        <f t="shared" ca="1" si="35"/>
        <v>CLOSED</v>
      </c>
    </row>
    <row r="1110" spans="1:13" ht="30" hidden="1" x14ac:dyDescent="0.25">
      <c r="A1110" s="9" t="s">
        <v>107</v>
      </c>
      <c r="B1110" s="19">
        <f>VLOOKUP(Table27[[#This Row],[Location 
(drop-down)]],'List source'!D$2:E$71,2,FALSE)</f>
        <v>170</v>
      </c>
      <c r="C1110" s="178" t="s">
        <v>4668</v>
      </c>
      <c r="D1110" s="21" t="str">
        <f t="shared" si="34"/>
        <v>PTO1109-170-25</v>
      </c>
      <c r="E1110" s="9" t="s">
        <v>4669</v>
      </c>
      <c r="F1110" s="10" t="str" cm="1">
        <f t="array" aca="1" ref="F11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10" s="10" t="s">
        <v>2400</v>
      </c>
      <c r="I1110" s="12">
        <v>46017</v>
      </c>
      <c r="J1110" s="12" t="s">
        <v>2074</v>
      </c>
      <c r="K1110" s="63">
        <v>46030</v>
      </c>
      <c r="L1110" s="37" t="s">
        <v>4231</v>
      </c>
      <c r="M1110" s="10" t="str">
        <f t="shared" ca="1" si="35"/>
        <v>CLOSED</v>
      </c>
    </row>
    <row r="1111" spans="1:13" ht="30" hidden="1" x14ac:dyDescent="0.25">
      <c r="A1111" s="9" t="s">
        <v>107</v>
      </c>
      <c r="B1111" s="19">
        <f>VLOOKUP(Table27[[#This Row],[Location 
(drop-down)]],'List source'!D$2:E$71,2,FALSE)</f>
        <v>170</v>
      </c>
      <c r="C1111" s="178" t="s">
        <v>4670</v>
      </c>
      <c r="D1111" s="21" t="str">
        <f t="shared" si="34"/>
        <v>PTO1110-170-25</v>
      </c>
      <c r="E1111" s="9" t="s">
        <v>4671</v>
      </c>
      <c r="F1111" s="10" t="str" cm="1">
        <f t="array" aca="1" ref="F11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111" s="10" t="s">
        <v>4672</v>
      </c>
      <c r="I1111" s="12">
        <v>46017</v>
      </c>
      <c r="J1111" s="12"/>
      <c r="K1111" s="63"/>
      <c r="L1111" s="37"/>
      <c r="M1111" s="10">
        <f t="shared" ca="1" si="35"/>
        <v>60</v>
      </c>
    </row>
    <row r="1112" spans="1:13" ht="18.75" hidden="1" x14ac:dyDescent="0.25">
      <c r="A1112" s="9" t="s">
        <v>105</v>
      </c>
      <c r="B1112" s="19">
        <f>VLOOKUP(Table27[[#This Row],[Location 
(drop-down)]],'List source'!D$2:E$71,2,FALSE)</f>
        <v>215</v>
      </c>
      <c r="C1112" s="178" t="s">
        <v>4673</v>
      </c>
      <c r="D1112" s="21" t="str">
        <f t="shared" si="34"/>
        <v>PTO1111-215-25</v>
      </c>
      <c r="E1112" s="9" t="s">
        <v>4674</v>
      </c>
      <c r="F1112" s="10" t="str" cm="1">
        <f t="array" aca="1" ref="F11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2" s="10">
        <v>2.0699999999999998</v>
      </c>
      <c r="I1112" s="12">
        <v>46017</v>
      </c>
      <c r="J1112" s="12" t="s">
        <v>2074</v>
      </c>
      <c r="K1112" s="63">
        <v>46022</v>
      </c>
      <c r="L1112" s="37" t="s">
        <v>4231</v>
      </c>
      <c r="M1112" s="10" t="str">
        <f t="shared" ca="1" si="35"/>
        <v>CLOSED</v>
      </c>
    </row>
    <row r="1113" spans="1:13" ht="30" hidden="1" x14ac:dyDescent="0.25">
      <c r="A1113" s="9" t="s">
        <v>105</v>
      </c>
      <c r="B1113" s="19">
        <f>VLOOKUP(Table27[[#This Row],[Location 
(drop-down)]],'List source'!D$2:E$71,2,FALSE)</f>
        <v>215</v>
      </c>
      <c r="C1113" s="178" t="s">
        <v>4675</v>
      </c>
      <c r="D1113" s="21" t="str">
        <f t="shared" si="34"/>
        <v>PTO1112-215-25</v>
      </c>
      <c r="E1113" s="9" t="s">
        <v>4676</v>
      </c>
      <c r="F1113" s="10" t="str" cm="1">
        <f t="array" aca="1" ref="F11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13" s="10" t="s">
        <v>4677</v>
      </c>
      <c r="I1113" s="12">
        <v>46017</v>
      </c>
      <c r="J1113" s="12"/>
      <c r="K1113" s="63"/>
      <c r="L1113" s="37"/>
      <c r="M1113" s="10">
        <f t="shared" ca="1" si="35"/>
        <v>60</v>
      </c>
    </row>
    <row r="1114" spans="1:13" ht="18.75" hidden="1" x14ac:dyDescent="0.25">
      <c r="A1114" s="9" t="s">
        <v>105</v>
      </c>
      <c r="B1114" s="19">
        <f>VLOOKUP(Table27[[#This Row],[Location 
(drop-down)]],'List source'!D$2:E$71,2,FALSE)</f>
        <v>215</v>
      </c>
      <c r="C1114" s="178" t="s">
        <v>4678</v>
      </c>
      <c r="D1114" s="21" t="str">
        <f t="shared" si="34"/>
        <v>PTO1113-215-25</v>
      </c>
      <c r="E1114" s="9" t="s">
        <v>4679</v>
      </c>
      <c r="F1114" s="10" t="str" cm="1">
        <f t="array" aca="1" ref="F11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114" s="10">
        <v>9.5299999999999994</v>
      </c>
      <c r="I1114" s="12">
        <v>46017</v>
      </c>
      <c r="J1114" s="12"/>
      <c r="K1114" s="63"/>
      <c r="L1114" s="37"/>
      <c r="M1114" s="10">
        <f t="shared" ca="1" si="35"/>
        <v>60</v>
      </c>
    </row>
    <row r="1115" spans="1:13" ht="18.75" hidden="1" x14ac:dyDescent="0.25">
      <c r="A1115" s="9" t="s">
        <v>105</v>
      </c>
      <c r="B1115" s="19">
        <f>VLOOKUP(Table27[[#This Row],[Location 
(drop-down)]],'List source'!D$2:E$71,2,FALSE)</f>
        <v>215</v>
      </c>
      <c r="C1115" s="178" t="s">
        <v>4680</v>
      </c>
      <c r="D1115" s="21" t="str">
        <f t="shared" si="34"/>
        <v>PTO1114-215-25</v>
      </c>
      <c r="E1115" s="9" t="s">
        <v>4681</v>
      </c>
      <c r="F1115" s="10" t="str" cm="1">
        <f t="array" aca="1" ref="F11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115" s="10">
        <v>5.15</v>
      </c>
      <c r="I1115" s="12">
        <v>46017</v>
      </c>
      <c r="J1115" s="12"/>
      <c r="K1115" s="63"/>
      <c r="L1115" s="37"/>
      <c r="M1115" s="10">
        <f t="shared" ca="1" si="35"/>
        <v>60</v>
      </c>
    </row>
    <row r="1116" spans="1:13" ht="30" hidden="1" x14ac:dyDescent="0.25">
      <c r="A1116" s="9" t="s">
        <v>105</v>
      </c>
      <c r="B1116" s="19">
        <f>VLOOKUP(Table27[[#This Row],[Location 
(drop-down)]],'List source'!D$2:E$71,2,FALSE)</f>
        <v>215</v>
      </c>
      <c r="C1116" s="178" t="s">
        <v>4682</v>
      </c>
      <c r="D1116" s="21" t="str">
        <f t="shared" si="34"/>
        <v>PTO1115-215-25</v>
      </c>
      <c r="E1116" s="9" t="s">
        <v>4683</v>
      </c>
      <c r="F1116" s="10" t="str" cm="1">
        <f t="array" aca="1" ref="F11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1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16" s="136" t="s">
        <v>4684</v>
      </c>
      <c r="I1116" s="12">
        <v>46017</v>
      </c>
      <c r="J1116" s="12"/>
      <c r="K1116" s="63"/>
      <c r="L1116" s="37"/>
      <c r="M1116" s="10">
        <f t="shared" ca="1" si="35"/>
        <v>60</v>
      </c>
    </row>
    <row r="1117" spans="1:13" ht="18.75" hidden="1" x14ac:dyDescent="0.25">
      <c r="A1117" s="9" t="s">
        <v>14</v>
      </c>
      <c r="B1117" s="19">
        <f>VLOOKUP(Table27[[#This Row],[Location 
(drop-down)]],'List source'!D$2:E$71,2,FALSE)</f>
        <v>131</v>
      </c>
      <c r="C1117" s="178" t="s">
        <v>4685</v>
      </c>
      <c r="D1117" s="21" t="str">
        <f t="shared" si="34"/>
        <v>PTO1116-131-25</v>
      </c>
      <c r="E1117" s="9" t="s">
        <v>4686</v>
      </c>
      <c r="F1117" s="10" t="str" cm="1">
        <f t="array" aca="1" ref="F11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BO</v>
      </c>
      <c r="G11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17" s="10">
        <v>3.05</v>
      </c>
      <c r="I1117" s="12">
        <v>46020</v>
      </c>
      <c r="J1117" s="12"/>
      <c r="K1117" s="63"/>
      <c r="L1117" s="37"/>
      <c r="M1117" s="10">
        <f t="shared" ca="1" si="35"/>
        <v>57</v>
      </c>
    </row>
    <row r="1118" spans="1:13" ht="18.75" hidden="1" x14ac:dyDescent="0.25">
      <c r="A1118" s="9" t="s">
        <v>14</v>
      </c>
      <c r="B1118" s="19">
        <f>VLOOKUP(Table27[[#This Row],[Location 
(drop-down)]],'List source'!D$2:E$71,2,FALSE)</f>
        <v>131</v>
      </c>
      <c r="C1118" s="178" t="s">
        <v>4687</v>
      </c>
      <c r="D1118" s="21" t="str">
        <f t="shared" si="34"/>
        <v>PTO1117-131-25</v>
      </c>
      <c r="E1118" s="9" t="s">
        <v>4688</v>
      </c>
      <c r="F1118" s="10" t="str" cm="1">
        <f t="array" aca="1" ref="F11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BO</v>
      </c>
      <c r="G11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118" s="10">
        <v>3.68</v>
      </c>
      <c r="I1118" s="12">
        <v>46020</v>
      </c>
      <c r="J1118" s="12"/>
      <c r="K1118" s="63"/>
      <c r="L1118" s="37"/>
      <c r="M1118" s="10">
        <f t="shared" ca="1" si="35"/>
        <v>57</v>
      </c>
    </row>
    <row r="1119" spans="1:13" ht="18.75" hidden="1" x14ac:dyDescent="0.25">
      <c r="A1119" s="9" t="s">
        <v>211</v>
      </c>
      <c r="B1119" s="19">
        <f>VLOOKUP(Table27[[#This Row],[Location 
(drop-down)]],'List source'!D$2:E$71,2,FALSE)</f>
        <v>132</v>
      </c>
      <c r="C1119" s="178" t="s">
        <v>4689</v>
      </c>
      <c r="D1119" s="21" t="str">
        <f t="shared" si="34"/>
        <v>PTO1118-132-25</v>
      </c>
      <c r="E1119" s="9" t="s">
        <v>4690</v>
      </c>
      <c r="F1119" s="10" t="s">
        <v>3044</v>
      </c>
      <c r="G11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1119" s="136" t="s">
        <v>2984</v>
      </c>
      <c r="I1119" s="12">
        <v>46020</v>
      </c>
      <c r="J1119" s="12" t="s">
        <v>2074</v>
      </c>
      <c r="K1119" s="63">
        <v>46020</v>
      </c>
      <c r="L1119" s="37" t="s">
        <v>4223</v>
      </c>
      <c r="M1119" s="10" t="str">
        <f t="shared" ca="1" si="35"/>
        <v>CLOSED</v>
      </c>
    </row>
    <row r="1120" spans="1:13" ht="18.75" hidden="1" x14ac:dyDescent="0.25">
      <c r="A1120" s="9" t="s">
        <v>79</v>
      </c>
      <c r="B1120" s="19">
        <f>VLOOKUP(Table27[[#This Row],[Location 
(drop-down)]],'List source'!D$2:E$71,2,FALSE)</f>
        <v>160</v>
      </c>
      <c r="C1120" s="178" t="s">
        <v>4691</v>
      </c>
      <c r="D1120" s="21" t="str">
        <f t="shared" si="34"/>
        <v>PTO1119-160-25</v>
      </c>
      <c r="E1120" s="9" t="s">
        <v>4692</v>
      </c>
      <c r="F1120" s="10" t="s">
        <v>2664</v>
      </c>
      <c r="G11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1120" s="136" t="s">
        <v>2959</v>
      </c>
      <c r="I1120" s="12">
        <v>46020</v>
      </c>
      <c r="J1120" s="12" t="s">
        <v>2074</v>
      </c>
      <c r="K1120" s="63">
        <v>46020</v>
      </c>
      <c r="L1120" s="37" t="s">
        <v>4693</v>
      </c>
      <c r="M1120" s="10" t="str">
        <f t="shared" ca="1" si="35"/>
        <v>CLOSED</v>
      </c>
    </row>
    <row r="1121" spans="1:13" ht="18.75" hidden="1" x14ac:dyDescent="0.25">
      <c r="A1121" s="9" t="s">
        <v>153</v>
      </c>
      <c r="B1121" s="19">
        <f>VLOOKUP(Table27[[#This Row],[Location 
(drop-down)]],'List source'!D$2:E$71,2,FALSE)</f>
        <v>110</v>
      </c>
      <c r="C1121" s="178" t="s">
        <v>4694</v>
      </c>
      <c r="D1121" s="21" t="str">
        <f t="shared" si="34"/>
        <v>PTO1120-110-25</v>
      </c>
      <c r="E1121" s="9" t="s">
        <v>4695</v>
      </c>
      <c r="F1121" s="10" t="str" cm="1">
        <f t="array" aca="1" ref="F11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1121" s="10">
        <v>2.4700000000000002</v>
      </c>
      <c r="I1121" s="12">
        <v>46021</v>
      </c>
      <c r="J1121" s="12"/>
      <c r="K1121" s="63"/>
      <c r="L1121" s="37"/>
      <c r="M1121" s="10">
        <f t="shared" ca="1" si="35"/>
        <v>56</v>
      </c>
    </row>
    <row r="1122" spans="1:13" ht="18.75" hidden="1" x14ac:dyDescent="0.25">
      <c r="A1122" s="9" t="s">
        <v>153</v>
      </c>
      <c r="B1122" s="19">
        <f>VLOOKUP(Table27[[#This Row],[Location 
(drop-down)]],'List source'!D$2:E$71,2,FALSE)</f>
        <v>110</v>
      </c>
      <c r="C1122" s="178" t="s">
        <v>4696</v>
      </c>
      <c r="D1122" s="21" t="str">
        <f t="shared" si="34"/>
        <v>PTO1121-110-25</v>
      </c>
      <c r="E1122" s="9" t="s">
        <v>4697</v>
      </c>
      <c r="F1122" s="10" t="str" cm="1">
        <f t="array" aca="1" ref="F11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1122" s="10"/>
      <c r="I1122" s="12">
        <v>46021</v>
      </c>
      <c r="J1122" s="12" t="s">
        <v>2074</v>
      </c>
      <c r="K1122" s="63">
        <v>46021</v>
      </c>
      <c r="L1122" s="37" t="s">
        <v>4223</v>
      </c>
      <c r="M1122" s="10" t="str">
        <f t="shared" ca="1" si="35"/>
        <v>CLOSED</v>
      </c>
    </row>
    <row r="1123" spans="1:13" ht="18.75" hidden="1" x14ac:dyDescent="0.25">
      <c r="A1123" s="9" t="s">
        <v>153</v>
      </c>
      <c r="B1123" s="19">
        <f>VLOOKUP(Table27[[#This Row],[Location 
(drop-down)]],'List source'!D$2:E$71,2,FALSE)</f>
        <v>110</v>
      </c>
      <c r="C1123" s="178" t="s">
        <v>4698</v>
      </c>
      <c r="D1123" s="21" t="str">
        <f t="shared" si="34"/>
        <v>PTO1122-110-25</v>
      </c>
      <c r="E1123" s="9" t="s">
        <v>4699</v>
      </c>
      <c r="F1123" s="10" t="str" cm="1">
        <f t="array" aca="1" ref="F11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123" s="10">
        <v>2.98</v>
      </c>
      <c r="I1123" s="12">
        <v>46021</v>
      </c>
      <c r="J1123" s="12"/>
      <c r="K1123" s="63"/>
      <c r="L1123" s="37"/>
      <c r="M1123" s="10">
        <f t="shared" ca="1" si="35"/>
        <v>56</v>
      </c>
    </row>
    <row r="1124" spans="1:13" ht="18.75" hidden="1" x14ac:dyDescent="0.25">
      <c r="A1124" s="9" t="s">
        <v>94</v>
      </c>
      <c r="B1124" s="19">
        <f>VLOOKUP(Table27[[#This Row],[Location 
(drop-down)]],'List source'!D$2:E$71,2,FALSE)</f>
        <v>120</v>
      </c>
      <c r="C1124" s="178" t="s">
        <v>4700</v>
      </c>
      <c r="D1124" s="21" t="str">
        <f t="shared" si="34"/>
        <v>PTO1123-120-25</v>
      </c>
      <c r="E1124" s="9" t="s">
        <v>4701</v>
      </c>
      <c r="F1124" s="10" t="str" cm="1">
        <f t="array" aca="1" ref="F11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24" s="10">
        <v>5.99</v>
      </c>
      <c r="I1124" s="12">
        <v>46021</v>
      </c>
      <c r="J1124" s="12"/>
      <c r="K1124" s="63"/>
      <c r="L1124" s="37"/>
      <c r="M1124" s="10">
        <f t="shared" ca="1" si="35"/>
        <v>56</v>
      </c>
    </row>
    <row r="1125" spans="1:13" ht="18.75" hidden="1" x14ac:dyDescent="0.25">
      <c r="A1125" s="9" t="s">
        <v>94</v>
      </c>
      <c r="B1125" s="19">
        <f>VLOOKUP(Table27[[#This Row],[Location 
(drop-down)]],'List source'!D$2:E$71,2,FALSE)</f>
        <v>120</v>
      </c>
      <c r="C1125" s="178" t="s">
        <v>4702</v>
      </c>
      <c r="D1125" s="21" t="str">
        <f t="shared" si="34"/>
        <v>PTO1124-120-25</v>
      </c>
      <c r="E1125" s="9" t="s">
        <v>4703</v>
      </c>
      <c r="F1125" s="10" t="str" cm="1">
        <f t="array" aca="1" ref="F11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Ethanol</v>
      </c>
      <c r="H1125" s="10">
        <v>2.4900000000000002</v>
      </c>
      <c r="I1125" s="12">
        <v>46021</v>
      </c>
      <c r="J1125" s="12" t="s">
        <v>2074</v>
      </c>
      <c r="K1125" s="63">
        <v>46051</v>
      </c>
      <c r="L1125" s="37" t="s">
        <v>4704</v>
      </c>
      <c r="M1125" s="10" t="str">
        <f t="shared" ca="1" si="35"/>
        <v>CLOSED</v>
      </c>
    </row>
    <row r="1126" spans="1:13" ht="18.75" hidden="1" x14ac:dyDescent="0.25">
      <c r="A1126" s="9" t="s">
        <v>177</v>
      </c>
      <c r="B1126" s="19">
        <f>VLOOKUP(Table27[[#This Row],[Location 
(drop-down)]],'List source'!D$2:E$71,2,FALSE)</f>
        <v>126</v>
      </c>
      <c r="C1126" s="178" t="s">
        <v>4705</v>
      </c>
      <c r="D1126" s="21" t="str">
        <f t="shared" si="34"/>
        <v>PTO1125-126-25</v>
      </c>
      <c r="E1126" s="9" t="s">
        <v>4706</v>
      </c>
      <c r="F1126" s="10" t="str" cm="1">
        <f t="array" aca="1" ref="F11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1126" s="10">
        <v>2.11</v>
      </c>
      <c r="I1126" s="12">
        <v>46021</v>
      </c>
      <c r="J1126" s="12"/>
      <c r="K1126" s="63"/>
      <c r="L1126" s="37"/>
      <c r="M1126" s="10">
        <f t="shared" ca="1" si="35"/>
        <v>56</v>
      </c>
    </row>
    <row r="1127" spans="1:13" ht="18.75" hidden="1" x14ac:dyDescent="0.25">
      <c r="A1127" s="9" t="s">
        <v>51</v>
      </c>
      <c r="B1127" s="19">
        <f>VLOOKUP(Table27[[#This Row],[Location 
(drop-down)]],'List source'!D$2:E$71,2,FALSE)</f>
        <v>139</v>
      </c>
      <c r="C1127" s="178" t="s">
        <v>4707</v>
      </c>
      <c r="D1127" s="21" t="str">
        <f t="shared" si="34"/>
        <v>PTO1126-139-25</v>
      </c>
      <c r="E1127" s="9" t="s">
        <v>4708</v>
      </c>
      <c r="F1127" s="10" t="str" cm="1">
        <f t="array" aca="1" ref="F11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127" s="136" t="s">
        <v>4709</v>
      </c>
      <c r="I1127" s="12">
        <v>46021</v>
      </c>
      <c r="J1127" s="12"/>
      <c r="K1127" s="63"/>
      <c r="L1127" s="37"/>
      <c r="M1127" s="10">
        <f t="shared" ca="1" si="35"/>
        <v>56</v>
      </c>
    </row>
    <row r="1128" spans="1:13" ht="18.75" hidden="1" x14ac:dyDescent="0.25">
      <c r="A1128" s="9" t="s">
        <v>86</v>
      </c>
      <c r="B1128" s="19">
        <f>VLOOKUP(Table27[[#This Row],[Location 
(drop-down)]],'List source'!D$2:E$71,2,FALSE)</f>
        <v>150</v>
      </c>
      <c r="C1128" s="178" t="s">
        <v>4710</v>
      </c>
      <c r="D1128" s="21" t="str">
        <f t="shared" si="34"/>
        <v>PTO1127-150-25</v>
      </c>
      <c r="E1128" s="9" t="s">
        <v>4711</v>
      </c>
      <c r="F1128" s="10" t="str" cm="1">
        <f t="array" aca="1" ref="F11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ABNT NBR 10891 - pHe</v>
      </c>
      <c r="H1128" s="10">
        <v>11.66</v>
      </c>
      <c r="I1128" s="12">
        <v>46021</v>
      </c>
      <c r="J1128" s="12" t="s">
        <v>2074</v>
      </c>
      <c r="K1128" s="63">
        <v>46057</v>
      </c>
      <c r="L1128" s="37" t="s">
        <v>2079</v>
      </c>
      <c r="M1128" s="10" t="str">
        <f t="shared" ca="1" si="35"/>
        <v>CLOSED</v>
      </c>
    </row>
    <row r="1129" spans="1:13" ht="18.75" hidden="1" x14ac:dyDescent="0.25">
      <c r="A1129" s="9" t="s">
        <v>338</v>
      </c>
      <c r="B1129" s="19">
        <f>VLOOKUP(Table27[[#This Row],[Location 
(drop-down)]],'List source'!D$2:E$71,2,FALSE)</f>
        <v>191</v>
      </c>
      <c r="C1129" s="178" t="s">
        <v>4712</v>
      </c>
      <c r="D1129" s="21" t="str">
        <f t="shared" si="34"/>
        <v>PTO1128-191-25</v>
      </c>
      <c r="E1129" s="9" t="s">
        <v>4713</v>
      </c>
      <c r="F1129" s="10" t="str" cm="1">
        <f t="array" aca="1" ref="F11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129" s="10">
        <v>2.95</v>
      </c>
      <c r="I1129" s="12">
        <v>46021</v>
      </c>
      <c r="J1129" s="12" t="s">
        <v>2074</v>
      </c>
      <c r="K1129" s="63">
        <v>46036</v>
      </c>
      <c r="L1129" s="37" t="s">
        <v>4704</v>
      </c>
      <c r="M1129" s="10" t="str">
        <f t="shared" ca="1" si="35"/>
        <v>CLOSED</v>
      </c>
    </row>
    <row r="1130" spans="1:13" ht="18.75" hidden="1" x14ac:dyDescent="0.25">
      <c r="A1130" s="9" t="s">
        <v>220</v>
      </c>
      <c r="B1130" s="19">
        <f>VLOOKUP(Table27[[#This Row],[Location 
(drop-down)]],'List source'!D$2:E$71,2,FALSE)</f>
        <v>197</v>
      </c>
      <c r="C1130" s="178" t="s">
        <v>4714</v>
      </c>
      <c r="D1130" s="21" t="str">
        <f t="shared" si="34"/>
        <v>PTO1129-197-25</v>
      </c>
      <c r="E1130" s="9" t="s">
        <v>4715</v>
      </c>
      <c r="F1130" s="10" t="str" cm="1">
        <f t="array" aca="1" ref="F11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1130" s="10">
        <v>2.12</v>
      </c>
      <c r="I1130" s="12">
        <v>46021</v>
      </c>
      <c r="J1130" s="12" t="s">
        <v>2074</v>
      </c>
      <c r="K1130" s="63">
        <v>46027</v>
      </c>
      <c r="L1130" s="37" t="s">
        <v>4716</v>
      </c>
      <c r="M1130" s="10" t="str">
        <f t="shared" ca="1" si="35"/>
        <v>CLOSED</v>
      </c>
    </row>
    <row r="1131" spans="1:13" ht="18.75" hidden="1" x14ac:dyDescent="0.25">
      <c r="A1131" s="9" t="s">
        <v>220</v>
      </c>
      <c r="B1131" s="19">
        <f>VLOOKUP(Table27[[#This Row],[Location 
(drop-down)]],'List source'!D$2:E$71,2,FALSE)</f>
        <v>197</v>
      </c>
      <c r="C1131" s="178" t="s">
        <v>4717</v>
      </c>
      <c r="D1131" s="21" t="str">
        <f t="shared" si="34"/>
        <v>PTO1130-197-25</v>
      </c>
      <c r="E1131" s="9" t="s">
        <v>4697</v>
      </c>
      <c r="F1131" s="10" t="str" cm="1">
        <f t="array" aca="1" ref="F11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1131" s="10">
        <v>2.02</v>
      </c>
      <c r="I1131" s="12">
        <v>46021</v>
      </c>
      <c r="J1131" s="12" t="s">
        <v>2074</v>
      </c>
      <c r="K1131" s="63">
        <v>46021</v>
      </c>
      <c r="L1131" s="37" t="s">
        <v>4223</v>
      </c>
      <c r="M1131" s="10" t="str">
        <f t="shared" ca="1" si="35"/>
        <v>CLOSED</v>
      </c>
    </row>
    <row r="1132" spans="1:13" ht="18.75" hidden="1" x14ac:dyDescent="0.25">
      <c r="A1132" s="9" t="s">
        <v>220</v>
      </c>
      <c r="B1132" s="19">
        <f>VLOOKUP(Table27[[#This Row],[Location 
(drop-down)]],'List source'!D$2:E$71,2,FALSE)</f>
        <v>197</v>
      </c>
      <c r="C1132" s="178" t="s">
        <v>4718</v>
      </c>
      <c r="D1132" s="21" t="str">
        <f t="shared" si="34"/>
        <v>PTO1131-197-25</v>
      </c>
      <c r="E1132" s="9" t="s">
        <v>4719</v>
      </c>
      <c r="F1132" s="10" t="s">
        <v>3077</v>
      </c>
      <c r="G11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32" s="10">
        <v>2.44</v>
      </c>
      <c r="I1132" s="12">
        <v>46021</v>
      </c>
      <c r="J1132" s="12"/>
      <c r="K1132" s="63"/>
      <c r="L1132" s="37"/>
      <c r="M1132" s="10">
        <f t="shared" ca="1" si="35"/>
        <v>56</v>
      </c>
    </row>
    <row r="1133" spans="1:13" ht="18.75" hidden="1" x14ac:dyDescent="0.25">
      <c r="A1133" s="9" t="s">
        <v>179</v>
      </c>
      <c r="B1133" s="19">
        <f>VLOOKUP(Table27[[#This Row],[Location 
(drop-down)]],'List source'!D$2:E$71,2,FALSE)</f>
        <v>189</v>
      </c>
      <c r="C1133" s="178" t="s">
        <v>4720</v>
      </c>
      <c r="D1133" s="21" t="str">
        <f t="shared" si="34"/>
        <v>PTO1132-189-25</v>
      </c>
      <c r="E1133" s="9" t="s">
        <v>4721</v>
      </c>
      <c r="F1133" s="10" t="s">
        <v>3047</v>
      </c>
      <c r="G11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14.3 - HC Type</v>
      </c>
      <c r="H1133" s="136" t="s">
        <v>4722</v>
      </c>
      <c r="I1133" s="12">
        <v>46021</v>
      </c>
      <c r="J1133" s="12"/>
      <c r="K1133" s="63"/>
      <c r="L1133" s="37"/>
      <c r="M1133" s="10">
        <f t="shared" ca="1" si="35"/>
        <v>56</v>
      </c>
    </row>
    <row r="1134" spans="1:13" ht="30" hidden="1" x14ac:dyDescent="0.25">
      <c r="A1134" s="9" t="s">
        <v>179</v>
      </c>
      <c r="B1134" s="19">
        <f>VLOOKUP(Table27[[#This Row],[Location 
(drop-down)]],'List source'!D$2:E$71,2,FALSE)</f>
        <v>189</v>
      </c>
      <c r="C1134" s="178" t="s">
        <v>4723</v>
      </c>
      <c r="D1134" s="21" t="str">
        <f t="shared" si="34"/>
        <v>PTO1133-189-25</v>
      </c>
      <c r="E1134" s="9" t="s">
        <v>4724</v>
      </c>
      <c r="F1134" s="10" t="s">
        <v>3047</v>
      </c>
      <c r="G11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Regulation SOR/97-493 - Benzene Emissions Number</v>
      </c>
      <c r="H1134" s="10">
        <v>15.47</v>
      </c>
      <c r="I1134" s="12">
        <v>46021</v>
      </c>
      <c r="J1134" s="12" t="s">
        <v>2074</v>
      </c>
      <c r="K1134" s="63">
        <v>46037</v>
      </c>
      <c r="L1134" s="37" t="s">
        <v>2079</v>
      </c>
      <c r="M1134" s="10" t="str">
        <f t="shared" ca="1" si="35"/>
        <v>CLOSED</v>
      </c>
    </row>
    <row r="1135" spans="1:13" ht="18.75" hidden="1" x14ac:dyDescent="0.25">
      <c r="A1135" s="9" t="s">
        <v>179</v>
      </c>
      <c r="B1135" s="19">
        <f>VLOOKUP(Table27[[#This Row],[Location 
(drop-down)]],'List source'!D$2:E$71,2,FALSE)</f>
        <v>189</v>
      </c>
      <c r="C1135" s="178" t="s">
        <v>4725</v>
      </c>
      <c r="D1135" s="21" t="str">
        <f t="shared" si="34"/>
        <v>PTO1134-189-25</v>
      </c>
      <c r="E1135" s="9" t="s">
        <v>4726</v>
      </c>
      <c r="F1135" s="10" t="s">
        <v>3047</v>
      </c>
      <c r="G11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35" s="10">
        <v>3.03</v>
      </c>
      <c r="I1135" s="12">
        <v>46021</v>
      </c>
      <c r="J1135" s="12"/>
      <c r="K1135" s="63"/>
      <c r="L1135" s="37"/>
      <c r="M1135" s="10">
        <f t="shared" ca="1" si="35"/>
        <v>56</v>
      </c>
    </row>
    <row r="1136" spans="1:13" ht="18.75" hidden="1" x14ac:dyDescent="0.25">
      <c r="A1136" s="9" t="s">
        <v>179</v>
      </c>
      <c r="B1136" s="19">
        <f>VLOOKUP(Table27[[#This Row],[Location 
(drop-down)]],'List source'!D$2:E$71,2,FALSE)</f>
        <v>189</v>
      </c>
      <c r="C1136" s="178" t="s">
        <v>4727</v>
      </c>
      <c r="D1136" s="21" t="str">
        <f t="shared" si="34"/>
        <v>PTO1135-189-25</v>
      </c>
      <c r="E1136" s="9" t="s">
        <v>4728</v>
      </c>
      <c r="F1136" s="10" t="s">
        <v>3047</v>
      </c>
      <c r="G11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36" s="10">
        <v>2.79</v>
      </c>
      <c r="I1136" s="12">
        <v>46021</v>
      </c>
      <c r="J1136" s="12" t="s">
        <v>2074</v>
      </c>
      <c r="K1136" s="63">
        <v>46021</v>
      </c>
      <c r="L1136" s="37" t="s">
        <v>4223</v>
      </c>
      <c r="M1136" s="10" t="str">
        <f t="shared" ca="1" si="35"/>
        <v>CLOSED</v>
      </c>
    </row>
    <row r="1137" spans="1:13" ht="30" hidden="1" x14ac:dyDescent="0.25">
      <c r="A1137" s="9" t="s">
        <v>220</v>
      </c>
      <c r="B1137" s="19">
        <f>VLOOKUP(Table27[[#This Row],[Location 
(drop-down)]],'List source'!D$2:E$71,2,FALSE)</f>
        <v>197</v>
      </c>
      <c r="C1137" s="178" t="s">
        <v>4729</v>
      </c>
      <c r="D1137" s="21" t="str">
        <f t="shared" si="34"/>
        <v>PTO1136-197-25</v>
      </c>
      <c r="E1137" s="9" t="s">
        <v>4730</v>
      </c>
      <c r="F1137" s="10" t="s">
        <v>3047</v>
      </c>
      <c r="G11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Regulation SOR/97-493 - Benzene Emissions Number</v>
      </c>
      <c r="H1137" s="136" t="s">
        <v>4731</v>
      </c>
      <c r="I1137" s="12">
        <v>46021</v>
      </c>
      <c r="J1137" s="12" t="s">
        <v>2074</v>
      </c>
      <c r="K1137" s="63">
        <v>46058</v>
      </c>
      <c r="L1137" s="37" t="s">
        <v>3437</v>
      </c>
      <c r="M1137" s="10" t="str">
        <f t="shared" ca="1" si="35"/>
        <v>CLOSED</v>
      </c>
    </row>
    <row r="1138" spans="1:13" ht="18.75" hidden="1" x14ac:dyDescent="0.25">
      <c r="A1138" s="9" t="s">
        <v>99</v>
      </c>
      <c r="B1138" s="19">
        <f>VLOOKUP(Table27[[#This Row],[Location 
(drop-down)]],'List source'!D$2:E$71,2,FALSE)</f>
        <v>198</v>
      </c>
      <c r="C1138" s="178" t="s">
        <v>4732</v>
      </c>
      <c r="D1138" s="21" t="str">
        <f t="shared" si="34"/>
        <v>PTO1137-198-25</v>
      </c>
      <c r="E1138" s="9" t="s">
        <v>4733</v>
      </c>
      <c r="F1138" s="10" t="s">
        <v>3047</v>
      </c>
      <c r="G11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38" s="136" t="s">
        <v>2118</v>
      </c>
      <c r="I1138" s="12">
        <v>46021</v>
      </c>
      <c r="J1138" s="12" t="s">
        <v>2074</v>
      </c>
      <c r="K1138" s="63">
        <v>46021</v>
      </c>
      <c r="L1138" s="37" t="s">
        <v>4223</v>
      </c>
      <c r="M1138" s="10" t="str">
        <f t="shared" ca="1" si="35"/>
        <v>CLOSED</v>
      </c>
    </row>
    <row r="1139" spans="1:13" ht="18.75" hidden="1" x14ac:dyDescent="0.25">
      <c r="A1139" s="9" t="s">
        <v>99</v>
      </c>
      <c r="B1139" s="19">
        <f>VLOOKUP(Table27[[#This Row],[Location 
(drop-down)]],'List source'!D$2:E$71,2,FALSE)</f>
        <v>198</v>
      </c>
      <c r="C1139" s="178" t="s">
        <v>4734</v>
      </c>
      <c r="D1139" s="21" t="str">
        <f t="shared" si="34"/>
        <v>PTO1138-198-25</v>
      </c>
      <c r="E1139" s="9" t="s">
        <v>4735</v>
      </c>
      <c r="F1139" s="10" t="s">
        <v>3047</v>
      </c>
      <c r="G11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14.3 - HC Type</v>
      </c>
      <c r="H1139" s="10">
        <v>5.27</v>
      </c>
      <c r="I1139" s="12">
        <v>46021</v>
      </c>
      <c r="J1139" s="12" t="s">
        <v>2074</v>
      </c>
      <c r="K1139" s="63">
        <v>46027</v>
      </c>
      <c r="L1139" s="37" t="s">
        <v>2079</v>
      </c>
      <c r="M1139" s="10" t="str">
        <f t="shared" ca="1" si="35"/>
        <v>CLOSED</v>
      </c>
    </row>
    <row r="1140" spans="1:13" ht="18.75" hidden="1" x14ac:dyDescent="0.25">
      <c r="A1140" s="9" t="s">
        <v>179</v>
      </c>
      <c r="B1140" s="19">
        <f>VLOOKUP(Table27[[#This Row],[Location 
(drop-down)]],'List source'!D$2:E$71,2,FALSE)</f>
        <v>189</v>
      </c>
      <c r="C1140" s="178" t="s">
        <v>4736</v>
      </c>
      <c r="D1140" s="21" t="str">
        <f t="shared" si="34"/>
        <v>PTO1139-189-25</v>
      </c>
      <c r="E1140" s="9" t="s">
        <v>4737</v>
      </c>
      <c r="F1140" s="10" t="s">
        <v>3062</v>
      </c>
      <c r="G11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0" s="136" t="s">
        <v>2115</v>
      </c>
      <c r="I1140" s="12">
        <v>46022</v>
      </c>
      <c r="J1140" s="12"/>
      <c r="K1140" s="63"/>
      <c r="L1140" s="37"/>
      <c r="M1140" s="10">
        <f t="shared" ca="1" si="35"/>
        <v>55</v>
      </c>
    </row>
    <row r="1141" spans="1:13" ht="18.75" hidden="1" x14ac:dyDescent="0.25">
      <c r="A1141" s="9" t="s">
        <v>179</v>
      </c>
      <c r="B1141" s="19">
        <f>VLOOKUP(Table27[[#This Row],[Location 
(drop-down)]],'List source'!D$2:E$71,2,FALSE)</f>
        <v>189</v>
      </c>
      <c r="C1141" s="178" t="s">
        <v>4738</v>
      </c>
      <c r="D1141" s="21" t="str">
        <f t="shared" si="34"/>
        <v>PTO1140-189-25</v>
      </c>
      <c r="E1141" s="9" t="s">
        <v>4739</v>
      </c>
      <c r="F1141" s="10" t="s">
        <v>3062</v>
      </c>
      <c r="G11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141" s="10">
        <v>8.02</v>
      </c>
      <c r="I1141" s="12">
        <v>46022</v>
      </c>
      <c r="J1141" s="12"/>
      <c r="K1141" s="63"/>
      <c r="L1141" s="37"/>
      <c r="M1141" s="10">
        <f t="shared" ca="1" si="35"/>
        <v>55</v>
      </c>
    </row>
    <row r="1142" spans="1:13" ht="18.75" hidden="1" x14ac:dyDescent="0.25">
      <c r="A1142" s="9" t="s">
        <v>220</v>
      </c>
      <c r="B1142" s="19">
        <f>VLOOKUP(Table27[[#This Row],[Location 
(drop-down)]],'List source'!D$2:E$71,2,FALSE)</f>
        <v>197</v>
      </c>
      <c r="C1142" s="178" t="s">
        <v>4740</v>
      </c>
      <c r="D1142" s="21" t="str">
        <f t="shared" si="34"/>
        <v>PTO1141-197-25</v>
      </c>
      <c r="E1142" s="9" t="s">
        <v>4741</v>
      </c>
      <c r="F1142" s="10" t="s">
        <v>3062</v>
      </c>
      <c r="G11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2" s="136" t="s">
        <v>4505</v>
      </c>
      <c r="I1142" s="12">
        <v>46022</v>
      </c>
      <c r="J1142" s="12"/>
      <c r="K1142" s="63"/>
      <c r="L1142" s="37"/>
      <c r="M1142" s="10">
        <f t="shared" ca="1" si="35"/>
        <v>55</v>
      </c>
    </row>
    <row r="1143" spans="1:13" ht="18.75" hidden="1" x14ac:dyDescent="0.25">
      <c r="A1143" s="9" t="s">
        <v>220</v>
      </c>
      <c r="B1143" s="19">
        <f>VLOOKUP(Table27[[#This Row],[Location 
(drop-down)]],'List source'!D$2:E$71,2,FALSE)</f>
        <v>197</v>
      </c>
      <c r="C1143" s="178" t="s">
        <v>4742</v>
      </c>
      <c r="D1143" s="21" t="str">
        <f t="shared" si="34"/>
        <v>PTO1142-197-25</v>
      </c>
      <c r="E1143" s="9" t="s">
        <v>4743</v>
      </c>
      <c r="F1143" s="10" t="s">
        <v>3062</v>
      </c>
      <c r="G11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43" s="136" t="s">
        <v>4744</v>
      </c>
      <c r="I1143" s="12">
        <v>46022</v>
      </c>
      <c r="J1143" s="12"/>
      <c r="K1143" s="63"/>
      <c r="L1143" s="37"/>
      <c r="M1143" s="10">
        <f t="shared" ca="1" si="35"/>
        <v>55</v>
      </c>
    </row>
    <row r="1144" spans="1:13" ht="18.75" hidden="1" x14ac:dyDescent="0.25">
      <c r="A1144" s="9" t="s">
        <v>99</v>
      </c>
      <c r="B1144" s="19">
        <f>VLOOKUP(Table27[[#This Row],[Location 
(drop-down)]],'List source'!D$2:E$71,2,FALSE)</f>
        <v>198</v>
      </c>
      <c r="C1144" s="178" t="s">
        <v>4745</v>
      </c>
      <c r="D1144" s="21" t="str">
        <f t="shared" si="34"/>
        <v>PTO1143-198-25</v>
      </c>
      <c r="E1144" s="9" t="s">
        <v>4746</v>
      </c>
      <c r="F1144" s="10" t="s">
        <v>3062</v>
      </c>
      <c r="G11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Total Sulfur</v>
      </c>
      <c r="H1144" s="10">
        <v>2.08</v>
      </c>
      <c r="I1144" s="12">
        <v>46022</v>
      </c>
      <c r="J1144" s="12"/>
      <c r="K1144" s="63"/>
      <c r="L1144" s="37"/>
      <c r="M1144" s="10">
        <f t="shared" ca="1" si="35"/>
        <v>55</v>
      </c>
    </row>
    <row r="1145" spans="1:13" ht="18.75" hidden="1" x14ac:dyDescent="0.25">
      <c r="A1145" s="9" t="s">
        <v>71</v>
      </c>
      <c r="B1145" s="19">
        <f>VLOOKUP(Table27[[#This Row],[Location 
(drop-down)]],'List source'!D$2:E$71,2,FALSE)</f>
        <v>127</v>
      </c>
      <c r="C1145" s="178" t="s">
        <v>4747</v>
      </c>
      <c r="D1145" s="21" t="str">
        <f t="shared" si="34"/>
        <v>PTO1144-127-25</v>
      </c>
      <c r="E1145" s="9" t="s">
        <v>4748</v>
      </c>
      <c r="F1145" s="10" t="s">
        <v>3062</v>
      </c>
      <c r="G11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45" s="10">
        <v>2.2999999999999998</v>
      </c>
      <c r="I1145" s="12">
        <v>46022</v>
      </c>
      <c r="J1145" s="12" t="s">
        <v>252</v>
      </c>
      <c r="K1145" s="63">
        <v>46030</v>
      </c>
      <c r="L1145" s="37"/>
      <c r="M1145" s="10" t="str">
        <f t="shared" ca="1" si="35"/>
        <v>CLOSED</v>
      </c>
    </row>
    <row r="1146" spans="1:13" ht="18.75" hidden="1" x14ac:dyDescent="0.25">
      <c r="A1146" s="9" t="s">
        <v>186</v>
      </c>
      <c r="B1146" s="19">
        <f>VLOOKUP(Table27[[#This Row],[Location 
(drop-down)]],'List source'!D$2:E$71,2,FALSE)</f>
        <v>136</v>
      </c>
      <c r="C1146" s="178" t="s">
        <v>4749</v>
      </c>
      <c r="D1146" s="21" t="str">
        <f t="shared" si="34"/>
        <v>PTO1145-136-25</v>
      </c>
      <c r="E1146" s="9" t="s">
        <v>4750</v>
      </c>
      <c r="F1146" s="10" t="s">
        <v>3956</v>
      </c>
      <c r="G11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46" s="10">
        <v>2.27</v>
      </c>
      <c r="I1146" s="12">
        <v>46022</v>
      </c>
      <c r="J1146" s="12"/>
      <c r="K1146" s="63"/>
      <c r="L1146" s="37"/>
      <c r="M1146" s="10">
        <f t="shared" ca="1" si="35"/>
        <v>55</v>
      </c>
    </row>
    <row r="1147" spans="1:13" ht="18.75" hidden="1" x14ac:dyDescent="0.25">
      <c r="A1147" s="9" t="s">
        <v>51</v>
      </c>
      <c r="B1147" s="19">
        <f>VLOOKUP(Table27[[#This Row],[Location 
(drop-down)]],'List source'!D$2:E$71,2,FALSE)</f>
        <v>139</v>
      </c>
      <c r="C1147" s="178" t="s">
        <v>4751</v>
      </c>
      <c r="D1147" s="21" t="str">
        <f t="shared" si="34"/>
        <v>PTO1146-139-25</v>
      </c>
      <c r="E1147" s="9" t="s">
        <v>4752</v>
      </c>
      <c r="F1147" s="10" t="s">
        <v>3956</v>
      </c>
      <c r="G11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1147" s="136" t="s">
        <v>4753</v>
      </c>
      <c r="I1147" s="12">
        <v>46022</v>
      </c>
      <c r="J1147" s="12"/>
      <c r="K1147" s="63"/>
      <c r="L1147" s="37"/>
      <c r="M1147" s="10">
        <f t="shared" ca="1" si="35"/>
        <v>55</v>
      </c>
    </row>
    <row r="1148" spans="1:13" ht="18.75" hidden="1" x14ac:dyDescent="0.25">
      <c r="A1148" s="9" t="s">
        <v>51</v>
      </c>
      <c r="B1148" s="19">
        <f>VLOOKUP(Table27[[#This Row],[Location 
(drop-down)]],'List source'!D$2:E$71,2,FALSE)</f>
        <v>139</v>
      </c>
      <c r="C1148" s="178" t="s">
        <v>4754</v>
      </c>
      <c r="D1148" s="21" t="str">
        <f t="shared" si="34"/>
        <v>PTO1147-139-25</v>
      </c>
      <c r="E1148" s="9" t="s">
        <v>4755</v>
      </c>
      <c r="F1148" s="10" t="s">
        <v>3956</v>
      </c>
      <c r="G11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48" s="136" t="s">
        <v>4756</v>
      </c>
      <c r="I1148" s="12">
        <v>46022</v>
      </c>
      <c r="J1148" s="12"/>
      <c r="K1148" s="63"/>
      <c r="L1148" s="37"/>
      <c r="M1148" s="10">
        <f t="shared" ca="1" si="35"/>
        <v>55</v>
      </c>
    </row>
    <row r="1149" spans="1:13" ht="18.75" hidden="1" x14ac:dyDescent="0.25">
      <c r="A1149" s="9" t="s">
        <v>69</v>
      </c>
      <c r="B1149" s="19">
        <f>VLOOKUP(Table27[[#This Row],[Location 
(drop-down)]],'List source'!D$2:E$71,2,FALSE)</f>
        <v>141</v>
      </c>
      <c r="C1149" s="178" t="s">
        <v>4757</v>
      </c>
      <c r="D1149" s="21" t="str">
        <f t="shared" si="34"/>
        <v>PTO1148-141-25</v>
      </c>
      <c r="E1149" s="9" t="s">
        <v>4758</v>
      </c>
      <c r="F1149" s="10" t="s">
        <v>3956</v>
      </c>
      <c r="G11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149" s="136" t="s">
        <v>4759</v>
      </c>
      <c r="I1149" s="12">
        <v>46022</v>
      </c>
      <c r="J1149" s="12"/>
      <c r="K1149" s="63"/>
      <c r="L1149" s="37"/>
      <c r="M1149" s="10">
        <f t="shared" ca="1" si="35"/>
        <v>55</v>
      </c>
    </row>
    <row r="1150" spans="1:13" ht="30" hidden="1" x14ac:dyDescent="0.25">
      <c r="A1150" s="9" t="s">
        <v>107</v>
      </c>
      <c r="B1150" s="19">
        <f>VLOOKUP(Table27[[#This Row],[Location 
(drop-down)]],'List source'!D$2:E$71,2,FALSE)</f>
        <v>170</v>
      </c>
      <c r="C1150" s="178" t="s">
        <v>4760</v>
      </c>
      <c r="D1150" s="21" t="str">
        <f t="shared" si="34"/>
        <v>PTO1149-170-25</v>
      </c>
      <c r="E1150" s="9" t="s">
        <v>4761</v>
      </c>
      <c r="F1150" s="10" t="s">
        <v>3956</v>
      </c>
      <c r="G11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0" s="10">
        <v>2.0299999999999998</v>
      </c>
      <c r="I1150" s="12">
        <v>46022</v>
      </c>
      <c r="J1150" s="12" t="s">
        <v>2074</v>
      </c>
      <c r="K1150" s="63">
        <v>46050</v>
      </c>
      <c r="L1150" s="37" t="s">
        <v>4231</v>
      </c>
      <c r="M1150" s="10" t="str">
        <f t="shared" ca="1" si="35"/>
        <v>CLOSED</v>
      </c>
    </row>
    <row r="1151" spans="1:13" ht="30" hidden="1" x14ac:dyDescent="0.25">
      <c r="A1151" s="9" t="s">
        <v>107</v>
      </c>
      <c r="B1151" s="19">
        <f>VLOOKUP(Table27[[#This Row],[Location 
(drop-down)]],'List source'!D$2:E$71,2,FALSE)</f>
        <v>170</v>
      </c>
      <c r="C1151" s="178" t="s">
        <v>4762</v>
      </c>
      <c r="D1151" s="21" t="str">
        <f t="shared" si="34"/>
        <v>PTO1150-170-25</v>
      </c>
      <c r="E1151" s="9" t="s">
        <v>4763</v>
      </c>
      <c r="F1151" s="10" t="s">
        <v>3956</v>
      </c>
      <c r="G11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Olefins</v>
      </c>
      <c r="H1151" s="136" t="s">
        <v>4764</v>
      </c>
      <c r="I1151" s="12">
        <v>46022</v>
      </c>
      <c r="J1151" s="12"/>
      <c r="K1151" s="63"/>
      <c r="L1151" s="37"/>
      <c r="M1151" s="10">
        <f t="shared" ca="1" si="35"/>
        <v>55</v>
      </c>
    </row>
    <row r="1152" spans="1:13" ht="18.75" hidden="1" x14ac:dyDescent="0.25">
      <c r="A1152" s="9" t="s">
        <v>156</v>
      </c>
      <c r="B1152" s="19">
        <f>VLOOKUP(Table27[[#This Row],[Location 
(drop-down)]],'List source'!D$2:E$71,2,FALSE)</f>
        <v>130</v>
      </c>
      <c r="C1152" s="178" t="s">
        <v>4765</v>
      </c>
      <c r="D1152" s="21" t="str">
        <f t="shared" si="34"/>
        <v>PTO1151-130-25</v>
      </c>
      <c r="E1152" s="9" t="s">
        <v>4766</v>
      </c>
      <c r="F1152" s="10" t="s">
        <v>4767</v>
      </c>
      <c r="G11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152" s="10">
        <v>2.3199999999999998</v>
      </c>
      <c r="I1152" s="12">
        <v>46022</v>
      </c>
      <c r="J1152" s="12"/>
      <c r="K1152" s="63"/>
      <c r="L1152" s="37"/>
      <c r="M1152" s="10">
        <f t="shared" ca="1" si="35"/>
        <v>55</v>
      </c>
    </row>
    <row r="1153" spans="1:13" ht="18.75" hidden="1" x14ac:dyDescent="0.25">
      <c r="A1153" s="9" t="s">
        <v>287</v>
      </c>
      <c r="B1153" s="19">
        <f>VLOOKUP(Table27[[#This Row],[Location 
(drop-down)]],'List source'!D$2:E$71,2,FALSE)</f>
        <v>180</v>
      </c>
      <c r="C1153" s="178" t="s">
        <v>4768</v>
      </c>
      <c r="D1153" s="21" t="str">
        <f t="shared" si="34"/>
        <v>PTO1152-180-25</v>
      </c>
      <c r="E1153" s="9" t="s">
        <v>4769</v>
      </c>
      <c r="F1153" s="10" t="s">
        <v>4770</v>
      </c>
      <c r="G11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3" s="10" t="s">
        <v>4771</v>
      </c>
      <c r="I1153" s="12">
        <v>46022</v>
      </c>
      <c r="J1153" s="12" t="s">
        <v>2074</v>
      </c>
      <c r="K1153" s="63">
        <v>46030</v>
      </c>
      <c r="L1153" s="37" t="s">
        <v>2079</v>
      </c>
      <c r="M1153" s="10" t="str">
        <f t="shared" ca="1" si="35"/>
        <v>CLOSED</v>
      </c>
    </row>
    <row r="1154" spans="1:13" ht="18.75" hidden="1" x14ac:dyDescent="0.25">
      <c r="A1154" s="9" t="s">
        <v>287</v>
      </c>
      <c r="B1154" s="19">
        <f>VLOOKUP(Table27[[#This Row],[Location 
(drop-down)]],'List source'!D$2:E$71,2,FALSE)</f>
        <v>180</v>
      </c>
      <c r="C1154" s="178" t="s">
        <v>4772</v>
      </c>
      <c r="D1154" s="21" t="str">
        <f t="shared" ref="D1154:D1217" si="36">"PTO" &amp; C1154 &amp; "-" &amp; B1154 &amp; "-" &amp; "25"</f>
        <v>PTO1153-180-25</v>
      </c>
      <c r="E1154" s="9" t="s">
        <v>4773</v>
      </c>
      <c r="F1154" s="10" t="s">
        <v>4774</v>
      </c>
      <c r="G11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154" s="10">
        <v>2.76</v>
      </c>
      <c r="I1154" s="12">
        <v>46022</v>
      </c>
      <c r="J1154" s="12" t="s">
        <v>2074</v>
      </c>
      <c r="K1154" s="63">
        <v>46027</v>
      </c>
      <c r="L1154" s="37" t="s">
        <v>4231</v>
      </c>
      <c r="M1154" s="10" t="str">
        <f t="shared" ref="M1154:M1217" ca="1" si="37">IF(ISBLANK(K1154), TODAY()-(I1154), "CLOSED")</f>
        <v>CLOSED</v>
      </c>
    </row>
    <row r="1155" spans="1:13" ht="18.75" hidden="1" x14ac:dyDescent="0.25">
      <c r="A1155" s="9" t="s">
        <v>46</v>
      </c>
      <c r="B1155" s="19">
        <f>VLOOKUP(Table27[[#This Row],[Location 
(drop-down)]],'List source'!D$2:E$71,2,FALSE)</f>
        <v>155</v>
      </c>
      <c r="C1155" s="178" t="s">
        <v>4775</v>
      </c>
      <c r="D1155" s="21" t="str">
        <f t="shared" si="36"/>
        <v>PTO1154-155-25</v>
      </c>
      <c r="E1155" s="9" t="s">
        <v>4776</v>
      </c>
      <c r="F1155" s="10" t="s">
        <v>2704</v>
      </c>
      <c r="G11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5" s="10">
        <v>110.26</v>
      </c>
      <c r="I1155" s="12">
        <v>46022</v>
      </c>
      <c r="J1155" s="12" t="s">
        <v>2074</v>
      </c>
      <c r="K1155" s="63">
        <v>46064</v>
      </c>
      <c r="L1155" s="37" t="s">
        <v>2079</v>
      </c>
      <c r="M1155" s="10" t="str">
        <f t="shared" ca="1" si="37"/>
        <v>CLOSED</v>
      </c>
    </row>
    <row r="1156" spans="1:13" ht="30" hidden="1" x14ac:dyDescent="0.25">
      <c r="A1156" s="9" t="s">
        <v>46</v>
      </c>
      <c r="B1156" s="19">
        <f>VLOOKUP(Table27[[#This Row],[Location 
(drop-down)]],'List source'!D$2:E$71,2,FALSE)</f>
        <v>155</v>
      </c>
      <c r="C1156" s="178" t="s">
        <v>4777</v>
      </c>
      <c r="D1156" s="21" t="str">
        <f t="shared" si="36"/>
        <v>PTO1155-155-25</v>
      </c>
      <c r="E1156" s="9" t="s">
        <v>4778</v>
      </c>
      <c r="F1156" s="10" t="s">
        <v>2704</v>
      </c>
      <c r="G11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56" s="136" t="s">
        <v>4779</v>
      </c>
      <c r="I1156" s="12">
        <v>46022</v>
      </c>
      <c r="J1156" s="12" t="s">
        <v>82</v>
      </c>
      <c r="K1156" s="63">
        <v>46064</v>
      </c>
      <c r="L1156" s="37"/>
      <c r="M1156" s="10" t="str">
        <f t="shared" ca="1" si="37"/>
        <v>CLOSED</v>
      </c>
    </row>
    <row r="1157" spans="1:13" ht="18.75" hidden="1" x14ac:dyDescent="0.25">
      <c r="A1157" s="9" t="s">
        <v>46</v>
      </c>
      <c r="B1157" s="19">
        <f>VLOOKUP(Table27[[#This Row],[Location 
(drop-down)]],'List source'!D$2:E$71,2,FALSE)</f>
        <v>155</v>
      </c>
      <c r="C1157" s="178" t="s">
        <v>4780</v>
      </c>
      <c r="D1157" s="21" t="str">
        <f t="shared" si="36"/>
        <v>PTO1156-155-25</v>
      </c>
      <c r="E1157" s="9" t="s">
        <v>4781</v>
      </c>
      <c r="F1157" s="10" t="s">
        <v>2704</v>
      </c>
      <c r="G11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1157" s="136" t="s">
        <v>4782</v>
      </c>
      <c r="I1157" s="12">
        <v>46022</v>
      </c>
      <c r="J1157" s="12"/>
      <c r="K1157" s="63"/>
      <c r="L1157" s="37"/>
      <c r="M1157" s="10">
        <f t="shared" ca="1" si="37"/>
        <v>55</v>
      </c>
    </row>
    <row r="1158" spans="1:13" ht="30" hidden="1" x14ac:dyDescent="0.25">
      <c r="A1158" s="9" t="s">
        <v>46</v>
      </c>
      <c r="B1158" s="19">
        <f>VLOOKUP(Table27[[#This Row],[Location 
(drop-down)]],'List source'!D$2:E$71,2,FALSE)</f>
        <v>155</v>
      </c>
      <c r="C1158" s="178" t="s">
        <v>4783</v>
      </c>
      <c r="D1158" s="21" t="str">
        <f t="shared" si="36"/>
        <v>PTO1157-155-25</v>
      </c>
      <c r="E1158" s="9" t="s">
        <v>4784</v>
      </c>
      <c r="F1158" s="10" t="s">
        <v>2704</v>
      </c>
      <c r="G11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D3338/D3338M - Net Heat of Combustion</v>
      </c>
      <c r="H1158" s="10">
        <v>2.08</v>
      </c>
      <c r="I1158" s="12">
        <v>46022</v>
      </c>
      <c r="J1158" s="12" t="s">
        <v>82</v>
      </c>
      <c r="K1158" s="63">
        <v>46064</v>
      </c>
      <c r="L1158" s="37"/>
      <c r="M1158" s="10" t="str">
        <f t="shared" ca="1" si="37"/>
        <v>CLOSED</v>
      </c>
    </row>
    <row r="1159" spans="1:13" ht="18.75" hidden="1" x14ac:dyDescent="0.25">
      <c r="A1159" s="9"/>
      <c r="B1159" s="19" t="e">
        <f>VLOOKUP(Table27[[#This Row],[Location 
(drop-down)]],'List source'!D$2:E$71,2,FALSE)</f>
        <v>#N/A</v>
      </c>
      <c r="C1159" s="178" t="s">
        <v>4785</v>
      </c>
      <c r="D1159" s="21" t="e">
        <f t="shared" si="36"/>
        <v>#N/A</v>
      </c>
      <c r="E1159" s="9"/>
      <c r="F1159" s="10" t="e" cm="1">
        <f t="array" aca="1" ref="F11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5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59" s="10"/>
      <c r="I1159" s="12"/>
      <c r="J1159" s="12"/>
      <c r="K1159" s="63"/>
      <c r="L1159" s="37"/>
      <c r="M1159" s="10">
        <f t="shared" ca="1" si="37"/>
        <v>46077</v>
      </c>
    </row>
    <row r="1160" spans="1:13" ht="18.75" hidden="1" x14ac:dyDescent="0.25">
      <c r="A1160" s="9"/>
      <c r="B1160" s="19" t="e">
        <f>VLOOKUP(Table27[[#This Row],[Location 
(drop-down)]],'List source'!D$2:E$71,2,FALSE)</f>
        <v>#N/A</v>
      </c>
      <c r="C1160" s="178" t="s">
        <v>4786</v>
      </c>
      <c r="D1160" s="21" t="e">
        <f t="shared" si="36"/>
        <v>#N/A</v>
      </c>
      <c r="E1160" s="9"/>
      <c r="F1160" s="10" t="e" cm="1">
        <f t="array" aca="1" ref="F11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0" s="10"/>
      <c r="I1160" s="12"/>
      <c r="J1160" s="12"/>
      <c r="K1160" s="63"/>
      <c r="L1160" s="37"/>
      <c r="M1160" s="10">
        <f t="shared" ca="1" si="37"/>
        <v>46077</v>
      </c>
    </row>
    <row r="1161" spans="1:13" ht="18.75" hidden="1" x14ac:dyDescent="0.25">
      <c r="A1161" s="9"/>
      <c r="B1161" s="19" t="e">
        <f>VLOOKUP(Table27[[#This Row],[Location 
(drop-down)]],'List source'!D$2:E$71,2,FALSE)</f>
        <v>#N/A</v>
      </c>
      <c r="C1161" s="178" t="s">
        <v>4787</v>
      </c>
      <c r="D1161" s="21" t="e">
        <f t="shared" si="36"/>
        <v>#N/A</v>
      </c>
      <c r="E1161" s="9"/>
      <c r="F1161" s="10" t="e" cm="1">
        <f t="array" aca="1" ref="F11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1" s="10"/>
      <c r="I1161" s="12"/>
      <c r="J1161" s="12"/>
      <c r="K1161" s="63"/>
      <c r="L1161" s="37"/>
      <c r="M1161" s="10">
        <f t="shared" ca="1" si="37"/>
        <v>46077</v>
      </c>
    </row>
    <row r="1162" spans="1:13" ht="18.75" hidden="1" x14ac:dyDescent="0.25">
      <c r="A1162" s="9"/>
      <c r="B1162" s="19" t="e">
        <f>VLOOKUP(Table27[[#This Row],[Location 
(drop-down)]],'List source'!D$2:E$71,2,FALSE)</f>
        <v>#N/A</v>
      </c>
      <c r="C1162" s="178" t="s">
        <v>4788</v>
      </c>
      <c r="D1162" s="21" t="e">
        <f t="shared" si="36"/>
        <v>#N/A</v>
      </c>
      <c r="E1162" s="9"/>
      <c r="F1162" s="10" t="e" cm="1">
        <f t="array" aca="1" ref="F11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2" s="10"/>
      <c r="I1162" s="12"/>
      <c r="J1162" s="12"/>
      <c r="K1162" s="63"/>
      <c r="L1162" s="37"/>
      <c r="M1162" s="10">
        <f t="shared" ca="1" si="37"/>
        <v>46077</v>
      </c>
    </row>
    <row r="1163" spans="1:13" ht="18.75" hidden="1" x14ac:dyDescent="0.25">
      <c r="A1163" s="9"/>
      <c r="B1163" s="19" t="e">
        <f>VLOOKUP(Table27[[#This Row],[Location 
(drop-down)]],'List source'!D$2:E$71,2,FALSE)</f>
        <v>#N/A</v>
      </c>
      <c r="C1163" s="178" t="s">
        <v>4789</v>
      </c>
      <c r="D1163" s="21" t="e">
        <f t="shared" si="36"/>
        <v>#N/A</v>
      </c>
      <c r="E1163" s="9"/>
      <c r="F1163" s="10" t="e" cm="1">
        <f t="array" aca="1" ref="F11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3" s="10"/>
      <c r="I1163" s="12"/>
      <c r="J1163" s="12"/>
      <c r="K1163" s="63"/>
      <c r="L1163" s="37"/>
      <c r="M1163" s="10">
        <f t="shared" ca="1" si="37"/>
        <v>46077</v>
      </c>
    </row>
    <row r="1164" spans="1:13" ht="18.75" hidden="1" x14ac:dyDescent="0.25">
      <c r="A1164" s="9"/>
      <c r="B1164" s="19" t="e">
        <f>VLOOKUP(Table27[[#This Row],[Location 
(drop-down)]],'List source'!D$2:E$71,2,FALSE)</f>
        <v>#N/A</v>
      </c>
      <c r="C1164" s="178" t="s">
        <v>4790</v>
      </c>
      <c r="D1164" s="21" t="e">
        <f t="shared" si="36"/>
        <v>#N/A</v>
      </c>
      <c r="E1164" s="9"/>
      <c r="F1164" s="10" t="e" cm="1">
        <f t="array" aca="1" ref="F11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4" s="10"/>
      <c r="I1164" s="12"/>
      <c r="J1164" s="12"/>
      <c r="K1164" s="63"/>
      <c r="L1164" s="37"/>
      <c r="M1164" s="10">
        <f t="shared" ca="1" si="37"/>
        <v>46077</v>
      </c>
    </row>
    <row r="1165" spans="1:13" ht="18.75" hidden="1" x14ac:dyDescent="0.25">
      <c r="A1165" s="9"/>
      <c r="B1165" s="19" t="e">
        <f>VLOOKUP(Table27[[#This Row],[Location 
(drop-down)]],'List source'!D$2:E$71,2,FALSE)</f>
        <v>#N/A</v>
      </c>
      <c r="C1165" s="178" t="s">
        <v>4791</v>
      </c>
      <c r="D1165" s="21" t="e">
        <f t="shared" si="36"/>
        <v>#N/A</v>
      </c>
      <c r="E1165" s="9"/>
      <c r="F1165" s="10" t="e" cm="1">
        <f t="array" aca="1" ref="F11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5" s="10"/>
      <c r="I1165" s="12"/>
      <c r="J1165" s="12"/>
      <c r="K1165" s="63"/>
      <c r="L1165" s="37"/>
      <c r="M1165" s="10">
        <f t="shared" ca="1" si="37"/>
        <v>46077</v>
      </c>
    </row>
    <row r="1166" spans="1:13" ht="18.75" hidden="1" x14ac:dyDescent="0.25">
      <c r="A1166" s="9"/>
      <c r="B1166" s="19" t="e">
        <f>VLOOKUP(Table27[[#This Row],[Location 
(drop-down)]],'List source'!D$2:E$71,2,FALSE)</f>
        <v>#N/A</v>
      </c>
      <c r="C1166" s="178" t="s">
        <v>4792</v>
      </c>
      <c r="D1166" s="21" t="e">
        <f t="shared" si="36"/>
        <v>#N/A</v>
      </c>
      <c r="E1166" s="9"/>
      <c r="F1166" s="10" t="e" cm="1">
        <f t="array" aca="1" ref="F11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6" s="10"/>
      <c r="I1166" s="12"/>
      <c r="J1166" s="12"/>
      <c r="K1166" s="63"/>
      <c r="L1166" s="37"/>
      <c r="M1166" s="10">
        <f t="shared" ca="1" si="37"/>
        <v>46077</v>
      </c>
    </row>
    <row r="1167" spans="1:13" ht="18.75" hidden="1" x14ac:dyDescent="0.25">
      <c r="A1167" s="9"/>
      <c r="B1167" s="19" t="e">
        <f>VLOOKUP(Table27[[#This Row],[Location 
(drop-down)]],'List source'!D$2:E$71,2,FALSE)</f>
        <v>#N/A</v>
      </c>
      <c r="C1167" s="178" t="s">
        <v>4793</v>
      </c>
      <c r="D1167" s="21" t="e">
        <f t="shared" si="36"/>
        <v>#N/A</v>
      </c>
      <c r="E1167" s="9"/>
      <c r="F1167" s="10" t="e" cm="1">
        <f t="array" aca="1" ref="F11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7" s="10"/>
      <c r="I1167" s="12"/>
      <c r="J1167" s="12"/>
      <c r="K1167" s="63"/>
      <c r="L1167" s="37"/>
      <c r="M1167" s="10">
        <f t="shared" ca="1" si="37"/>
        <v>46077</v>
      </c>
    </row>
    <row r="1168" spans="1:13" ht="18.75" hidden="1" x14ac:dyDescent="0.25">
      <c r="A1168" s="9"/>
      <c r="B1168" s="19" t="e">
        <f>VLOOKUP(Table27[[#This Row],[Location 
(drop-down)]],'List source'!D$2:E$71,2,FALSE)</f>
        <v>#N/A</v>
      </c>
      <c r="C1168" s="178" t="s">
        <v>4794</v>
      </c>
      <c r="D1168" s="21" t="e">
        <f t="shared" si="36"/>
        <v>#N/A</v>
      </c>
      <c r="E1168" s="9"/>
      <c r="F1168" s="10" t="e" cm="1">
        <f t="array" aca="1" ref="F11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8" s="10"/>
      <c r="I1168" s="12"/>
      <c r="J1168" s="12"/>
      <c r="K1168" s="63"/>
      <c r="L1168" s="37"/>
      <c r="M1168" s="10">
        <f t="shared" ca="1" si="37"/>
        <v>46077</v>
      </c>
    </row>
    <row r="1169" spans="1:13" ht="18.75" hidden="1" x14ac:dyDescent="0.25">
      <c r="A1169" s="9"/>
      <c r="B1169" s="19" t="e">
        <f>VLOOKUP(Table27[[#This Row],[Location 
(drop-down)]],'List source'!D$2:E$71,2,FALSE)</f>
        <v>#N/A</v>
      </c>
      <c r="C1169" s="178" t="s">
        <v>4795</v>
      </c>
      <c r="D1169" s="21" t="e">
        <f t="shared" si="36"/>
        <v>#N/A</v>
      </c>
      <c r="E1169" s="9"/>
      <c r="F1169" s="10" t="e" cm="1">
        <f t="array" aca="1" ref="F11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6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69" s="10"/>
      <c r="I1169" s="12"/>
      <c r="J1169" s="12"/>
      <c r="K1169" s="63"/>
      <c r="L1169" s="37"/>
      <c r="M1169" s="10">
        <f t="shared" ca="1" si="37"/>
        <v>46077</v>
      </c>
    </row>
    <row r="1170" spans="1:13" ht="18.75" hidden="1" x14ac:dyDescent="0.25">
      <c r="A1170" s="9"/>
      <c r="B1170" s="19" t="e">
        <f>VLOOKUP(Table27[[#This Row],[Location 
(drop-down)]],'List source'!D$2:E$71,2,FALSE)</f>
        <v>#N/A</v>
      </c>
      <c r="C1170" s="178" t="s">
        <v>4796</v>
      </c>
      <c r="D1170" s="21" t="e">
        <f t="shared" si="36"/>
        <v>#N/A</v>
      </c>
      <c r="E1170" s="9"/>
      <c r="F1170" s="10" t="e" cm="1">
        <f t="array" aca="1" ref="F11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0" s="10"/>
      <c r="I1170" s="12"/>
      <c r="J1170" s="12"/>
      <c r="K1170" s="63"/>
      <c r="L1170" s="37"/>
      <c r="M1170" s="10">
        <f t="shared" ca="1" si="37"/>
        <v>46077</v>
      </c>
    </row>
    <row r="1171" spans="1:13" ht="18.75" hidden="1" x14ac:dyDescent="0.25">
      <c r="A1171" s="9"/>
      <c r="B1171" s="19" t="e">
        <f>VLOOKUP(Table27[[#This Row],[Location 
(drop-down)]],'List source'!D$2:E$71,2,FALSE)</f>
        <v>#N/A</v>
      </c>
      <c r="C1171" s="178" t="s">
        <v>4797</v>
      </c>
      <c r="D1171" s="21" t="e">
        <f t="shared" si="36"/>
        <v>#N/A</v>
      </c>
      <c r="E1171" s="9"/>
      <c r="F1171" s="10" t="e" cm="1">
        <f t="array" aca="1" ref="F11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1" s="10"/>
      <c r="I1171" s="12"/>
      <c r="J1171" s="12"/>
      <c r="K1171" s="63"/>
      <c r="L1171" s="37"/>
      <c r="M1171" s="10">
        <f t="shared" ca="1" si="37"/>
        <v>46077</v>
      </c>
    </row>
    <row r="1172" spans="1:13" ht="18.75" hidden="1" x14ac:dyDescent="0.25">
      <c r="A1172" s="9"/>
      <c r="B1172" s="19" t="e">
        <f>VLOOKUP(Table27[[#This Row],[Location 
(drop-down)]],'List source'!D$2:E$71,2,FALSE)</f>
        <v>#N/A</v>
      </c>
      <c r="C1172" s="178" t="s">
        <v>4798</v>
      </c>
      <c r="D1172" s="21" t="e">
        <f t="shared" si="36"/>
        <v>#N/A</v>
      </c>
      <c r="E1172" s="9"/>
      <c r="F1172" s="10" t="e" cm="1">
        <f t="array" aca="1" ref="F11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2" s="10"/>
      <c r="I1172" s="12"/>
      <c r="J1172" s="12"/>
      <c r="K1172" s="63"/>
      <c r="L1172" s="37"/>
      <c r="M1172" s="10">
        <f t="shared" ca="1" si="37"/>
        <v>46077</v>
      </c>
    </row>
    <row r="1173" spans="1:13" ht="18.75" hidden="1" x14ac:dyDescent="0.25">
      <c r="A1173" s="9"/>
      <c r="B1173" s="19" t="e">
        <f>VLOOKUP(Table27[[#This Row],[Location 
(drop-down)]],'List source'!D$2:E$71,2,FALSE)</f>
        <v>#N/A</v>
      </c>
      <c r="C1173" s="178" t="s">
        <v>4799</v>
      </c>
      <c r="D1173" s="21" t="e">
        <f t="shared" si="36"/>
        <v>#N/A</v>
      </c>
      <c r="E1173" s="9"/>
      <c r="F1173" s="10" t="e" cm="1">
        <f t="array" aca="1" ref="F11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3" s="10"/>
      <c r="I1173" s="12"/>
      <c r="J1173" s="12"/>
      <c r="K1173" s="63"/>
      <c r="L1173" s="37"/>
      <c r="M1173" s="10">
        <f t="shared" ca="1" si="37"/>
        <v>46077</v>
      </c>
    </row>
    <row r="1174" spans="1:13" ht="18.75" hidden="1" x14ac:dyDescent="0.25">
      <c r="A1174" s="9"/>
      <c r="B1174" s="19" t="e">
        <f>VLOOKUP(Table27[[#This Row],[Location 
(drop-down)]],'List source'!D$2:E$71,2,FALSE)</f>
        <v>#N/A</v>
      </c>
      <c r="C1174" s="178" t="s">
        <v>4800</v>
      </c>
      <c r="D1174" s="21" t="e">
        <f t="shared" si="36"/>
        <v>#N/A</v>
      </c>
      <c r="E1174" s="9"/>
      <c r="F1174" s="10" t="e" cm="1">
        <f t="array" aca="1" ref="F11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4" s="10"/>
      <c r="I1174" s="12"/>
      <c r="J1174" s="12"/>
      <c r="K1174" s="63"/>
      <c r="L1174" s="37"/>
      <c r="M1174" s="10">
        <f t="shared" ca="1" si="37"/>
        <v>46077</v>
      </c>
    </row>
    <row r="1175" spans="1:13" ht="18.75" hidden="1" x14ac:dyDescent="0.25">
      <c r="A1175" s="9"/>
      <c r="B1175" s="19" t="e">
        <f>VLOOKUP(Table27[[#This Row],[Location 
(drop-down)]],'List source'!D$2:E$71,2,FALSE)</f>
        <v>#N/A</v>
      </c>
      <c r="C1175" s="178" t="s">
        <v>4801</v>
      </c>
      <c r="D1175" s="21" t="e">
        <f t="shared" si="36"/>
        <v>#N/A</v>
      </c>
      <c r="E1175" s="9"/>
      <c r="F1175" s="10" t="e" cm="1">
        <f t="array" aca="1" ref="F11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5" s="10"/>
      <c r="I1175" s="12"/>
      <c r="J1175" s="12"/>
      <c r="K1175" s="63"/>
      <c r="L1175" s="37"/>
      <c r="M1175" s="10">
        <f t="shared" ca="1" si="37"/>
        <v>46077</v>
      </c>
    </row>
    <row r="1176" spans="1:13" ht="18.75" hidden="1" x14ac:dyDescent="0.25">
      <c r="A1176" s="9"/>
      <c r="B1176" s="19" t="e">
        <f>VLOOKUP(Table27[[#This Row],[Location 
(drop-down)]],'List source'!D$2:E$71,2,FALSE)</f>
        <v>#N/A</v>
      </c>
      <c r="C1176" s="178" t="s">
        <v>4802</v>
      </c>
      <c r="D1176" s="21" t="e">
        <f t="shared" si="36"/>
        <v>#N/A</v>
      </c>
      <c r="E1176" s="9"/>
      <c r="F1176" s="10" t="e" cm="1">
        <f t="array" aca="1" ref="F11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6" s="10"/>
      <c r="I1176" s="12"/>
      <c r="J1176" s="12"/>
      <c r="K1176" s="63"/>
      <c r="L1176" s="37"/>
      <c r="M1176" s="10">
        <f t="shared" ca="1" si="37"/>
        <v>46077</v>
      </c>
    </row>
    <row r="1177" spans="1:13" ht="18.75" hidden="1" x14ac:dyDescent="0.25">
      <c r="A1177" s="9"/>
      <c r="B1177" s="19" t="e">
        <f>VLOOKUP(Table27[[#This Row],[Location 
(drop-down)]],'List source'!D$2:E$71,2,FALSE)</f>
        <v>#N/A</v>
      </c>
      <c r="C1177" s="178" t="s">
        <v>4803</v>
      </c>
      <c r="D1177" s="21" t="e">
        <f t="shared" si="36"/>
        <v>#N/A</v>
      </c>
      <c r="E1177" s="9"/>
      <c r="F1177" s="10" t="e" cm="1">
        <f t="array" aca="1" ref="F11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7" s="10"/>
      <c r="I1177" s="12"/>
      <c r="J1177" s="12"/>
      <c r="K1177" s="63"/>
      <c r="L1177" s="37"/>
      <c r="M1177" s="10">
        <f t="shared" ca="1" si="37"/>
        <v>46077</v>
      </c>
    </row>
    <row r="1178" spans="1:13" ht="18.75" hidden="1" x14ac:dyDescent="0.25">
      <c r="A1178" s="9"/>
      <c r="B1178" s="19" t="e">
        <f>VLOOKUP(Table27[[#This Row],[Location 
(drop-down)]],'List source'!D$2:E$71,2,FALSE)</f>
        <v>#N/A</v>
      </c>
      <c r="C1178" s="178" t="s">
        <v>4804</v>
      </c>
      <c r="D1178" s="21" t="e">
        <f t="shared" si="36"/>
        <v>#N/A</v>
      </c>
      <c r="E1178" s="9"/>
      <c r="F1178" s="10" t="e" cm="1">
        <f t="array" aca="1" ref="F11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8" s="10"/>
      <c r="I1178" s="12"/>
      <c r="J1178" s="12"/>
      <c r="K1178" s="63"/>
      <c r="L1178" s="37"/>
      <c r="M1178" s="10">
        <f t="shared" ca="1" si="37"/>
        <v>46077</v>
      </c>
    </row>
    <row r="1179" spans="1:13" ht="18.75" hidden="1" x14ac:dyDescent="0.25">
      <c r="A1179" s="9"/>
      <c r="B1179" s="19" t="e">
        <f>VLOOKUP(Table27[[#This Row],[Location 
(drop-down)]],'List source'!D$2:E$71,2,FALSE)</f>
        <v>#N/A</v>
      </c>
      <c r="C1179" s="178" t="s">
        <v>4805</v>
      </c>
      <c r="D1179" s="21" t="e">
        <f t="shared" si="36"/>
        <v>#N/A</v>
      </c>
      <c r="E1179" s="9"/>
      <c r="F1179" s="10" t="e" cm="1">
        <f t="array" aca="1" ref="F11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7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79" s="10"/>
      <c r="I1179" s="12"/>
      <c r="J1179" s="12"/>
      <c r="K1179" s="63"/>
      <c r="L1179" s="37"/>
      <c r="M1179" s="10">
        <f t="shared" ca="1" si="37"/>
        <v>46077</v>
      </c>
    </row>
    <row r="1180" spans="1:13" ht="18.75" hidden="1" x14ac:dyDescent="0.25">
      <c r="A1180" s="9"/>
      <c r="B1180" s="19" t="e">
        <f>VLOOKUP(Table27[[#This Row],[Location 
(drop-down)]],'List source'!D$2:E$71,2,FALSE)</f>
        <v>#N/A</v>
      </c>
      <c r="C1180" s="178" t="s">
        <v>4806</v>
      </c>
      <c r="D1180" s="21" t="e">
        <f t="shared" si="36"/>
        <v>#N/A</v>
      </c>
      <c r="E1180" s="9"/>
      <c r="F1180" s="10" t="e" cm="1">
        <f t="array" aca="1" ref="F11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0" s="10"/>
      <c r="I1180" s="12"/>
      <c r="J1180" s="12"/>
      <c r="K1180" s="63"/>
      <c r="L1180" s="37"/>
      <c r="M1180" s="10">
        <f t="shared" ca="1" si="37"/>
        <v>46077</v>
      </c>
    </row>
    <row r="1181" spans="1:13" ht="18.75" hidden="1" x14ac:dyDescent="0.25">
      <c r="A1181" s="9"/>
      <c r="B1181" s="19" t="e">
        <f>VLOOKUP(Table27[[#This Row],[Location 
(drop-down)]],'List source'!D$2:E$71,2,FALSE)</f>
        <v>#N/A</v>
      </c>
      <c r="C1181" s="178" t="s">
        <v>4807</v>
      </c>
      <c r="D1181" s="21" t="e">
        <f t="shared" si="36"/>
        <v>#N/A</v>
      </c>
      <c r="E1181" s="9"/>
      <c r="F1181" s="10" t="e" cm="1">
        <f t="array" aca="1" ref="F11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1" s="10"/>
      <c r="I1181" s="12"/>
      <c r="J1181" s="12"/>
      <c r="K1181" s="63"/>
      <c r="L1181" s="37"/>
      <c r="M1181" s="10">
        <f t="shared" ca="1" si="37"/>
        <v>46077</v>
      </c>
    </row>
    <row r="1182" spans="1:13" ht="18.75" hidden="1" x14ac:dyDescent="0.25">
      <c r="A1182" s="9"/>
      <c r="B1182" s="19" t="e">
        <f>VLOOKUP(Table27[[#This Row],[Location 
(drop-down)]],'List source'!D$2:E$71,2,FALSE)</f>
        <v>#N/A</v>
      </c>
      <c r="C1182" s="178" t="s">
        <v>4808</v>
      </c>
      <c r="D1182" s="21" t="e">
        <f t="shared" si="36"/>
        <v>#N/A</v>
      </c>
      <c r="E1182" s="9"/>
      <c r="F1182" s="10" t="e" cm="1">
        <f t="array" aca="1" ref="F11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2" s="10"/>
      <c r="I1182" s="12"/>
      <c r="J1182" s="12"/>
      <c r="K1182" s="63"/>
      <c r="L1182" s="37"/>
      <c r="M1182" s="10">
        <f t="shared" ca="1" si="37"/>
        <v>46077</v>
      </c>
    </row>
    <row r="1183" spans="1:13" ht="18.75" hidden="1" x14ac:dyDescent="0.25">
      <c r="A1183" s="9"/>
      <c r="B1183" s="19" t="e">
        <f>VLOOKUP(Table27[[#This Row],[Location 
(drop-down)]],'List source'!D$2:E$71,2,FALSE)</f>
        <v>#N/A</v>
      </c>
      <c r="C1183" s="178" t="s">
        <v>4809</v>
      </c>
      <c r="D1183" s="21" t="e">
        <f t="shared" si="36"/>
        <v>#N/A</v>
      </c>
      <c r="E1183" s="9"/>
      <c r="F1183" s="10" t="e" cm="1">
        <f t="array" aca="1" ref="F11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3" s="10"/>
      <c r="I1183" s="12"/>
      <c r="J1183" s="12"/>
      <c r="K1183" s="63"/>
      <c r="L1183" s="37"/>
      <c r="M1183" s="10">
        <f t="shared" ca="1" si="37"/>
        <v>46077</v>
      </c>
    </row>
    <row r="1184" spans="1:13" ht="18.75" hidden="1" x14ac:dyDescent="0.25">
      <c r="A1184" s="9"/>
      <c r="B1184" s="19" t="e">
        <f>VLOOKUP(Table27[[#This Row],[Location 
(drop-down)]],'List source'!D$2:E$71,2,FALSE)</f>
        <v>#N/A</v>
      </c>
      <c r="C1184" s="178" t="s">
        <v>4810</v>
      </c>
      <c r="D1184" s="21" t="e">
        <f t="shared" si="36"/>
        <v>#N/A</v>
      </c>
      <c r="E1184" s="9"/>
      <c r="F1184" s="10" t="e" cm="1">
        <f t="array" aca="1" ref="F11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4" s="10"/>
      <c r="I1184" s="12"/>
      <c r="J1184" s="12"/>
      <c r="K1184" s="63"/>
      <c r="L1184" s="37"/>
      <c r="M1184" s="10">
        <f t="shared" ca="1" si="37"/>
        <v>46077</v>
      </c>
    </row>
    <row r="1185" spans="1:13" ht="18.75" hidden="1" x14ac:dyDescent="0.25">
      <c r="A1185" s="9"/>
      <c r="B1185" s="19" t="e">
        <f>VLOOKUP(Table27[[#This Row],[Location 
(drop-down)]],'List source'!D$2:E$71,2,FALSE)</f>
        <v>#N/A</v>
      </c>
      <c r="C1185" s="178" t="s">
        <v>4811</v>
      </c>
      <c r="D1185" s="21" t="e">
        <f t="shared" si="36"/>
        <v>#N/A</v>
      </c>
      <c r="E1185" s="9"/>
      <c r="F1185" s="10" t="e" cm="1">
        <f t="array" aca="1" ref="F11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5" s="10"/>
      <c r="I1185" s="12"/>
      <c r="J1185" s="12"/>
      <c r="K1185" s="63"/>
      <c r="L1185" s="37"/>
      <c r="M1185" s="10">
        <f t="shared" ca="1" si="37"/>
        <v>46077</v>
      </c>
    </row>
    <row r="1186" spans="1:13" ht="18.75" hidden="1" x14ac:dyDescent="0.25">
      <c r="A1186" s="9"/>
      <c r="B1186" s="19" t="e">
        <f>VLOOKUP(Table27[[#This Row],[Location 
(drop-down)]],'List source'!D$2:E$71,2,FALSE)</f>
        <v>#N/A</v>
      </c>
      <c r="C1186" s="178" t="s">
        <v>4812</v>
      </c>
      <c r="D1186" s="21" t="e">
        <f t="shared" si="36"/>
        <v>#N/A</v>
      </c>
      <c r="E1186" s="9"/>
      <c r="F1186" s="10" t="e" cm="1">
        <f t="array" aca="1" ref="F11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6" s="10"/>
      <c r="I1186" s="12"/>
      <c r="J1186" s="12"/>
      <c r="K1186" s="63"/>
      <c r="L1186" s="37"/>
      <c r="M1186" s="10">
        <f t="shared" ca="1" si="37"/>
        <v>46077</v>
      </c>
    </row>
    <row r="1187" spans="1:13" ht="18.75" hidden="1" x14ac:dyDescent="0.25">
      <c r="A1187" s="9"/>
      <c r="B1187" s="19" t="e">
        <f>VLOOKUP(Table27[[#This Row],[Location 
(drop-down)]],'List source'!D$2:E$71,2,FALSE)</f>
        <v>#N/A</v>
      </c>
      <c r="C1187" s="178" t="s">
        <v>4813</v>
      </c>
      <c r="D1187" s="21" t="e">
        <f t="shared" si="36"/>
        <v>#N/A</v>
      </c>
      <c r="E1187" s="9"/>
      <c r="F1187" s="10" t="e" cm="1">
        <f t="array" aca="1" ref="F11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7" s="10"/>
      <c r="I1187" s="12"/>
      <c r="J1187" s="12"/>
      <c r="K1187" s="63"/>
      <c r="L1187" s="37"/>
      <c r="M1187" s="10">
        <f t="shared" ca="1" si="37"/>
        <v>46077</v>
      </c>
    </row>
    <row r="1188" spans="1:13" ht="18.75" hidden="1" x14ac:dyDescent="0.25">
      <c r="A1188" s="9"/>
      <c r="B1188" s="19" t="e">
        <f>VLOOKUP(Table27[[#This Row],[Location 
(drop-down)]],'List source'!D$2:E$71,2,FALSE)</f>
        <v>#N/A</v>
      </c>
      <c r="C1188" s="178" t="s">
        <v>4814</v>
      </c>
      <c r="D1188" s="21" t="e">
        <f t="shared" si="36"/>
        <v>#N/A</v>
      </c>
      <c r="E1188" s="9"/>
      <c r="F1188" s="10" t="e" cm="1">
        <f t="array" aca="1" ref="F11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8" s="10"/>
      <c r="I1188" s="12"/>
      <c r="J1188" s="12"/>
      <c r="K1188" s="63"/>
      <c r="L1188" s="37"/>
      <c r="M1188" s="10">
        <f t="shared" ca="1" si="37"/>
        <v>46077</v>
      </c>
    </row>
    <row r="1189" spans="1:13" ht="18.75" hidden="1" x14ac:dyDescent="0.25">
      <c r="A1189" s="9"/>
      <c r="B1189" s="19" t="e">
        <f>VLOOKUP(Table27[[#This Row],[Location 
(drop-down)]],'List source'!D$2:E$71,2,FALSE)</f>
        <v>#N/A</v>
      </c>
      <c r="C1189" s="178" t="s">
        <v>4815</v>
      </c>
      <c r="D1189" s="21" t="e">
        <f t="shared" si="36"/>
        <v>#N/A</v>
      </c>
      <c r="E1189" s="9"/>
      <c r="F1189" s="10" t="e" cm="1">
        <f t="array" aca="1" ref="F11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8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89" s="10"/>
      <c r="I1189" s="12"/>
      <c r="J1189" s="12"/>
      <c r="K1189" s="63"/>
      <c r="L1189" s="37"/>
      <c r="M1189" s="10">
        <f t="shared" ca="1" si="37"/>
        <v>46077</v>
      </c>
    </row>
    <row r="1190" spans="1:13" ht="18.75" hidden="1" x14ac:dyDescent="0.25">
      <c r="A1190" s="9"/>
      <c r="B1190" s="19" t="e">
        <f>VLOOKUP(Table27[[#This Row],[Location 
(drop-down)]],'List source'!D$2:E$71,2,FALSE)</f>
        <v>#N/A</v>
      </c>
      <c r="C1190" s="178" t="s">
        <v>4816</v>
      </c>
      <c r="D1190" s="21" t="e">
        <f t="shared" si="36"/>
        <v>#N/A</v>
      </c>
      <c r="E1190" s="9"/>
      <c r="F1190" s="10" t="e" cm="1">
        <f t="array" aca="1" ref="F11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0" s="10"/>
      <c r="I1190" s="12"/>
      <c r="J1190" s="12"/>
      <c r="K1190" s="63"/>
      <c r="L1190" s="37"/>
      <c r="M1190" s="10">
        <f t="shared" ca="1" si="37"/>
        <v>46077</v>
      </c>
    </row>
    <row r="1191" spans="1:13" ht="18.75" hidden="1" x14ac:dyDescent="0.25">
      <c r="A1191" s="9"/>
      <c r="B1191" s="19" t="e">
        <f>VLOOKUP(Table27[[#This Row],[Location 
(drop-down)]],'List source'!D$2:E$71,2,FALSE)</f>
        <v>#N/A</v>
      </c>
      <c r="C1191" s="178" t="s">
        <v>4817</v>
      </c>
      <c r="D1191" s="21" t="e">
        <f t="shared" si="36"/>
        <v>#N/A</v>
      </c>
      <c r="E1191" s="9"/>
      <c r="F1191" s="10" t="e" cm="1">
        <f t="array" aca="1" ref="F11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1" s="10"/>
      <c r="I1191" s="12"/>
      <c r="J1191" s="12"/>
      <c r="K1191" s="63"/>
      <c r="L1191" s="37"/>
      <c r="M1191" s="10">
        <f t="shared" ca="1" si="37"/>
        <v>46077</v>
      </c>
    </row>
    <row r="1192" spans="1:13" ht="18.75" hidden="1" x14ac:dyDescent="0.25">
      <c r="A1192" s="9"/>
      <c r="B1192" s="19" t="e">
        <f>VLOOKUP(Table27[[#This Row],[Location 
(drop-down)]],'List source'!D$2:E$71,2,FALSE)</f>
        <v>#N/A</v>
      </c>
      <c r="C1192" s="178" t="s">
        <v>4818</v>
      </c>
      <c r="D1192" s="21" t="e">
        <f t="shared" si="36"/>
        <v>#N/A</v>
      </c>
      <c r="E1192" s="9"/>
      <c r="F1192" s="10" t="e" cm="1">
        <f t="array" aca="1" ref="F11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2" s="10"/>
      <c r="I1192" s="12"/>
      <c r="J1192" s="12"/>
      <c r="K1192" s="63"/>
      <c r="L1192" s="37"/>
      <c r="M1192" s="10">
        <f t="shared" ca="1" si="37"/>
        <v>46077</v>
      </c>
    </row>
    <row r="1193" spans="1:13" ht="18.75" hidden="1" x14ac:dyDescent="0.25">
      <c r="A1193" s="9"/>
      <c r="B1193" s="19" t="e">
        <f>VLOOKUP(Table27[[#This Row],[Location 
(drop-down)]],'List source'!D$2:E$71,2,FALSE)</f>
        <v>#N/A</v>
      </c>
      <c r="C1193" s="178" t="s">
        <v>4819</v>
      </c>
      <c r="D1193" s="21" t="e">
        <f t="shared" si="36"/>
        <v>#N/A</v>
      </c>
      <c r="E1193" s="9"/>
      <c r="F1193" s="10" t="e" cm="1">
        <f t="array" aca="1" ref="F11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3" s="10"/>
      <c r="I1193" s="12"/>
      <c r="J1193" s="12"/>
      <c r="K1193" s="63"/>
      <c r="L1193" s="37"/>
      <c r="M1193" s="10">
        <f t="shared" ca="1" si="37"/>
        <v>46077</v>
      </c>
    </row>
    <row r="1194" spans="1:13" ht="18.75" hidden="1" x14ac:dyDescent="0.25">
      <c r="A1194" s="9"/>
      <c r="B1194" s="19" t="e">
        <f>VLOOKUP(Table27[[#This Row],[Location 
(drop-down)]],'List source'!D$2:E$71,2,FALSE)</f>
        <v>#N/A</v>
      </c>
      <c r="C1194" s="178" t="s">
        <v>4820</v>
      </c>
      <c r="D1194" s="21" t="e">
        <f t="shared" si="36"/>
        <v>#N/A</v>
      </c>
      <c r="E1194" s="9"/>
      <c r="F1194" s="10" t="e" cm="1">
        <f t="array" aca="1" ref="F11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4" s="10"/>
      <c r="I1194" s="12"/>
      <c r="J1194" s="12"/>
      <c r="K1194" s="63"/>
      <c r="L1194" s="37"/>
      <c r="M1194" s="10">
        <f t="shared" ca="1" si="37"/>
        <v>46077</v>
      </c>
    </row>
    <row r="1195" spans="1:13" ht="18.75" hidden="1" x14ac:dyDescent="0.25">
      <c r="A1195" s="9"/>
      <c r="B1195" s="19" t="e">
        <f>VLOOKUP(Table27[[#This Row],[Location 
(drop-down)]],'List source'!D$2:E$71,2,FALSE)</f>
        <v>#N/A</v>
      </c>
      <c r="C1195" s="178" t="s">
        <v>4821</v>
      </c>
      <c r="D1195" s="21" t="e">
        <f t="shared" si="36"/>
        <v>#N/A</v>
      </c>
      <c r="E1195" s="9"/>
      <c r="F1195" s="10" t="e" cm="1">
        <f t="array" aca="1" ref="F11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5" s="10"/>
      <c r="I1195" s="12"/>
      <c r="J1195" s="12"/>
      <c r="K1195" s="63"/>
      <c r="L1195" s="37"/>
      <c r="M1195" s="10">
        <f t="shared" ca="1" si="37"/>
        <v>46077</v>
      </c>
    </row>
    <row r="1196" spans="1:13" ht="18.75" hidden="1" x14ac:dyDescent="0.25">
      <c r="A1196" s="9"/>
      <c r="B1196" s="19" t="e">
        <f>VLOOKUP(Table27[[#This Row],[Location 
(drop-down)]],'List source'!D$2:E$71,2,FALSE)</f>
        <v>#N/A</v>
      </c>
      <c r="C1196" s="178" t="s">
        <v>4822</v>
      </c>
      <c r="D1196" s="21" t="e">
        <f t="shared" si="36"/>
        <v>#N/A</v>
      </c>
      <c r="E1196" s="9"/>
      <c r="F1196" s="10" t="e" cm="1">
        <f t="array" aca="1" ref="F11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6" s="10"/>
      <c r="I1196" s="12"/>
      <c r="J1196" s="12"/>
      <c r="K1196" s="63"/>
      <c r="L1196" s="37"/>
      <c r="M1196" s="10">
        <f t="shared" ca="1" si="37"/>
        <v>46077</v>
      </c>
    </row>
    <row r="1197" spans="1:13" ht="18.75" hidden="1" x14ac:dyDescent="0.25">
      <c r="A1197" s="9"/>
      <c r="B1197" s="19" t="e">
        <f>VLOOKUP(Table27[[#This Row],[Location 
(drop-down)]],'List source'!D$2:E$71,2,FALSE)</f>
        <v>#N/A</v>
      </c>
      <c r="C1197" s="178" t="s">
        <v>4823</v>
      </c>
      <c r="D1197" s="21" t="e">
        <f t="shared" si="36"/>
        <v>#N/A</v>
      </c>
      <c r="E1197" s="9"/>
      <c r="F1197" s="10" t="e" cm="1">
        <f t="array" aca="1" ref="F11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7" s="10"/>
      <c r="I1197" s="12"/>
      <c r="J1197" s="12"/>
      <c r="K1197" s="63"/>
      <c r="L1197" s="37"/>
      <c r="M1197" s="10">
        <f t="shared" ca="1" si="37"/>
        <v>46077</v>
      </c>
    </row>
    <row r="1198" spans="1:13" ht="18.75" hidden="1" x14ac:dyDescent="0.25">
      <c r="A1198" s="9"/>
      <c r="B1198" s="19" t="e">
        <f>VLOOKUP(Table27[[#This Row],[Location 
(drop-down)]],'List source'!D$2:E$71,2,FALSE)</f>
        <v>#N/A</v>
      </c>
      <c r="C1198" s="178" t="s">
        <v>4824</v>
      </c>
      <c r="D1198" s="21" t="e">
        <f t="shared" si="36"/>
        <v>#N/A</v>
      </c>
      <c r="E1198" s="9"/>
      <c r="F1198" s="10" t="e" cm="1">
        <f t="array" aca="1" ref="F11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8" s="10"/>
      <c r="I1198" s="12"/>
      <c r="J1198" s="12"/>
      <c r="K1198" s="63"/>
      <c r="L1198" s="37"/>
      <c r="M1198" s="10">
        <f t="shared" ca="1" si="37"/>
        <v>46077</v>
      </c>
    </row>
    <row r="1199" spans="1:13" ht="18.75" hidden="1" x14ac:dyDescent="0.25">
      <c r="A1199" s="71"/>
      <c r="B1199" s="19" t="e">
        <f>VLOOKUP(Table27[[#This Row],[Location 
(drop-down)]],'List source'!D$2:E$71,2,FALSE)</f>
        <v>#N/A</v>
      </c>
      <c r="C1199" s="178" t="s">
        <v>4825</v>
      </c>
      <c r="D1199" s="21" t="e">
        <f t="shared" si="36"/>
        <v>#N/A</v>
      </c>
      <c r="E1199" s="71"/>
      <c r="F1199" s="10" t="e" cm="1">
        <f t="array" aca="1" ref="F11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19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199" s="75"/>
      <c r="I1199" s="73"/>
      <c r="J1199" s="73"/>
      <c r="K1199" s="74"/>
      <c r="L1199" s="68"/>
      <c r="M1199" s="10">
        <f t="shared" ca="1" si="37"/>
        <v>46077</v>
      </c>
    </row>
    <row r="1200" spans="1:13" ht="18.75" hidden="1" x14ac:dyDescent="0.25">
      <c r="A1200" s="9"/>
      <c r="B1200" s="19" t="e">
        <f>VLOOKUP(Table27[[#This Row],[Location 
(drop-down)]],'List source'!D$2:E$71,2,FALSE)</f>
        <v>#N/A</v>
      </c>
      <c r="C1200" s="178" t="s">
        <v>4826</v>
      </c>
      <c r="D1200" s="21" t="e">
        <f t="shared" si="36"/>
        <v>#N/A</v>
      </c>
      <c r="E1200" s="9"/>
      <c r="F1200" s="10" t="e" cm="1">
        <f t="array" aca="1" ref="F12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0" s="10"/>
      <c r="I1200" s="12"/>
      <c r="J1200" s="12"/>
      <c r="K1200" s="63"/>
      <c r="L1200" s="37"/>
      <c r="M1200" s="10">
        <f t="shared" ca="1" si="37"/>
        <v>46077</v>
      </c>
    </row>
    <row r="1201" spans="1:13" ht="18.75" hidden="1" x14ac:dyDescent="0.25">
      <c r="A1201" s="9"/>
      <c r="B1201" s="19" t="e">
        <f>VLOOKUP(Table27[[#This Row],[Location 
(drop-down)]],'List source'!D$2:E$71,2,FALSE)</f>
        <v>#N/A</v>
      </c>
      <c r="C1201" s="178" t="s">
        <v>4827</v>
      </c>
      <c r="D1201" s="21" t="e">
        <f t="shared" si="36"/>
        <v>#N/A</v>
      </c>
      <c r="E1201" s="9"/>
      <c r="F1201" s="10" t="e" cm="1">
        <f t="array" aca="1" ref="F12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1" s="10"/>
      <c r="I1201" s="12"/>
      <c r="J1201" s="12"/>
      <c r="K1201" s="63"/>
      <c r="L1201" s="37"/>
      <c r="M1201" s="10">
        <f t="shared" ca="1" si="37"/>
        <v>46077</v>
      </c>
    </row>
    <row r="1202" spans="1:13" ht="18.75" hidden="1" x14ac:dyDescent="0.25">
      <c r="A1202" s="9"/>
      <c r="B1202" s="19" t="e">
        <f>VLOOKUP(Table27[[#This Row],[Location 
(drop-down)]],'List source'!D$2:E$71,2,FALSE)</f>
        <v>#N/A</v>
      </c>
      <c r="C1202" s="178" t="s">
        <v>4828</v>
      </c>
      <c r="D1202" s="21" t="e">
        <f t="shared" si="36"/>
        <v>#N/A</v>
      </c>
      <c r="E1202" s="9"/>
      <c r="F1202" s="10" t="e" cm="1">
        <f t="array" aca="1" ref="F12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2" s="10"/>
      <c r="I1202" s="12"/>
      <c r="J1202" s="12"/>
      <c r="K1202" s="63"/>
      <c r="L1202" s="37"/>
      <c r="M1202" s="10">
        <f t="shared" ca="1" si="37"/>
        <v>46077</v>
      </c>
    </row>
    <row r="1203" spans="1:13" ht="18.75" hidden="1" x14ac:dyDescent="0.25">
      <c r="A1203" s="9"/>
      <c r="B1203" s="19" t="e">
        <f>VLOOKUP(Table27[[#This Row],[Location 
(drop-down)]],'List source'!D$2:E$71,2,FALSE)</f>
        <v>#N/A</v>
      </c>
      <c r="C1203" s="178" t="s">
        <v>4829</v>
      </c>
      <c r="D1203" s="21" t="e">
        <f t="shared" si="36"/>
        <v>#N/A</v>
      </c>
      <c r="E1203" s="9"/>
      <c r="F1203" s="10" t="e" cm="1">
        <f t="array" aca="1" ref="F12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3" s="10"/>
      <c r="I1203" s="12"/>
      <c r="J1203" s="12"/>
      <c r="K1203" s="63"/>
      <c r="L1203" s="37"/>
      <c r="M1203" s="10">
        <f t="shared" ca="1" si="37"/>
        <v>46077</v>
      </c>
    </row>
    <row r="1204" spans="1:13" ht="18.75" hidden="1" x14ac:dyDescent="0.25">
      <c r="A1204" s="9"/>
      <c r="B1204" s="19" t="e">
        <f>VLOOKUP(Table27[[#This Row],[Location 
(drop-down)]],'List source'!D$2:E$71,2,FALSE)</f>
        <v>#N/A</v>
      </c>
      <c r="C1204" s="178" t="s">
        <v>4830</v>
      </c>
      <c r="D1204" s="21" t="e">
        <f t="shared" si="36"/>
        <v>#N/A</v>
      </c>
      <c r="E1204" s="9"/>
      <c r="F1204" s="10" t="e" cm="1">
        <f t="array" aca="1" ref="F12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4" s="10"/>
      <c r="I1204" s="12"/>
      <c r="J1204" s="12"/>
      <c r="K1204" s="63"/>
      <c r="L1204" s="37"/>
      <c r="M1204" s="10">
        <f t="shared" ca="1" si="37"/>
        <v>46077</v>
      </c>
    </row>
    <row r="1205" spans="1:13" ht="18.75" hidden="1" x14ac:dyDescent="0.25">
      <c r="A1205" s="9"/>
      <c r="B1205" s="19" t="e">
        <f>VLOOKUP(Table27[[#This Row],[Location 
(drop-down)]],'List source'!D$2:E$71,2,FALSE)</f>
        <v>#N/A</v>
      </c>
      <c r="C1205" s="178" t="s">
        <v>4831</v>
      </c>
      <c r="D1205" s="21" t="e">
        <f t="shared" si="36"/>
        <v>#N/A</v>
      </c>
      <c r="E1205" s="9"/>
      <c r="F1205" s="10" t="e" cm="1">
        <f t="array" aca="1" ref="F12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5" s="10"/>
      <c r="I1205" s="12"/>
      <c r="J1205" s="12"/>
      <c r="K1205" s="63"/>
      <c r="L1205" s="37"/>
      <c r="M1205" s="10">
        <f t="shared" ca="1" si="37"/>
        <v>46077</v>
      </c>
    </row>
    <row r="1206" spans="1:13" ht="18.75" hidden="1" x14ac:dyDescent="0.25">
      <c r="A1206" s="9"/>
      <c r="B1206" s="19" t="e">
        <f>VLOOKUP(Table27[[#This Row],[Location 
(drop-down)]],'List source'!D$2:E$71,2,FALSE)</f>
        <v>#N/A</v>
      </c>
      <c r="C1206" s="178" t="s">
        <v>4832</v>
      </c>
      <c r="D1206" s="21" t="e">
        <f t="shared" si="36"/>
        <v>#N/A</v>
      </c>
      <c r="E1206" s="9"/>
      <c r="F1206" s="10" t="e" cm="1">
        <f t="array" aca="1" ref="F12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6" s="10"/>
      <c r="I1206" s="12"/>
      <c r="J1206" s="12"/>
      <c r="K1206" s="63"/>
      <c r="L1206" s="37"/>
      <c r="M1206" s="10">
        <f t="shared" ca="1" si="37"/>
        <v>46077</v>
      </c>
    </row>
    <row r="1207" spans="1:13" ht="18.75" hidden="1" x14ac:dyDescent="0.25">
      <c r="A1207" s="9"/>
      <c r="B1207" s="19" t="e">
        <f>VLOOKUP(Table27[[#This Row],[Location 
(drop-down)]],'List source'!D$2:E$71,2,FALSE)</f>
        <v>#N/A</v>
      </c>
      <c r="C1207" s="178" t="s">
        <v>4833</v>
      </c>
      <c r="D1207" s="21" t="e">
        <f t="shared" si="36"/>
        <v>#N/A</v>
      </c>
      <c r="E1207" s="9"/>
      <c r="F1207" s="10" t="e" cm="1">
        <f t="array" aca="1" ref="F12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7" s="10"/>
      <c r="I1207" s="12"/>
      <c r="J1207" s="12"/>
      <c r="K1207" s="63"/>
      <c r="L1207" s="37"/>
      <c r="M1207" s="10">
        <f t="shared" ca="1" si="37"/>
        <v>46077</v>
      </c>
    </row>
    <row r="1208" spans="1:13" ht="18.75" hidden="1" x14ac:dyDescent="0.25">
      <c r="A1208" s="9"/>
      <c r="B1208" s="19" t="e">
        <f>VLOOKUP(Table27[[#This Row],[Location 
(drop-down)]],'List source'!D$2:E$71,2,FALSE)</f>
        <v>#N/A</v>
      </c>
      <c r="C1208" s="178" t="s">
        <v>4834</v>
      </c>
      <c r="D1208" s="21" t="e">
        <f t="shared" si="36"/>
        <v>#N/A</v>
      </c>
      <c r="E1208" s="9"/>
      <c r="F1208" s="10" t="e" cm="1">
        <f t="array" aca="1" ref="F12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8" s="10"/>
      <c r="I1208" s="12"/>
      <c r="J1208" s="12"/>
      <c r="K1208" s="63"/>
      <c r="L1208" s="37"/>
      <c r="M1208" s="10">
        <f t="shared" ca="1" si="37"/>
        <v>46077</v>
      </c>
    </row>
    <row r="1209" spans="1:13" ht="18.75" hidden="1" x14ac:dyDescent="0.25">
      <c r="A1209" s="9"/>
      <c r="B1209" s="19" t="e">
        <f>VLOOKUP(Table27[[#This Row],[Location 
(drop-down)]],'List source'!D$2:E$71,2,FALSE)</f>
        <v>#N/A</v>
      </c>
      <c r="C1209" s="178" t="s">
        <v>4835</v>
      </c>
      <c r="D1209" s="21" t="e">
        <f t="shared" si="36"/>
        <v>#N/A</v>
      </c>
      <c r="E1209" s="9"/>
      <c r="F1209" s="10" t="e" cm="1">
        <f t="array" aca="1" ref="F12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0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09" s="10"/>
      <c r="I1209" s="12"/>
      <c r="J1209" s="12"/>
      <c r="K1209" s="63"/>
      <c r="L1209" s="37"/>
      <c r="M1209" s="10">
        <f t="shared" ca="1" si="37"/>
        <v>46077</v>
      </c>
    </row>
    <row r="1210" spans="1:13" ht="18.75" hidden="1" x14ac:dyDescent="0.25">
      <c r="A1210" s="9"/>
      <c r="B1210" s="19" t="e">
        <f>VLOOKUP(Table27[[#This Row],[Location 
(drop-down)]],'List source'!D$2:E$71,2,FALSE)</f>
        <v>#N/A</v>
      </c>
      <c r="C1210" s="178" t="s">
        <v>4836</v>
      </c>
      <c r="D1210" s="21" t="e">
        <f t="shared" si="36"/>
        <v>#N/A</v>
      </c>
      <c r="E1210" s="9"/>
      <c r="F1210" s="10" t="e" cm="1">
        <f t="array" aca="1" ref="F12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0" s="10"/>
      <c r="I1210" s="12"/>
      <c r="J1210" s="12"/>
      <c r="K1210" s="63"/>
      <c r="L1210" s="37"/>
      <c r="M1210" s="10">
        <f t="shared" ca="1" si="37"/>
        <v>46077</v>
      </c>
    </row>
    <row r="1211" spans="1:13" ht="18.75" hidden="1" x14ac:dyDescent="0.25">
      <c r="A1211" s="9"/>
      <c r="B1211" s="19" t="e">
        <f>VLOOKUP(Table27[[#This Row],[Location 
(drop-down)]],'List source'!D$2:E$71,2,FALSE)</f>
        <v>#N/A</v>
      </c>
      <c r="C1211" s="178" t="s">
        <v>4837</v>
      </c>
      <c r="D1211" s="21" t="e">
        <f t="shared" si="36"/>
        <v>#N/A</v>
      </c>
      <c r="E1211" s="9"/>
      <c r="F1211" s="10" t="e" cm="1">
        <f t="array" aca="1" ref="F12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1" s="10"/>
      <c r="I1211" s="12"/>
      <c r="J1211" s="12"/>
      <c r="K1211" s="63"/>
      <c r="L1211" s="37"/>
      <c r="M1211" s="10">
        <f t="shared" ca="1" si="37"/>
        <v>46077</v>
      </c>
    </row>
    <row r="1212" spans="1:13" ht="18.75" hidden="1" x14ac:dyDescent="0.25">
      <c r="A1212" s="9"/>
      <c r="B1212" s="19" t="e">
        <f>VLOOKUP(Table27[[#This Row],[Location 
(drop-down)]],'List source'!D$2:E$71,2,FALSE)</f>
        <v>#N/A</v>
      </c>
      <c r="C1212" s="178" t="s">
        <v>4838</v>
      </c>
      <c r="D1212" s="21" t="e">
        <f t="shared" si="36"/>
        <v>#N/A</v>
      </c>
      <c r="E1212" s="9"/>
      <c r="F1212" s="10" t="e" cm="1">
        <f t="array" aca="1" ref="F12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2" s="10"/>
      <c r="I1212" s="12"/>
      <c r="J1212" s="12"/>
      <c r="K1212" s="63"/>
      <c r="L1212" s="37"/>
      <c r="M1212" s="10">
        <f t="shared" ca="1" si="37"/>
        <v>46077</v>
      </c>
    </row>
    <row r="1213" spans="1:13" ht="18.75" hidden="1" x14ac:dyDescent="0.25">
      <c r="A1213" s="9"/>
      <c r="B1213" s="19" t="e">
        <f>VLOOKUP(Table27[[#This Row],[Location 
(drop-down)]],'List source'!D$2:E$71,2,FALSE)</f>
        <v>#N/A</v>
      </c>
      <c r="C1213" s="178" t="s">
        <v>4839</v>
      </c>
      <c r="D1213" s="21" t="e">
        <f t="shared" si="36"/>
        <v>#N/A</v>
      </c>
      <c r="E1213" s="9"/>
      <c r="F1213" s="10" t="e" cm="1">
        <f t="array" aca="1" ref="F12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3" s="10"/>
      <c r="I1213" s="12"/>
      <c r="J1213" s="12"/>
      <c r="K1213" s="63"/>
      <c r="L1213" s="37"/>
      <c r="M1213" s="10">
        <f t="shared" ca="1" si="37"/>
        <v>46077</v>
      </c>
    </row>
    <row r="1214" spans="1:13" ht="18.75" hidden="1" x14ac:dyDescent="0.25">
      <c r="A1214" s="9"/>
      <c r="B1214" s="19" t="e">
        <f>VLOOKUP(Table27[[#This Row],[Location 
(drop-down)]],'List source'!D$2:E$71,2,FALSE)</f>
        <v>#N/A</v>
      </c>
      <c r="C1214" s="178" t="s">
        <v>4840</v>
      </c>
      <c r="D1214" s="21" t="e">
        <f t="shared" si="36"/>
        <v>#N/A</v>
      </c>
      <c r="E1214" s="9"/>
      <c r="F1214" s="10" t="e" cm="1">
        <f t="array" aca="1" ref="F12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4" s="10"/>
      <c r="I1214" s="12"/>
      <c r="J1214" s="12"/>
      <c r="K1214" s="63"/>
      <c r="L1214" s="37"/>
      <c r="M1214" s="10">
        <f t="shared" ca="1" si="37"/>
        <v>46077</v>
      </c>
    </row>
    <row r="1215" spans="1:13" ht="18.75" hidden="1" x14ac:dyDescent="0.25">
      <c r="A1215" s="9"/>
      <c r="B1215" s="19" t="e">
        <f>VLOOKUP(Table27[[#This Row],[Location 
(drop-down)]],'List source'!D$2:E$71,2,FALSE)</f>
        <v>#N/A</v>
      </c>
      <c r="C1215" s="178" t="s">
        <v>4841</v>
      </c>
      <c r="D1215" s="21" t="e">
        <f t="shared" si="36"/>
        <v>#N/A</v>
      </c>
      <c r="E1215" s="9"/>
      <c r="F1215" s="10" t="e" cm="1">
        <f t="array" aca="1" ref="F12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5" s="10"/>
      <c r="I1215" s="12"/>
      <c r="J1215" s="12"/>
      <c r="K1215" s="63"/>
      <c r="L1215" s="37"/>
      <c r="M1215" s="10">
        <f t="shared" ca="1" si="37"/>
        <v>46077</v>
      </c>
    </row>
    <row r="1216" spans="1:13" ht="18.75" hidden="1" x14ac:dyDescent="0.25">
      <c r="A1216" s="9"/>
      <c r="B1216" s="19" t="e">
        <f>VLOOKUP(Table27[[#This Row],[Location 
(drop-down)]],'List source'!D$2:E$71,2,FALSE)</f>
        <v>#N/A</v>
      </c>
      <c r="C1216" s="178" t="s">
        <v>4842</v>
      </c>
      <c r="D1216" s="21" t="e">
        <f t="shared" si="36"/>
        <v>#N/A</v>
      </c>
      <c r="E1216" s="9"/>
      <c r="F1216" s="10" t="e" cm="1">
        <f t="array" aca="1" ref="F12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6" s="10"/>
      <c r="I1216" s="12"/>
      <c r="J1216" s="12"/>
      <c r="K1216" s="63"/>
      <c r="L1216" s="37"/>
      <c r="M1216" s="10">
        <f t="shared" ca="1" si="37"/>
        <v>46077</v>
      </c>
    </row>
    <row r="1217" spans="1:13" ht="18.75" hidden="1" x14ac:dyDescent="0.25">
      <c r="A1217" s="9"/>
      <c r="B1217" s="19" t="e">
        <f>VLOOKUP(Table27[[#This Row],[Location 
(drop-down)]],'List source'!D$2:E$71,2,FALSE)</f>
        <v>#N/A</v>
      </c>
      <c r="C1217" s="178" t="s">
        <v>4843</v>
      </c>
      <c r="D1217" s="21" t="e">
        <f t="shared" si="36"/>
        <v>#N/A</v>
      </c>
      <c r="E1217" s="9"/>
      <c r="F1217" s="10" t="e" cm="1">
        <f t="array" aca="1" ref="F12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7" s="10"/>
      <c r="I1217" s="12"/>
      <c r="J1217" s="12"/>
      <c r="K1217" s="63"/>
      <c r="L1217" s="37"/>
      <c r="M1217" s="10">
        <f t="shared" ca="1" si="37"/>
        <v>46077</v>
      </c>
    </row>
    <row r="1218" spans="1:13" ht="18.75" hidden="1" x14ac:dyDescent="0.25">
      <c r="A1218" s="9"/>
      <c r="B1218" s="19" t="e">
        <f>VLOOKUP(Table27[[#This Row],[Location 
(drop-down)]],'List source'!D$2:E$71,2,FALSE)</f>
        <v>#N/A</v>
      </c>
      <c r="C1218" s="178" t="s">
        <v>4844</v>
      </c>
      <c r="D1218" s="21" t="e">
        <f t="shared" ref="D1218:D1281" si="38">"PTO" &amp; C1218 &amp; "-" &amp; B1218 &amp; "-" &amp; "25"</f>
        <v>#N/A</v>
      </c>
      <c r="E1218" s="9"/>
      <c r="F1218" s="10" t="e" cm="1">
        <f t="array" aca="1" ref="F12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8" s="10"/>
      <c r="I1218" s="12"/>
      <c r="J1218" s="12"/>
      <c r="K1218" s="63"/>
      <c r="L1218" s="37"/>
      <c r="M1218" s="10">
        <f t="shared" ref="M1218:M1281" ca="1" si="39">IF(ISBLANK(K1218), TODAY()-(I1218), "CLOSED")</f>
        <v>46077</v>
      </c>
    </row>
    <row r="1219" spans="1:13" ht="18.75" hidden="1" x14ac:dyDescent="0.25">
      <c r="A1219" s="9"/>
      <c r="B1219" s="19" t="e">
        <f>VLOOKUP(Table27[[#This Row],[Location 
(drop-down)]],'List source'!D$2:E$71,2,FALSE)</f>
        <v>#N/A</v>
      </c>
      <c r="C1219" s="178" t="s">
        <v>4845</v>
      </c>
      <c r="D1219" s="21" t="e">
        <f t="shared" si="38"/>
        <v>#N/A</v>
      </c>
      <c r="E1219" s="9"/>
      <c r="F1219" s="10" t="e" cm="1">
        <f t="array" aca="1" ref="F12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1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19" s="10"/>
      <c r="I1219" s="12"/>
      <c r="J1219" s="12"/>
      <c r="K1219" s="63"/>
      <c r="L1219" s="37"/>
      <c r="M1219" s="10">
        <f t="shared" ca="1" si="39"/>
        <v>46077</v>
      </c>
    </row>
    <row r="1220" spans="1:13" ht="18.75" hidden="1" x14ac:dyDescent="0.25">
      <c r="A1220" s="9"/>
      <c r="B1220" s="19" t="e">
        <f>VLOOKUP(Table27[[#This Row],[Location 
(drop-down)]],'List source'!D$2:E$71,2,FALSE)</f>
        <v>#N/A</v>
      </c>
      <c r="C1220" s="178" t="s">
        <v>4846</v>
      </c>
      <c r="D1220" s="21" t="e">
        <f t="shared" si="38"/>
        <v>#N/A</v>
      </c>
      <c r="E1220" s="9"/>
      <c r="F1220" s="10" t="e" cm="1">
        <f t="array" aca="1" ref="F12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0" s="10"/>
      <c r="I1220" s="12"/>
      <c r="J1220" s="12"/>
      <c r="K1220" s="63"/>
      <c r="L1220" s="37"/>
      <c r="M1220" s="10">
        <f t="shared" ca="1" si="39"/>
        <v>46077</v>
      </c>
    </row>
    <row r="1221" spans="1:13" ht="18.75" hidden="1" x14ac:dyDescent="0.25">
      <c r="A1221" s="9"/>
      <c r="B1221" s="19" t="e">
        <f>VLOOKUP(Table27[[#This Row],[Location 
(drop-down)]],'List source'!D$2:E$71,2,FALSE)</f>
        <v>#N/A</v>
      </c>
      <c r="C1221" s="178" t="s">
        <v>4847</v>
      </c>
      <c r="D1221" s="21" t="e">
        <f t="shared" si="38"/>
        <v>#N/A</v>
      </c>
      <c r="E1221" s="9"/>
      <c r="F1221" s="10" t="e" cm="1">
        <f t="array" aca="1" ref="F12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1" s="10"/>
      <c r="I1221" s="12"/>
      <c r="J1221" s="12"/>
      <c r="K1221" s="63"/>
      <c r="L1221" s="37"/>
      <c r="M1221" s="10">
        <f t="shared" ca="1" si="39"/>
        <v>46077</v>
      </c>
    </row>
    <row r="1222" spans="1:13" ht="18.75" hidden="1" x14ac:dyDescent="0.25">
      <c r="A1222" s="9"/>
      <c r="B1222" s="19" t="e">
        <f>VLOOKUP(Table27[[#This Row],[Location 
(drop-down)]],'List source'!D$2:E$71,2,FALSE)</f>
        <v>#N/A</v>
      </c>
      <c r="C1222" s="178" t="s">
        <v>4848</v>
      </c>
      <c r="D1222" s="21" t="e">
        <f t="shared" si="38"/>
        <v>#N/A</v>
      </c>
      <c r="E1222" s="9"/>
      <c r="F1222" s="10" t="e" cm="1">
        <f t="array" aca="1" ref="F12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2" s="10"/>
      <c r="I1222" s="12"/>
      <c r="J1222" s="12"/>
      <c r="K1222" s="63"/>
      <c r="L1222" s="37"/>
      <c r="M1222" s="10">
        <f t="shared" ca="1" si="39"/>
        <v>46077</v>
      </c>
    </row>
    <row r="1223" spans="1:13" ht="18.75" hidden="1" x14ac:dyDescent="0.25">
      <c r="A1223" s="9"/>
      <c r="B1223" s="19" t="e">
        <f>VLOOKUP(Table27[[#This Row],[Location 
(drop-down)]],'List source'!D$2:E$71,2,FALSE)</f>
        <v>#N/A</v>
      </c>
      <c r="C1223" s="178" t="s">
        <v>4849</v>
      </c>
      <c r="D1223" s="21" t="e">
        <f t="shared" si="38"/>
        <v>#N/A</v>
      </c>
      <c r="E1223" s="9"/>
      <c r="F1223" s="10" t="e" cm="1">
        <f t="array" aca="1" ref="F12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3" s="10"/>
      <c r="I1223" s="12"/>
      <c r="J1223" s="12"/>
      <c r="K1223" s="63"/>
      <c r="L1223" s="37"/>
      <c r="M1223" s="10">
        <f t="shared" ca="1" si="39"/>
        <v>46077</v>
      </c>
    </row>
    <row r="1224" spans="1:13" ht="18.75" hidden="1" x14ac:dyDescent="0.25">
      <c r="A1224" s="9"/>
      <c r="B1224" s="19" t="e">
        <f>VLOOKUP(Table27[[#This Row],[Location 
(drop-down)]],'List source'!D$2:E$71,2,FALSE)</f>
        <v>#N/A</v>
      </c>
      <c r="C1224" s="178" t="s">
        <v>4850</v>
      </c>
      <c r="D1224" s="21" t="e">
        <f t="shared" si="38"/>
        <v>#N/A</v>
      </c>
      <c r="E1224" s="9"/>
      <c r="F1224" s="10" t="e" cm="1">
        <f t="array" aca="1" ref="F12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4" s="10"/>
      <c r="I1224" s="12"/>
      <c r="J1224" s="12"/>
      <c r="K1224" s="63"/>
      <c r="L1224" s="37"/>
      <c r="M1224" s="10">
        <f t="shared" ca="1" si="39"/>
        <v>46077</v>
      </c>
    </row>
    <row r="1225" spans="1:13" ht="18.75" hidden="1" x14ac:dyDescent="0.25">
      <c r="A1225" s="9"/>
      <c r="B1225" s="19" t="e">
        <f>VLOOKUP(Table27[[#This Row],[Location 
(drop-down)]],'List source'!D$2:E$71,2,FALSE)</f>
        <v>#N/A</v>
      </c>
      <c r="C1225" s="178" t="s">
        <v>4851</v>
      </c>
      <c r="D1225" s="21" t="e">
        <f t="shared" si="38"/>
        <v>#N/A</v>
      </c>
      <c r="E1225" s="9"/>
      <c r="F1225" s="10" t="e" cm="1">
        <f t="array" aca="1" ref="F12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5" s="10"/>
      <c r="I1225" s="12"/>
      <c r="J1225" s="12"/>
      <c r="K1225" s="63"/>
      <c r="L1225" s="37"/>
      <c r="M1225" s="10">
        <f t="shared" ca="1" si="39"/>
        <v>46077</v>
      </c>
    </row>
    <row r="1226" spans="1:13" ht="18.75" hidden="1" x14ac:dyDescent="0.25">
      <c r="A1226" s="9"/>
      <c r="B1226" s="19" t="e">
        <f>VLOOKUP(Table27[[#This Row],[Location 
(drop-down)]],'List source'!D$2:E$71,2,FALSE)</f>
        <v>#N/A</v>
      </c>
      <c r="C1226" s="178" t="s">
        <v>4852</v>
      </c>
      <c r="D1226" s="21" t="e">
        <f t="shared" si="38"/>
        <v>#N/A</v>
      </c>
      <c r="E1226" s="9"/>
      <c r="F1226" s="10" t="e" cm="1">
        <f t="array" aca="1" ref="F12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6" s="10"/>
      <c r="I1226" s="12"/>
      <c r="J1226" s="12"/>
      <c r="K1226" s="63"/>
      <c r="L1226" s="37"/>
      <c r="M1226" s="10">
        <f t="shared" ca="1" si="39"/>
        <v>46077</v>
      </c>
    </row>
    <row r="1227" spans="1:13" ht="18.75" hidden="1" x14ac:dyDescent="0.25">
      <c r="A1227" s="9"/>
      <c r="B1227" s="19" t="e">
        <f>VLOOKUP(Table27[[#This Row],[Location 
(drop-down)]],'List source'!D$2:E$71,2,FALSE)</f>
        <v>#N/A</v>
      </c>
      <c r="C1227" s="178" t="s">
        <v>4853</v>
      </c>
      <c r="D1227" s="21" t="e">
        <f t="shared" si="38"/>
        <v>#N/A</v>
      </c>
      <c r="E1227" s="9"/>
      <c r="F1227" s="10" t="e" cm="1">
        <f t="array" aca="1" ref="F12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7" s="10"/>
      <c r="I1227" s="12"/>
      <c r="J1227" s="12"/>
      <c r="K1227" s="63"/>
      <c r="L1227" s="37"/>
      <c r="M1227" s="10">
        <f t="shared" ca="1" si="39"/>
        <v>46077</v>
      </c>
    </row>
    <row r="1228" spans="1:13" ht="18.75" hidden="1" x14ac:dyDescent="0.25">
      <c r="A1228" s="9"/>
      <c r="B1228" s="19" t="e">
        <f>VLOOKUP(Table27[[#This Row],[Location 
(drop-down)]],'List source'!D$2:E$71,2,FALSE)</f>
        <v>#N/A</v>
      </c>
      <c r="C1228" s="178" t="s">
        <v>4854</v>
      </c>
      <c r="D1228" s="21" t="e">
        <f t="shared" si="38"/>
        <v>#N/A</v>
      </c>
      <c r="E1228" s="9"/>
      <c r="F1228" s="10" t="e" cm="1">
        <f t="array" aca="1" ref="F12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8" s="10"/>
      <c r="I1228" s="12"/>
      <c r="J1228" s="12"/>
      <c r="K1228" s="63"/>
      <c r="L1228" s="37"/>
      <c r="M1228" s="10">
        <f t="shared" ca="1" si="39"/>
        <v>46077</v>
      </c>
    </row>
    <row r="1229" spans="1:13" ht="18.75" hidden="1" x14ac:dyDescent="0.25">
      <c r="A1229" s="9"/>
      <c r="B1229" s="19" t="e">
        <f>VLOOKUP(Table27[[#This Row],[Location 
(drop-down)]],'List source'!D$2:E$71,2,FALSE)</f>
        <v>#N/A</v>
      </c>
      <c r="C1229" s="178" t="s">
        <v>4855</v>
      </c>
      <c r="D1229" s="21" t="e">
        <f t="shared" si="38"/>
        <v>#N/A</v>
      </c>
      <c r="E1229" s="9"/>
      <c r="F1229" s="10" t="e" cm="1">
        <f t="array" aca="1" ref="F12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2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29" s="10"/>
      <c r="I1229" s="12"/>
      <c r="J1229" s="12"/>
      <c r="K1229" s="63"/>
      <c r="L1229" s="37"/>
      <c r="M1229" s="10">
        <f t="shared" ca="1" si="39"/>
        <v>46077</v>
      </c>
    </row>
    <row r="1230" spans="1:13" ht="18.75" hidden="1" x14ac:dyDescent="0.25">
      <c r="A1230" s="9"/>
      <c r="B1230" s="19" t="e">
        <f>VLOOKUP(Table27[[#This Row],[Location 
(drop-down)]],'List source'!D$2:E$71,2,FALSE)</f>
        <v>#N/A</v>
      </c>
      <c r="C1230" s="178" t="s">
        <v>4856</v>
      </c>
      <c r="D1230" s="21" t="e">
        <f t="shared" si="38"/>
        <v>#N/A</v>
      </c>
      <c r="E1230" s="9"/>
      <c r="F1230" s="10" t="e" cm="1">
        <f t="array" aca="1" ref="F12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0" s="10"/>
      <c r="I1230" s="12"/>
      <c r="J1230" s="12"/>
      <c r="K1230" s="63"/>
      <c r="L1230" s="37"/>
      <c r="M1230" s="10">
        <f t="shared" ca="1" si="39"/>
        <v>46077</v>
      </c>
    </row>
    <row r="1231" spans="1:13" ht="18.75" hidden="1" x14ac:dyDescent="0.25">
      <c r="A1231" s="9"/>
      <c r="B1231" s="19" t="e">
        <f>VLOOKUP(Table27[[#This Row],[Location 
(drop-down)]],'List source'!D$2:E$71,2,FALSE)</f>
        <v>#N/A</v>
      </c>
      <c r="C1231" s="178" t="s">
        <v>4857</v>
      </c>
      <c r="D1231" s="21" t="e">
        <f t="shared" si="38"/>
        <v>#N/A</v>
      </c>
      <c r="E1231" s="9"/>
      <c r="F1231" s="10" t="e" cm="1">
        <f t="array" aca="1" ref="F12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1" s="10"/>
      <c r="I1231" s="12"/>
      <c r="J1231" s="12"/>
      <c r="K1231" s="63"/>
      <c r="L1231" s="37"/>
      <c r="M1231" s="10">
        <f t="shared" ca="1" si="39"/>
        <v>46077</v>
      </c>
    </row>
    <row r="1232" spans="1:13" ht="18.75" hidden="1" x14ac:dyDescent="0.25">
      <c r="A1232" s="9"/>
      <c r="B1232" s="19" t="e">
        <f>VLOOKUP(Table27[[#This Row],[Location 
(drop-down)]],'List source'!D$2:E$71,2,FALSE)</f>
        <v>#N/A</v>
      </c>
      <c r="C1232" s="178" t="s">
        <v>4858</v>
      </c>
      <c r="D1232" s="21" t="e">
        <f t="shared" si="38"/>
        <v>#N/A</v>
      </c>
      <c r="E1232" s="9"/>
      <c r="F1232" s="10" t="e" cm="1">
        <f t="array" aca="1" ref="F12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2" s="10"/>
      <c r="I1232" s="12"/>
      <c r="J1232" s="12"/>
      <c r="K1232" s="63"/>
      <c r="L1232" s="37"/>
      <c r="M1232" s="10">
        <f t="shared" ca="1" si="39"/>
        <v>46077</v>
      </c>
    </row>
    <row r="1233" spans="1:13" ht="18.75" hidden="1" x14ac:dyDescent="0.25">
      <c r="A1233" s="9"/>
      <c r="B1233" s="19" t="e">
        <f>VLOOKUP(Table27[[#This Row],[Location 
(drop-down)]],'List source'!D$2:E$71,2,FALSE)</f>
        <v>#N/A</v>
      </c>
      <c r="C1233" s="178" t="s">
        <v>4859</v>
      </c>
      <c r="D1233" s="21" t="e">
        <f t="shared" si="38"/>
        <v>#N/A</v>
      </c>
      <c r="E1233" s="9"/>
      <c r="F1233" s="10" t="e" cm="1">
        <f t="array" aca="1" ref="F12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3" s="10"/>
      <c r="I1233" s="12"/>
      <c r="J1233" s="12"/>
      <c r="K1233" s="63"/>
      <c r="L1233" s="37"/>
      <c r="M1233" s="10">
        <f t="shared" ca="1" si="39"/>
        <v>46077</v>
      </c>
    </row>
    <row r="1234" spans="1:13" ht="18.75" hidden="1" x14ac:dyDescent="0.25">
      <c r="A1234" s="9"/>
      <c r="B1234" s="19" t="e">
        <f>VLOOKUP(Table27[[#This Row],[Location 
(drop-down)]],'List source'!D$2:E$71,2,FALSE)</f>
        <v>#N/A</v>
      </c>
      <c r="C1234" s="178" t="s">
        <v>4860</v>
      </c>
      <c r="D1234" s="21" t="e">
        <f t="shared" si="38"/>
        <v>#N/A</v>
      </c>
      <c r="E1234" s="9"/>
      <c r="F1234" s="10" t="e" cm="1">
        <f t="array" aca="1" ref="F12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4" s="10"/>
      <c r="I1234" s="12"/>
      <c r="J1234" s="12"/>
      <c r="K1234" s="63"/>
      <c r="L1234" s="37"/>
      <c r="M1234" s="10">
        <f t="shared" ca="1" si="39"/>
        <v>46077</v>
      </c>
    </row>
    <row r="1235" spans="1:13" ht="18.75" hidden="1" x14ac:dyDescent="0.25">
      <c r="A1235" s="9"/>
      <c r="B1235" s="19" t="e">
        <f>VLOOKUP(Table27[[#This Row],[Location 
(drop-down)]],'List source'!D$2:E$71,2,FALSE)</f>
        <v>#N/A</v>
      </c>
      <c r="C1235" s="178" t="s">
        <v>4861</v>
      </c>
      <c r="D1235" s="21" t="e">
        <f t="shared" si="38"/>
        <v>#N/A</v>
      </c>
      <c r="E1235" s="9"/>
      <c r="F1235" s="10" t="e" cm="1">
        <f t="array" aca="1" ref="F12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5" s="10"/>
      <c r="I1235" s="12"/>
      <c r="J1235" s="12"/>
      <c r="K1235" s="63"/>
      <c r="L1235" s="37"/>
      <c r="M1235" s="10">
        <f t="shared" ca="1" si="39"/>
        <v>46077</v>
      </c>
    </row>
    <row r="1236" spans="1:13" ht="18.75" hidden="1" x14ac:dyDescent="0.25">
      <c r="A1236" s="9"/>
      <c r="B1236" s="19" t="e">
        <f>VLOOKUP(Table27[[#This Row],[Location 
(drop-down)]],'List source'!D$2:E$71,2,FALSE)</f>
        <v>#N/A</v>
      </c>
      <c r="C1236" s="178" t="s">
        <v>4862</v>
      </c>
      <c r="D1236" s="21" t="e">
        <f t="shared" si="38"/>
        <v>#N/A</v>
      </c>
      <c r="E1236" s="9"/>
      <c r="F1236" s="10" t="e" cm="1">
        <f t="array" aca="1" ref="F12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6" s="10"/>
      <c r="I1236" s="12"/>
      <c r="J1236" s="12"/>
      <c r="K1236" s="63"/>
      <c r="L1236" s="37"/>
      <c r="M1236" s="10">
        <f t="shared" ca="1" si="39"/>
        <v>46077</v>
      </c>
    </row>
    <row r="1237" spans="1:13" ht="18.75" hidden="1" x14ac:dyDescent="0.25">
      <c r="A1237" s="9"/>
      <c r="B1237" s="19" t="e">
        <f>VLOOKUP(Table27[[#This Row],[Location 
(drop-down)]],'List source'!D$2:E$71,2,FALSE)</f>
        <v>#N/A</v>
      </c>
      <c r="C1237" s="178" t="s">
        <v>4863</v>
      </c>
      <c r="D1237" s="21" t="e">
        <f t="shared" si="38"/>
        <v>#N/A</v>
      </c>
      <c r="E1237" s="9"/>
      <c r="F1237" s="10" t="e" cm="1">
        <f t="array" aca="1" ref="F12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7" s="10"/>
      <c r="I1237" s="12"/>
      <c r="J1237" s="12"/>
      <c r="K1237" s="63"/>
      <c r="L1237" s="37"/>
      <c r="M1237" s="10">
        <f t="shared" ca="1" si="39"/>
        <v>46077</v>
      </c>
    </row>
    <row r="1238" spans="1:13" ht="18.75" hidden="1" x14ac:dyDescent="0.25">
      <c r="A1238" s="9"/>
      <c r="B1238" s="19" t="e">
        <f>VLOOKUP(Table27[[#This Row],[Location 
(drop-down)]],'List source'!D$2:E$71,2,FALSE)</f>
        <v>#N/A</v>
      </c>
      <c r="C1238" s="178" t="s">
        <v>4864</v>
      </c>
      <c r="D1238" s="21" t="e">
        <f t="shared" si="38"/>
        <v>#N/A</v>
      </c>
      <c r="E1238" s="9"/>
      <c r="F1238" s="10" t="e" cm="1">
        <f t="array" aca="1" ref="F12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8" s="10"/>
      <c r="I1238" s="12"/>
      <c r="J1238" s="12"/>
      <c r="K1238" s="63"/>
      <c r="L1238" s="37"/>
      <c r="M1238" s="10">
        <f t="shared" ca="1" si="39"/>
        <v>46077</v>
      </c>
    </row>
    <row r="1239" spans="1:13" ht="18.75" hidden="1" x14ac:dyDescent="0.25">
      <c r="A1239" s="9"/>
      <c r="B1239" s="19" t="e">
        <f>VLOOKUP(Table27[[#This Row],[Location 
(drop-down)]],'List source'!D$2:E$71,2,FALSE)</f>
        <v>#N/A</v>
      </c>
      <c r="C1239" s="178" t="s">
        <v>4865</v>
      </c>
      <c r="D1239" s="21" t="e">
        <f t="shared" si="38"/>
        <v>#N/A</v>
      </c>
      <c r="E1239" s="9"/>
      <c r="F1239" s="10" t="e" cm="1">
        <f t="array" aca="1" ref="F12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3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39" s="10"/>
      <c r="I1239" s="12"/>
      <c r="J1239" s="12"/>
      <c r="K1239" s="63"/>
      <c r="L1239" s="37"/>
      <c r="M1239" s="10">
        <f t="shared" ca="1" si="39"/>
        <v>46077</v>
      </c>
    </row>
    <row r="1240" spans="1:13" ht="18.75" hidden="1" x14ac:dyDescent="0.25">
      <c r="A1240" s="9"/>
      <c r="B1240" s="19" t="e">
        <f>VLOOKUP(Table27[[#This Row],[Location 
(drop-down)]],'List source'!D$2:E$71,2,FALSE)</f>
        <v>#N/A</v>
      </c>
      <c r="C1240" s="178" t="s">
        <v>4866</v>
      </c>
      <c r="D1240" s="21" t="e">
        <f t="shared" si="38"/>
        <v>#N/A</v>
      </c>
      <c r="E1240" s="9"/>
      <c r="F1240" s="10" t="e" cm="1">
        <f t="array" aca="1" ref="F12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0" s="10"/>
      <c r="I1240" s="12"/>
      <c r="J1240" s="12"/>
      <c r="K1240" s="63"/>
      <c r="L1240" s="37"/>
      <c r="M1240" s="10">
        <f t="shared" ca="1" si="39"/>
        <v>46077</v>
      </c>
    </row>
    <row r="1241" spans="1:13" ht="18.75" hidden="1" x14ac:dyDescent="0.25">
      <c r="A1241" s="9"/>
      <c r="B1241" s="19" t="e">
        <f>VLOOKUP(Table27[[#This Row],[Location 
(drop-down)]],'List source'!D$2:E$71,2,FALSE)</f>
        <v>#N/A</v>
      </c>
      <c r="C1241" s="178" t="s">
        <v>4867</v>
      </c>
      <c r="D1241" s="21" t="e">
        <f t="shared" si="38"/>
        <v>#N/A</v>
      </c>
      <c r="E1241" s="9"/>
      <c r="F1241" s="10" t="e" cm="1">
        <f t="array" aca="1" ref="F12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1" s="10"/>
      <c r="I1241" s="12"/>
      <c r="J1241" s="12"/>
      <c r="K1241" s="63"/>
      <c r="L1241" s="37"/>
      <c r="M1241" s="10">
        <f t="shared" ca="1" si="39"/>
        <v>46077</v>
      </c>
    </row>
    <row r="1242" spans="1:13" ht="18.75" hidden="1" x14ac:dyDescent="0.25">
      <c r="A1242" s="9"/>
      <c r="B1242" s="19" t="e">
        <f>VLOOKUP(Table27[[#This Row],[Location 
(drop-down)]],'List source'!D$2:E$71,2,FALSE)</f>
        <v>#N/A</v>
      </c>
      <c r="C1242" s="178" t="s">
        <v>4868</v>
      </c>
      <c r="D1242" s="21" t="e">
        <f t="shared" si="38"/>
        <v>#N/A</v>
      </c>
      <c r="E1242" s="9"/>
      <c r="F1242" s="10" t="e" cm="1">
        <f t="array" aca="1" ref="F12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2" s="10"/>
      <c r="I1242" s="12"/>
      <c r="J1242" s="12"/>
      <c r="K1242" s="63"/>
      <c r="L1242" s="37"/>
      <c r="M1242" s="10">
        <f t="shared" ca="1" si="39"/>
        <v>46077</v>
      </c>
    </row>
    <row r="1243" spans="1:13" ht="18.75" hidden="1" x14ac:dyDescent="0.25">
      <c r="A1243" s="9"/>
      <c r="B1243" s="19" t="e">
        <f>VLOOKUP(Table27[[#This Row],[Location 
(drop-down)]],'List source'!D$2:E$71,2,FALSE)</f>
        <v>#N/A</v>
      </c>
      <c r="C1243" s="178" t="s">
        <v>4869</v>
      </c>
      <c r="D1243" s="21" t="e">
        <f t="shared" si="38"/>
        <v>#N/A</v>
      </c>
      <c r="E1243" s="9"/>
      <c r="F1243" s="10" t="e" cm="1">
        <f t="array" aca="1" ref="F12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3" s="10"/>
      <c r="I1243" s="12"/>
      <c r="J1243" s="12"/>
      <c r="K1243" s="63"/>
      <c r="L1243" s="37"/>
      <c r="M1243" s="10">
        <f t="shared" ca="1" si="39"/>
        <v>46077</v>
      </c>
    </row>
    <row r="1244" spans="1:13" ht="18.75" hidden="1" x14ac:dyDescent="0.25">
      <c r="A1244" s="9"/>
      <c r="B1244" s="19" t="e">
        <f>VLOOKUP(Table27[[#This Row],[Location 
(drop-down)]],'List source'!D$2:E$71,2,FALSE)</f>
        <v>#N/A</v>
      </c>
      <c r="C1244" s="178" t="s">
        <v>4870</v>
      </c>
      <c r="D1244" s="21" t="e">
        <f t="shared" si="38"/>
        <v>#N/A</v>
      </c>
      <c r="E1244" s="9"/>
      <c r="F1244" s="10" t="e" cm="1">
        <f t="array" aca="1" ref="F12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4" s="10"/>
      <c r="I1244" s="12"/>
      <c r="J1244" s="12"/>
      <c r="K1244" s="63"/>
      <c r="L1244" s="37"/>
      <c r="M1244" s="10">
        <f t="shared" ca="1" si="39"/>
        <v>46077</v>
      </c>
    </row>
    <row r="1245" spans="1:13" ht="18.75" hidden="1" x14ac:dyDescent="0.25">
      <c r="A1245" s="9"/>
      <c r="B1245" s="19" t="e">
        <f>VLOOKUP(Table27[[#This Row],[Location 
(drop-down)]],'List source'!D$2:E$71,2,FALSE)</f>
        <v>#N/A</v>
      </c>
      <c r="C1245" s="178" t="s">
        <v>4871</v>
      </c>
      <c r="D1245" s="21" t="e">
        <f t="shared" si="38"/>
        <v>#N/A</v>
      </c>
      <c r="E1245" s="9"/>
      <c r="F1245" s="10" t="e" cm="1">
        <f t="array" aca="1" ref="F12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5" s="10"/>
      <c r="I1245" s="12"/>
      <c r="J1245" s="12"/>
      <c r="K1245" s="63"/>
      <c r="L1245" s="37"/>
      <c r="M1245" s="10">
        <f t="shared" ca="1" si="39"/>
        <v>46077</v>
      </c>
    </row>
    <row r="1246" spans="1:13" ht="18.75" hidden="1" x14ac:dyDescent="0.25">
      <c r="A1246" s="9"/>
      <c r="B1246" s="19" t="e">
        <f>VLOOKUP(Table27[[#This Row],[Location 
(drop-down)]],'List source'!D$2:E$71,2,FALSE)</f>
        <v>#N/A</v>
      </c>
      <c r="C1246" s="178" t="s">
        <v>4872</v>
      </c>
      <c r="D1246" s="21" t="e">
        <f t="shared" si="38"/>
        <v>#N/A</v>
      </c>
      <c r="E1246" s="9"/>
      <c r="F1246" s="10" t="e" cm="1">
        <f t="array" aca="1" ref="F12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6" s="10"/>
      <c r="I1246" s="12"/>
      <c r="J1246" s="12"/>
      <c r="K1246" s="63"/>
      <c r="L1246" s="37"/>
      <c r="M1246" s="10">
        <f t="shared" ca="1" si="39"/>
        <v>46077</v>
      </c>
    </row>
    <row r="1247" spans="1:13" ht="18.75" hidden="1" x14ac:dyDescent="0.25">
      <c r="A1247" s="9"/>
      <c r="B1247" s="19" t="e">
        <f>VLOOKUP(Table27[[#This Row],[Location 
(drop-down)]],'List source'!D$2:E$71,2,FALSE)</f>
        <v>#N/A</v>
      </c>
      <c r="C1247" s="178" t="s">
        <v>4873</v>
      </c>
      <c r="D1247" s="21" t="e">
        <f t="shared" si="38"/>
        <v>#N/A</v>
      </c>
      <c r="E1247" s="9"/>
      <c r="F1247" s="10" t="e" cm="1">
        <f t="array" aca="1" ref="F12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7" s="10"/>
      <c r="I1247" s="12"/>
      <c r="J1247" s="12"/>
      <c r="K1247" s="63"/>
      <c r="L1247" s="37"/>
      <c r="M1247" s="10">
        <f t="shared" ca="1" si="39"/>
        <v>46077</v>
      </c>
    </row>
    <row r="1248" spans="1:13" ht="18.75" hidden="1" x14ac:dyDescent="0.25">
      <c r="A1248" s="9"/>
      <c r="B1248" s="19" t="e">
        <f>VLOOKUP(Table27[[#This Row],[Location 
(drop-down)]],'List source'!D$2:E$71,2,FALSE)</f>
        <v>#N/A</v>
      </c>
      <c r="C1248" s="178" t="s">
        <v>4874</v>
      </c>
      <c r="D1248" s="21" t="e">
        <f t="shared" si="38"/>
        <v>#N/A</v>
      </c>
      <c r="E1248" s="9"/>
      <c r="F1248" s="10" t="e" cm="1">
        <f t="array" aca="1" ref="F12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8" s="10"/>
      <c r="I1248" s="12"/>
      <c r="J1248" s="12"/>
      <c r="K1248" s="63"/>
      <c r="L1248" s="37"/>
      <c r="M1248" s="10">
        <f t="shared" ca="1" si="39"/>
        <v>46077</v>
      </c>
    </row>
    <row r="1249" spans="1:13" ht="18.75" hidden="1" x14ac:dyDescent="0.25">
      <c r="A1249" s="9"/>
      <c r="B1249" s="19" t="e">
        <f>VLOOKUP(Table27[[#This Row],[Location 
(drop-down)]],'List source'!D$2:E$71,2,FALSE)</f>
        <v>#N/A</v>
      </c>
      <c r="C1249" s="178" t="s">
        <v>4875</v>
      </c>
      <c r="D1249" s="21" t="e">
        <f t="shared" si="38"/>
        <v>#N/A</v>
      </c>
      <c r="E1249" s="9"/>
      <c r="F1249" s="10" t="e" cm="1">
        <f t="array" aca="1" ref="F12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4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49" s="10"/>
      <c r="I1249" s="12"/>
      <c r="J1249" s="12"/>
      <c r="K1249" s="63"/>
      <c r="L1249" s="37"/>
      <c r="M1249" s="10">
        <f t="shared" ca="1" si="39"/>
        <v>46077</v>
      </c>
    </row>
    <row r="1250" spans="1:13" ht="18.75" hidden="1" x14ac:dyDescent="0.25">
      <c r="A1250" s="9"/>
      <c r="B1250" s="19" t="e">
        <f>VLOOKUP(Table27[[#This Row],[Location 
(drop-down)]],'List source'!D$2:E$71,2,FALSE)</f>
        <v>#N/A</v>
      </c>
      <c r="C1250" s="178" t="s">
        <v>4876</v>
      </c>
      <c r="D1250" s="21" t="e">
        <f t="shared" si="38"/>
        <v>#N/A</v>
      </c>
      <c r="E1250" s="9"/>
      <c r="F1250" s="10" t="e" cm="1">
        <f t="array" aca="1" ref="F12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0" s="10"/>
      <c r="I1250" s="12"/>
      <c r="J1250" s="12"/>
      <c r="K1250" s="63"/>
      <c r="L1250" s="37"/>
      <c r="M1250" s="10">
        <f t="shared" ca="1" si="39"/>
        <v>46077</v>
      </c>
    </row>
    <row r="1251" spans="1:13" ht="18.75" hidden="1" x14ac:dyDescent="0.25">
      <c r="A1251" s="9"/>
      <c r="B1251" s="19" t="e">
        <f>VLOOKUP(Table27[[#This Row],[Location 
(drop-down)]],'List source'!D$2:E$71,2,FALSE)</f>
        <v>#N/A</v>
      </c>
      <c r="C1251" s="178" t="s">
        <v>4877</v>
      </c>
      <c r="D1251" s="21" t="e">
        <f t="shared" si="38"/>
        <v>#N/A</v>
      </c>
      <c r="E1251" s="9"/>
      <c r="F1251" s="10" t="e" cm="1">
        <f t="array" aca="1" ref="F12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1" s="10"/>
      <c r="I1251" s="12"/>
      <c r="J1251" s="12"/>
      <c r="K1251" s="63"/>
      <c r="L1251" s="37"/>
      <c r="M1251" s="10">
        <f t="shared" ca="1" si="39"/>
        <v>46077</v>
      </c>
    </row>
    <row r="1252" spans="1:13" ht="18.75" hidden="1" x14ac:dyDescent="0.25">
      <c r="A1252" s="9"/>
      <c r="B1252" s="19" t="e">
        <f>VLOOKUP(Table27[[#This Row],[Location 
(drop-down)]],'List source'!D$2:E$71,2,FALSE)</f>
        <v>#N/A</v>
      </c>
      <c r="C1252" s="178" t="s">
        <v>4878</v>
      </c>
      <c r="D1252" s="21" t="e">
        <f t="shared" si="38"/>
        <v>#N/A</v>
      </c>
      <c r="E1252" s="9"/>
      <c r="F1252" s="10" t="e" cm="1">
        <f t="array" aca="1" ref="F12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2" s="10"/>
      <c r="I1252" s="12"/>
      <c r="J1252" s="12"/>
      <c r="K1252" s="63"/>
      <c r="L1252" s="37"/>
      <c r="M1252" s="10">
        <f t="shared" ca="1" si="39"/>
        <v>46077</v>
      </c>
    </row>
    <row r="1253" spans="1:13" ht="18.75" hidden="1" x14ac:dyDescent="0.25">
      <c r="A1253" s="9"/>
      <c r="B1253" s="19" t="e">
        <f>VLOOKUP(Table27[[#This Row],[Location 
(drop-down)]],'List source'!D$2:E$71,2,FALSE)</f>
        <v>#N/A</v>
      </c>
      <c r="C1253" s="178" t="s">
        <v>4879</v>
      </c>
      <c r="D1253" s="21" t="e">
        <f t="shared" si="38"/>
        <v>#N/A</v>
      </c>
      <c r="E1253" s="9"/>
      <c r="F1253" s="10" t="e" cm="1">
        <f t="array" aca="1" ref="F12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3" s="10"/>
      <c r="I1253" s="12"/>
      <c r="J1253" s="12"/>
      <c r="K1253" s="63"/>
      <c r="L1253" s="37"/>
      <c r="M1253" s="10">
        <f t="shared" ca="1" si="39"/>
        <v>46077</v>
      </c>
    </row>
    <row r="1254" spans="1:13" ht="18.75" hidden="1" x14ac:dyDescent="0.25">
      <c r="A1254" s="9"/>
      <c r="B1254" s="19" t="e">
        <f>VLOOKUP(Table27[[#This Row],[Location 
(drop-down)]],'List source'!D$2:E$71,2,FALSE)</f>
        <v>#N/A</v>
      </c>
      <c r="C1254" s="178" t="s">
        <v>4880</v>
      </c>
      <c r="D1254" s="21" t="e">
        <f t="shared" si="38"/>
        <v>#N/A</v>
      </c>
      <c r="E1254" s="9"/>
      <c r="F1254" s="10" t="e" cm="1">
        <f t="array" aca="1" ref="F12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4" s="10"/>
      <c r="I1254" s="12"/>
      <c r="J1254" s="12"/>
      <c r="K1254" s="63"/>
      <c r="L1254" s="37"/>
      <c r="M1254" s="10">
        <f t="shared" ca="1" si="39"/>
        <v>46077</v>
      </c>
    </row>
    <row r="1255" spans="1:13" ht="18.75" hidden="1" x14ac:dyDescent="0.25">
      <c r="A1255" s="9"/>
      <c r="B1255" s="19" t="e">
        <f>VLOOKUP(Table27[[#This Row],[Location 
(drop-down)]],'List source'!D$2:E$71,2,FALSE)</f>
        <v>#N/A</v>
      </c>
      <c r="C1255" s="178" t="s">
        <v>4881</v>
      </c>
      <c r="D1255" s="21" t="e">
        <f t="shared" si="38"/>
        <v>#N/A</v>
      </c>
      <c r="E1255" s="9"/>
      <c r="F1255" s="10" t="e" cm="1">
        <f t="array" aca="1" ref="F12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5" s="10"/>
      <c r="I1255" s="12"/>
      <c r="J1255" s="12"/>
      <c r="K1255" s="63"/>
      <c r="L1255" s="37"/>
      <c r="M1255" s="10">
        <f t="shared" ca="1" si="39"/>
        <v>46077</v>
      </c>
    </row>
    <row r="1256" spans="1:13" ht="18.75" hidden="1" x14ac:dyDescent="0.25">
      <c r="A1256" s="9"/>
      <c r="B1256" s="19" t="e">
        <f>VLOOKUP(Table27[[#This Row],[Location 
(drop-down)]],'List source'!D$2:E$71,2,FALSE)</f>
        <v>#N/A</v>
      </c>
      <c r="C1256" s="178" t="s">
        <v>4882</v>
      </c>
      <c r="D1256" s="21" t="e">
        <f t="shared" si="38"/>
        <v>#N/A</v>
      </c>
      <c r="E1256" s="9"/>
      <c r="F1256" s="10" t="e" cm="1">
        <f t="array" aca="1" ref="F12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6" s="10"/>
      <c r="I1256" s="12"/>
      <c r="J1256" s="12"/>
      <c r="K1256" s="63"/>
      <c r="L1256" s="37"/>
      <c r="M1256" s="10">
        <f t="shared" ca="1" si="39"/>
        <v>46077</v>
      </c>
    </row>
    <row r="1257" spans="1:13" ht="18.75" hidden="1" x14ac:dyDescent="0.25">
      <c r="A1257" s="9"/>
      <c r="B1257" s="19" t="e">
        <f>VLOOKUP(Table27[[#This Row],[Location 
(drop-down)]],'List source'!D$2:E$71,2,FALSE)</f>
        <v>#N/A</v>
      </c>
      <c r="C1257" s="178" t="s">
        <v>4883</v>
      </c>
      <c r="D1257" s="21" t="e">
        <f t="shared" si="38"/>
        <v>#N/A</v>
      </c>
      <c r="E1257" s="9"/>
      <c r="F1257" s="10" t="e" cm="1">
        <f t="array" aca="1" ref="F12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7" s="10"/>
      <c r="I1257" s="12"/>
      <c r="J1257" s="12"/>
      <c r="K1257" s="63"/>
      <c r="L1257" s="37"/>
      <c r="M1257" s="10">
        <f t="shared" ca="1" si="39"/>
        <v>46077</v>
      </c>
    </row>
    <row r="1258" spans="1:13" ht="18.75" hidden="1" x14ac:dyDescent="0.25">
      <c r="A1258" s="9"/>
      <c r="B1258" s="19" t="e">
        <f>VLOOKUP(Table27[[#This Row],[Location 
(drop-down)]],'List source'!D$2:E$71,2,FALSE)</f>
        <v>#N/A</v>
      </c>
      <c r="C1258" s="178" t="s">
        <v>4884</v>
      </c>
      <c r="D1258" s="21" t="e">
        <f t="shared" si="38"/>
        <v>#N/A</v>
      </c>
      <c r="E1258" s="9"/>
      <c r="F1258" s="10" t="e" cm="1">
        <f t="array" aca="1" ref="F12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8" s="10"/>
      <c r="I1258" s="12"/>
      <c r="J1258" s="12"/>
      <c r="K1258" s="63"/>
      <c r="L1258" s="37"/>
      <c r="M1258" s="10">
        <f t="shared" ca="1" si="39"/>
        <v>46077</v>
      </c>
    </row>
    <row r="1259" spans="1:13" ht="18.75" hidden="1" x14ac:dyDescent="0.25">
      <c r="A1259" s="9"/>
      <c r="B1259" s="19" t="e">
        <f>VLOOKUP(Table27[[#This Row],[Location 
(drop-down)]],'List source'!D$2:E$71,2,FALSE)</f>
        <v>#N/A</v>
      </c>
      <c r="C1259" s="178" t="s">
        <v>4885</v>
      </c>
      <c r="D1259" s="21" t="e">
        <f t="shared" si="38"/>
        <v>#N/A</v>
      </c>
      <c r="E1259" s="9"/>
      <c r="F1259" s="10" t="e" cm="1">
        <f t="array" aca="1" ref="F12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5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59" s="10"/>
      <c r="I1259" s="12"/>
      <c r="J1259" s="12"/>
      <c r="K1259" s="63"/>
      <c r="L1259" s="37"/>
      <c r="M1259" s="10">
        <f t="shared" ca="1" si="39"/>
        <v>46077</v>
      </c>
    </row>
    <row r="1260" spans="1:13" ht="18.75" hidden="1" x14ac:dyDescent="0.25">
      <c r="A1260" s="9"/>
      <c r="B1260" s="19" t="e">
        <f>VLOOKUP(Table27[[#This Row],[Location 
(drop-down)]],'List source'!D$2:E$71,2,FALSE)</f>
        <v>#N/A</v>
      </c>
      <c r="C1260" s="178" t="s">
        <v>4886</v>
      </c>
      <c r="D1260" s="21" t="e">
        <f t="shared" si="38"/>
        <v>#N/A</v>
      </c>
      <c r="E1260" s="9"/>
      <c r="F1260" s="10" t="e" cm="1">
        <f t="array" aca="1" ref="F12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0" s="10"/>
      <c r="I1260" s="12"/>
      <c r="J1260" s="12"/>
      <c r="K1260" s="63"/>
      <c r="L1260" s="37"/>
      <c r="M1260" s="10">
        <f t="shared" ca="1" si="39"/>
        <v>46077</v>
      </c>
    </row>
    <row r="1261" spans="1:13" ht="18.75" hidden="1" x14ac:dyDescent="0.25">
      <c r="A1261" s="9"/>
      <c r="B1261" s="19" t="e">
        <f>VLOOKUP(Table27[[#This Row],[Location 
(drop-down)]],'List source'!D$2:E$71,2,FALSE)</f>
        <v>#N/A</v>
      </c>
      <c r="C1261" s="178" t="s">
        <v>4887</v>
      </c>
      <c r="D1261" s="21" t="e">
        <f t="shared" si="38"/>
        <v>#N/A</v>
      </c>
      <c r="E1261" s="9"/>
      <c r="F1261" s="10" t="e" cm="1">
        <f t="array" aca="1" ref="F12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1" s="10"/>
      <c r="I1261" s="12"/>
      <c r="J1261" s="12"/>
      <c r="K1261" s="63"/>
      <c r="L1261" s="37"/>
      <c r="M1261" s="10">
        <f t="shared" ca="1" si="39"/>
        <v>46077</v>
      </c>
    </row>
    <row r="1262" spans="1:13" ht="18.75" hidden="1" x14ac:dyDescent="0.25">
      <c r="A1262" s="9"/>
      <c r="B1262" s="19" t="e">
        <f>VLOOKUP(Table27[[#This Row],[Location 
(drop-down)]],'List source'!D$2:E$71,2,FALSE)</f>
        <v>#N/A</v>
      </c>
      <c r="C1262" s="178" t="s">
        <v>4888</v>
      </c>
      <c r="D1262" s="21" t="e">
        <f t="shared" si="38"/>
        <v>#N/A</v>
      </c>
      <c r="E1262" s="9"/>
      <c r="F1262" s="10" t="e" cm="1">
        <f t="array" aca="1" ref="F12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2" s="10"/>
      <c r="I1262" s="12"/>
      <c r="J1262" s="12"/>
      <c r="K1262" s="63"/>
      <c r="L1262" s="37"/>
      <c r="M1262" s="10">
        <f t="shared" ca="1" si="39"/>
        <v>46077</v>
      </c>
    </row>
    <row r="1263" spans="1:13" ht="18.75" hidden="1" x14ac:dyDescent="0.25">
      <c r="A1263" s="9"/>
      <c r="B1263" s="19" t="e">
        <f>VLOOKUP(Table27[[#This Row],[Location 
(drop-down)]],'List source'!D$2:E$71,2,FALSE)</f>
        <v>#N/A</v>
      </c>
      <c r="C1263" s="178" t="s">
        <v>4889</v>
      </c>
      <c r="D1263" s="21" t="e">
        <f t="shared" si="38"/>
        <v>#N/A</v>
      </c>
      <c r="E1263" s="9"/>
      <c r="F1263" s="10" t="e" cm="1">
        <f t="array" aca="1" ref="F12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3" s="10"/>
      <c r="I1263" s="12"/>
      <c r="J1263" s="12"/>
      <c r="K1263" s="63"/>
      <c r="L1263" s="37"/>
      <c r="M1263" s="10">
        <f t="shared" ca="1" si="39"/>
        <v>46077</v>
      </c>
    </row>
    <row r="1264" spans="1:13" ht="18.75" hidden="1" x14ac:dyDescent="0.25">
      <c r="A1264" s="9"/>
      <c r="B1264" s="19" t="e">
        <f>VLOOKUP(Table27[[#This Row],[Location 
(drop-down)]],'List source'!D$2:E$71,2,FALSE)</f>
        <v>#N/A</v>
      </c>
      <c r="C1264" s="178" t="s">
        <v>4890</v>
      </c>
      <c r="D1264" s="21" t="e">
        <f t="shared" si="38"/>
        <v>#N/A</v>
      </c>
      <c r="E1264" s="9"/>
      <c r="F1264" s="10" t="e" cm="1">
        <f t="array" aca="1" ref="F12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4" s="10"/>
      <c r="I1264" s="12"/>
      <c r="J1264" s="12"/>
      <c r="K1264" s="63"/>
      <c r="L1264" s="37"/>
      <c r="M1264" s="10">
        <f t="shared" ca="1" si="39"/>
        <v>46077</v>
      </c>
    </row>
    <row r="1265" spans="1:13" ht="18.75" hidden="1" x14ac:dyDescent="0.25">
      <c r="A1265" s="9"/>
      <c r="B1265" s="19" t="e">
        <f>VLOOKUP(Table27[[#This Row],[Location 
(drop-down)]],'List source'!D$2:E$71,2,FALSE)</f>
        <v>#N/A</v>
      </c>
      <c r="C1265" s="178" t="s">
        <v>4891</v>
      </c>
      <c r="D1265" s="21" t="e">
        <f t="shared" si="38"/>
        <v>#N/A</v>
      </c>
      <c r="E1265" s="9"/>
      <c r="F1265" s="10" t="e" cm="1">
        <f t="array" aca="1" ref="F12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5" s="10"/>
      <c r="I1265" s="12"/>
      <c r="J1265" s="12"/>
      <c r="K1265" s="63"/>
      <c r="L1265" s="37"/>
      <c r="M1265" s="10">
        <f t="shared" ca="1" si="39"/>
        <v>46077</v>
      </c>
    </row>
    <row r="1266" spans="1:13" ht="18.75" hidden="1" x14ac:dyDescent="0.25">
      <c r="A1266" s="9"/>
      <c r="B1266" s="19" t="e">
        <f>VLOOKUP(Table27[[#This Row],[Location 
(drop-down)]],'List source'!D$2:E$71,2,FALSE)</f>
        <v>#N/A</v>
      </c>
      <c r="C1266" s="178" t="s">
        <v>4892</v>
      </c>
      <c r="D1266" s="21" t="e">
        <f t="shared" si="38"/>
        <v>#N/A</v>
      </c>
      <c r="E1266" s="9"/>
      <c r="F1266" s="10" t="e" cm="1">
        <f t="array" aca="1" ref="F12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6" s="10"/>
      <c r="I1266" s="12"/>
      <c r="J1266" s="12"/>
      <c r="K1266" s="63"/>
      <c r="L1266" s="37"/>
      <c r="M1266" s="10">
        <f t="shared" ca="1" si="39"/>
        <v>46077</v>
      </c>
    </row>
    <row r="1267" spans="1:13" ht="18.75" hidden="1" x14ac:dyDescent="0.25">
      <c r="A1267" s="9"/>
      <c r="B1267" s="19" t="e">
        <f>VLOOKUP(Table27[[#This Row],[Location 
(drop-down)]],'List source'!D$2:E$71,2,FALSE)</f>
        <v>#N/A</v>
      </c>
      <c r="C1267" s="178" t="s">
        <v>4893</v>
      </c>
      <c r="D1267" s="21" t="e">
        <f t="shared" si="38"/>
        <v>#N/A</v>
      </c>
      <c r="E1267" s="9"/>
      <c r="F1267" s="10" t="e" cm="1">
        <f t="array" aca="1" ref="F12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7" s="10"/>
      <c r="I1267" s="12"/>
      <c r="J1267" s="12"/>
      <c r="K1267" s="63"/>
      <c r="L1267" s="37"/>
      <c r="M1267" s="10">
        <f t="shared" ca="1" si="39"/>
        <v>46077</v>
      </c>
    </row>
    <row r="1268" spans="1:13" ht="18.75" hidden="1" x14ac:dyDescent="0.25">
      <c r="A1268" s="9"/>
      <c r="B1268" s="19" t="e">
        <f>VLOOKUP(Table27[[#This Row],[Location 
(drop-down)]],'List source'!D$2:E$71,2,FALSE)</f>
        <v>#N/A</v>
      </c>
      <c r="C1268" s="178" t="s">
        <v>4894</v>
      </c>
      <c r="D1268" s="21" t="e">
        <f t="shared" si="38"/>
        <v>#N/A</v>
      </c>
      <c r="E1268" s="9"/>
      <c r="F1268" s="10" t="e" cm="1">
        <f t="array" aca="1" ref="F12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8" s="10"/>
      <c r="I1268" s="12"/>
      <c r="J1268" s="12"/>
      <c r="K1268" s="63"/>
      <c r="L1268" s="37"/>
      <c r="M1268" s="10">
        <f t="shared" ca="1" si="39"/>
        <v>46077</v>
      </c>
    </row>
    <row r="1269" spans="1:13" ht="18.75" hidden="1" x14ac:dyDescent="0.25">
      <c r="A1269" s="9"/>
      <c r="B1269" s="19" t="e">
        <f>VLOOKUP(Table27[[#This Row],[Location 
(drop-down)]],'List source'!D$2:E$71,2,FALSE)</f>
        <v>#N/A</v>
      </c>
      <c r="C1269" s="178" t="s">
        <v>4895</v>
      </c>
      <c r="D1269" s="21" t="e">
        <f t="shared" si="38"/>
        <v>#N/A</v>
      </c>
      <c r="E1269" s="9"/>
      <c r="F1269" s="10" t="e" cm="1">
        <f t="array" aca="1" ref="F12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6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69" s="10"/>
      <c r="I1269" s="12"/>
      <c r="J1269" s="12"/>
      <c r="K1269" s="63"/>
      <c r="L1269" s="37"/>
      <c r="M1269" s="10">
        <f t="shared" ca="1" si="39"/>
        <v>46077</v>
      </c>
    </row>
    <row r="1270" spans="1:13" ht="18.75" hidden="1" x14ac:dyDescent="0.25">
      <c r="A1270" s="9"/>
      <c r="B1270" s="19" t="e">
        <f>VLOOKUP(Table27[[#This Row],[Location 
(drop-down)]],'List source'!D$2:E$71,2,FALSE)</f>
        <v>#N/A</v>
      </c>
      <c r="C1270" s="178" t="s">
        <v>4896</v>
      </c>
      <c r="D1270" s="21" t="e">
        <f t="shared" si="38"/>
        <v>#N/A</v>
      </c>
      <c r="E1270" s="9"/>
      <c r="F1270" s="10" t="e" cm="1">
        <f t="array" aca="1" ref="F12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0" s="10"/>
      <c r="I1270" s="12"/>
      <c r="J1270" s="12"/>
      <c r="K1270" s="63"/>
      <c r="L1270" s="37"/>
      <c r="M1270" s="10">
        <f t="shared" ca="1" si="39"/>
        <v>46077</v>
      </c>
    </row>
    <row r="1271" spans="1:13" ht="18.75" hidden="1" x14ac:dyDescent="0.25">
      <c r="A1271" s="9"/>
      <c r="B1271" s="19" t="e">
        <f>VLOOKUP(Table27[[#This Row],[Location 
(drop-down)]],'List source'!D$2:E$71,2,FALSE)</f>
        <v>#N/A</v>
      </c>
      <c r="C1271" s="178" t="s">
        <v>4897</v>
      </c>
      <c r="D1271" s="21" t="e">
        <f t="shared" si="38"/>
        <v>#N/A</v>
      </c>
      <c r="E1271" s="9"/>
      <c r="F1271" s="10" t="e" cm="1">
        <f t="array" aca="1" ref="F12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1" s="10"/>
      <c r="I1271" s="12"/>
      <c r="J1271" s="12"/>
      <c r="K1271" s="63"/>
      <c r="L1271" s="37"/>
      <c r="M1271" s="10">
        <f t="shared" ca="1" si="39"/>
        <v>46077</v>
      </c>
    </row>
    <row r="1272" spans="1:13" ht="18.75" hidden="1" x14ac:dyDescent="0.25">
      <c r="A1272" s="9"/>
      <c r="B1272" s="19" t="e">
        <f>VLOOKUP(Table27[[#This Row],[Location 
(drop-down)]],'List source'!D$2:E$71,2,FALSE)</f>
        <v>#N/A</v>
      </c>
      <c r="C1272" s="178" t="s">
        <v>4898</v>
      </c>
      <c r="D1272" s="21" t="e">
        <f t="shared" si="38"/>
        <v>#N/A</v>
      </c>
      <c r="E1272" s="9"/>
      <c r="F1272" s="10" t="e" cm="1">
        <f t="array" aca="1" ref="F12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2" s="10"/>
      <c r="I1272" s="12"/>
      <c r="J1272" s="12"/>
      <c r="K1272" s="63"/>
      <c r="L1272" s="37"/>
      <c r="M1272" s="10">
        <f t="shared" ca="1" si="39"/>
        <v>46077</v>
      </c>
    </row>
    <row r="1273" spans="1:13" ht="18.75" hidden="1" x14ac:dyDescent="0.25">
      <c r="A1273" s="9"/>
      <c r="B1273" s="19" t="e">
        <f>VLOOKUP(Table27[[#This Row],[Location 
(drop-down)]],'List source'!D$2:E$71,2,FALSE)</f>
        <v>#N/A</v>
      </c>
      <c r="C1273" s="178" t="s">
        <v>4899</v>
      </c>
      <c r="D1273" s="21" t="e">
        <f t="shared" si="38"/>
        <v>#N/A</v>
      </c>
      <c r="E1273" s="9"/>
      <c r="F1273" s="10" t="e" cm="1">
        <f t="array" aca="1" ref="F12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3" s="10"/>
      <c r="I1273" s="12"/>
      <c r="J1273" s="12"/>
      <c r="K1273" s="63"/>
      <c r="L1273" s="37"/>
      <c r="M1273" s="10">
        <f t="shared" ca="1" si="39"/>
        <v>46077</v>
      </c>
    </row>
    <row r="1274" spans="1:13" ht="18.75" hidden="1" x14ac:dyDescent="0.25">
      <c r="A1274" s="9"/>
      <c r="B1274" s="19" t="e">
        <f>VLOOKUP(Table27[[#This Row],[Location 
(drop-down)]],'List source'!D$2:E$71,2,FALSE)</f>
        <v>#N/A</v>
      </c>
      <c r="C1274" s="178" t="s">
        <v>4900</v>
      </c>
      <c r="D1274" s="21" t="e">
        <f t="shared" si="38"/>
        <v>#N/A</v>
      </c>
      <c r="E1274" s="9"/>
      <c r="F1274" s="10" t="e" cm="1">
        <f t="array" aca="1" ref="F12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4" s="10"/>
      <c r="I1274" s="12"/>
      <c r="J1274" s="12"/>
      <c r="K1274" s="63"/>
      <c r="L1274" s="37"/>
      <c r="M1274" s="10">
        <f t="shared" ca="1" si="39"/>
        <v>46077</v>
      </c>
    </row>
    <row r="1275" spans="1:13" ht="18.75" hidden="1" x14ac:dyDescent="0.25">
      <c r="A1275" s="9"/>
      <c r="B1275" s="19" t="e">
        <f>VLOOKUP(Table27[[#This Row],[Location 
(drop-down)]],'List source'!D$2:E$71,2,FALSE)</f>
        <v>#N/A</v>
      </c>
      <c r="C1275" s="178" t="s">
        <v>4901</v>
      </c>
      <c r="D1275" s="21" t="e">
        <f t="shared" si="38"/>
        <v>#N/A</v>
      </c>
      <c r="E1275" s="9"/>
      <c r="F1275" s="10" t="e" cm="1">
        <f t="array" aca="1" ref="F12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5" s="10"/>
      <c r="I1275" s="12"/>
      <c r="J1275" s="12"/>
      <c r="K1275" s="63"/>
      <c r="L1275" s="37"/>
      <c r="M1275" s="10">
        <f t="shared" ca="1" si="39"/>
        <v>46077</v>
      </c>
    </row>
    <row r="1276" spans="1:13" ht="18.75" hidden="1" x14ac:dyDescent="0.25">
      <c r="A1276" s="9"/>
      <c r="B1276" s="19" t="e">
        <f>VLOOKUP(Table27[[#This Row],[Location 
(drop-down)]],'List source'!D$2:E$71,2,FALSE)</f>
        <v>#N/A</v>
      </c>
      <c r="C1276" s="178" t="s">
        <v>4902</v>
      </c>
      <c r="D1276" s="21" t="e">
        <f t="shared" si="38"/>
        <v>#N/A</v>
      </c>
      <c r="E1276" s="9"/>
      <c r="F1276" s="10" t="e" cm="1">
        <f t="array" aca="1" ref="F12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6" s="10"/>
      <c r="I1276" s="12"/>
      <c r="J1276" s="12"/>
      <c r="K1276" s="63"/>
      <c r="L1276" s="37"/>
      <c r="M1276" s="10">
        <f t="shared" ca="1" si="39"/>
        <v>46077</v>
      </c>
    </row>
    <row r="1277" spans="1:13" ht="18.75" hidden="1" x14ac:dyDescent="0.25">
      <c r="A1277" s="9"/>
      <c r="B1277" s="19" t="e">
        <f>VLOOKUP(Table27[[#This Row],[Location 
(drop-down)]],'List source'!D$2:E$71,2,FALSE)</f>
        <v>#N/A</v>
      </c>
      <c r="C1277" s="178" t="s">
        <v>4903</v>
      </c>
      <c r="D1277" s="21" t="e">
        <f t="shared" si="38"/>
        <v>#N/A</v>
      </c>
      <c r="E1277" s="9"/>
      <c r="F1277" s="10" t="e" cm="1">
        <f t="array" aca="1" ref="F12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7" s="10"/>
      <c r="I1277" s="12"/>
      <c r="J1277" s="12"/>
      <c r="K1277" s="63"/>
      <c r="L1277" s="37"/>
      <c r="M1277" s="10">
        <f t="shared" ca="1" si="39"/>
        <v>46077</v>
      </c>
    </row>
    <row r="1278" spans="1:13" ht="18.75" hidden="1" x14ac:dyDescent="0.25">
      <c r="A1278" s="9"/>
      <c r="B1278" s="19" t="e">
        <f>VLOOKUP(Table27[[#This Row],[Location 
(drop-down)]],'List source'!D$2:E$71,2,FALSE)</f>
        <v>#N/A</v>
      </c>
      <c r="C1278" s="178" t="s">
        <v>4904</v>
      </c>
      <c r="D1278" s="21" t="e">
        <f t="shared" si="38"/>
        <v>#N/A</v>
      </c>
      <c r="E1278" s="9"/>
      <c r="F1278" s="10" t="e" cm="1">
        <f t="array" aca="1" ref="F12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8" s="10"/>
      <c r="I1278" s="12"/>
      <c r="J1278" s="12"/>
      <c r="K1278" s="63"/>
      <c r="L1278" s="37"/>
      <c r="M1278" s="10">
        <f t="shared" ca="1" si="39"/>
        <v>46077</v>
      </c>
    </row>
    <row r="1279" spans="1:13" ht="18.75" hidden="1" x14ac:dyDescent="0.25">
      <c r="A1279" s="9"/>
      <c r="B1279" s="19" t="e">
        <f>VLOOKUP(Table27[[#This Row],[Location 
(drop-down)]],'List source'!D$2:E$71,2,FALSE)</f>
        <v>#N/A</v>
      </c>
      <c r="C1279" s="178" t="s">
        <v>4905</v>
      </c>
      <c r="D1279" s="21" t="e">
        <f t="shared" si="38"/>
        <v>#N/A</v>
      </c>
      <c r="E1279" s="9"/>
      <c r="F1279" s="10" t="e" cm="1">
        <f t="array" aca="1" ref="F12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7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79" s="10"/>
      <c r="I1279" s="12"/>
      <c r="J1279" s="12"/>
      <c r="K1279" s="63"/>
      <c r="L1279" s="37"/>
      <c r="M1279" s="10">
        <f t="shared" ca="1" si="39"/>
        <v>46077</v>
      </c>
    </row>
    <row r="1280" spans="1:13" ht="18.75" hidden="1" x14ac:dyDescent="0.25">
      <c r="A1280" s="9"/>
      <c r="B1280" s="19" t="e">
        <f>VLOOKUP(Table27[[#This Row],[Location 
(drop-down)]],'List source'!D$2:E$71,2,FALSE)</f>
        <v>#N/A</v>
      </c>
      <c r="C1280" s="178" t="s">
        <v>4906</v>
      </c>
      <c r="D1280" s="21" t="e">
        <f t="shared" si="38"/>
        <v>#N/A</v>
      </c>
      <c r="E1280" s="9"/>
      <c r="F1280" s="10" t="e" cm="1">
        <f t="array" aca="1" ref="F12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0" s="10"/>
      <c r="I1280" s="12"/>
      <c r="J1280" s="12"/>
      <c r="K1280" s="63"/>
      <c r="L1280" s="37"/>
      <c r="M1280" s="10">
        <f t="shared" ca="1" si="39"/>
        <v>46077</v>
      </c>
    </row>
    <row r="1281" spans="1:13" ht="18.75" hidden="1" x14ac:dyDescent="0.25">
      <c r="A1281" s="9"/>
      <c r="B1281" s="19" t="e">
        <f>VLOOKUP(Table27[[#This Row],[Location 
(drop-down)]],'List source'!D$2:E$71,2,FALSE)</f>
        <v>#N/A</v>
      </c>
      <c r="C1281" s="178" t="s">
        <v>4907</v>
      </c>
      <c r="D1281" s="21" t="e">
        <f t="shared" si="38"/>
        <v>#N/A</v>
      </c>
      <c r="E1281" s="9"/>
      <c r="F1281" s="10" t="e" cm="1">
        <f t="array" aca="1" ref="F12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1" s="10"/>
      <c r="I1281" s="12"/>
      <c r="J1281" s="12"/>
      <c r="K1281" s="63"/>
      <c r="L1281" s="37"/>
      <c r="M1281" s="10">
        <f t="shared" ca="1" si="39"/>
        <v>46077</v>
      </c>
    </row>
    <row r="1282" spans="1:13" ht="18.75" hidden="1" x14ac:dyDescent="0.25">
      <c r="A1282" s="9"/>
      <c r="B1282" s="19" t="e">
        <f>VLOOKUP(Table27[[#This Row],[Location 
(drop-down)]],'List source'!D$2:E$71,2,FALSE)</f>
        <v>#N/A</v>
      </c>
      <c r="C1282" s="178" t="s">
        <v>4908</v>
      </c>
      <c r="D1282" s="21" t="e">
        <f t="shared" ref="D1282:D1345" si="40">"PTO" &amp; C1282 &amp; "-" &amp; B1282 &amp; "-" &amp; "25"</f>
        <v>#N/A</v>
      </c>
      <c r="E1282" s="9"/>
      <c r="F1282" s="10" t="e" cm="1">
        <f t="array" aca="1" ref="F12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2" s="10"/>
      <c r="I1282" s="12"/>
      <c r="J1282" s="12"/>
      <c r="K1282" s="63"/>
      <c r="L1282" s="37"/>
      <c r="M1282" s="10">
        <f t="shared" ref="M1282:M1345" ca="1" si="41">IF(ISBLANK(K1282), TODAY()-(I1282), "CLOSED")</f>
        <v>46077</v>
      </c>
    </row>
    <row r="1283" spans="1:13" ht="18.75" hidden="1" x14ac:dyDescent="0.25">
      <c r="A1283" s="9"/>
      <c r="B1283" s="19" t="e">
        <f>VLOOKUP(Table27[[#This Row],[Location 
(drop-down)]],'List source'!D$2:E$71,2,FALSE)</f>
        <v>#N/A</v>
      </c>
      <c r="C1283" s="178" t="s">
        <v>4909</v>
      </c>
      <c r="D1283" s="21" t="e">
        <f t="shared" si="40"/>
        <v>#N/A</v>
      </c>
      <c r="E1283" s="9"/>
      <c r="F1283" s="10" t="e" cm="1">
        <f t="array" aca="1" ref="F12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3" s="10"/>
      <c r="I1283" s="12"/>
      <c r="J1283" s="12"/>
      <c r="K1283" s="63"/>
      <c r="L1283" s="37"/>
      <c r="M1283" s="10">
        <f t="shared" ca="1" si="41"/>
        <v>46077</v>
      </c>
    </row>
    <row r="1284" spans="1:13" ht="18.75" hidden="1" x14ac:dyDescent="0.25">
      <c r="A1284" s="9"/>
      <c r="B1284" s="19" t="e">
        <f>VLOOKUP(Table27[[#This Row],[Location 
(drop-down)]],'List source'!D$2:E$71,2,FALSE)</f>
        <v>#N/A</v>
      </c>
      <c r="C1284" s="178" t="s">
        <v>4910</v>
      </c>
      <c r="D1284" s="21" t="e">
        <f t="shared" si="40"/>
        <v>#N/A</v>
      </c>
      <c r="E1284" s="9"/>
      <c r="F1284" s="10" t="e" cm="1">
        <f t="array" aca="1" ref="F12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4" s="10"/>
      <c r="I1284" s="12"/>
      <c r="J1284" s="12"/>
      <c r="K1284" s="63"/>
      <c r="L1284" s="37"/>
      <c r="M1284" s="10">
        <f t="shared" ca="1" si="41"/>
        <v>46077</v>
      </c>
    </row>
    <row r="1285" spans="1:13" ht="18.75" hidden="1" x14ac:dyDescent="0.25">
      <c r="A1285" s="9"/>
      <c r="B1285" s="19" t="e">
        <f>VLOOKUP(Table27[[#This Row],[Location 
(drop-down)]],'List source'!D$2:E$71,2,FALSE)</f>
        <v>#N/A</v>
      </c>
      <c r="C1285" s="178" t="s">
        <v>4911</v>
      </c>
      <c r="D1285" s="21" t="e">
        <f t="shared" si="40"/>
        <v>#N/A</v>
      </c>
      <c r="E1285" s="9"/>
      <c r="F1285" s="10" t="e" cm="1">
        <f t="array" aca="1" ref="F12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5" s="10"/>
      <c r="I1285" s="12"/>
      <c r="J1285" s="12"/>
      <c r="K1285" s="63"/>
      <c r="L1285" s="37"/>
      <c r="M1285" s="10">
        <f t="shared" ca="1" si="41"/>
        <v>46077</v>
      </c>
    </row>
    <row r="1286" spans="1:13" ht="18.75" hidden="1" x14ac:dyDescent="0.25">
      <c r="A1286" s="9"/>
      <c r="B1286" s="19" t="e">
        <f>VLOOKUP(Table27[[#This Row],[Location 
(drop-down)]],'List source'!D$2:E$71,2,FALSE)</f>
        <v>#N/A</v>
      </c>
      <c r="C1286" s="178" t="s">
        <v>4912</v>
      </c>
      <c r="D1286" s="21" t="e">
        <f t="shared" si="40"/>
        <v>#N/A</v>
      </c>
      <c r="E1286" s="9"/>
      <c r="F1286" s="10" t="e" cm="1">
        <f t="array" aca="1" ref="F12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6" s="10"/>
      <c r="I1286" s="12"/>
      <c r="J1286" s="12"/>
      <c r="K1286" s="63"/>
      <c r="L1286" s="37"/>
      <c r="M1286" s="10">
        <f t="shared" ca="1" si="41"/>
        <v>46077</v>
      </c>
    </row>
    <row r="1287" spans="1:13" ht="18.75" hidden="1" x14ac:dyDescent="0.25">
      <c r="A1287" s="9"/>
      <c r="B1287" s="19" t="e">
        <f>VLOOKUP(Table27[[#This Row],[Location 
(drop-down)]],'List source'!D$2:E$71,2,FALSE)</f>
        <v>#N/A</v>
      </c>
      <c r="C1287" s="178" t="s">
        <v>4913</v>
      </c>
      <c r="D1287" s="21" t="e">
        <f t="shared" si="40"/>
        <v>#N/A</v>
      </c>
      <c r="E1287" s="9"/>
      <c r="F1287" s="10" t="e" cm="1">
        <f t="array" aca="1" ref="F12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7" s="10"/>
      <c r="I1287" s="12"/>
      <c r="J1287" s="12"/>
      <c r="K1287" s="63"/>
      <c r="L1287" s="37"/>
      <c r="M1287" s="10">
        <f t="shared" ca="1" si="41"/>
        <v>46077</v>
      </c>
    </row>
    <row r="1288" spans="1:13" ht="18.75" hidden="1" x14ac:dyDescent="0.25">
      <c r="A1288" s="9"/>
      <c r="B1288" s="19" t="e">
        <f>VLOOKUP(Table27[[#This Row],[Location 
(drop-down)]],'List source'!D$2:E$71,2,FALSE)</f>
        <v>#N/A</v>
      </c>
      <c r="C1288" s="178" t="s">
        <v>4914</v>
      </c>
      <c r="D1288" s="21" t="e">
        <f t="shared" si="40"/>
        <v>#N/A</v>
      </c>
      <c r="E1288" s="9"/>
      <c r="F1288" s="10" t="e" cm="1">
        <f t="array" aca="1" ref="F12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8" s="10"/>
      <c r="I1288" s="12"/>
      <c r="J1288" s="12"/>
      <c r="K1288" s="63"/>
      <c r="L1288" s="37"/>
      <c r="M1288" s="10">
        <f t="shared" ca="1" si="41"/>
        <v>46077</v>
      </c>
    </row>
    <row r="1289" spans="1:13" ht="18.75" hidden="1" x14ac:dyDescent="0.25">
      <c r="A1289" s="9"/>
      <c r="B1289" s="19" t="e">
        <f>VLOOKUP(Table27[[#This Row],[Location 
(drop-down)]],'List source'!D$2:E$71,2,FALSE)</f>
        <v>#N/A</v>
      </c>
      <c r="C1289" s="178" t="s">
        <v>4915</v>
      </c>
      <c r="D1289" s="21" t="e">
        <f t="shared" si="40"/>
        <v>#N/A</v>
      </c>
      <c r="E1289" s="9"/>
      <c r="F1289" s="10" t="e" cm="1">
        <f t="array" aca="1" ref="F12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8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89" s="10"/>
      <c r="I1289" s="12"/>
      <c r="J1289" s="12"/>
      <c r="K1289" s="63"/>
      <c r="L1289" s="37"/>
      <c r="M1289" s="10">
        <f t="shared" ca="1" si="41"/>
        <v>46077</v>
      </c>
    </row>
    <row r="1290" spans="1:13" ht="18.75" hidden="1" x14ac:dyDescent="0.25">
      <c r="A1290" s="9"/>
      <c r="B1290" s="19" t="e">
        <f>VLOOKUP(Table27[[#This Row],[Location 
(drop-down)]],'List source'!D$2:E$71,2,FALSE)</f>
        <v>#N/A</v>
      </c>
      <c r="C1290" s="178" t="s">
        <v>4916</v>
      </c>
      <c r="D1290" s="21" t="e">
        <f t="shared" si="40"/>
        <v>#N/A</v>
      </c>
      <c r="E1290" s="9"/>
      <c r="F1290" s="10" t="e" cm="1">
        <f t="array" aca="1" ref="F12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0" s="10"/>
      <c r="I1290" s="12"/>
      <c r="J1290" s="12"/>
      <c r="K1290" s="63"/>
      <c r="L1290" s="37"/>
      <c r="M1290" s="10">
        <f t="shared" ca="1" si="41"/>
        <v>46077</v>
      </c>
    </row>
    <row r="1291" spans="1:13" ht="18.75" hidden="1" x14ac:dyDescent="0.25">
      <c r="A1291" s="9"/>
      <c r="B1291" s="19" t="e">
        <f>VLOOKUP(Table27[[#This Row],[Location 
(drop-down)]],'List source'!D$2:E$71,2,FALSE)</f>
        <v>#N/A</v>
      </c>
      <c r="C1291" s="178" t="s">
        <v>4917</v>
      </c>
      <c r="D1291" s="21" t="e">
        <f t="shared" si="40"/>
        <v>#N/A</v>
      </c>
      <c r="E1291" s="9"/>
      <c r="F1291" s="10" t="e" cm="1">
        <f t="array" aca="1" ref="F12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1" s="10"/>
      <c r="I1291" s="12"/>
      <c r="J1291" s="12"/>
      <c r="K1291" s="63"/>
      <c r="L1291" s="37"/>
      <c r="M1291" s="10">
        <f t="shared" ca="1" si="41"/>
        <v>46077</v>
      </c>
    </row>
    <row r="1292" spans="1:13" ht="18.75" hidden="1" x14ac:dyDescent="0.25">
      <c r="A1292" s="9"/>
      <c r="B1292" s="19" t="e">
        <f>VLOOKUP(Table27[[#This Row],[Location 
(drop-down)]],'List source'!D$2:E$71,2,FALSE)</f>
        <v>#N/A</v>
      </c>
      <c r="C1292" s="178" t="s">
        <v>4918</v>
      </c>
      <c r="D1292" s="21" t="e">
        <f t="shared" si="40"/>
        <v>#N/A</v>
      </c>
      <c r="E1292" s="9"/>
      <c r="F1292" s="10" t="e" cm="1">
        <f t="array" aca="1" ref="F12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2" s="10"/>
      <c r="I1292" s="12"/>
      <c r="J1292" s="12"/>
      <c r="K1292" s="63"/>
      <c r="L1292" s="37"/>
      <c r="M1292" s="10">
        <f t="shared" ca="1" si="41"/>
        <v>46077</v>
      </c>
    </row>
    <row r="1293" spans="1:13" ht="18.75" hidden="1" x14ac:dyDescent="0.25">
      <c r="A1293" s="9"/>
      <c r="B1293" s="19" t="e">
        <f>VLOOKUP(Table27[[#This Row],[Location 
(drop-down)]],'List source'!D$2:E$71,2,FALSE)</f>
        <v>#N/A</v>
      </c>
      <c r="C1293" s="178" t="s">
        <v>4919</v>
      </c>
      <c r="D1293" s="21" t="e">
        <f t="shared" si="40"/>
        <v>#N/A</v>
      </c>
      <c r="E1293" s="9"/>
      <c r="F1293" s="10" t="e" cm="1">
        <f t="array" aca="1" ref="F12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3" s="10"/>
      <c r="I1293" s="12"/>
      <c r="J1293" s="12"/>
      <c r="K1293" s="63"/>
      <c r="L1293" s="37"/>
      <c r="M1293" s="10">
        <f t="shared" ca="1" si="41"/>
        <v>46077</v>
      </c>
    </row>
    <row r="1294" spans="1:13" ht="18.75" hidden="1" x14ac:dyDescent="0.25">
      <c r="A1294" s="9"/>
      <c r="B1294" s="19" t="e">
        <f>VLOOKUP(Table27[[#This Row],[Location 
(drop-down)]],'List source'!D$2:E$71,2,FALSE)</f>
        <v>#N/A</v>
      </c>
      <c r="C1294" s="178" t="s">
        <v>4920</v>
      </c>
      <c r="D1294" s="21" t="e">
        <f t="shared" si="40"/>
        <v>#N/A</v>
      </c>
      <c r="E1294" s="9"/>
      <c r="F1294" s="10" t="e" cm="1">
        <f t="array" aca="1" ref="F12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4" s="10"/>
      <c r="I1294" s="12"/>
      <c r="J1294" s="12"/>
      <c r="K1294" s="63"/>
      <c r="L1294" s="37"/>
      <c r="M1294" s="10">
        <f t="shared" ca="1" si="41"/>
        <v>46077</v>
      </c>
    </row>
    <row r="1295" spans="1:13" ht="18.75" hidden="1" x14ac:dyDescent="0.25">
      <c r="A1295" s="9"/>
      <c r="B1295" s="19" t="e">
        <f>VLOOKUP(Table27[[#This Row],[Location 
(drop-down)]],'List source'!D$2:E$71,2,FALSE)</f>
        <v>#N/A</v>
      </c>
      <c r="C1295" s="178" t="s">
        <v>4921</v>
      </c>
      <c r="D1295" s="21" t="e">
        <f t="shared" si="40"/>
        <v>#N/A</v>
      </c>
      <c r="E1295" s="9"/>
      <c r="F1295" s="10" t="e" cm="1">
        <f t="array" aca="1" ref="F12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5" s="10"/>
      <c r="I1295" s="12"/>
      <c r="J1295" s="12"/>
      <c r="K1295" s="63"/>
      <c r="L1295" s="37"/>
      <c r="M1295" s="10">
        <f t="shared" ca="1" si="41"/>
        <v>46077</v>
      </c>
    </row>
    <row r="1296" spans="1:13" ht="18.75" hidden="1" x14ac:dyDescent="0.25">
      <c r="A1296" s="9"/>
      <c r="B1296" s="19" t="e">
        <f>VLOOKUP(Table27[[#This Row],[Location 
(drop-down)]],'List source'!D$2:E$71,2,FALSE)</f>
        <v>#N/A</v>
      </c>
      <c r="C1296" s="178" t="s">
        <v>4922</v>
      </c>
      <c r="D1296" s="21" t="e">
        <f t="shared" si="40"/>
        <v>#N/A</v>
      </c>
      <c r="E1296" s="9"/>
      <c r="F1296" s="10" t="e" cm="1">
        <f t="array" aca="1" ref="F12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6" s="10"/>
      <c r="I1296" s="12"/>
      <c r="J1296" s="12"/>
      <c r="K1296" s="63"/>
      <c r="L1296" s="37"/>
      <c r="M1296" s="10">
        <f t="shared" ca="1" si="41"/>
        <v>46077</v>
      </c>
    </row>
    <row r="1297" spans="1:13" ht="18.75" hidden="1" x14ac:dyDescent="0.25">
      <c r="A1297" s="9"/>
      <c r="B1297" s="19" t="e">
        <f>VLOOKUP(Table27[[#This Row],[Location 
(drop-down)]],'List source'!D$2:E$71,2,FALSE)</f>
        <v>#N/A</v>
      </c>
      <c r="C1297" s="178" t="s">
        <v>4923</v>
      </c>
      <c r="D1297" s="21" t="e">
        <f t="shared" si="40"/>
        <v>#N/A</v>
      </c>
      <c r="E1297" s="9"/>
      <c r="F1297" s="10" t="e" cm="1">
        <f t="array" aca="1" ref="F12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7" s="10"/>
      <c r="I1297" s="12"/>
      <c r="J1297" s="12"/>
      <c r="K1297" s="63"/>
      <c r="L1297" s="37"/>
      <c r="M1297" s="10">
        <f t="shared" ca="1" si="41"/>
        <v>46077</v>
      </c>
    </row>
    <row r="1298" spans="1:13" ht="18.75" hidden="1" x14ac:dyDescent="0.25">
      <c r="A1298" s="9"/>
      <c r="B1298" s="19" t="e">
        <f>VLOOKUP(Table27[[#This Row],[Location 
(drop-down)]],'List source'!D$2:E$71,2,FALSE)</f>
        <v>#N/A</v>
      </c>
      <c r="C1298" s="178" t="s">
        <v>4924</v>
      </c>
      <c r="D1298" s="21" t="e">
        <f t="shared" si="40"/>
        <v>#N/A</v>
      </c>
      <c r="E1298" s="9"/>
      <c r="F1298" s="10" t="e" cm="1">
        <f t="array" aca="1" ref="F12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8" s="10"/>
      <c r="I1298" s="12"/>
      <c r="J1298" s="12"/>
      <c r="K1298" s="63"/>
      <c r="L1298" s="37"/>
      <c r="M1298" s="10">
        <f t="shared" ca="1" si="41"/>
        <v>46077</v>
      </c>
    </row>
    <row r="1299" spans="1:13" ht="18.75" hidden="1" x14ac:dyDescent="0.25">
      <c r="A1299" s="9"/>
      <c r="B1299" s="19" t="e">
        <f>VLOOKUP(Table27[[#This Row],[Location 
(drop-down)]],'List source'!D$2:E$71,2,FALSE)</f>
        <v>#N/A</v>
      </c>
      <c r="C1299" s="178" t="s">
        <v>4925</v>
      </c>
      <c r="D1299" s="21" t="e">
        <f t="shared" si="40"/>
        <v>#N/A</v>
      </c>
      <c r="E1299" s="9"/>
      <c r="F1299" s="10" t="e" cm="1">
        <f t="array" aca="1" ref="F12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29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299" s="10"/>
      <c r="I1299" s="12"/>
      <c r="J1299" s="12"/>
      <c r="K1299" s="63"/>
      <c r="L1299" s="37"/>
      <c r="M1299" s="10">
        <f t="shared" ca="1" si="41"/>
        <v>46077</v>
      </c>
    </row>
    <row r="1300" spans="1:13" ht="18.75" hidden="1" x14ac:dyDescent="0.25">
      <c r="A1300" s="9"/>
      <c r="B1300" s="19" t="e">
        <f>VLOOKUP(Table27[[#This Row],[Location 
(drop-down)]],'List source'!D$2:E$71,2,FALSE)</f>
        <v>#N/A</v>
      </c>
      <c r="C1300" s="178" t="s">
        <v>4926</v>
      </c>
      <c r="D1300" s="21" t="e">
        <f t="shared" si="40"/>
        <v>#N/A</v>
      </c>
      <c r="E1300" s="9"/>
      <c r="F1300" s="10" t="e" cm="1">
        <f t="array" aca="1" ref="F13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0" s="10"/>
      <c r="I1300" s="12"/>
      <c r="J1300" s="12"/>
      <c r="K1300" s="63"/>
      <c r="L1300" s="37"/>
      <c r="M1300" s="10">
        <f t="shared" ca="1" si="41"/>
        <v>46077</v>
      </c>
    </row>
    <row r="1301" spans="1:13" ht="18.75" hidden="1" x14ac:dyDescent="0.25">
      <c r="A1301" s="71"/>
      <c r="B1301" s="19" t="e">
        <f>VLOOKUP(Table27[[#This Row],[Location 
(drop-down)]],'List source'!D$2:E$71,2,FALSE)</f>
        <v>#N/A</v>
      </c>
      <c r="C1301" s="178" t="s">
        <v>4927</v>
      </c>
      <c r="D1301" s="21" t="e">
        <f t="shared" si="40"/>
        <v>#N/A</v>
      </c>
      <c r="E1301" s="71"/>
      <c r="F1301" s="10" t="e" cm="1">
        <f t="array" aca="1" ref="F13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1" s="75"/>
      <c r="I1301" s="73"/>
      <c r="J1301" s="73"/>
      <c r="K1301" s="74"/>
      <c r="L1301" s="68"/>
      <c r="M1301" s="10">
        <f t="shared" ca="1" si="41"/>
        <v>46077</v>
      </c>
    </row>
    <row r="1302" spans="1:13" ht="18.75" hidden="1" x14ac:dyDescent="0.25">
      <c r="A1302" s="71"/>
      <c r="B1302" s="19" t="e">
        <f>VLOOKUP(Table27[[#This Row],[Location 
(drop-down)]],'List source'!D$2:E$71,2,FALSE)</f>
        <v>#N/A</v>
      </c>
      <c r="C1302" s="178" t="s">
        <v>4928</v>
      </c>
      <c r="D1302" s="21" t="e">
        <f t="shared" si="40"/>
        <v>#N/A</v>
      </c>
      <c r="E1302" s="71"/>
      <c r="F1302" s="10" t="e" cm="1">
        <f t="array" aca="1" ref="F13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2" s="75"/>
      <c r="I1302" s="73"/>
      <c r="J1302" s="73"/>
      <c r="K1302" s="74"/>
      <c r="L1302" s="68"/>
      <c r="M1302" s="10">
        <f t="shared" ca="1" si="41"/>
        <v>46077</v>
      </c>
    </row>
    <row r="1303" spans="1:13" ht="18.75" hidden="1" x14ac:dyDescent="0.25">
      <c r="A1303" s="71"/>
      <c r="B1303" s="19" t="e">
        <f>VLOOKUP(Table27[[#This Row],[Location 
(drop-down)]],'List source'!D$2:E$71,2,FALSE)</f>
        <v>#N/A</v>
      </c>
      <c r="C1303" s="178" t="s">
        <v>4929</v>
      </c>
      <c r="D1303" s="21" t="e">
        <f t="shared" si="40"/>
        <v>#N/A</v>
      </c>
      <c r="E1303" s="71"/>
      <c r="F1303" s="10" t="e" cm="1">
        <f t="array" aca="1" ref="F13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3" s="75"/>
      <c r="I1303" s="73"/>
      <c r="J1303" s="73"/>
      <c r="K1303" s="74"/>
      <c r="L1303" s="68"/>
      <c r="M1303" s="10">
        <f t="shared" ca="1" si="41"/>
        <v>46077</v>
      </c>
    </row>
    <row r="1304" spans="1:13" ht="18.75" hidden="1" x14ac:dyDescent="0.25">
      <c r="A1304" s="71"/>
      <c r="B1304" s="19" t="e">
        <f>VLOOKUP(Table27[[#This Row],[Location 
(drop-down)]],'List source'!D$2:E$71,2,FALSE)</f>
        <v>#N/A</v>
      </c>
      <c r="C1304" s="178" t="s">
        <v>4930</v>
      </c>
      <c r="D1304" s="21" t="e">
        <f t="shared" si="40"/>
        <v>#N/A</v>
      </c>
      <c r="E1304" s="71"/>
      <c r="F1304" s="10" t="e" cm="1">
        <f t="array" aca="1" ref="F13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4" s="75"/>
      <c r="I1304" s="73"/>
      <c r="J1304" s="73"/>
      <c r="K1304" s="74"/>
      <c r="L1304" s="68"/>
      <c r="M1304" s="10">
        <f t="shared" ca="1" si="41"/>
        <v>46077</v>
      </c>
    </row>
    <row r="1305" spans="1:13" ht="18.75" hidden="1" x14ac:dyDescent="0.25">
      <c r="A1305" s="71"/>
      <c r="B1305" s="19" t="e">
        <f>VLOOKUP(Table27[[#This Row],[Location 
(drop-down)]],'List source'!D$2:E$71,2,FALSE)</f>
        <v>#N/A</v>
      </c>
      <c r="C1305" s="178" t="s">
        <v>4931</v>
      </c>
      <c r="D1305" s="21" t="e">
        <f t="shared" si="40"/>
        <v>#N/A</v>
      </c>
      <c r="E1305" s="71"/>
      <c r="F1305" s="10" t="e" cm="1">
        <f t="array" aca="1" ref="F13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5" s="75"/>
      <c r="I1305" s="73"/>
      <c r="J1305" s="73"/>
      <c r="K1305" s="74"/>
      <c r="L1305" s="68"/>
      <c r="M1305" s="10">
        <f t="shared" ca="1" si="41"/>
        <v>46077</v>
      </c>
    </row>
    <row r="1306" spans="1:13" ht="18.75" hidden="1" x14ac:dyDescent="0.25">
      <c r="A1306" s="71"/>
      <c r="B1306" s="19" t="e">
        <f>VLOOKUP(Table27[[#This Row],[Location 
(drop-down)]],'List source'!D$2:E$71,2,FALSE)</f>
        <v>#N/A</v>
      </c>
      <c r="C1306" s="178" t="s">
        <v>4932</v>
      </c>
      <c r="D1306" s="21" t="e">
        <f t="shared" si="40"/>
        <v>#N/A</v>
      </c>
      <c r="E1306" s="71"/>
      <c r="F1306" s="10" t="e" cm="1">
        <f t="array" aca="1" ref="F13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6" s="75"/>
      <c r="I1306" s="73"/>
      <c r="J1306" s="73"/>
      <c r="K1306" s="74"/>
      <c r="L1306" s="68"/>
      <c r="M1306" s="10">
        <f t="shared" ca="1" si="41"/>
        <v>46077</v>
      </c>
    </row>
    <row r="1307" spans="1:13" ht="18.75" hidden="1" x14ac:dyDescent="0.25">
      <c r="A1307" s="71"/>
      <c r="B1307" s="19" t="e">
        <f>VLOOKUP(Table27[[#This Row],[Location 
(drop-down)]],'List source'!D$2:E$71,2,FALSE)</f>
        <v>#N/A</v>
      </c>
      <c r="C1307" s="178" t="s">
        <v>4933</v>
      </c>
      <c r="D1307" s="21" t="e">
        <f t="shared" si="40"/>
        <v>#N/A</v>
      </c>
      <c r="E1307" s="71"/>
      <c r="F1307" s="10" t="e" cm="1">
        <f t="array" aca="1" ref="F13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7" s="75"/>
      <c r="I1307" s="73"/>
      <c r="J1307" s="73"/>
      <c r="K1307" s="74"/>
      <c r="L1307" s="68"/>
      <c r="M1307" s="10">
        <f t="shared" ca="1" si="41"/>
        <v>46077</v>
      </c>
    </row>
    <row r="1308" spans="1:13" ht="18.75" hidden="1" x14ac:dyDescent="0.25">
      <c r="A1308" s="71"/>
      <c r="B1308" s="19" t="e">
        <f>VLOOKUP(Table27[[#This Row],[Location 
(drop-down)]],'List source'!D$2:E$71,2,FALSE)</f>
        <v>#N/A</v>
      </c>
      <c r="C1308" s="178" t="s">
        <v>4934</v>
      </c>
      <c r="D1308" s="21" t="e">
        <f t="shared" si="40"/>
        <v>#N/A</v>
      </c>
      <c r="E1308" s="71"/>
      <c r="F1308" s="10" t="e" cm="1">
        <f t="array" aca="1" ref="F13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8" s="75"/>
      <c r="I1308" s="73"/>
      <c r="J1308" s="73"/>
      <c r="K1308" s="74"/>
      <c r="L1308" s="68"/>
      <c r="M1308" s="10">
        <f t="shared" ca="1" si="41"/>
        <v>46077</v>
      </c>
    </row>
    <row r="1309" spans="1:13" ht="18.75" hidden="1" x14ac:dyDescent="0.25">
      <c r="A1309" s="71"/>
      <c r="B1309" s="19" t="e">
        <f>VLOOKUP(Table27[[#This Row],[Location 
(drop-down)]],'List source'!D$2:E$71,2,FALSE)</f>
        <v>#N/A</v>
      </c>
      <c r="C1309" s="178" t="s">
        <v>4935</v>
      </c>
      <c r="D1309" s="21" t="e">
        <f t="shared" si="40"/>
        <v>#N/A</v>
      </c>
      <c r="E1309" s="71"/>
      <c r="F1309" s="10" t="e" cm="1">
        <f t="array" aca="1" ref="F13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0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09" s="75"/>
      <c r="I1309" s="73"/>
      <c r="J1309" s="73"/>
      <c r="K1309" s="74"/>
      <c r="L1309" s="68"/>
      <c r="M1309" s="10">
        <f t="shared" ca="1" si="41"/>
        <v>46077</v>
      </c>
    </row>
    <row r="1310" spans="1:13" ht="18.75" hidden="1" x14ac:dyDescent="0.25">
      <c r="A1310" s="71"/>
      <c r="B1310" s="19" t="e">
        <f>VLOOKUP(Table27[[#This Row],[Location 
(drop-down)]],'List source'!D$2:E$71,2,FALSE)</f>
        <v>#N/A</v>
      </c>
      <c r="C1310" s="178" t="s">
        <v>4936</v>
      </c>
      <c r="D1310" s="21" t="e">
        <f t="shared" si="40"/>
        <v>#N/A</v>
      </c>
      <c r="E1310" s="71"/>
      <c r="F1310" s="10" t="e" cm="1">
        <f t="array" aca="1" ref="F13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0" s="75"/>
      <c r="I1310" s="73"/>
      <c r="J1310" s="73"/>
      <c r="K1310" s="74"/>
      <c r="L1310" s="68"/>
      <c r="M1310" s="10">
        <f t="shared" ca="1" si="41"/>
        <v>46077</v>
      </c>
    </row>
    <row r="1311" spans="1:13" ht="18.75" hidden="1" x14ac:dyDescent="0.25">
      <c r="A1311" s="71"/>
      <c r="B1311" s="19" t="e">
        <f>VLOOKUP(Table27[[#This Row],[Location 
(drop-down)]],'List source'!D$2:E$71,2,FALSE)</f>
        <v>#N/A</v>
      </c>
      <c r="C1311" s="178" t="s">
        <v>4937</v>
      </c>
      <c r="D1311" s="21" t="e">
        <f t="shared" si="40"/>
        <v>#N/A</v>
      </c>
      <c r="E1311" s="71"/>
      <c r="F1311" s="10" t="e" cm="1">
        <f t="array" aca="1" ref="F13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1" s="75"/>
      <c r="I1311" s="73"/>
      <c r="J1311" s="73"/>
      <c r="K1311" s="74"/>
      <c r="L1311" s="68"/>
      <c r="M1311" s="10">
        <f t="shared" ca="1" si="41"/>
        <v>46077</v>
      </c>
    </row>
    <row r="1312" spans="1:13" ht="18.75" hidden="1" x14ac:dyDescent="0.25">
      <c r="A1312" s="71"/>
      <c r="B1312" s="19" t="e">
        <f>VLOOKUP(Table27[[#This Row],[Location 
(drop-down)]],'List source'!D$2:E$71,2,FALSE)</f>
        <v>#N/A</v>
      </c>
      <c r="C1312" s="178" t="s">
        <v>4938</v>
      </c>
      <c r="D1312" s="21" t="e">
        <f t="shared" si="40"/>
        <v>#N/A</v>
      </c>
      <c r="E1312" s="71"/>
      <c r="F1312" s="10" t="e" cm="1">
        <f t="array" aca="1" ref="F13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2" s="75"/>
      <c r="I1312" s="73"/>
      <c r="J1312" s="73"/>
      <c r="K1312" s="74"/>
      <c r="L1312" s="68"/>
      <c r="M1312" s="10">
        <f t="shared" ca="1" si="41"/>
        <v>46077</v>
      </c>
    </row>
    <row r="1313" spans="1:13" ht="18.75" hidden="1" x14ac:dyDescent="0.25">
      <c r="A1313" s="71"/>
      <c r="B1313" s="19" t="e">
        <f>VLOOKUP(Table27[[#This Row],[Location 
(drop-down)]],'List source'!D$2:E$71,2,FALSE)</f>
        <v>#N/A</v>
      </c>
      <c r="C1313" s="178" t="s">
        <v>4939</v>
      </c>
      <c r="D1313" s="21" t="e">
        <f t="shared" si="40"/>
        <v>#N/A</v>
      </c>
      <c r="E1313" s="71"/>
      <c r="F1313" s="10" t="e" cm="1">
        <f t="array" aca="1" ref="F13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3" s="75"/>
      <c r="I1313" s="73"/>
      <c r="J1313" s="73"/>
      <c r="K1313" s="74"/>
      <c r="L1313" s="68"/>
      <c r="M1313" s="10">
        <f t="shared" ca="1" si="41"/>
        <v>46077</v>
      </c>
    </row>
    <row r="1314" spans="1:13" ht="18.75" hidden="1" x14ac:dyDescent="0.25">
      <c r="A1314" s="71"/>
      <c r="B1314" s="19" t="e">
        <f>VLOOKUP(Table27[[#This Row],[Location 
(drop-down)]],'List source'!D$2:E$71,2,FALSE)</f>
        <v>#N/A</v>
      </c>
      <c r="C1314" s="178" t="s">
        <v>4940</v>
      </c>
      <c r="D1314" s="21" t="e">
        <f t="shared" si="40"/>
        <v>#N/A</v>
      </c>
      <c r="E1314" s="71"/>
      <c r="F1314" s="10" t="e" cm="1">
        <f t="array" aca="1" ref="F13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4" s="75"/>
      <c r="I1314" s="73"/>
      <c r="J1314" s="73"/>
      <c r="K1314" s="74"/>
      <c r="L1314" s="68"/>
      <c r="M1314" s="10">
        <f t="shared" ca="1" si="41"/>
        <v>46077</v>
      </c>
    </row>
    <row r="1315" spans="1:13" ht="18.75" hidden="1" x14ac:dyDescent="0.25">
      <c r="A1315" s="71"/>
      <c r="B1315" s="19" t="e">
        <f>VLOOKUP(Table27[[#This Row],[Location 
(drop-down)]],'List source'!D$2:E$71,2,FALSE)</f>
        <v>#N/A</v>
      </c>
      <c r="C1315" s="178" t="s">
        <v>4941</v>
      </c>
      <c r="D1315" s="21" t="e">
        <f t="shared" si="40"/>
        <v>#N/A</v>
      </c>
      <c r="E1315" s="71"/>
      <c r="F1315" s="10" t="e" cm="1">
        <f t="array" aca="1" ref="F13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5" s="75"/>
      <c r="I1315" s="73"/>
      <c r="J1315" s="73"/>
      <c r="K1315" s="74"/>
      <c r="L1315" s="68"/>
      <c r="M1315" s="10">
        <f t="shared" ca="1" si="41"/>
        <v>46077</v>
      </c>
    </row>
    <row r="1316" spans="1:13" ht="18.75" hidden="1" x14ac:dyDescent="0.25">
      <c r="A1316" s="71"/>
      <c r="B1316" s="19" t="e">
        <f>VLOOKUP(Table27[[#This Row],[Location 
(drop-down)]],'List source'!D$2:E$71,2,FALSE)</f>
        <v>#N/A</v>
      </c>
      <c r="C1316" s="178" t="s">
        <v>4942</v>
      </c>
      <c r="D1316" s="21" t="e">
        <f t="shared" si="40"/>
        <v>#N/A</v>
      </c>
      <c r="E1316" s="71"/>
      <c r="F1316" s="10" t="e" cm="1">
        <f t="array" aca="1" ref="F13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6" s="75"/>
      <c r="I1316" s="73"/>
      <c r="J1316" s="73"/>
      <c r="K1316" s="74"/>
      <c r="L1316" s="68"/>
      <c r="M1316" s="10">
        <f t="shared" ca="1" si="41"/>
        <v>46077</v>
      </c>
    </row>
    <row r="1317" spans="1:13" ht="18.75" hidden="1" x14ac:dyDescent="0.25">
      <c r="A1317" s="71"/>
      <c r="B1317" s="19" t="e">
        <f>VLOOKUP(Table27[[#This Row],[Location 
(drop-down)]],'List source'!D$2:E$71,2,FALSE)</f>
        <v>#N/A</v>
      </c>
      <c r="C1317" s="178" t="s">
        <v>4943</v>
      </c>
      <c r="D1317" s="21" t="e">
        <f t="shared" si="40"/>
        <v>#N/A</v>
      </c>
      <c r="E1317" s="71"/>
      <c r="F1317" s="10" t="e" cm="1">
        <f t="array" aca="1" ref="F13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7" s="75"/>
      <c r="I1317" s="73"/>
      <c r="J1317" s="73"/>
      <c r="K1317" s="74"/>
      <c r="L1317" s="68"/>
      <c r="M1317" s="10">
        <f t="shared" ca="1" si="41"/>
        <v>46077</v>
      </c>
    </row>
    <row r="1318" spans="1:13" ht="18.75" hidden="1" x14ac:dyDescent="0.25">
      <c r="A1318" s="71"/>
      <c r="B1318" s="19" t="e">
        <f>VLOOKUP(Table27[[#This Row],[Location 
(drop-down)]],'List source'!D$2:E$71,2,FALSE)</f>
        <v>#N/A</v>
      </c>
      <c r="C1318" s="178" t="s">
        <v>4944</v>
      </c>
      <c r="D1318" s="21" t="e">
        <f t="shared" si="40"/>
        <v>#N/A</v>
      </c>
      <c r="E1318" s="71"/>
      <c r="F1318" s="10" t="e" cm="1">
        <f t="array" aca="1" ref="F13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8" s="75"/>
      <c r="I1318" s="73"/>
      <c r="J1318" s="73"/>
      <c r="K1318" s="74"/>
      <c r="L1318" s="68"/>
      <c r="M1318" s="10">
        <f t="shared" ca="1" si="41"/>
        <v>46077</v>
      </c>
    </row>
    <row r="1319" spans="1:13" ht="18.75" hidden="1" x14ac:dyDescent="0.25">
      <c r="A1319" s="71"/>
      <c r="B1319" s="19" t="e">
        <f>VLOOKUP(Table27[[#This Row],[Location 
(drop-down)]],'List source'!D$2:E$71,2,FALSE)</f>
        <v>#N/A</v>
      </c>
      <c r="C1319" s="178" t="s">
        <v>4945</v>
      </c>
      <c r="D1319" s="21" t="e">
        <f t="shared" si="40"/>
        <v>#N/A</v>
      </c>
      <c r="E1319" s="71"/>
      <c r="F1319" s="10" t="e" cm="1">
        <f t="array" aca="1" ref="F13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1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19" s="75"/>
      <c r="I1319" s="73"/>
      <c r="J1319" s="73"/>
      <c r="K1319" s="74"/>
      <c r="L1319" s="68"/>
      <c r="M1319" s="10">
        <f t="shared" ca="1" si="41"/>
        <v>46077</v>
      </c>
    </row>
    <row r="1320" spans="1:13" ht="18.75" hidden="1" x14ac:dyDescent="0.25">
      <c r="A1320" s="71"/>
      <c r="B1320" s="19" t="e">
        <f>VLOOKUP(Table27[[#This Row],[Location 
(drop-down)]],'List source'!D$2:E$71,2,FALSE)</f>
        <v>#N/A</v>
      </c>
      <c r="C1320" s="178" t="s">
        <v>4946</v>
      </c>
      <c r="D1320" s="21" t="e">
        <f t="shared" si="40"/>
        <v>#N/A</v>
      </c>
      <c r="E1320" s="71"/>
      <c r="F1320" s="10" t="e" cm="1">
        <f t="array" aca="1" ref="F13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0" s="75"/>
      <c r="I1320" s="73"/>
      <c r="J1320" s="73"/>
      <c r="K1320" s="74"/>
      <c r="L1320" s="68"/>
      <c r="M1320" s="10">
        <f t="shared" ca="1" si="41"/>
        <v>46077</v>
      </c>
    </row>
    <row r="1321" spans="1:13" ht="18.75" hidden="1" x14ac:dyDescent="0.25">
      <c r="A1321" s="71"/>
      <c r="B1321" s="19" t="e">
        <f>VLOOKUP(Table27[[#This Row],[Location 
(drop-down)]],'List source'!D$2:E$71,2,FALSE)</f>
        <v>#N/A</v>
      </c>
      <c r="C1321" s="178" t="s">
        <v>4947</v>
      </c>
      <c r="D1321" s="21" t="e">
        <f t="shared" si="40"/>
        <v>#N/A</v>
      </c>
      <c r="E1321" s="71"/>
      <c r="F1321" s="10" t="e" cm="1">
        <f t="array" aca="1" ref="F13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1" s="75"/>
      <c r="I1321" s="73"/>
      <c r="J1321" s="73"/>
      <c r="K1321" s="74"/>
      <c r="L1321" s="68"/>
      <c r="M1321" s="10">
        <f t="shared" ca="1" si="41"/>
        <v>46077</v>
      </c>
    </row>
    <row r="1322" spans="1:13" ht="18.75" hidden="1" x14ac:dyDescent="0.25">
      <c r="A1322" s="71"/>
      <c r="B1322" s="19" t="e">
        <f>VLOOKUP(Table27[[#This Row],[Location 
(drop-down)]],'List source'!D$2:E$71,2,FALSE)</f>
        <v>#N/A</v>
      </c>
      <c r="C1322" s="178" t="s">
        <v>4948</v>
      </c>
      <c r="D1322" s="21" t="e">
        <f t="shared" si="40"/>
        <v>#N/A</v>
      </c>
      <c r="E1322" s="71"/>
      <c r="F1322" s="10" t="e" cm="1">
        <f t="array" aca="1" ref="F13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2" s="75"/>
      <c r="I1322" s="73"/>
      <c r="J1322" s="73"/>
      <c r="K1322" s="74"/>
      <c r="L1322" s="68"/>
      <c r="M1322" s="10">
        <f t="shared" ca="1" si="41"/>
        <v>46077</v>
      </c>
    </row>
    <row r="1323" spans="1:13" ht="18.75" hidden="1" x14ac:dyDescent="0.25">
      <c r="A1323" s="71"/>
      <c r="B1323" s="19" t="e">
        <f>VLOOKUP(Table27[[#This Row],[Location 
(drop-down)]],'List source'!D$2:E$71,2,FALSE)</f>
        <v>#N/A</v>
      </c>
      <c r="C1323" s="178" t="s">
        <v>4949</v>
      </c>
      <c r="D1323" s="21" t="e">
        <f t="shared" si="40"/>
        <v>#N/A</v>
      </c>
      <c r="E1323" s="71"/>
      <c r="F1323" s="10" t="e" cm="1">
        <f t="array" aca="1" ref="F13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3" s="75"/>
      <c r="I1323" s="73"/>
      <c r="J1323" s="73"/>
      <c r="K1323" s="74"/>
      <c r="L1323" s="68"/>
      <c r="M1323" s="10">
        <f t="shared" ca="1" si="41"/>
        <v>46077</v>
      </c>
    </row>
    <row r="1324" spans="1:13" ht="18.75" hidden="1" x14ac:dyDescent="0.25">
      <c r="A1324" s="71"/>
      <c r="B1324" s="19" t="e">
        <f>VLOOKUP(Table27[[#This Row],[Location 
(drop-down)]],'List source'!D$2:E$71,2,FALSE)</f>
        <v>#N/A</v>
      </c>
      <c r="C1324" s="178" t="s">
        <v>4950</v>
      </c>
      <c r="D1324" s="21" t="e">
        <f t="shared" si="40"/>
        <v>#N/A</v>
      </c>
      <c r="E1324" s="71"/>
      <c r="F1324" s="10" t="e" cm="1">
        <f t="array" aca="1" ref="F13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4" s="75"/>
      <c r="I1324" s="73"/>
      <c r="J1324" s="73"/>
      <c r="K1324" s="74"/>
      <c r="L1324" s="68"/>
      <c r="M1324" s="10">
        <f t="shared" ca="1" si="41"/>
        <v>46077</v>
      </c>
    </row>
    <row r="1325" spans="1:13" ht="18.75" hidden="1" x14ac:dyDescent="0.25">
      <c r="A1325" s="71"/>
      <c r="B1325" s="19" t="e">
        <f>VLOOKUP(Table27[[#This Row],[Location 
(drop-down)]],'List source'!D$2:E$71,2,FALSE)</f>
        <v>#N/A</v>
      </c>
      <c r="C1325" s="178" t="s">
        <v>4951</v>
      </c>
      <c r="D1325" s="21" t="e">
        <f t="shared" si="40"/>
        <v>#N/A</v>
      </c>
      <c r="E1325" s="71"/>
      <c r="F1325" s="10" t="e" cm="1">
        <f t="array" aca="1" ref="F13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5" s="75"/>
      <c r="I1325" s="73"/>
      <c r="J1325" s="73"/>
      <c r="K1325" s="74"/>
      <c r="L1325" s="68"/>
      <c r="M1325" s="10">
        <f t="shared" ca="1" si="41"/>
        <v>46077</v>
      </c>
    </row>
    <row r="1326" spans="1:13" ht="18.75" hidden="1" x14ac:dyDescent="0.25">
      <c r="A1326" s="71"/>
      <c r="B1326" s="19" t="e">
        <f>VLOOKUP(Table27[[#This Row],[Location 
(drop-down)]],'List source'!D$2:E$71,2,FALSE)</f>
        <v>#N/A</v>
      </c>
      <c r="C1326" s="178" t="s">
        <v>4952</v>
      </c>
      <c r="D1326" s="21" t="e">
        <f t="shared" si="40"/>
        <v>#N/A</v>
      </c>
      <c r="E1326" s="71"/>
      <c r="F1326" s="10" t="e" cm="1">
        <f t="array" aca="1" ref="F13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6" s="75"/>
      <c r="I1326" s="73"/>
      <c r="J1326" s="73"/>
      <c r="K1326" s="74"/>
      <c r="L1326" s="68"/>
      <c r="M1326" s="10">
        <f t="shared" ca="1" si="41"/>
        <v>46077</v>
      </c>
    </row>
    <row r="1327" spans="1:13" ht="18.75" hidden="1" x14ac:dyDescent="0.25">
      <c r="A1327" s="71"/>
      <c r="B1327" s="19" t="e">
        <f>VLOOKUP(Table27[[#This Row],[Location 
(drop-down)]],'List source'!D$2:E$71,2,FALSE)</f>
        <v>#N/A</v>
      </c>
      <c r="C1327" s="178" t="s">
        <v>4953</v>
      </c>
      <c r="D1327" s="21" t="e">
        <f t="shared" si="40"/>
        <v>#N/A</v>
      </c>
      <c r="E1327" s="71"/>
      <c r="F1327" s="10" t="e" cm="1">
        <f t="array" aca="1" ref="F13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7" s="75"/>
      <c r="I1327" s="73"/>
      <c r="J1327" s="73"/>
      <c r="K1327" s="74"/>
      <c r="L1327" s="68"/>
      <c r="M1327" s="10">
        <f t="shared" ca="1" si="41"/>
        <v>46077</v>
      </c>
    </row>
    <row r="1328" spans="1:13" ht="18.75" hidden="1" x14ac:dyDescent="0.25">
      <c r="A1328" s="71"/>
      <c r="B1328" s="19" t="e">
        <f>VLOOKUP(Table27[[#This Row],[Location 
(drop-down)]],'List source'!D$2:E$71,2,FALSE)</f>
        <v>#N/A</v>
      </c>
      <c r="C1328" s="178" t="s">
        <v>4954</v>
      </c>
      <c r="D1328" s="21" t="e">
        <f t="shared" si="40"/>
        <v>#N/A</v>
      </c>
      <c r="E1328" s="71"/>
      <c r="F1328" s="10" t="e" cm="1">
        <f t="array" aca="1" ref="F13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8" s="75"/>
      <c r="I1328" s="73"/>
      <c r="J1328" s="73"/>
      <c r="K1328" s="74"/>
      <c r="L1328" s="68"/>
      <c r="M1328" s="10">
        <f t="shared" ca="1" si="41"/>
        <v>46077</v>
      </c>
    </row>
    <row r="1329" spans="1:13" ht="18.75" hidden="1" x14ac:dyDescent="0.25">
      <c r="A1329" s="71"/>
      <c r="B1329" s="19" t="e">
        <f>VLOOKUP(Table27[[#This Row],[Location 
(drop-down)]],'List source'!D$2:E$71,2,FALSE)</f>
        <v>#N/A</v>
      </c>
      <c r="C1329" s="178" t="s">
        <v>4955</v>
      </c>
      <c r="D1329" s="21" t="e">
        <f t="shared" si="40"/>
        <v>#N/A</v>
      </c>
      <c r="E1329" s="71"/>
      <c r="F1329" s="10" t="e" cm="1">
        <f t="array" aca="1" ref="F13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2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29" s="75"/>
      <c r="I1329" s="73"/>
      <c r="J1329" s="73"/>
      <c r="K1329" s="74"/>
      <c r="L1329" s="68"/>
      <c r="M1329" s="10">
        <f t="shared" ca="1" si="41"/>
        <v>46077</v>
      </c>
    </row>
    <row r="1330" spans="1:13" ht="18.75" hidden="1" x14ac:dyDescent="0.25">
      <c r="A1330" s="71"/>
      <c r="B1330" s="19" t="e">
        <f>VLOOKUP(Table27[[#This Row],[Location 
(drop-down)]],'List source'!D$2:E$71,2,FALSE)</f>
        <v>#N/A</v>
      </c>
      <c r="C1330" s="178" t="s">
        <v>4956</v>
      </c>
      <c r="D1330" s="21" t="e">
        <f t="shared" si="40"/>
        <v>#N/A</v>
      </c>
      <c r="E1330" s="71"/>
      <c r="F1330" s="10" t="e" cm="1">
        <f t="array" aca="1" ref="F13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0" s="75"/>
      <c r="I1330" s="73"/>
      <c r="J1330" s="73"/>
      <c r="K1330" s="74"/>
      <c r="L1330" s="68"/>
      <c r="M1330" s="10">
        <f t="shared" ca="1" si="41"/>
        <v>46077</v>
      </c>
    </row>
    <row r="1331" spans="1:13" ht="18.75" hidden="1" x14ac:dyDescent="0.25">
      <c r="A1331" s="71"/>
      <c r="B1331" s="19" t="e">
        <f>VLOOKUP(Table27[[#This Row],[Location 
(drop-down)]],'List source'!D$2:E$71,2,FALSE)</f>
        <v>#N/A</v>
      </c>
      <c r="C1331" s="178" t="s">
        <v>4957</v>
      </c>
      <c r="D1331" s="21" t="e">
        <f t="shared" si="40"/>
        <v>#N/A</v>
      </c>
      <c r="E1331" s="71"/>
      <c r="F1331" s="10" t="e" cm="1">
        <f t="array" aca="1" ref="F13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1" s="75"/>
      <c r="I1331" s="73"/>
      <c r="J1331" s="73"/>
      <c r="K1331" s="74"/>
      <c r="L1331" s="68"/>
      <c r="M1331" s="10">
        <f t="shared" ca="1" si="41"/>
        <v>46077</v>
      </c>
    </row>
    <row r="1332" spans="1:13" ht="18.75" hidden="1" x14ac:dyDescent="0.25">
      <c r="A1332" s="71"/>
      <c r="B1332" s="19" t="e">
        <f>VLOOKUP(Table27[[#This Row],[Location 
(drop-down)]],'List source'!D$2:E$71,2,FALSE)</f>
        <v>#N/A</v>
      </c>
      <c r="C1332" s="178" t="s">
        <v>4958</v>
      </c>
      <c r="D1332" s="21" t="e">
        <f t="shared" si="40"/>
        <v>#N/A</v>
      </c>
      <c r="E1332" s="71"/>
      <c r="F1332" s="10" t="e" cm="1">
        <f t="array" aca="1" ref="F13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2" s="75"/>
      <c r="I1332" s="73"/>
      <c r="J1332" s="73"/>
      <c r="K1332" s="74"/>
      <c r="L1332" s="68"/>
      <c r="M1332" s="10">
        <f t="shared" ca="1" si="41"/>
        <v>46077</v>
      </c>
    </row>
    <row r="1333" spans="1:13" ht="18.75" hidden="1" x14ac:dyDescent="0.25">
      <c r="A1333" s="71"/>
      <c r="B1333" s="19" t="e">
        <f>VLOOKUP(Table27[[#This Row],[Location 
(drop-down)]],'List source'!D$2:E$71,2,FALSE)</f>
        <v>#N/A</v>
      </c>
      <c r="C1333" s="178" t="s">
        <v>4959</v>
      </c>
      <c r="D1333" s="21" t="e">
        <f t="shared" si="40"/>
        <v>#N/A</v>
      </c>
      <c r="E1333" s="71"/>
      <c r="F1333" s="10" t="e" cm="1">
        <f t="array" aca="1" ref="F13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3" s="75"/>
      <c r="I1333" s="73"/>
      <c r="J1333" s="73"/>
      <c r="K1333" s="74"/>
      <c r="L1333" s="68"/>
      <c r="M1333" s="10">
        <f t="shared" ca="1" si="41"/>
        <v>46077</v>
      </c>
    </row>
    <row r="1334" spans="1:13" ht="18.75" hidden="1" x14ac:dyDescent="0.25">
      <c r="A1334" s="71"/>
      <c r="B1334" s="19" t="e">
        <f>VLOOKUP(Table27[[#This Row],[Location 
(drop-down)]],'List source'!D$2:E$71,2,FALSE)</f>
        <v>#N/A</v>
      </c>
      <c r="C1334" s="178" t="s">
        <v>4960</v>
      </c>
      <c r="D1334" s="21" t="e">
        <f t="shared" si="40"/>
        <v>#N/A</v>
      </c>
      <c r="E1334" s="71"/>
      <c r="F1334" s="10" t="e" cm="1">
        <f t="array" aca="1" ref="F13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4" s="75"/>
      <c r="I1334" s="73"/>
      <c r="J1334" s="73"/>
      <c r="K1334" s="74"/>
      <c r="L1334" s="68"/>
      <c r="M1334" s="10">
        <f t="shared" ca="1" si="41"/>
        <v>46077</v>
      </c>
    </row>
    <row r="1335" spans="1:13" ht="18.75" hidden="1" x14ac:dyDescent="0.25">
      <c r="A1335" s="71"/>
      <c r="B1335" s="19" t="e">
        <f>VLOOKUP(Table27[[#This Row],[Location 
(drop-down)]],'List source'!D$2:E$71,2,FALSE)</f>
        <v>#N/A</v>
      </c>
      <c r="C1335" s="178" t="s">
        <v>4961</v>
      </c>
      <c r="D1335" s="21" t="e">
        <f t="shared" si="40"/>
        <v>#N/A</v>
      </c>
      <c r="E1335" s="71"/>
      <c r="F1335" s="10" t="e" cm="1">
        <f t="array" aca="1" ref="F13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5" s="75"/>
      <c r="I1335" s="73"/>
      <c r="J1335" s="73"/>
      <c r="K1335" s="74"/>
      <c r="L1335" s="68"/>
      <c r="M1335" s="10">
        <f t="shared" ca="1" si="41"/>
        <v>46077</v>
      </c>
    </row>
    <row r="1336" spans="1:13" ht="18.75" hidden="1" x14ac:dyDescent="0.25">
      <c r="A1336" s="71"/>
      <c r="B1336" s="19" t="e">
        <f>VLOOKUP(Table27[[#This Row],[Location 
(drop-down)]],'List source'!D$2:E$71,2,FALSE)</f>
        <v>#N/A</v>
      </c>
      <c r="C1336" s="178" t="s">
        <v>4962</v>
      </c>
      <c r="D1336" s="21" t="e">
        <f t="shared" si="40"/>
        <v>#N/A</v>
      </c>
      <c r="E1336" s="71"/>
      <c r="F1336" s="10" t="e" cm="1">
        <f t="array" aca="1" ref="F13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6" s="75"/>
      <c r="I1336" s="73"/>
      <c r="J1336" s="73"/>
      <c r="K1336" s="74"/>
      <c r="L1336" s="68"/>
      <c r="M1336" s="10">
        <f t="shared" ca="1" si="41"/>
        <v>46077</v>
      </c>
    </row>
    <row r="1337" spans="1:13" ht="18.75" hidden="1" x14ac:dyDescent="0.25">
      <c r="A1337" s="71"/>
      <c r="B1337" s="19" t="e">
        <f>VLOOKUP(Table27[[#This Row],[Location 
(drop-down)]],'List source'!D$2:E$71,2,FALSE)</f>
        <v>#N/A</v>
      </c>
      <c r="C1337" s="178" t="s">
        <v>4963</v>
      </c>
      <c r="D1337" s="21" t="e">
        <f t="shared" si="40"/>
        <v>#N/A</v>
      </c>
      <c r="E1337" s="71"/>
      <c r="F1337" s="10" t="e" cm="1">
        <f t="array" aca="1" ref="F13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7" s="75"/>
      <c r="I1337" s="73"/>
      <c r="J1337" s="73"/>
      <c r="K1337" s="74"/>
      <c r="L1337" s="68"/>
      <c r="M1337" s="10">
        <f t="shared" ca="1" si="41"/>
        <v>46077</v>
      </c>
    </row>
    <row r="1338" spans="1:13" ht="18.75" hidden="1" x14ac:dyDescent="0.25">
      <c r="A1338" s="71"/>
      <c r="B1338" s="19" t="e">
        <f>VLOOKUP(Table27[[#This Row],[Location 
(drop-down)]],'List source'!D$2:E$71,2,FALSE)</f>
        <v>#N/A</v>
      </c>
      <c r="C1338" s="178" t="s">
        <v>4964</v>
      </c>
      <c r="D1338" s="21" t="e">
        <f t="shared" si="40"/>
        <v>#N/A</v>
      </c>
      <c r="E1338" s="71"/>
      <c r="F1338" s="10" t="e" cm="1">
        <f t="array" aca="1" ref="F13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8" s="75"/>
      <c r="I1338" s="73"/>
      <c r="J1338" s="73"/>
      <c r="K1338" s="74"/>
      <c r="L1338" s="68"/>
      <c r="M1338" s="10">
        <f t="shared" ca="1" si="41"/>
        <v>46077</v>
      </c>
    </row>
    <row r="1339" spans="1:13" ht="18.75" hidden="1" x14ac:dyDescent="0.25">
      <c r="A1339" s="71"/>
      <c r="B1339" s="19" t="e">
        <f>VLOOKUP(Table27[[#This Row],[Location 
(drop-down)]],'List source'!D$2:E$71,2,FALSE)</f>
        <v>#N/A</v>
      </c>
      <c r="C1339" s="178" t="s">
        <v>4965</v>
      </c>
      <c r="D1339" s="21" t="e">
        <f t="shared" si="40"/>
        <v>#N/A</v>
      </c>
      <c r="E1339" s="71"/>
      <c r="F1339" s="10" t="e" cm="1">
        <f t="array" aca="1" ref="F13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3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39" s="75"/>
      <c r="I1339" s="73"/>
      <c r="J1339" s="73"/>
      <c r="K1339" s="74"/>
      <c r="L1339" s="68"/>
      <c r="M1339" s="10">
        <f t="shared" ca="1" si="41"/>
        <v>46077</v>
      </c>
    </row>
    <row r="1340" spans="1:13" ht="18.75" hidden="1" x14ac:dyDescent="0.25">
      <c r="A1340" s="71"/>
      <c r="B1340" s="19" t="e">
        <f>VLOOKUP(Table27[[#This Row],[Location 
(drop-down)]],'List source'!D$2:E$71,2,FALSE)</f>
        <v>#N/A</v>
      </c>
      <c r="C1340" s="178" t="s">
        <v>4966</v>
      </c>
      <c r="D1340" s="21" t="e">
        <f t="shared" si="40"/>
        <v>#N/A</v>
      </c>
      <c r="E1340" s="71"/>
      <c r="F1340" s="10" t="e" cm="1">
        <f t="array" aca="1" ref="F13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0" s="75"/>
      <c r="I1340" s="73"/>
      <c r="J1340" s="73"/>
      <c r="K1340" s="74"/>
      <c r="L1340" s="68"/>
      <c r="M1340" s="10">
        <f t="shared" ca="1" si="41"/>
        <v>46077</v>
      </c>
    </row>
    <row r="1341" spans="1:13" ht="18.75" hidden="1" x14ac:dyDescent="0.25">
      <c r="A1341" s="71"/>
      <c r="B1341" s="19" t="e">
        <f>VLOOKUP(Table27[[#This Row],[Location 
(drop-down)]],'List source'!D$2:E$71,2,FALSE)</f>
        <v>#N/A</v>
      </c>
      <c r="C1341" s="178" t="s">
        <v>4967</v>
      </c>
      <c r="D1341" s="21" t="e">
        <f t="shared" si="40"/>
        <v>#N/A</v>
      </c>
      <c r="E1341" s="71"/>
      <c r="F1341" s="10" t="e" cm="1">
        <f t="array" aca="1" ref="F13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1" s="75"/>
      <c r="I1341" s="73"/>
      <c r="J1341" s="73"/>
      <c r="K1341" s="74"/>
      <c r="L1341" s="68"/>
      <c r="M1341" s="10">
        <f t="shared" ca="1" si="41"/>
        <v>46077</v>
      </c>
    </row>
    <row r="1342" spans="1:13" ht="18.75" hidden="1" x14ac:dyDescent="0.25">
      <c r="A1342" s="71"/>
      <c r="B1342" s="19" t="e">
        <f>VLOOKUP(Table27[[#This Row],[Location 
(drop-down)]],'List source'!D$2:E$71,2,FALSE)</f>
        <v>#N/A</v>
      </c>
      <c r="C1342" s="178" t="s">
        <v>4968</v>
      </c>
      <c r="D1342" s="21" t="e">
        <f t="shared" si="40"/>
        <v>#N/A</v>
      </c>
      <c r="E1342" s="71"/>
      <c r="F1342" s="10" t="e" cm="1">
        <f t="array" aca="1" ref="F13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2" s="75"/>
      <c r="I1342" s="73"/>
      <c r="J1342" s="73"/>
      <c r="K1342" s="74"/>
      <c r="L1342" s="68"/>
      <c r="M1342" s="10">
        <f t="shared" ca="1" si="41"/>
        <v>46077</v>
      </c>
    </row>
    <row r="1343" spans="1:13" ht="18.75" hidden="1" x14ac:dyDescent="0.25">
      <c r="A1343" s="71"/>
      <c r="B1343" s="19" t="e">
        <f>VLOOKUP(Table27[[#This Row],[Location 
(drop-down)]],'List source'!D$2:E$71,2,FALSE)</f>
        <v>#N/A</v>
      </c>
      <c r="C1343" s="178" t="s">
        <v>4969</v>
      </c>
      <c r="D1343" s="21" t="e">
        <f t="shared" si="40"/>
        <v>#N/A</v>
      </c>
      <c r="E1343" s="71"/>
      <c r="F1343" s="10" t="e" cm="1">
        <f t="array" aca="1" ref="F13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3" s="75"/>
      <c r="I1343" s="73"/>
      <c r="J1343" s="73"/>
      <c r="K1343" s="74"/>
      <c r="L1343" s="68"/>
      <c r="M1343" s="10">
        <f t="shared" ca="1" si="41"/>
        <v>46077</v>
      </c>
    </row>
    <row r="1344" spans="1:13" ht="18.75" hidden="1" x14ac:dyDescent="0.25">
      <c r="A1344" s="71"/>
      <c r="B1344" s="19" t="e">
        <f>VLOOKUP(Table27[[#This Row],[Location 
(drop-down)]],'List source'!D$2:E$71,2,FALSE)</f>
        <v>#N/A</v>
      </c>
      <c r="C1344" s="178" t="s">
        <v>4970</v>
      </c>
      <c r="D1344" s="21" t="e">
        <f t="shared" si="40"/>
        <v>#N/A</v>
      </c>
      <c r="E1344" s="71"/>
      <c r="F1344" s="10" t="e" cm="1">
        <f t="array" aca="1" ref="F13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4" s="75"/>
      <c r="I1344" s="73"/>
      <c r="J1344" s="73"/>
      <c r="K1344" s="74"/>
      <c r="L1344" s="68"/>
      <c r="M1344" s="10">
        <f t="shared" ca="1" si="41"/>
        <v>46077</v>
      </c>
    </row>
    <row r="1345" spans="1:13" ht="18.75" hidden="1" x14ac:dyDescent="0.25">
      <c r="A1345" s="71"/>
      <c r="B1345" s="19" t="e">
        <f>VLOOKUP(Table27[[#This Row],[Location 
(drop-down)]],'List source'!D$2:E$71,2,FALSE)</f>
        <v>#N/A</v>
      </c>
      <c r="C1345" s="178" t="s">
        <v>4971</v>
      </c>
      <c r="D1345" s="21" t="e">
        <f t="shared" si="40"/>
        <v>#N/A</v>
      </c>
      <c r="E1345" s="71"/>
      <c r="F1345" s="10" t="e" cm="1">
        <f t="array" aca="1" ref="F13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5" s="75"/>
      <c r="I1345" s="73"/>
      <c r="J1345" s="73"/>
      <c r="K1345" s="74"/>
      <c r="L1345" s="68"/>
      <c r="M1345" s="10">
        <f t="shared" ca="1" si="41"/>
        <v>46077</v>
      </c>
    </row>
    <row r="1346" spans="1:13" ht="18.75" hidden="1" x14ac:dyDescent="0.25">
      <c r="A1346" s="71"/>
      <c r="B1346" s="19" t="e">
        <f>VLOOKUP(Table27[[#This Row],[Location 
(drop-down)]],'List source'!D$2:E$71,2,FALSE)</f>
        <v>#N/A</v>
      </c>
      <c r="C1346" s="178" t="s">
        <v>4972</v>
      </c>
      <c r="D1346" s="21" t="e">
        <f t="shared" ref="D1346:D1409" si="42">"PTO" &amp; C1346 &amp; "-" &amp; B1346 &amp; "-" &amp; "25"</f>
        <v>#N/A</v>
      </c>
      <c r="E1346" s="71"/>
      <c r="F1346" s="10" t="e" cm="1">
        <f t="array" aca="1" ref="F13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6" s="75"/>
      <c r="I1346" s="73"/>
      <c r="J1346" s="73"/>
      <c r="K1346" s="74"/>
      <c r="L1346" s="68"/>
      <c r="M1346" s="10">
        <f t="shared" ref="M1346:M1409" ca="1" si="43">IF(ISBLANK(K1346), TODAY()-(I1346), "CLOSED")</f>
        <v>46077</v>
      </c>
    </row>
    <row r="1347" spans="1:13" ht="18.75" hidden="1" x14ac:dyDescent="0.25">
      <c r="A1347" s="71"/>
      <c r="B1347" s="19" t="e">
        <f>VLOOKUP(Table27[[#This Row],[Location 
(drop-down)]],'List source'!D$2:E$71,2,FALSE)</f>
        <v>#N/A</v>
      </c>
      <c r="C1347" s="178" t="s">
        <v>4973</v>
      </c>
      <c r="D1347" s="21" t="e">
        <f t="shared" si="42"/>
        <v>#N/A</v>
      </c>
      <c r="E1347" s="71"/>
      <c r="F1347" s="10" t="e" cm="1">
        <f t="array" aca="1" ref="F13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7" s="75"/>
      <c r="I1347" s="73"/>
      <c r="J1347" s="73"/>
      <c r="K1347" s="74"/>
      <c r="L1347" s="68"/>
      <c r="M1347" s="10">
        <f t="shared" ca="1" si="43"/>
        <v>46077</v>
      </c>
    </row>
    <row r="1348" spans="1:13" ht="18.75" hidden="1" x14ac:dyDescent="0.25">
      <c r="A1348" s="71"/>
      <c r="B1348" s="19" t="e">
        <f>VLOOKUP(Table27[[#This Row],[Location 
(drop-down)]],'List source'!D$2:E$71,2,FALSE)</f>
        <v>#N/A</v>
      </c>
      <c r="C1348" s="178" t="s">
        <v>4974</v>
      </c>
      <c r="D1348" s="21" t="e">
        <f t="shared" si="42"/>
        <v>#N/A</v>
      </c>
      <c r="E1348" s="71"/>
      <c r="F1348" s="10" t="e" cm="1">
        <f t="array" aca="1" ref="F13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8" s="75"/>
      <c r="I1348" s="73"/>
      <c r="J1348" s="73"/>
      <c r="K1348" s="74"/>
      <c r="L1348" s="68"/>
      <c r="M1348" s="10">
        <f t="shared" ca="1" si="43"/>
        <v>46077</v>
      </c>
    </row>
    <row r="1349" spans="1:13" ht="18.75" hidden="1" x14ac:dyDescent="0.25">
      <c r="A1349" s="71"/>
      <c r="B1349" s="19" t="e">
        <f>VLOOKUP(Table27[[#This Row],[Location 
(drop-down)]],'List source'!D$2:E$71,2,FALSE)</f>
        <v>#N/A</v>
      </c>
      <c r="C1349" s="178" t="s">
        <v>4975</v>
      </c>
      <c r="D1349" s="21" t="e">
        <f t="shared" si="42"/>
        <v>#N/A</v>
      </c>
      <c r="E1349" s="71"/>
      <c r="F1349" s="10" t="e" cm="1">
        <f t="array" aca="1" ref="F13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4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49" s="75"/>
      <c r="I1349" s="73"/>
      <c r="J1349" s="73"/>
      <c r="K1349" s="74"/>
      <c r="L1349" s="68"/>
      <c r="M1349" s="10">
        <f t="shared" ca="1" si="43"/>
        <v>46077</v>
      </c>
    </row>
    <row r="1350" spans="1:13" ht="18.75" hidden="1" x14ac:dyDescent="0.25">
      <c r="A1350" s="71"/>
      <c r="B1350" s="19" t="e">
        <f>VLOOKUP(Table27[[#This Row],[Location 
(drop-down)]],'List source'!D$2:E$71,2,FALSE)</f>
        <v>#N/A</v>
      </c>
      <c r="C1350" s="178" t="s">
        <v>4976</v>
      </c>
      <c r="D1350" s="21" t="e">
        <f t="shared" si="42"/>
        <v>#N/A</v>
      </c>
      <c r="E1350" s="71"/>
      <c r="F1350" s="10" t="e" cm="1">
        <f t="array" aca="1" ref="F13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0" s="75"/>
      <c r="I1350" s="73"/>
      <c r="J1350" s="73"/>
      <c r="K1350" s="74"/>
      <c r="L1350" s="68"/>
      <c r="M1350" s="10">
        <f t="shared" ca="1" si="43"/>
        <v>46077</v>
      </c>
    </row>
    <row r="1351" spans="1:13" ht="18.75" hidden="1" x14ac:dyDescent="0.25">
      <c r="A1351" s="71"/>
      <c r="B1351" s="19" t="e">
        <f>VLOOKUP(Table27[[#This Row],[Location 
(drop-down)]],'List source'!D$2:E$71,2,FALSE)</f>
        <v>#N/A</v>
      </c>
      <c r="C1351" s="178" t="s">
        <v>4977</v>
      </c>
      <c r="D1351" s="21" t="e">
        <f t="shared" si="42"/>
        <v>#N/A</v>
      </c>
      <c r="E1351" s="71"/>
      <c r="F1351" s="10" t="e" cm="1">
        <f t="array" aca="1" ref="F13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1" s="75"/>
      <c r="I1351" s="73"/>
      <c r="J1351" s="73"/>
      <c r="K1351" s="74"/>
      <c r="L1351" s="68"/>
      <c r="M1351" s="10">
        <f t="shared" ca="1" si="43"/>
        <v>46077</v>
      </c>
    </row>
    <row r="1352" spans="1:13" ht="18.75" hidden="1" x14ac:dyDescent="0.25">
      <c r="A1352" s="71"/>
      <c r="B1352" s="19" t="e">
        <f>VLOOKUP(Table27[[#This Row],[Location 
(drop-down)]],'List source'!D$2:E$71,2,FALSE)</f>
        <v>#N/A</v>
      </c>
      <c r="C1352" s="178" t="s">
        <v>4978</v>
      </c>
      <c r="D1352" s="21" t="e">
        <f t="shared" si="42"/>
        <v>#N/A</v>
      </c>
      <c r="E1352" s="71"/>
      <c r="F1352" s="10" t="e" cm="1">
        <f t="array" aca="1" ref="F13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2" s="75"/>
      <c r="I1352" s="73"/>
      <c r="J1352" s="73"/>
      <c r="K1352" s="74"/>
      <c r="L1352" s="68"/>
      <c r="M1352" s="10">
        <f t="shared" ca="1" si="43"/>
        <v>46077</v>
      </c>
    </row>
    <row r="1353" spans="1:13" ht="18.75" hidden="1" x14ac:dyDescent="0.25">
      <c r="A1353" s="71"/>
      <c r="B1353" s="19" t="e">
        <f>VLOOKUP(Table27[[#This Row],[Location 
(drop-down)]],'List source'!D$2:E$71,2,FALSE)</f>
        <v>#N/A</v>
      </c>
      <c r="C1353" s="178" t="s">
        <v>4979</v>
      </c>
      <c r="D1353" s="21" t="e">
        <f t="shared" si="42"/>
        <v>#N/A</v>
      </c>
      <c r="E1353" s="71"/>
      <c r="F1353" s="10" t="e" cm="1">
        <f t="array" aca="1" ref="F13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3" s="75"/>
      <c r="I1353" s="73"/>
      <c r="J1353" s="73"/>
      <c r="K1353" s="74"/>
      <c r="L1353" s="68"/>
      <c r="M1353" s="10">
        <f t="shared" ca="1" si="43"/>
        <v>46077</v>
      </c>
    </row>
    <row r="1354" spans="1:13" ht="18.75" hidden="1" x14ac:dyDescent="0.25">
      <c r="A1354" s="71"/>
      <c r="B1354" s="19" t="e">
        <f>VLOOKUP(Table27[[#This Row],[Location 
(drop-down)]],'List source'!D$2:E$71,2,FALSE)</f>
        <v>#N/A</v>
      </c>
      <c r="C1354" s="178" t="s">
        <v>4980</v>
      </c>
      <c r="D1354" s="21" t="e">
        <f t="shared" si="42"/>
        <v>#N/A</v>
      </c>
      <c r="E1354" s="71"/>
      <c r="F1354" s="10" t="e" cm="1">
        <f t="array" aca="1" ref="F13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4" s="75"/>
      <c r="I1354" s="73"/>
      <c r="J1354" s="73"/>
      <c r="K1354" s="74"/>
      <c r="L1354" s="68"/>
      <c r="M1354" s="10">
        <f t="shared" ca="1" si="43"/>
        <v>46077</v>
      </c>
    </row>
    <row r="1355" spans="1:13" ht="18.75" hidden="1" x14ac:dyDescent="0.25">
      <c r="A1355" s="71"/>
      <c r="B1355" s="19" t="e">
        <f>VLOOKUP(Table27[[#This Row],[Location 
(drop-down)]],'List source'!D$2:E$71,2,FALSE)</f>
        <v>#N/A</v>
      </c>
      <c r="C1355" s="178" t="s">
        <v>4981</v>
      </c>
      <c r="D1355" s="21" t="e">
        <f t="shared" si="42"/>
        <v>#N/A</v>
      </c>
      <c r="E1355" s="71"/>
      <c r="F1355" s="10" t="e" cm="1">
        <f t="array" aca="1" ref="F13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5" s="75"/>
      <c r="I1355" s="73"/>
      <c r="J1355" s="73"/>
      <c r="K1355" s="74"/>
      <c r="L1355" s="68"/>
      <c r="M1355" s="10">
        <f t="shared" ca="1" si="43"/>
        <v>46077</v>
      </c>
    </row>
    <row r="1356" spans="1:13" ht="18.75" hidden="1" x14ac:dyDescent="0.25">
      <c r="A1356" s="71"/>
      <c r="B1356" s="19" t="e">
        <f>VLOOKUP(Table27[[#This Row],[Location 
(drop-down)]],'List source'!D$2:E$71,2,FALSE)</f>
        <v>#N/A</v>
      </c>
      <c r="C1356" s="178" t="s">
        <v>4982</v>
      </c>
      <c r="D1356" s="21" t="e">
        <f t="shared" si="42"/>
        <v>#N/A</v>
      </c>
      <c r="E1356" s="71"/>
      <c r="F1356" s="10" t="e" cm="1">
        <f t="array" aca="1" ref="F13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6" s="75"/>
      <c r="I1356" s="73"/>
      <c r="J1356" s="73"/>
      <c r="K1356" s="74"/>
      <c r="L1356" s="68"/>
      <c r="M1356" s="10">
        <f t="shared" ca="1" si="43"/>
        <v>46077</v>
      </c>
    </row>
    <row r="1357" spans="1:13" ht="18.75" hidden="1" x14ac:dyDescent="0.25">
      <c r="A1357" s="71"/>
      <c r="B1357" s="19" t="e">
        <f>VLOOKUP(Table27[[#This Row],[Location 
(drop-down)]],'List source'!D$2:E$71,2,FALSE)</f>
        <v>#N/A</v>
      </c>
      <c r="C1357" s="178" t="s">
        <v>4983</v>
      </c>
      <c r="D1357" s="21" t="e">
        <f t="shared" si="42"/>
        <v>#N/A</v>
      </c>
      <c r="E1357" s="71"/>
      <c r="F1357" s="10" t="e" cm="1">
        <f t="array" aca="1" ref="F13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7" s="75"/>
      <c r="I1357" s="73"/>
      <c r="J1357" s="73"/>
      <c r="K1357" s="74"/>
      <c r="L1357" s="68"/>
      <c r="M1357" s="10">
        <f t="shared" ca="1" si="43"/>
        <v>46077</v>
      </c>
    </row>
    <row r="1358" spans="1:13" ht="18.75" hidden="1" x14ac:dyDescent="0.25">
      <c r="A1358" s="71"/>
      <c r="B1358" s="19" t="e">
        <f>VLOOKUP(Table27[[#This Row],[Location 
(drop-down)]],'List source'!D$2:E$71,2,FALSE)</f>
        <v>#N/A</v>
      </c>
      <c r="C1358" s="178" t="s">
        <v>4984</v>
      </c>
      <c r="D1358" s="21" t="e">
        <f t="shared" si="42"/>
        <v>#N/A</v>
      </c>
      <c r="E1358" s="71"/>
      <c r="F1358" s="10" t="e" cm="1">
        <f t="array" aca="1" ref="F13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8" s="75"/>
      <c r="I1358" s="73"/>
      <c r="J1358" s="73"/>
      <c r="K1358" s="74"/>
      <c r="L1358" s="68"/>
      <c r="M1358" s="10">
        <f t="shared" ca="1" si="43"/>
        <v>46077</v>
      </c>
    </row>
    <row r="1359" spans="1:13" ht="18.75" hidden="1" x14ac:dyDescent="0.25">
      <c r="A1359" s="71"/>
      <c r="B1359" s="19" t="e">
        <f>VLOOKUP(Table27[[#This Row],[Location 
(drop-down)]],'List source'!D$2:E$71,2,FALSE)</f>
        <v>#N/A</v>
      </c>
      <c r="C1359" s="178" t="s">
        <v>4985</v>
      </c>
      <c r="D1359" s="21" t="e">
        <f t="shared" si="42"/>
        <v>#N/A</v>
      </c>
      <c r="E1359" s="71"/>
      <c r="F1359" s="10" t="e" cm="1">
        <f t="array" aca="1" ref="F13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5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59" s="75"/>
      <c r="I1359" s="73"/>
      <c r="J1359" s="73"/>
      <c r="K1359" s="74"/>
      <c r="L1359" s="68"/>
      <c r="M1359" s="10">
        <f t="shared" ca="1" si="43"/>
        <v>46077</v>
      </c>
    </row>
    <row r="1360" spans="1:13" ht="18.75" hidden="1" x14ac:dyDescent="0.25">
      <c r="A1360" s="71"/>
      <c r="B1360" s="19" t="e">
        <f>VLOOKUP(Table27[[#This Row],[Location 
(drop-down)]],'List source'!D$2:E$71,2,FALSE)</f>
        <v>#N/A</v>
      </c>
      <c r="C1360" s="178" t="s">
        <v>4986</v>
      </c>
      <c r="D1360" s="21" t="e">
        <f t="shared" si="42"/>
        <v>#N/A</v>
      </c>
      <c r="E1360" s="71"/>
      <c r="F1360" s="10" t="e" cm="1">
        <f t="array" aca="1" ref="F13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0" s="75"/>
      <c r="I1360" s="73"/>
      <c r="J1360" s="73"/>
      <c r="K1360" s="74"/>
      <c r="L1360" s="68"/>
      <c r="M1360" s="10">
        <f t="shared" ca="1" si="43"/>
        <v>46077</v>
      </c>
    </row>
    <row r="1361" spans="1:13" ht="18.75" hidden="1" x14ac:dyDescent="0.25">
      <c r="A1361" s="71"/>
      <c r="B1361" s="19" t="e">
        <f>VLOOKUP(Table27[[#This Row],[Location 
(drop-down)]],'List source'!D$2:E$71,2,FALSE)</f>
        <v>#N/A</v>
      </c>
      <c r="C1361" s="178" t="s">
        <v>4987</v>
      </c>
      <c r="D1361" s="21" t="e">
        <f t="shared" si="42"/>
        <v>#N/A</v>
      </c>
      <c r="E1361" s="71"/>
      <c r="F1361" s="10" t="e" cm="1">
        <f t="array" aca="1" ref="F13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1" s="75"/>
      <c r="I1361" s="73"/>
      <c r="J1361" s="73"/>
      <c r="K1361" s="74"/>
      <c r="L1361" s="68"/>
      <c r="M1361" s="10">
        <f t="shared" ca="1" si="43"/>
        <v>46077</v>
      </c>
    </row>
    <row r="1362" spans="1:13" ht="18.75" hidden="1" x14ac:dyDescent="0.25">
      <c r="A1362" s="71"/>
      <c r="B1362" s="19" t="e">
        <f>VLOOKUP(Table27[[#This Row],[Location 
(drop-down)]],'List source'!D$2:E$71,2,FALSE)</f>
        <v>#N/A</v>
      </c>
      <c r="C1362" s="178" t="s">
        <v>4988</v>
      </c>
      <c r="D1362" s="21" t="e">
        <f t="shared" si="42"/>
        <v>#N/A</v>
      </c>
      <c r="E1362" s="71"/>
      <c r="F1362" s="10" t="e" cm="1">
        <f t="array" aca="1" ref="F13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2" s="75"/>
      <c r="I1362" s="73"/>
      <c r="J1362" s="73"/>
      <c r="K1362" s="74"/>
      <c r="L1362" s="68"/>
      <c r="M1362" s="10">
        <f t="shared" ca="1" si="43"/>
        <v>46077</v>
      </c>
    </row>
    <row r="1363" spans="1:13" ht="18.75" hidden="1" x14ac:dyDescent="0.25">
      <c r="A1363" s="71"/>
      <c r="B1363" s="19" t="e">
        <f>VLOOKUP(Table27[[#This Row],[Location 
(drop-down)]],'List source'!D$2:E$71,2,FALSE)</f>
        <v>#N/A</v>
      </c>
      <c r="C1363" s="178" t="s">
        <v>4989</v>
      </c>
      <c r="D1363" s="21" t="e">
        <f t="shared" si="42"/>
        <v>#N/A</v>
      </c>
      <c r="E1363" s="71"/>
      <c r="F1363" s="10" t="e" cm="1">
        <f t="array" aca="1" ref="F13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3" s="75"/>
      <c r="I1363" s="73"/>
      <c r="J1363" s="73"/>
      <c r="K1363" s="74"/>
      <c r="L1363" s="68"/>
      <c r="M1363" s="10">
        <f t="shared" ca="1" si="43"/>
        <v>46077</v>
      </c>
    </row>
    <row r="1364" spans="1:13" ht="18.75" hidden="1" x14ac:dyDescent="0.25">
      <c r="A1364" s="71"/>
      <c r="B1364" s="19" t="e">
        <f>VLOOKUP(Table27[[#This Row],[Location 
(drop-down)]],'List source'!D$2:E$71,2,FALSE)</f>
        <v>#N/A</v>
      </c>
      <c r="C1364" s="178" t="s">
        <v>4990</v>
      </c>
      <c r="D1364" s="21" t="e">
        <f t="shared" si="42"/>
        <v>#N/A</v>
      </c>
      <c r="E1364" s="71"/>
      <c r="F1364" s="10" t="e" cm="1">
        <f t="array" aca="1" ref="F13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4" s="75"/>
      <c r="I1364" s="73"/>
      <c r="J1364" s="73"/>
      <c r="K1364" s="74"/>
      <c r="L1364" s="68"/>
      <c r="M1364" s="10">
        <f t="shared" ca="1" si="43"/>
        <v>46077</v>
      </c>
    </row>
    <row r="1365" spans="1:13" ht="18.75" hidden="1" x14ac:dyDescent="0.25">
      <c r="A1365" s="71"/>
      <c r="B1365" s="19" t="e">
        <f>VLOOKUP(Table27[[#This Row],[Location 
(drop-down)]],'List source'!D$2:E$71,2,FALSE)</f>
        <v>#N/A</v>
      </c>
      <c r="C1365" s="178" t="s">
        <v>4991</v>
      </c>
      <c r="D1365" s="21" t="e">
        <f t="shared" si="42"/>
        <v>#N/A</v>
      </c>
      <c r="E1365" s="71"/>
      <c r="F1365" s="10" t="e" cm="1">
        <f t="array" aca="1" ref="F13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5" s="75"/>
      <c r="I1365" s="73"/>
      <c r="J1365" s="73"/>
      <c r="K1365" s="74"/>
      <c r="L1365" s="68"/>
      <c r="M1365" s="10">
        <f t="shared" ca="1" si="43"/>
        <v>46077</v>
      </c>
    </row>
    <row r="1366" spans="1:13" ht="18.75" hidden="1" x14ac:dyDescent="0.25">
      <c r="A1366" s="71"/>
      <c r="B1366" s="19" t="e">
        <f>VLOOKUP(Table27[[#This Row],[Location 
(drop-down)]],'List source'!D$2:E$71,2,FALSE)</f>
        <v>#N/A</v>
      </c>
      <c r="C1366" s="178" t="s">
        <v>4992</v>
      </c>
      <c r="D1366" s="21" t="e">
        <f t="shared" si="42"/>
        <v>#N/A</v>
      </c>
      <c r="E1366" s="71"/>
      <c r="F1366" s="10" t="e" cm="1">
        <f t="array" aca="1" ref="F13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6" s="75"/>
      <c r="I1366" s="73"/>
      <c r="J1366" s="73"/>
      <c r="K1366" s="74"/>
      <c r="L1366" s="68"/>
      <c r="M1366" s="10">
        <f t="shared" ca="1" si="43"/>
        <v>46077</v>
      </c>
    </row>
    <row r="1367" spans="1:13" ht="18.75" hidden="1" x14ac:dyDescent="0.25">
      <c r="A1367" s="71"/>
      <c r="B1367" s="19" t="e">
        <f>VLOOKUP(Table27[[#This Row],[Location 
(drop-down)]],'List source'!D$2:E$71,2,FALSE)</f>
        <v>#N/A</v>
      </c>
      <c r="C1367" s="178" t="s">
        <v>4993</v>
      </c>
      <c r="D1367" s="21" t="e">
        <f t="shared" si="42"/>
        <v>#N/A</v>
      </c>
      <c r="E1367" s="71"/>
      <c r="F1367" s="10" t="e" cm="1">
        <f t="array" aca="1" ref="F13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7" s="75"/>
      <c r="I1367" s="73"/>
      <c r="J1367" s="73"/>
      <c r="K1367" s="74"/>
      <c r="L1367" s="68"/>
      <c r="M1367" s="10">
        <f t="shared" ca="1" si="43"/>
        <v>46077</v>
      </c>
    </row>
    <row r="1368" spans="1:13" ht="18.75" hidden="1" x14ac:dyDescent="0.25">
      <c r="A1368" s="71"/>
      <c r="B1368" s="19" t="e">
        <f>VLOOKUP(Table27[[#This Row],[Location 
(drop-down)]],'List source'!D$2:E$71,2,FALSE)</f>
        <v>#N/A</v>
      </c>
      <c r="C1368" s="178" t="s">
        <v>4994</v>
      </c>
      <c r="D1368" s="21" t="e">
        <f t="shared" si="42"/>
        <v>#N/A</v>
      </c>
      <c r="E1368" s="71"/>
      <c r="F1368" s="10" t="e" cm="1">
        <f t="array" aca="1" ref="F13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8" s="75"/>
      <c r="I1368" s="73"/>
      <c r="J1368" s="73"/>
      <c r="K1368" s="74"/>
      <c r="L1368" s="68"/>
      <c r="M1368" s="10">
        <f t="shared" ca="1" si="43"/>
        <v>46077</v>
      </c>
    </row>
    <row r="1369" spans="1:13" ht="18.75" hidden="1" x14ac:dyDescent="0.25">
      <c r="A1369" s="71"/>
      <c r="B1369" s="19" t="e">
        <f>VLOOKUP(Table27[[#This Row],[Location 
(drop-down)]],'List source'!D$2:E$71,2,FALSE)</f>
        <v>#N/A</v>
      </c>
      <c r="C1369" s="178" t="s">
        <v>4995</v>
      </c>
      <c r="D1369" s="21" t="e">
        <f t="shared" si="42"/>
        <v>#N/A</v>
      </c>
      <c r="E1369" s="71"/>
      <c r="F1369" s="10" t="e" cm="1">
        <f t="array" aca="1" ref="F13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6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69" s="75"/>
      <c r="I1369" s="73"/>
      <c r="J1369" s="73"/>
      <c r="K1369" s="74"/>
      <c r="L1369" s="68"/>
      <c r="M1369" s="10">
        <f t="shared" ca="1" si="43"/>
        <v>46077</v>
      </c>
    </row>
    <row r="1370" spans="1:13" ht="18.75" hidden="1" x14ac:dyDescent="0.25">
      <c r="A1370" s="71"/>
      <c r="B1370" s="19" t="e">
        <f>VLOOKUP(Table27[[#This Row],[Location 
(drop-down)]],'List source'!D$2:E$71,2,FALSE)</f>
        <v>#N/A</v>
      </c>
      <c r="C1370" s="178" t="s">
        <v>4996</v>
      </c>
      <c r="D1370" s="21" t="e">
        <f t="shared" si="42"/>
        <v>#N/A</v>
      </c>
      <c r="E1370" s="71"/>
      <c r="F1370" s="10" t="e" cm="1">
        <f t="array" aca="1" ref="F13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0" s="75"/>
      <c r="I1370" s="73"/>
      <c r="J1370" s="73"/>
      <c r="K1370" s="74"/>
      <c r="L1370" s="68"/>
      <c r="M1370" s="10">
        <f t="shared" ca="1" si="43"/>
        <v>46077</v>
      </c>
    </row>
    <row r="1371" spans="1:13" ht="18.75" hidden="1" x14ac:dyDescent="0.25">
      <c r="A1371" s="71"/>
      <c r="B1371" s="19" t="e">
        <f>VLOOKUP(Table27[[#This Row],[Location 
(drop-down)]],'List source'!D$2:E$71,2,FALSE)</f>
        <v>#N/A</v>
      </c>
      <c r="C1371" s="178" t="s">
        <v>4997</v>
      </c>
      <c r="D1371" s="21" t="e">
        <f t="shared" si="42"/>
        <v>#N/A</v>
      </c>
      <c r="E1371" s="71"/>
      <c r="F1371" s="10" t="e" cm="1">
        <f t="array" aca="1" ref="F13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1" s="75"/>
      <c r="I1371" s="73"/>
      <c r="J1371" s="73"/>
      <c r="K1371" s="74"/>
      <c r="L1371" s="68"/>
      <c r="M1371" s="10">
        <f t="shared" ca="1" si="43"/>
        <v>46077</v>
      </c>
    </row>
    <row r="1372" spans="1:13" ht="18.75" hidden="1" x14ac:dyDescent="0.25">
      <c r="A1372" s="71"/>
      <c r="B1372" s="19" t="e">
        <f>VLOOKUP(Table27[[#This Row],[Location 
(drop-down)]],'List source'!D$2:E$71,2,FALSE)</f>
        <v>#N/A</v>
      </c>
      <c r="C1372" s="178" t="s">
        <v>4998</v>
      </c>
      <c r="D1372" s="21" t="e">
        <f t="shared" si="42"/>
        <v>#N/A</v>
      </c>
      <c r="E1372" s="71"/>
      <c r="F1372" s="10" t="e" cm="1">
        <f t="array" aca="1" ref="F13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2" s="75"/>
      <c r="I1372" s="73"/>
      <c r="J1372" s="73"/>
      <c r="K1372" s="74"/>
      <c r="L1372" s="68"/>
      <c r="M1372" s="10">
        <f t="shared" ca="1" si="43"/>
        <v>46077</v>
      </c>
    </row>
    <row r="1373" spans="1:13" ht="18.75" hidden="1" x14ac:dyDescent="0.25">
      <c r="A1373" s="71"/>
      <c r="B1373" s="19" t="e">
        <f>VLOOKUP(Table27[[#This Row],[Location 
(drop-down)]],'List source'!D$2:E$71,2,FALSE)</f>
        <v>#N/A</v>
      </c>
      <c r="C1373" s="178" t="s">
        <v>4999</v>
      </c>
      <c r="D1373" s="21" t="e">
        <f t="shared" si="42"/>
        <v>#N/A</v>
      </c>
      <c r="E1373" s="71"/>
      <c r="F1373" s="10" t="e" cm="1">
        <f t="array" aca="1" ref="F13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3" s="75"/>
      <c r="I1373" s="73"/>
      <c r="J1373" s="73"/>
      <c r="K1373" s="74"/>
      <c r="L1373" s="68"/>
      <c r="M1373" s="10">
        <f t="shared" ca="1" si="43"/>
        <v>46077</v>
      </c>
    </row>
    <row r="1374" spans="1:13" ht="18.75" hidden="1" x14ac:dyDescent="0.25">
      <c r="A1374" s="71"/>
      <c r="B1374" s="19" t="e">
        <f>VLOOKUP(Table27[[#This Row],[Location 
(drop-down)]],'List source'!D$2:E$71,2,FALSE)</f>
        <v>#N/A</v>
      </c>
      <c r="C1374" s="178" t="s">
        <v>5000</v>
      </c>
      <c r="D1374" s="21" t="e">
        <f t="shared" si="42"/>
        <v>#N/A</v>
      </c>
      <c r="E1374" s="71"/>
      <c r="F1374" s="10" t="e" cm="1">
        <f t="array" aca="1" ref="F13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4" s="75"/>
      <c r="I1374" s="73"/>
      <c r="J1374" s="73"/>
      <c r="K1374" s="74"/>
      <c r="L1374" s="68"/>
      <c r="M1374" s="10">
        <f t="shared" ca="1" si="43"/>
        <v>46077</v>
      </c>
    </row>
    <row r="1375" spans="1:13" ht="18.75" hidden="1" x14ac:dyDescent="0.25">
      <c r="A1375" s="71"/>
      <c r="B1375" s="19" t="e">
        <f>VLOOKUP(Table27[[#This Row],[Location 
(drop-down)]],'List source'!D$2:E$71,2,FALSE)</f>
        <v>#N/A</v>
      </c>
      <c r="C1375" s="178" t="s">
        <v>5001</v>
      </c>
      <c r="D1375" s="21" t="e">
        <f t="shared" si="42"/>
        <v>#N/A</v>
      </c>
      <c r="E1375" s="71"/>
      <c r="F1375" s="10" t="e" cm="1">
        <f t="array" aca="1" ref="F13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5" s="75"/>
      <c r="I1375" s="73"/>
      <c r="J1375" s="73"/>
      <c r="K1375" s="74"/>
      <c r="L1375" s="68"/>
      <c r="M1375" s="10">
        <f t="shared" ca="1" si="43"/>
        <v>46077</v>
      </c>
    </row>
    <row r="1376" spans="1:13" ht="18.75" hidden="1" x14ac:dyDescent="0.25">
      <c r="A1376" s="71"/>
      <c r="B1376" s="19" t="e">
        <f>VLOOKUP(Table27[[#This Row],[Location 
(drop-down)]],'List source'!D$2:E$71,2,FALSE)</f>
        <v>#N/A</v>
      </c>
      <c r="C1376" s="178" t="s">
        <v>5002</v>
      </c>
      <c r="D1376" s="21" t="e">
        <f t="shared" si="42"/>
        <v>#N/A</v>
      </c>
      <c r="E1376" s="71"/>
      <c r="F1376" s="10" t="e" cm="1">
        <f t="array" aca="1" ref="F13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6" s="75"/>
      <c r="I1376" s="73"/>
      <c r="J1376" s="73"/>
      <c r="K1376" s="74"/>
      <c r="L1376" s="68"/>
      <c r="M1376" s="10">
        <f t="shared" ca="1" si="43"/>
        <v>46077</v>
      </c>
    </row>
    <row r="1377" spans="1:13" ht="18.75" hidden="1" x14ac:dyDescent="0.25">
      <c r="A1377" s="71"/>
      <c r="B1377" s="19" t="e">
        <f>VLOOKUP(Table27[[#This Row],[Location 
(drop-down)]],'List source'!D$2:E$71,2,FALSE)</f>
        <v>#N/A</v>
      </c>
      <c r="C1377" s="178" t="s">
        <v>5003</v>
      </c>
      <c r="D1377" s="21" t="e">
        <f t="shared" si="42"/>
        <v>#N/A</v>
      </c>
      <c r="E1377" s="71"/>
      <c r="F1377" s="10" t="e" cm="1">
        <f t="array" aca="1" ref="F13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7" s="75"/>
      <c r="I1377" s="73"/>
      <c r="J1377" s="73"/>
      <c r="K1377" s="74"/>
      <c r="L1377" s="68"/>
      <c r="M1377" s="10">
        <f t="shared" ca="1" si="43"/>
        <v>46077</v>
      </c>
    </row>
    <row r="1378" spans="1:13" ht="18.75" hidden="1" x14ac:dyDescent="0.25">
      <c r="A1378" s="71"/>
      <c r="B1378" s="19" t="e">
        <f>VLOOKUP(Table27[[#This Row],[Location 
(drop-down)]],'List source'!D$2:E$71,2,FALSE)</f>
        <v>#N/A</v>
      </c>
      <c r="C1378" s="178" t="s">
        <v>5004</v>
      </c>
      <c r="D1378" s="21" t="e">
        <f t="shared" si="42"/>
        <v>#N/A</v>
      </c>
      <c r="E1378" s="71"/>
      <c r="F1378" s="10" t="e" cm="1">
        <f t="array" aca="1" ref="F13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8" s="75"/>
      <c r="I1378" s="73"/>
      <c r="J1378" s="73"/>
      <c r="K1378" s="74"/>
      <c r="L1378" s="68"/>
      <c r="M1378" s="10">
        <f t="shared" ca="1" si="43"/>
        <v>46077</v>
      </c>
    </row>
    <row r="1379" spans="1:13" ht="18.75" hidden="1" x14ac:dyDescent="0.25">
      <c r="A1379" s="71"/>
      <c r="B1379" s="19" t="e">
        <f>VLOOKUP(Table27[[#This Row],[Location 
(drop-down)]],'List source'!D$2:E$71,2,FALSE)</f>
        <v>#N/A</v>
      </c>
      <c r="C1379" s="178" t="s">
        <v>5005</v>
      </c>
      <c r="D1379" s="21" t="e">
        <f t="shared" si="42"/>
        <v>#N/A</v>
      </c>
      <c r="E1379" s="71"/>
      <c r="F1379" s="10" t="e" cm="1">
        <f t="array" aca="1" ref="F13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7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79" s="75"/>
      <c r="I1379" s="73"/>
      <c r="J1379" s="73"/>
      <c r="K1379" s="74"/>
      <c r="L1379" s="68"/>
      <c r="M1379" s="10">
        <f t="shared" ca="1" si="43"/>
        <v>46077</v>
      </c>
    </row>
    <row r="1380" spans="1:13" ht="18.75" hidden="1" x14ac:dyDescent="0.25">
      <c r="A1380" s="71"/>
      <c r="B1380" s="19" t="e">
        <f>VLOOKUP(Table27[[#This Row],[Location 
(drop-down)]],'List source'!D$2:E$71,2,FALSE)</f>
        <v>#N/A</v>
      </c>
      <c r="C1380" s="178" t="s">
        <v>5006</v>
      </c>
      <c r="D1380" s="21" t="e">
        <f t="shared" si="42"/>
        <v>#N/A</v>
      </c>
      <c r="E1380" s="71"/>
      <c r="F1380" s="10" t="e" cm="1">
        <f t="array" aca="1" ref="F13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0" s="75"/>
      <c r="I1380" s="73"/>
      <c r="J1380" s="73"/>
      <c r="K1380" s="74"/>
      <c r="L1380" s="68"/>
      <c r="M1380" s="10">
        <f t="shared" ca="1" si="43"/>
        <v>46077</v>
      </c>
    </row>
    <row r="1381" spans="1:13" ht="18.75" hidden="1" x14ac:dyDescent="0.25">
      <c r="A1381" s="71"/>
      <c r="B1381" s="19" t="e">
        <f>VLOOKUP(Table27[[#This Row],[Location 
(drop-down)]],'List source'!D$2:E$71,2,FALSE)</f>
        <v>#N/A</v>
      </c>
      <c r="C1381" s="178" t="s">
        <v>5007</v>
      </c>
      <c r="D1381" s="21" t="e">
        <f t="shared" si="42"/>
        <v>#N/A</v>
      </c>
      <c r="E1381" s="71"/>
      <c r="F1381" s="10" t="e" cm="1">
        <f t="array" aca="1" ref="F13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1" s="75"/>
      <c r="I1381" s="73"/>
      <c r="J1381" s="73"/>
      <c r="K1381" s="74"/>
      <c r="L1381" s="68"/>
      <c r="M1381" s="10">
        <f t="shared" ca="1" si="43"/>
        <v>46077</v>
      </c>
    </row>
    <row r="1382" spans="1:13" ht="18.75" hidden="1" x14ac:dyDescent="0.25">
      <c r="A1382" s="71"/>
      <c r="B1382" s="19" t="e">
        <f>VLOOKUP(Table27[[#This Row],[Location 
(drop-down)]],'List source'!D$2:E$71,2,FALSE)</f>
        <v>#N/A</v>
      </c>
      <c r="C1382" s="178" t="s">
        <v>5008</v>
      </c>
      <c r="D1382" s="21" t="e">
        <f t="shared" si="42"/>
        <v>#N/A</v>
      </c>
      <c r="E1382" s="71"/>
      <c r="F1382" s="10" t="e" cm="1">
        <f t="array" aca="1" ref="F13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2" s="75"/>
      <c r="I1382" s="73"/>
      <c r="J1382" s="73"/>
      <c r="K1382" s="74"/>
      <c r="L1382" s="68"/>
      <c r="M1382" s="10">
        <f t="shared" ca="1" si="43"/>
        <v>46077</v>
      </c>
    </row>
    <row r="1383" spans="1:13" ht="18.75" hidden="1" x14ac:dyDescent="0.25">
      <c r="A1383" s="71"/>
      <c r="B1383" s="19" t="e">
        <f>VLOOKUP(Table27[[#This Row],[Location 
(drop-down)]],'List source'!D$2:E$71,2,FALSE)</f>
        <v>#N/A</v>
      </c>
      <c r="C1383" s="178" t="s">
        <v>5009</v>
      </c>
      <c r="D1383" s="21" t="e">
        <f t="shared" si="42"/>
        <v>#N/A</v>
      </c>
      <c r="E1383" s="71"/>
      <c r="F1383" s="10" t="e" cm="1">
        <f t="array" aca="1" ref="F13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3" s="75"/>
      <c r="I1383" s="73"/>
      <c r="J1383" s="73"/>
      <c r="K1383" s="74"/>
      <c r="L1383" s="68"/>
      <c r="M1383" s="10">
        <f t="shared" ca="1" si="43"/>
        <v>46077</v>
      </c>
    </row>
    <row r="1384" spans="1:13" ht="18.75" hidden="1" x14ac:dyDescent="0.25">
      <c r="A1384" s="71"/>
      <c r="B1384" s="19" t="e">
        <f>VLOOKUP(Table27[[#This Row],[Location 
(drop-down)]],'List source'!D$2:E$71,2,FALSE)</f>
        <v>#N/A</v>
      </c>
      <c r="C1384" s="178" t="s">
        <v>5010</v>
      </c>
      <c r="D1384" s="21" t="e">
        <f t="shared" si="42"/>
        <v>#N/A</v>
      </c>
      <c r="E1384" s="71"/>
      <c r="F1384" s="10" t="e" cm="1">
        <f t="array" aca="1" ref="F13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4" s="75"/>
      <c r="I1384" s="73"/>
      <c r="J1384" s="73"/>
      <c r="K1384" s="74"/>
      <c r="L1384" s="68"/>
      <c r="M1384" s="10">
        <f t="shared" ca="1" si="43"/>
        <v>46077</v>
      </c>
    </row>
    <row r="1385" spans="1:13" ht="18.75" hidden="1" x14ac:dyDescent="0.25">
      <c r="A1385" s="71"/>
      <c r="B1385" s="19" t="e">
        <f>VLOOKUP(Table27[[#This Row],[Location 
(drop-down)]],'List source'!D$2:E$71,2,FALSE)</f>
        <v>#N/A</v>
      </c>
      <c r="C1385" s="178" t="s">
        <v>5011</v>
      </c>
      <c r="D1385" s="21" t="e">
        <f t="shared" si="42"/>
        <v>#N/A</v>
      </c>
      <c r="E1385" s="71"/>
      <c r="F1385" s="10" t="e" cm="1">
        <f t="array" aca="1" ref="F13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5" s="75"/>
      <c r="I1385" s="73"/>
      <c r="J1385" s="73"/>
      <c r="K1385" s="74"/>
      <c r="L1385" s="68"/>
      <c r="M1385" s="10">
        <f t="shared" ca="1" si="43"/>
        <v>46077</v>
      </c>
    </row>
    <row r="1386" spans="1:13" ht="18.75" hidden="1" x14ac:dyDescent="0.25">
      <c r="A1386" s="71"/>
      <c r="B1386" s="19" t="e">
        <f>VLOOKUP(Table27[[#This Row],[Location 
(drop-down)]],'List source'!D$2:E$71,2,FALSE)</f>
        <v>#N/A</v>
      </c>
      <c r="C1386" s="178" t="s">
        <v>5012</v>
      </c>
      <c r="D1386" s="21" t="e">
        <f t="shared" si="42"/>
        <v>#N/A</v>
      </c>
      <c r="E1386" s="71"/>
      <c r="F1386" s="10" t="e" cm="1">
        <f t="array" aca="1" ref="F13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6" s="75"/>
      <c r="I1386" s="73"/>
      <c r="J1386" s="73"/>
      <c r="K1386" s="74"/>
      <c r="L1386" s="68"/>
      <c r="M1386" s="10">
        <f t="shared" ca="1" si="43"/>
        <v>46077</v>
      </c>
    </row>
    <row r="1387" spans="1:13" ht="18.75" hidden="1" x14ac:dyDescent="0.25">
      <c r="A1387" s="71"/>
      <c r="B1387" s="19" t="e">
        <f>VLOOKUP(Table27[[#This Row],[Location 
(drop-down)]],'List source'!D$2:E$71,2,FALSE)</f>
        <v>#N/A</v>
      </c>
      <c r="C1387" s="178" t="s">
        <v>5013</v>
      </c>
      <c r="D1387" s="21" t="e">
        <f t="shared" si="42"/>
        <v>#N/A</v>
      </c>
      <c r="E1387" s="71"/>
      <c r="F1387" s="10" t="e" cm="1">
        <f t="array" aca="1" ref="F13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7" s="75"/>
      <c r="I1387" s="73"/>
      <c r="J1387" s="73"/>
      <c r="K1387" s="74"/>
      <c r="L1387" s="68"/>
      <c r="M1387" s="10">
        <f t="shared" ca="1" si="43"/>
        <v>46077</v>
      </c>
    </row>
    <row r="1388" spans="1:13" ht="18.75" hidden="1" x14ac:dyDescent="0.25">
      <c r="A1388" s="71"/>
      <c r="B1388" s="19" t="e">
        <f>VLOOKUP(Table27[[#This Row],[Location 
(drop-down)]],'List source'!D$2:E$71,2,FALSE)</f>
        <v>#N/A</v>
      </c>
      <c r="C1388" s="178" t="s">
        <v>5014</v>
      </c>
      <c r="D1388" s="21" t="e">
        <f t="shared" si="42"/>
        <v>#N/A</v>
      </c>
      <c r="E1388" s="71"/>
      <c r="F1388" s="10" t="e" cm="1">
        <f t="array" aca="1" ref="F13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8" s="75"/>
      <c r="I1388" s="73"/>
      <c r="J1388" s="73"/>
      <c r="K1388" s="74"/>
      <c r="L1388" s="68"/>
      <c r="M1388" s="10">
        <f t="shared" ca="1" si="43"/>
        <v>46077</v>
      </c>
    </row>
    <row r="1389" spans="1:13" ht="18.75" hidden="1" x14ac:dyDescent="0.25">
      <c r="A1389" s="71"/>
      <c r="B1389" s="19" t="e">
        <f>VLOOKUP(Table27[[#This Row],[Location 
(drop-down)]],'List source'!D$2:E$71,2,FALSE)</f>
        <v>#N/A</v>
      </c>
      <c r="C1389" s="178" t="s">
        <v>5015</v>
      </c>
      <c r="D1389" s="21" t="e">
        <f t="shared" si="42"/>
        <v>#N/A</v>
      </c>
      <c r="E1389" s="71"/>
      <c r="F1389" s="10" t="e" cm="1">
        <f t="array" aca="1" ref="F13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8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89" s="75"/>
      <c r="I1389" s="73"/>
      <c r="J1389" s="73"/>
      <c r="K1389" s="74"/>
      <c r="L1389" s="68"/>
      <c r="M1389" s="10">
        <f t="shared" ca="1" si="43"/>
        <v>46077</v>
      </c>
    </row>
    <row r="1390" spans="1:13" ht="18.75" hidden="1" x14ac:dyDescent="0.25">
      <c r="A1390" s="71"/>
      <c r="B1390" s="19" t="e">
        <f>VLOOKUP(Table27[[#This Row],[Location 
(drop-down)]],'List source'!D$2:E$71,2,FALSE)</f>
        <v>#N/A</v>
      </c>
      <c r="C1390" s="178" t="s">
        <v>5016</v>
      </c>
      <c r="D1390" s="21" t="e">
        <f t="shared" si="42"/>
        <v>#N/A</v>
      </c>
      <c r="E1390" s="71"/>
      <c r="F1390" s="10" t="e" cm="1">
        <f t="array" aca="1" ref="F13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0" s="75"/>
      <c r="I1390" s="73"/>
      <c r="J1390" s="73"/>
      <c r="K1390" s="74"/>
      <c r="L1390" s="68"/>
      <c r="M1390" s="10">
        <f t="shared" ca="1" si="43"/>
        <v>46077</v>
      </c>
    </row>
    <row r="1391" spans="1:13" ht="18.75" hidden="1" x14ac:dyDescent="0.25">
      <c r="A1391" s="71"/>
      <c r="B1391" s="19" t="e">
        <f>VLOOKUP(Table27[[#This Row],[Location 
(drop-down)]],'List source'!D$2:E$71,2,FALSE)</f>
        <v>#N/A</v>
      </c>
      <c r="C1391" s="178" t="s">
        <v>5017</v>
      </c>
      <c r="D1391" s="21" t="e">
        <f t="shared" si="42"/>
        <v>#N/A</v>
      </c>
      <c r="E1391" s="71"/>
      <c r="F1391" s="10" t="e" cm="1">
        <f t="array" aca="1" ref="F13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1" s="75"/>
      <c r="I1391" s="73"/>
      <c r="J1391" s="73"/>
      <c r="K1391" s="74"/>
      <c r="L1391" s="68"/>
      <c r="M1391" s="10">
        <f t="shared" ca="1" si="43"/>
        <v>46077</v>
      </c>
    </row>
    <row r="1392" spans="1:13" ht="18.75" hidden="1" x14ac:dyDescent="0.25">
      <c r="A1392" s="71"/>
      <c r="B1392" s="19" t="e">
        <f>VLOOKUP(Table27[[#This Row],[Location 
(drop-down)]],'List source'!D$2:E$71,2,FALSE)</f>
        <v>#N/A</v>
      </c>
      <c r="C1392" s="178" t="s">
        <v>5018</v>
      </c>
      <c r="D1392" s="21" t="e">
        <f t="shared" si="42"/>
        <v>#N/A</v>
      </c>
      <c r="E1392" s="71"/>
      <c r="F1392" s="10" t="e" cm="1">
        <f t="array" aca="1" ref="F13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2" s="75"/>
      <c r="I1392" s="73"/>
      <c r="J1392" s="73"/>
      <c r="K1392" s="74"/>
      <c r="L1392" s="68"/>
      <c r="M1392" s="10">
        <f t="shared" ca="1" si="43"/>
        <v>46077</v>
      </c>
    </row>
    <row r="1393" spans="1:13" ht="18.75" hidden="1" x14ac:dyDescent="0.25">
      <c r="A1393" s="71"/>
      <c r="B1393" s="19" t="e">
        <f>VLOOKUP(Table27[[#This Row],[Location 
(drop-down)]],'List source'!D$2:E$71,2,FALSE)</f>
        <v>#N/A</v>
      </c>
      <c r="C1393" s="178" t="s">
        <v>5019</v>
      </c>
      <c r="D1393" s="21" t="e">
        <f t="shared" si="42"/>
        <v>#N/A</v>
      </c>
      <c r="E1393" s="71"/>
      <c r="F1393" s="10" t="e" cm="1">
        <f t="array" aca="1" ref="F13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3" s="75"/>
      <c r="I1393" s="73"/>
      <c r="J1393" s="73"/>
      <c r="K1393" s="74"/>
      <c r="L1393" s="68"/>
      <c r="M1393" s="10">
        <f t="shared" ca="1" si="43"/>
        <v>46077</v>
      </c>
    </row>
    <row r="1394" spans="1:13" ht="18.75" hidden="1" x14ac:dyDescent="0.25">
      <c r="A1394" s="71"/>
      <c r="B1394" s="19" t="e">
        <f>VLOOKUP(Table27[[#This Row],[Location 
(drop-down)]],'List source'!D$2:E$71,2,FALSE)</f>
        <v>#N/A</v>
      </c>
      <c r="C1394" s="178" t="s">
        <v>5020</v>
      </c>
      <c r="D1394" s="21" t="e">
        <f t="shared" si="42"/>
        <v>#N/A</v>
      </c>
      <c r="E1394" s="71"/>
      <c r="F1394" s="10" t="e" cm="1">
        <f t="array" aca="1" ref="F13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4" s="75"/>
      <c r="I1394" s="73"/>
      <c r="J1394" s="73"/>
      <c r="K1394" s="74"/>
      <c r="L1394" s="68"/>
      <c r="M1394" s="10">
        <f t="shared" ca="1" si="43"/>
        <v>46077</v>
      </c>
    </row>
    <row r="1395" spans="1:13" ht="18.75" hidden="1" x14ac:dyDescent="0.25">
      <c r="A1395" s="71"/>
      <c r="B1395" s="19" t="e">
        <f>VLOOKUP(Table27[[#This Row],[Location 
(drop-down)]],'List source'!D$2:E$71,2,FALSE)</f>
        <v>#N/A</v>
      </c>
      <c r="C1395" s="178" t="s">
        <v>5021</v>
      </c>
      <c r="D1395" s="21" t="e">
        <f t="shared" si="42"/>
        <v>#N/A</v>
      </c>
      <c r="E1395" s="71"/>
      <c r="F1395" s="10" t="e" cm="1">
        <f t="array" aca="1" ref="F13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5" s="75"/>
      <c r="I1395" s="73"/>
      <c r="J1395" s="73"/>
      <c r="K1395" s="74"/>
      <c r="L1395" s="68"/>
      <c r="M1395" s="10">
        <f t="shared" ca="1" si="43"/>
        <v>46077</v>
      </c>
    </row>
    <row r="1396" spans="1:13" ht="18.75" hidden="1" x14ac:dyDescent="0.25">
      <c r="A1396" s="71"/>
      <c r="B1396" s="19" t="e">
        <f>VLOOKUP(Table27[[#This Row],[Location 
(drop-down)]],'List source'!D$2:E$71,2,FALSE)</f>
        <v>#N/A</v>
      </c>
      <c r="C1396" s="178" t="s">
        <v>5022</v>
      </c>
      <c r="D1396" s="21" t="e">
        <f t="shared" si="42"/>
        <v>#N/A</v>
      </c>
      <c r="E1396" s="71"/>
      <c r="F1396" s="10" t="e" cm="1">
        <f t="array" aca="1" ref="F13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6" s="75"/>
      <c r="I1396" s="73"/>
      <c r="J1396" s="73"/>
      <c r="K1396" s="74"/>
      <c r="L1396" s="68"/>
      <c r="M1396" s="10">
        <f t="shared" ca="1" si="43"/>
        <v>46077</v>
      </c>
    </row>
    <row r="1397" spans="1:13" ht="18.75" hidden="1" x14ac:dyDescent="0.25">
      <c r="A1397" s="71"/>
      <c r="B1397" s="19" t="e">
        <f>VLOOKUP(Table27[[#This Row],[Location 
(drop-down)]],'List source'!D$2:E$71,2,FALSE)</f>
        <v>#N/A</v>
      </c>
      <c r="C1397" s="178" t="s">
        <v>5023</v>
      </c>
      <c r="D1397" s="21" t="e">
        <f t="shared" si="42"/>
        <v>#N/A</v>
      </c>
      <c r="E1397" s="71"/>
      <c r="F1397" s="10" t="e" cm="1">
        <f t="array" aca="1" ref="F13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7" s="75"/>
      <c r="I1397" s="73"/>
      <c r="J1397" s="73"/>
      <c r="K1397" s="74"/>
      <c r="L1397" s="68"/>
      <c r="M1397" s="10">
        <f t="shared" ca="1" si="43"/>
        <v>46077</v>
      </c>
    </row>
    <row r="1398" spans="1:13" ht="18.75" hidden="1" x14ac:dyDescent="0.25">
      <c r="A1398" s="71"/>
      <c r="B1398" s="19" t="e">
        <f>VLOOKUP(Table27[[#This Row],[Location 
(drop-down)]],'List source'!D$2:E$71,2,FALSE)</f>
        <v>#N/A</v>
      </c>
      <c r="C1398" s="178" t="s">
        <v>5024</v>
      </c>
      <c r="D1398" s="21" t="e">
        <f t="shared" si="42"/>
        <v>#N/A</v>
      </c>
      <c r="E1398" s="71"/>
      <c r="F1398" s="10" t="e" cm="1">
        <f t="array" aca="1" ref="F13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8" s="75"/>
      <c r="I1398" s="73"/>
      <c r="J1398" s="73"/>
      <c r="K1398" s="74"/>
      <c r="L1398" s="68"/>
      <c r="M1398" s="10">
        <f t="shared" ca="1" si="43"/>
        <v>46077</v>
      </c>
    </row>
    <row r="1399" spans="1:13" ht="18.75" hidden="1" x14ac:dyDescent="0.25">
      <c r="A1399" s="71"/>
      <c r="B1399" s="19" t="e">
        <f>VLOOKUP(Table27[[#This Row],[Location 
(drop-down)]],'List source'!D$2:E$71,2,FALSE)</f>
        <v>#N/A</v>
      </c>
      <c r="C1399" s="178" t="s">
        <v>5025</v>
      </c>
      <c r="D1399" s="21" t="e">
        <f t="shared" si="42"/>
        <v>#N/A</v>
      </c>
      <c r="E1399" s="71"/>
      <c r="F1399" s="10" t="e" cm="1">
        <f t="array" aca="1" ref="F13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39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399" s="75"/>
      <c r="I1399" s="73"/>
      <c r="J1399" s="73"/>
      <c r="K1399" s="74"/>
      <c r="L1399" s="68"/>
      <c r="M1399" s="10">
        <f t="shared" ca="1" si="43"/>
        <v>46077</v>
      </c>
    </row>
    <row r="1400" spans="1:13" ht="18.75" hidden="1" x14ac:dyDescent="0.25">
      <c r="A1400" s="71"/>
      <c r="B1400" s="19" t="e">
        <f>VLOOKUP(Table27[[#This Row],[Location 
(drop-down)]],'List source'!D$2:E$71,2,FALSE)</f>
        <v>#N/A</v>
      </c>
      <c r="C1400" s="178" t="s">
        <v>5026</v>
      </c>
      <c r="D1400" s="21" t="e">
        <f t="shared" si="42"/>
        <v>#N/A</v>
      </c>
      <c r="E1400" s="71"/>
      <c r="F1400" s="10" t="e" cm="1">
        <f t="array" aca="1" ref="F14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0" s="75"/>
      <c r="I1400" s="73"/>
      <c r="J1400" s="73"/>
      <c r="K1400" s="74"/>
      <c r="L1400" s="68"/>
      <c r="M1400" s="10">
        <f t="shared" ca="1" si="43"/>
        <v>46077</v>
      </c>
    </row>
    <row r="1401" spans="1:13" ht="18.75" hidden="1" x14ac:dyDescent="0.25">
      <c r="A1401" s="71"/>
      <c r="B1401" s="19" t="e">
        <f>VLOOKUP(Table27[[#This Row],[Location 
(drop-down)]],'List source'!D$2:E$71,2,FALSE)</f>
        <v>#N/A</v>
      </c>
      <c r="C1401" s="178" t="s">
        <v>5027</v>
      </c>
      <c r="D1401" s="21" t="e">
        <f t="shared" si="42"/>
        <v>#N/A</v>
      </c>
      <c r="E1401" s="71"/>
      <c r="F1401" s="10" t="e" cm="1">
        <f t="array" aca="1" ref="F14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1" s="75"/>
      <c r="I1401" s="73"/>
      <c r="J1401" s="73"/>
      <c r="K1401" s="74"/>
      <c r="L1401" s="68"/>
      <c r="M1401" s="10">
        <f t="shared" ca="1" si="43"/>
        <v>46077</v>
      </c>
    </row>
    <row r="1402" spans="1:13" ht="18.75" hidden="1" x14ac:dyDescent="0.25">
      <c r="A1402" s="71"/>
      <c r="B1402" s="19" t="e">
        <f>VLOOKUP(Table27[[#This Row],[Location 
(drop-down)]],'List source'!D$2:E$71,2,FALSE)</f>
        <v>#N/A</v>
      </c>
      <c r="C1402" s="178" t="s">
        <v>5028</v>
      </c>
      <c r="D1402" s="21" t="e">
        <f t="shared" si="42"/>
        <v>#N/A</v>
      </c>
      <c r="E1402" s="71"/>
      <c r="F1402" s="10" t="e" cm="1">
        <f t="array" aca="1" ref="F14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2" s="75"/>
      <c r="I1402" s="73"/>
      <c r="J1402" s="73"/>
      <c r="K1402" s="74"/>
      <c r="L1402" s="68"/>
      <c r="M1402" s="10">
        <f t="shared" ca="1" si="43"/>
        <v>46077</v>
      </c>
    </row>
    <row r="1403" spans="1:13" ht="18.75" hidden="1" x14ac:dyDescent="0.25">
      <c r="A1403" s="71"/>
      <c r="B1403" s="19" t="e">
        <f>VLOOKUP(Table27[[#This Row],[Location 
(drop-down)]],'List source'!D$2:E$71,2,FALSE)</f>
        <v>#N/A</v>
      </c>
      <c r="C1403" s="178" t="s">
        <v>5029</v>
      </c>
      <c r="D1403" s="21" t="e">
        <f t="shared" si="42"/>
        <v>#N/A</v>
      </c>
      <c r="E1403" s="71"/>
      <c r="F1403" s="10" t="e" cm="1">
        <f t="array" aca="1" ref="F14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3" s="75"/>
      <c r="I1403" s="73"/>
      <c r="J1403" s="73"/>
      <c r="K1403" s="74"/>
      <c r="L1403" s="68"/>
      <c r="M1403" s="10">
        <f t="shared" ca="1" si="43"/>
        <v>46077</v>
      </c>
    </row>
    <row r="1404" spans="1:13" ht="18.75" hidden="1" x14ac:dyDescent="0.25">
      <c r="A1404" s="71"/>
      <c r="B1404" s="19" t="e">
        <f>VLOOKUP(Table27[[#This Row],[Location 
(drop-down)]],'List source'!D$2:E$71,2,FALSE)</f>
        <v>#N/A</v>
      </c>
      <c r="C1404" s="178" t="s">
        <v>5030</v>
      </c>
      <c r="D1404" s="21" t="e">
        <f t="shared" si="42"/>
        <v>#N/A</v>
      </c>
      <c r="E1404" s="71"/>
      <c r="F1404" s="10" t="e" cm="1">
        <f t="array" aca="1" ref="F14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4" s="75"/>
      <c r="I1404" s="73"/>
      <c r="J1404" s="73"/>
      <c r="K1404" s="74"/>
      <c r="L1404" s="68"/>
      <c r="M1404" s="10">
        <f t="shared" ca="1" si="43"/>
        <v>46077</v>
      </c>
    </row>
    <row r="1405" spans="1:13" ht="18.75" hidden="1" x14ac:dyDescent="0.25">
      <c r="A1405" s="71"/>
      <c r="B1405" s="19" t="e">
        <f>VLOOKUP(Table27[[#This Row],[Location 
(drop-down)]],'List source'!D$2:E$71,2,FALSE)</f>
        <v>#N/A</v>
      </c>
      <c r="C1405" s="178" t="s">
        <v>5031</v>
      </c>
      <c r="D1405" s="21" t="e">
        <f t="shared" si="42"/>
        <v>#N/A</v>
      </c>
      <c r="E1405" s="71"/>
      <c r="F1405" s="10" t="e" cm="1">
        <f t="array" aca="1" ref="F14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5" s="75"/>
      <c r="I1405" s="73"/>
      <c r="J1405" s="73"/>
      <c r="K1405" s="74"/>
      <c r="L1405" s="68"/>
      <c r="M1405" s="10">
        <f t="shared" ca="1" si="43"/>
        <v>46077</v>
      </c>
    </row>
    <row r="1406" spans="1:13" ht="18.75" hidden="1" x14ac:dyDescent="0.25">
      <c r="A1406" s="71"/>
      <c r="B1406" s="19" t="e">
        <f>VLOOKUP(Table27[[#This Row],[Location 
(drop-down)]],'List source'!D$2:E$71,2,FALSE)</f>
        <v>#N/A</v>
      </c>
      <c r="C1406" s="178" t="s">
        <v>5032</v>
      </c>
      <c r="D1406" s="21" t="e">
        <f t="shared" si="42"/>
        <v>#N/A</v>
      </c>
      <c r="E1406" s="71"/>
      <c r="F1406" s="10" t="e" cm="1">
        <f t="array" aca="1" ref="F14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6" s="75"/>
      <c r="I1406" s="73"/>
      <c r="J1406" s="73"/>
      <c r="K1406" s="74"/>
      <c r="L1406" s="68"/>
      <c r="M1406" s="10">
        <f t="shared" ca="1" si="43"/>
        <v>46077</v>
      </c>
    </row>
    <row r="1407" spans="1:13" ht="18.75" hidden="1" x14ac:dyDescent="0.25">
      <c r="A1407" s="71"/>
      <c r="B1407" s="19" t="e">
        <f>VLOOKUP(Table27[[#This Row],[Location 
(drop-down)]],'List source'!D$2:E$71,2,FALSE)</f>
        <v>#N/A</v>
      </c>
      <c r="C1407" s="178" t="s">
        <v>5033</v>
      </c>
      <c r="D1407" s="21" t="e">
        <f t="shared" si="42"/>
        <v>#N/A</v>
      </c>
      <c r="E1407" s="71"/>
      <c r="F1407" s="10" t="e" cm="1">
        <f t="array" aca="1" ref="F14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7" s="75"/>
      <c r="I1407" s="73"/>
      <c r="J1407" s="73"/>
      <c r="K1407" s="74"/>
      <c r="L1407" s="68"/>
      <c r="M1407" s="10">
        <f t="shared" ca="1" si="43"/>
        <v>46077</v>
      </c>
    </row>
    <row r="1408" spans="1:13" ht="18.75" hidden="1" x14ac:dyDescent="0.25">
      <c r="A1408" s="71"/>
      <c r="B1408" s="19" t="e">
        <f>VLOOKUP(Table27[[#This Row],[Location 
(drop-down)]],'List source'!D$2:E$71,2,FALSE)</f>
        <v>#N/A</v>
      </c>
      <c r="C1408" s="178" t="s">
        <v>5034</v>
      </c>
      <c r="D1408" s="21" t="e">
        <f t="shared" si="42"/>
        <v>#N/A</v>
      </c>
      <c r="E1408" s="71"/>
      <c r="F1408" s="10" t="e" cm="1">
        <f t="array" aca="1" ref="F14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8" s="75"/>
      <c r="I1408" s="73"/>
      <c r="J1408" s="73"/>
      <c r="K1408" s="74"/>
      <c r="L1408" s="68"/>
      <c r="M1408" s="10">
        <f t="shared" ca="1" si="43"/>
        <v>46077</v>
      </c>
    </row>
    <row r="1409" spans="1:13" ht="18.75" hidden="1" x14ac:dyDescent="0.25">
      <c r="A1409" s="71"/>
      <c r="B1409" s="19" t="e">
        <f>VLOOKUP(Table27[[#This Row],[Location 
(drop-down)]],'List source'!D$2:E$71,2,FALSE)</f>
        <v>#N/A</v>
      </c>
      <c r="C1409" s="178" t="s">
        <v>5035</v>
      </c>
      <c r="D1409" s="21" t="e">
        <f t="shared" si="42"/>
        <v>#N/A</v>
      </c>
      <c r="E1409" s="71"/>
      <c r="F1409" s="10" t="e" cm="1">
        <f t="array" aca="1" ref="F14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0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09" s="75"/>
      <c r="I1409" s="73"/>
      <c r="J1409" s="73"/>
      <c r="K1409" s="74"/>
      <c r="L1409" s="68"/>
      <c r="M1409" s="10">
        <f t="shared" ca="1" si="43"/>
        <v>46077</v>
      </c>
    </row>
    <row r="1410" spans="1:13" ht="18.75" hidden="1" x14ac:dyDescent="0.25">
      <c r="A1410" s="71"/>
      <c r="B1410" s="19" t="e">
        <f>VLOOKUP(Table27[[#This Row],[Location 
(drop-down)]],'List source'!D$2:E$71,2,FALSE)</f>
        <v>#N/A</v>
      </c>
      <c r="C1410" s="178" t="s">
        <v>5036</v>
      </c>
      <c r="D1410" s="21" t="e">
        <f t="shared" ref="D1410:D1473" si="44">"PTO" &amp; C1410 &amp; "-" &amp; B1410 &amp; "-" &amp; "25"</f>
        <v>#N/A</v>
      </c>
      <c r="E1410" s="71"/>
      <c r="F1410" s="10" t="e" cm="1">
        <f t="array" aca="1" ref="F14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0" s="75"/>
      <c r="I1410" s="73"/>
      <c r="J1410" s="73"/>
      <c r="K1410" s="74"/>
      <c r="L1410" s="68"/>
      <c r="M1410" s="10">
        <f t="shared" ref="M1410:M1473" ca="1" si="45">IF(ISBLANK(K1410), TODAY()-(I1410), "CLOSED")</f>
        <v>46077</v>
      </c>
    </row>
    <row r="1411" spans="1:13" ht="18.75" hidden="1" x14ac:dyDescent="0.25">
      <c r="A1411" s="71"/>
      <c r="B1411" s="19" t="e">
        <f>VLOOKUP(Table27[[#This Row],[Location 
(drop-down)]],'List source'!D$2:E$71,2,FALSE)</f>
        <v>#N/A</v>
      </c>
      <c r="C1411" s="178" t="s">
        <v>5037</v>
      </c>
      <c r="D1411" s="21" t="e">
        <f t="shared" si="44"/>
        <v>#N/A</v>
      </c>
      <c r="E1411" s="71"/>
      <c r="F1411" s="10" t="e" cm="1">
        <f t="array" aca="1" ref="F14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1" s="75"/>
      <c r="I1411" s="73"/>
      <c r="J1411" s="73"/>
      <c r="K1411" s="74"/>
      <c r="L1411" s="68"/>
      <c r="M1411" s="10">
        <f t="shared" ca="1" si="45"/>
        <v>46077</v>
      </c>
    </row>
    <row r="1412" spans="1:13" ht="18.75" hidden="1" x14ac:dyDescent="0.25">
      <c r="A1412" s="71"/>
      <c r="B1412" s="19" t="e">
        <f>VLOOKUP(Table27[[#This Row],[Location 
(drop-down)]],'List source'!D$2:E$71,2,FALSE)</f>
        <v>#N/A</v>
      </c>
      <c r="C1412" s="178" t="s">
        <v>5038</v>
      </c>
      <c r="D1412" s="21" t="e">
        <f t="shared" si="44"/>
        <v>#N/A</v>
      </c>
      <c r="E1412" s="71"/>
      <c r="F1412" s="10" t="e" cm="1">
        <f t="array" aca="1" ref="F14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2" s="75"/>
      <c r="I1412" s="73"/>
      <c r="J1412" s="73"/>
      <c r="K1412" s="74"/>
      <c r="L1412" s="68"/>
      <c r="M1412" s="10">
        <f t="shared" ca="1" si="45"/>
        <v>46077</v>
      </c>
    </row>
    <row r="1413" spans="1:13" ht="18.75" hidden="1" x14ac:dyDescent="0.25">
      <c r="A1413" s="71"/>
      <c r="B1413" s="19" t="e">
        <f>VLOOKUP(Table27[[#This Row],[Location 
(drop-down)]],'List source'!D$2:E$71,2,FALSE)</f>
        <v>#N/A</v>
      </c>
      <c r="C1413" s="178" t="s">
        <v>5039</v>
      </c>
      <c r="D1413" s="21" t="e">
        <f t="shared" si="44"/>
        <v>#N/A</v>
      </c>
      <c r="E1413" s="71"/>
      <c r="F1413" s="10" t="e" cm="1">
        <f t="array" aca="1" ref="F14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3" s="75"/>
      <c r="I1413" s="73"/>
      <c r="J1413" s="73"/>
      <c r="K1413" s="74"/>
      <c r="L1413" s="68"/>
      <c r="M1413" s="10">
        <f t="shared" ca="1" si="45"/>
        <v>46077</v>
      </c>
    </row>
    <row r="1414" spans="1:13" ht="18.75" hidden="1" x14ac:dyDescent="0.25">
      <c r="A1414" s="71"/>
      <c r="B1414" s="19" t="e">
        <f>VLOOKUP(Table27[[#This Row],[Location 
(drop-down)]],'List source'!D$2:E$71,2,FALSE)</f>
        <v>#N/A</v>
      </c>
      <c r="C1414" s="178" t="s">
        <v>5040</v>
      </c>
      <c r="D1414" s="21" t="e">
        <f t="shared" si="44"/>
        <v>#N/A</v>
      </c>
      <c r="E1414" s="71"/>
      <c r="F1414" s="10" t="e" cm="1">
        <f t="array" aca="1" ref="F14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4" s="75"/>
      <c r="I1414" s="73"/>
      <c r="J1414" s="73"/>
      <c r="K1414" s="74"/>
      <c r="L1414" s="68"/>
      <c r="M1414" s="10">
        <f t="shared" ca="1" si="45"/>
        <v>46077</v>
      </c>
    </row>
    <row r="1415" spans="1:13" ht="18.75" hidden="1" x14ac:dyDescent="0.25">
      <c r="A1415" s="71"/>
      <c r="B1415" s="19" t="e">
        <f>VLOOKUP(Table27[[#This Row],[Location 
(drop-down)]],'List source'!D$2:E$71,2,FALSE)</f>
        <v>#N/A</v>
      </c>
      <c r="C1415" s="178" t="s">
        <v>5041</v>
      </c>
      <c r="D1415" s="21" t="e">
        <f t="shared" si="44"/>
        <v>#N/A</v>
      </c>
      <c r="E1415" s="71"/>
      <c r="F1415" s="10" t="e" cm="1">
        <f t="array" aca="1" ref="F14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5" s="75"/>
      <c r="I1415" s="73"/>
      <c r="J1415" s="73"/>
      <c r="K1415" s="74"/>
      <c r="L1415" s="68"/>
      <c r="M1415" s="10">
        <f t="shared" ca="1" si="45"/>
        <v>46077</v>
      </c>
    </row>
    <row r="1416" spans="1:13" ht="18.75" hidden="1" x14ac:dyDescent="0.25">
      <c r="A1416" s="71"/>
      <c r="B1416" s="19" t="e">
        <f>VLOOKUP(Table27[[#This Row],[Location 
(drop-down)]],'List source'!D$2:E$71,2,FALSE)</f>
        <v>#N/A</v>
      </c>
      <c r="C1416" s="178" t="s">
        <v>5042</v>
      </c>
      <c r="D1416" s="21" t="e">
        <f t="shared" si="44"/>
        <v>#N/A</v>
      </c>
      <c r="E1416" s="71"/>
      <c r="F1416" s="10" t="e" cm="1">
        <f t="array" aca="1" ref="F14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6" s="75"/>
      <c r="I1416" s="73"/>
      <c r="J1416" s="73"/>
      <c r="K1416" s="74"/>
      <c r="L1416" s="68"/>
      <c r="M1416" s="10">
        <f t="shared" ca="1" si="45"/>
        <v>46077</v>
      </c>
    </row>
    <row r="1417" spans="1:13" ht="18.75" hidden="1" x14ac:dyDescent="0.25">
      <c r="A1417" s="71"/>
      <c r="B1417" s="19" t="e">
        <f>VLOOKUP(Table27[[#This Row],[Location 
(drop-down)]],'List source'!D$2:E$71,2,FALSE)</f>
        <v>#N/A</v>
      </c>
      <c r="C1417" s="178" t="s">
        <v>5043</v>
      </c>
      <c r="D1417" s="21" t="e">
        <f t="shared" si="44"/>
        <v>#N/A</v>
      </c>
      <c r="E1417" s="71"/>
      <c r="F1417" s="10" t="e" cm="1">
        <f t="array" aca="1" ref="F14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7" s="75"/>
      <c r="I1417" s="73"/>
      <c r="J1417" s="73"/>
      <c r="K1417" s="74"/>
      <c r="L1417" s="68"/>
      <c r="M1417" s="10">
        <f t="shared" ca="1" si="45"/>
        <v>46077</v>
      </c>
    </row>
    <row r="1418" spans="1:13" ht="18.75" hidden="1" x14ac:dyDescent="0.25">
      <c r="A1418" s="71"/>
      <c r="B1418" s="19" t="e">
        <f>VLOOKUP(Table27[[#This Row],[Location 
(drop-down)]],'List source'!D$2:E$71,2,FALSE)</f>
        <v>#N/A</v>
      </c>
      <c r="C1418" s="178" t="s">
        <v>5044</v>
      </c>
      <c r="D1418" s="21" t="e">
        <f t="shared" si="44"/>
        <v>#N/A</v>
      </c>
      <c r="E1418" s="71"/>
      <c r="F1418" s="10" t="e" cm="1">
        <f t="array" aca="1" ref="F14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8" s="75"/>
      <c r="I1418" s="73"/>
      <c r="J1418" s="73"/>
      <c r="K1418" s="74"/>
      <c r="L1418" s="68"/>
      <c r="M1418" s="10">
        <f t="shared" ca="1" si="45"/>
        <v>46077</v>
      </c>
    </row>
    <row r="1419" spans="1:13" ht="18.75" hidden="1" x14ac:dyDescent="0.25">
      <c r="A1419" s="71"/>
      <c r="B1419" s="19" t="e">
        <f>VLOOKUP(Table27[[#This Row],[Location 
(drop-down)]],'List source'!D$2:E$71,2,FALSE)</f>
        <v>#N/A</v>
      </c>
      <c r="C1419" s="178" t="s">
        <v>5045</v>
      </c>
      <c r="D1419" s="21" t="e">
        <f t="shared" si="44"/>
        <v>#N/A</v>
      </c>
      <c r="E1419" s="71"/>
      <c r="F1419" s="10" t="e" cm="1">
        <f t="array" aca="1" ref="F14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9" s="75"/>
      <c r="I1419" s="73"/>
      <c r="J1419" s="73"/>
      <c r="K1419" s="74"/>
      <c r="L1419" s="68"/>
      <c r="M1419" s="10">
        <f t="shared" ca="1" si="45"/>
        <v>46077</v>
      </c>
    </row>
    <row r="1420" spans="1:13" ht="18.75" hidden="1" x14ac:dyDescent="0.25">
      <c r="A1420" s="71"/>
      <c r="B1420" s="19" t="e">
        <f>VLOOKUP(Table27[[#This Row],[Location 
(drop-down)]],'List source'!D$2:E$71,2,FALSE)</f>
        <v>#N/A</v>
      </c>
      <c r="C1420" s="178" t="s">
        <v>5046</v>
      </c>
      <c r="D1420" s="21" t="e">
        <f t="shared" si="44"/>
        <v>#N/A</v>
      </c>
      <c r="E1420" s="71"/>
      <c r="F1420" s="10" t="e" cm="1">
        <f t="array" aca="1" ref="F14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0" s="75"/>
      <c r="I1420" s="73"/>
      <c r="J1420" s="73"/>
      <c r="K1420" s="74"/>
      <c r="L1420" s="68"/>
      <c r="M1420" s="10">
        <f t="shared" ca="1" si="45"/>
        <v>46077</v>
      </c>
    </row>
    <row r="1421" spans="1:13" ht="18.75" hidden="1" x14ac:dyDescent="0.25">
      <c r="A1421" s="71"/>
      <c r="B1421" s="19" t="e">
        <f>VLOOKUP(Table27[[#This Row],[Location 
(drop-down)]],'List source'!D$2:E$71,2,FALSE)</f>
        <v>#N/A</v>
      </c>
      <c r="C1421" s="178" t="s">
        <v>5047</v>
      </c>
      <c r="D1421" s="21" t="e">
        <f t="shared" si="44"/>
        <v>#N/A</v>
      </c>
      <c r="E1421" s="71"/>
      <c r="F1421" s="10" t="e" cm="1">
        <f t="array" aca="1" ref="F14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1" s="75"/>
      <c r="I1421" s="73"/>
      <c r="J1421" s="73"/>
      <c r="K1421" s="74"/>
      <c r="L1421" s="68"/>
      <c r="M1421" s="10">
        <f t="shared" ca="1" si="45"/>
        <v>46077</v>
      </c>
    </row>
    <row r="1422" spans="1:13" ht="18.75" hidden="1" x14ac:dyDescent="0.25">
      <c r="A1422" s="71"/>
      <c r="B1422" s="19" t="e">
        <f>VLOOKUP(Table27[[#This Row],[Location 
(drop-down)]],'List source'!D$2:E$71,2,FALSE)</f>
        <v>#N/A</v>
      </c>
      <c r="C1422" s="178" t="s">
        <v>5048</v>
      </c>
      <c r="D1422" s="21" t="e">
        <f t="shared" si="44"/>
        <v>#N/A</v>
      </c>
      <c r="E1422" s="71"/>
      <c r="F1422" s="10" t="e" cm="1">
        <f t="array" aca="1" ref="F14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2" s="75"/>
      <c r="I1422" s="73"/>
      <c r="J1422" s="73"/>
      <c r="K1422" s="74"/>
      <c r="L1422" s="68"/>
      <c r="M1422" s="10">
        <f t="shared" ca="1" si="45"/>
        <v>46077</v>
      </c>
    </row>
    <row r="1423" spans="1:13" ht="18.75" hidden="1" x14ac:dyDescent="0.25">
      <c r="A1423" s="71"/>
      <c r="B1423" s="19" t="e">
        <f>VLOOKUP(Table27[[#This Row],[Location 
(drop-down)]],'List source'!D$2:E$71,2,FALSE)</f>
        <v>#N/A</v>
      </c>
      <c r="C1423" s="178" t="s">
        <v>5049</v>
      </c>
      <c r="D1423" s="21" t="e">
        <f t="shared" si="44"/>
        <v>#N/A</v>
      </c>
      <c r="E1423" s="71"/>
      <c r="F1423" s="10" t="e" cm="1">
        <f t="array" aca="1" ref="F14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3" s="75"/>
      <c r="I1423" s="73"/>
      <c r="J1423" s="73"/>
      <c r="K1423" s="74"/>
      <c r="L1423" s="68"/>
      <c r="M1423" s="10">
        <f t="shared" ca="1" si="45"/>
        <v>46077</v>
      </c>
    </row>
    <row r="1424" spans="1:13" ht="18.75" hidden="1" x14ac:dyDescent="0.25">
      <c r="A1424" s="71"/>
      <c r="B1424" s="19" t="e">
        <f>VLOOKUP(Table27[[#This Row],[Location 
(drop-down)]],'List source'!D$2:E$71,2,FALSE)</f>
        <v>#N/A</v>
      </c>
      <c r="C1424" s="178" t="s">
        <v>5050</v>
      </c>
      <c r="D1424" s="21" t="e">
        <f t="shared" si="44"/>
        <v>#N/A</v>
      </c>
      <c r="E1424" s="71"/>
      <c r="F1424" s="10" t="e" cm="1">
        <f t="array" aca="1" ref="F14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4" s="75"/>
      <c r="I1424" s="73"/>
      <c r="J1424" s="73"/>
      <c r="K1424" s="74"/>
      <c r="L1424" s="68"/>
      <c r="M1424" s="10">
        <f t="shared" ca="1" si="45"/>
        <v>46077</v>
      </c>
    </row>
    <row r="1425" spans="1:13" ht="18.75" hidden="1" x14ac:dyDescent="0.25">
      <c r="A1425" s="71"/>
      <c r="B1425" s="19" t="e">
        <f>VLOOKUP(Table27[[#This Row],[Location 
(drop-down)]],'List source'!D$2:E$71,2,FALSE)</f>
        <v>#N/A</v>
      </c>
      <c r="C1425" s="178" t="s">
        <v>5051</v>
      </c>
      <c r="D1425" s="21" t="e">
        <f t="shared" si="44"/>
        <v>#N/A</v>
      </c>
      <c r="E1425" s="71"/>
      <c r="F1425" s="10" t="e" cm="1">
        <f t="array" aca="1" ref="F14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5" s="75"/>
      <c r="I1425" s="73"/>
      <c r="J1425" s="73"/>
      <c r="K1425" s="74"/>
      <c r="L1425" s="68"/>
      <c r="M1425" s="10">
        <f t="shared" ca="1" si="45"/>
        <v>46077</v>
      </c>
    </row>
    <row r="1426" spans="1:13" ht="18.75" hidden="1" x14ac:dyDescent="0.25">
      <c r="A1426" s="71"/>
      <c r="B1426" s="19" t="e">
        <f>VLOOKUP(Table27[[#This Row],[Location 
(drop-down)]],'List source'!D$2:E$71,2,FALSE)</f>
        <v>#N/A</v>
      </c>
      <c r="C1426" s="178" t="s">
        <v>5052</v>
      </c>
      <c r="D1426" s="21" t="e">
        <f t="shared" si="44"/>
        <v>#N/A</v>
      </c>
      <c r="E1426" s="71"/>
      <c r="F1426" s="10" t="e" cm="1">
        <f t="array" aca="1" ref="F14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6" s="75"/>
      <c r="I1426" s="73"/>
      <c r="J1426" s="73"/>
      <c r="K1426" s="74"/>
      <c r="L1426" s="68"/>
      <c r="M1426" s="10">
        <f t="shared" ca="1" si="45"/>
        <v>46077</v>
      </c>
    </row>
    <row r="1427" spans="1:13" ht="18.75" hidden="1" x14ac:dyDescent="0.25">
      <c r="A1427" s="71"/>
      <c r="B1427" s="19" t="e">
        <f>VLOOKUP(Table27[[#This Row],[Location 
(drop-down)]],'List source'!D$2:E$71,2,FALSE)</f>
        <v>#N/A</v>
      </c>
      <c r="C1427" s="178" t="s">
        <v>5053</v>
      </c>
      <c r="D1427" s="21" t="e">
        <f t="shared" si="44"/>
        <v>#N/A</v>
      </c>
      <c r="E1427" s="71"/>
      <c r="F1427" s="10" t="e" cm="1">
        <f t="array" aca="1" ref="F14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7" s="75"/>
      <c r="I1427" s="73"/>
      <c r="J1427" s="73"/>
      <c r="K1427" s="74"/>
      <c r="L1427" s="68"/>
      <c r="M1427" s="10">
        <f t="shared" ca="1" si="45"/>
        <v>46077</v>
      </c>
    </row>
    <row r="1428" spans="1:13" ht="18.75" hidden="1" x14ac:dyDescent="0.25">
      <c r="A1428" s="71"/>
      <c r="B1428" s="19" t="e">
        <f>VLOOKUP(Table27[[#This Row],[Location 
(drop-down)]],'List source'!D$2:E$71,2,FALSE)</f>
        <v>#N/A</v>
      </c>
      <c r="C1428" s="178" t="s">
        <v>5054</v>
      </c>
      <c r="D1428" s="21" t="e">
        <f t="shared" si="44"/>
        <v>#N/A</v>
      </c>
      <c r="E1428" s="71"/>
      <c r="F1428" s="10" t="e" cm="1">
        <f t="array" aca="1" ref="F14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8" s="75"/>
      <c r="I1428" s="73"/>
      <c r="J1428" s="73"/>
      <c r="K1428" s="74"/>
      <c r="L1428" s="68"/>
      <c r="M1428" s="10">
        <f t="shared" ca="1" si="45"/>
        <v>46077</v>
      </c>
    </row>
    <row r="1429" spans="1:13" ht="18.75" hidden="1" x14ac:dyDescent="0.25">
      <c r="A1429" s="71"/>
      <c r="B1429" s="19" t="e">
        <f>VLOOKUP(Table27[[#This Row],[Location 
(drop-down)]],'List source'!D$2:E$71,2,FALSE)</f>
        <v>#N/A</v>
      </c>
      <c r="C1429" s="178" t="s">
        <v>5055</v>
      </c>
      <c r="D1429" s="21" t="e">
        <f t="shared" si="44"/>
        <v>#N/A</v>
      </c>
      <c r="E1429" s="71"/>
      <c r="F1429" s="10" t="e" cm="1">
        <f t="array" aca="1" ref="F14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2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29" s="75"/>
      <c r="I1429" s="73"/>
      <c r="J1429" s="73"/>
      <c r="K1429" s="74"/>
      <c r="L1429" s="68"/>
      <c r="M1429" s="10">
        <f t="shared" ca="1" si="45"/>
        <v>46077</v>
      </c>
    </row>
    <row r="1430" spans="1:13" ht="18.75" hidden="1" x14ac:dyDescent="0.25">
      <c r="A1430" s="71"/>
      <c r="B1430" s="19" t="e">
        <f>VLOOKUP(Table27[[#This Row],[Location 
(drop-down)]],'List source'!D$2:E$71,2,FALSE)</f>
        <v>#N/A</v>
      </c>
      <c r="C1430" s="178" t="s">
        <v>5056</v>
      </c>
      <c r="D1430" s="21" t="e">
        <f t="shared" si="44"/>
        <v>#N/A</v>
      </c>
      <c r="E1430" s="71"/>
      <c r="F1430" s="10" t="e" cm="1">
        <f t="array" aca="1" ref="F14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0" s="75"/>
      <c r="I1430" s="73"/>
      <c r="J1430" s="73"/>
      <c r="K1430" s="74"/>
      <c r="L1430" s="68"/>
      <c r="M1430" s="10">
        <f t="shared" ca="1" si="45"/>
        <v>46077</v>
      </c>
    </row>
    <row r="1431" spans="1:13" ht="18.75" hidden="1" x14ac:dyDescent="0.25">
      <c r="A1431" s="71"/>
      <c r="B1431" s="19" t="e">
        <f>VLOOKUP(Table27[[#This Row],[Location 
(drop-down)]],'List source'!D$2:E$71,2,FALSE)</f>
        <v>#N/A</v>
      </c>
      <c r="C1431" s="178" t="s">
        <v>5057</v>
      </c>
      <c r="D1431" s="21" t="e">
        <f t="shared" si="44"/>
        <v>#N/A</v>
      </c>
      <c r="E1431" s="71"/>
      <c r="F1431" s="10" t="e" cm="1">
        <f t="array" aca="1" ref="F14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1" s="75"/>
      <c r="I1431" s="73"/>
      <c r="J1431" s="73"/>
      <c r="K1431" s="74"/>
      <c r="L1431" s="68"/>
      <c r="M1431" s="10">
        <f t="shared" ca="1" si="45"/>
        <v>46077</v>
      </c>
    </row>
    <row r="1432" spans="1:13" ht="18.75" hidden="1" x14ac:dyDescent="0.25">
      <c r="A1432" s="71"/>
      <c r="B1432" s="19" t="e">
        <f>VLOOKUP(Table27[[#This Row],[Location 
(drop-down)]],'List source'!D$2:E$71,2,FALSE)</f>
        <v>#N/A</v>
      </c>
      <c r="C1432" s="178" t="s">
        <v>5058</v>
      </c>
      <c r="D1432" s="21" t="e">
        <f t="shared" si="44"/>
        <v>#N/A</v>
      </c>
      <c r="E1432" s="71"/>
      <c r="F1432" s="10" t="e" cm="1">
        <f t="array" aca="1" ref="F14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2" s="75"/>
      <c r="I1432" s="73"/>
      <c r="J1432" s="73"/>
      <c r="K1432" s="74"/>
      <c r="L1432" s="68"/>
      <c r="M1432" s="10">
        <f t="shared" ca="1" si="45"/>
        <v>46077</v>
      </c>
    </row>
    <row r="1433" spans="1:13" ht="18.75" hidden="1" x14ac:dyDescent="0.25">
      <c r="A1433" s="71"/>
      <c r="B1433" s="19" t="e">
        <f>VLOOKUP(Table27[[#This Row],[Location 
(drop-down)]],'List source'!D$2:E$71,2,FALSE)</f>
        <v>#N/A</v>
      </c>
      <c r="C1433" s="178" t="s">
        <v>5059</v>
      </c>
      <c r="D1433" s="21" t="e">
        <f t="shared" si="44"/>
        <v>#N/A</v>
      </c>
      <c r="E1433" s="71"/>
      <c r="F1433" s="10" t="e" cm="1">
        <f t="array" aca="1" ref="F14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3" s="75"/>
      <c r="I1433" s="73"/>
      <c r="J1433" s="73"/>
      <c r="K1433" s="74"/>
      <c r="L1433" s="68"/>
      <c r="M1433" s="10">
        <f t="shared" ca="1" si="45"/>
        <v>46077</v>
      </c>
    </row>
    <row r="1434" spans="1:13" ht="18.75" hidden="1" x14ac:dyDescent="0.25">
      <c r="A1434" s="71"/>
      <c r="B1434" s="19" t="e">
        <f>VLOOKUP(Table27[[#This Row],[Location 
(drop-down)]],'List source'!D$2:E$71,2,FALSE)</f>
        <v>#N/A</v>
      </c>
      <c r="C1434" s="178" t="s">
        <v>5060</v>
      </c>
      <c r="D1434" s="21" t="e">
        <f t="shared" si="44"/>
        <v>#N/A</v>
      </c>
      <c r="E1434" s="71"/>
      <c r="F1434" s="10" t="e" cm="1">
        <f t="array" aca="1" ref="F14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4" s="75"/>
      <c r="I1434" s="73"/>
      <c r="J1434" s="73"/>
      <c r="K1434" s="74"/>
      <c r="L1434" s="68"/>
      <c r="M1434" s="10">
        <f t="shared" ca="1" si="45"/>
        <v>46077</v>
      </c>
    </row>
    <row r="1435" spans="1:13" ht="18.75" hidden="1" x14ac:dyDescent="0.25">
      <c r="A1435" s="71"/>
      <c r="B1435" s="19" t="e">
        <f>VLOOKUP(Table27[[#This Row],[Location 
(drop-down)]],'List source'!D$2:E$71,2,FALSE)</f>
        <v>#N/A</v>
      </c>
      <c r="C1435" s="178" t="s">
        <v>5061</v>
      </c>
      <c r="D1435" s="21" t="e">
        <f t="shared" si="44"/>
        <v>#N/A</v>
      </c>
      <c r="E1435" s="71"/>
      <c r="F1435" s="10" t="e" cm="1">
        <f t="array" aca="1" ref="F14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5" s="75"/>
      <c r="I1435" s="73"/>
      <c r="J1435" s="73"/>
      <c r="K1435" s="74"/>
      <c r="L1435" s="68"/>
      <c r="M1435" s="10">
        <f t="shared" ca="1" si="45"/>
        <v>46077</v>
      </c>
    </row>
    <row r="1436" spans="1:13" ht="18.75" hidden="1" x14ac:dyDescent="0.25">
      <c r="A1436" s="71"/>
      <c r="B1436" s="19" t="e">
        <f>VLOOKUP(Table27[[#This Row],[Location 
(drop-down)]],'List source'!D$2:E$71,2,FALSE)</f>
        <v>#N/A</v>
      </c>
      <c r="C1436" s="178" t="s">
        <v>5062</v>
      </c>
      <c r="D1436" s="21" t="e">
        <f t="shared" si="44"/>
        <v>#N/A</v>
      </c>
      <c r="E1436" s="71"/>
      <c r="F1436" s="10" t="e" cm="1">
        <f t="array" aca="1" ref="F14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6" s="75"/>
      <c r="I1436" s="73"/>
      <c r="J1436" s="73"/>
      <c r="K1436" s="74"/>
      <c r="L1436" s="68"/>
      <c r="M1436" s="10">
        <f t="shared" ca="1" si="45"/>
        <v>46077</v>
      </c>
    </row>
    <row r="1437" spans="1:13" ht="18.75" hidden="1" x14ac:dyDescent="0.25">
      <c r="A1437" s="71"/>
      <c r="B1437" s="19" t="e">
        <f>VLOOKUP(Table27[[#This Row],[Location 
(drop-down)]],'List source'!D$2:E$71,2,FALSE)</f>
        <v>#N/A</v>
      </c>
      <c r="C1437" s="178" t="s">
        <v>5063</v>
      </c>
      <c r="D1437" s="21" t="e">
        <f t="shared" si="44"/>
        <v>#N/A</v>
      </c>
      <c r="E1437" s="71"/>
      <c r="F1437" s="10" t="e" cm="1">
        <f t="array" aca="1" ref="F14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7" s="75"/>
      <c r="I1437" s="73"/>
      <c r="J1437" s="73"/>
      <c r="K1437" s="74"/>
      <c r="L1437" s="68"/>
      <c r="M1437" s="10">
        <f t="shared" ca="1" si="45"/>
        <v>46077</v>
      </c>
    </row>
    <row r="1438" spans="1:13" ht="18.75" hidden="1" x14ac:dyDescent="0.25">
      <c r="A1438" s="71"/>
      <c r="B1438" s="19" t="e">
        <f>VLOOKUP(Table27[[#This Row],[Location 
(drop-down)]],'List source'!D$2:E$71,2,FALSE)</f>
        <v>#N/A</v>
      </c>
      <c r="C1438" s="178" t="s">
        <v>5064</v>
      </c>
      <c r="D1438" s="21" t="e">
        <f t="shared" si="44"/>
        <v>#N/A</v>
      </c>
      <c r="E1438" s="71"/>
      <c r="F1438" s="10" t="e" cm="1">
        <f t="array" aca="1" ref="F14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8" s="75"/>
      <c r="I1438" s="73"/>
      <c r="J1438" s="73"/>
      <c r="K1438" s="74"/>
      <c r="L1438" s="68"/>
      <c r="M1438" s="10">
        <f t="shared" ca="1" si="45"/>
        <v>46077</v>
      </c>
    </row>
    <row r="1439" spans="1:13" ht="18.75" hidden="1" x14ac:dyDescent="0.25">
      <c r="A1439" s="71"/>
      <c r="B1439" s="19" t="e">
        <f>VLOOKUP(Table27[[#This Row],[Location 
(drop-down)]],'List source'!D$2:E$71,2,FALSE)</f>
        <v>#N/A</v>
      </c>
      <c r="C1439" s="178" t="s">
        <v>5065</v>
      </c>
      <c r="D1439" s="21" t="e">
        <f t="shared" si="44"/>
        <v>#N/A</v>
      </c>
      <c r="E1439" s="71"/>
      <c r="F1439" s="10" t="e" cm="1">
        <f t="array" aca="1" ref="F14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3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39" s="75"/>
      <c r="I1439" s="73"/>
      <c r="J1439" s="73"/>
      <c r="K1439" s="74"/>
      <c r="L1439" s="68"/>
      <c r="M1439" s="10">
        <f t="shared" ca="1" si="45"/>
        <v>46077</v>
      </c>
    </row>
    <row r="1440" spans="1:13" ht="18.75" hidden="1" x14ac:dyDescent="0.25">
      <c r="A1440" s="71"/>
      <c r="B1440" s="19" t="e">
        <f>VLOOKUP(Table27[[#This Row],[Location 
(drop-down)]],'List source'!D$2:E$71,2,FALSE)</f>
        <v>#N/A</v>
      </c>
      <c r="C1440" s="178" t="s">
        <v>5066</v>
      </c>
      <c r="D1440" s="21" t="e">
        <f t="shared" si="44"/>
        <v>#N/A</v>
      </c>
      <c r="E1440" s="71"/>
      <c r="F1440" s="10" t="e" cm="1">
        <f t="array" aca="1" ref="F14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0" s="75"/>
      <c r="I1440" s="73"/>
      <c r="J1440" s="73"/>
      <c r="K1440" s="74"/>
      <c r="L1440" s="68"/>
      <c r="M1440" s="10">
        <f t="shared" ca="1" si="45"/>
        <v>46077</v>
      </c>
    </row>
    <row r="1441" spans="1:13" ht="18.75" hidden="1" x14ac:dyDescent="0.25">
      <c r="A1441" s="71"/>
      <c r="B1441" s="19" t="e">
        <f>VLOOKUP(Table27[[#This Row],[Location 
(drop-down)]],'List source'!D$2:E$71,2,FALSE)</f>
        <v>#N/A</v>
      </c>
      <c r="C1441" s="178" t="s">
        <v>5067</v>
      </c>
      <c r="D1441" s="21" t="e">
        <f t="shared" si="44"/>
        <v>#N/A</v>
      </c>
      <c r="E1441" s="71"/>
      <c r="F1441" s="10" t="e" cm="1">
        <f t="array" aca="1" ref="F14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1" s="75"/>
      <c r="I1441" s="73"/>
      <c r="J1441" s="73"/>
      <c r="K1441" s="74"/>
      <c r="L1441" s="68"/>
      <c r="M1441" s="10">
        <f t="shared" ca="1" si="45"/>
        <v>46077</v>
      </c>
    </row>
    <row r="1442" spans="1:13" ht="18.75" hidden="1" x14ac:dyDescent="0.25">
      <c r="A1442" s="71"/>
      <c r="B1442" s="19" t="e">
        <f>VLOOKUP(Table27[[#This Row],[Location 
(drop-down)]],'List source'!D$2:E$71,2,FALSE)</f>
        <v>#N/A</v>
      </c>
      <c r="C1442" s="178" t="s">
        <v>5068</v>
      </c>
      <c r="D1442" s="21" t="e">
        <f t="shared" si="44"/>
        <v>#N/A</v>
      </c>
      <c r="E1442" s="71"/>
      <c r="F1442" s="10" t="e" cm="1">
        <f t="array" aca="1" ref="F14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2" s="75"/>
      <c r="I1442" s="73"/>
      <c r="J1442" s="73"/>
      <c r="K1442" s="74"/>
      <c r="L1442" s="68"/>
      <c r="M1442" s="10">
        <f t="shared" ca="1" si="45"/>
        <v>46077</v>
      </c>
    </row>
    <row r="1443" spans="1:13" ht="18.75" hidden="1" x14ac:dyDescent="0.25">
      <c r="A1443" s="71"/>
      <c r="B1443" s="19" t="e">
        <f>VLOOKUP(Table27[[#This Row],[Location 
(drop-down)]],'List source'!D$2:E$71,2,FALSE)</f>
        <v>#N/A</v>
      </c>
      <c r="C1443" s="178" t="s">
        <v>5069</v>
      </c>
      <c r="D1443" s="21" t="e">
        <f t="shared" si="44"/>
        <v>#N/A</v>
      </c>
      <c r="E1443" s="71"/>
      <c r="F1443" s="10" t="e" cm="1">
        <f t="array" aca="1" ref="F14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3" s="75"/>
      <c r="I1443" s="73"/>
      <c r="J1443" s="73"/>
      <c r="K1443" s="74"/>
      <c r="L1443" s="68"/>
      <c r="M1443" s="10">
        <f t="shared" ca="1" si="45"/>
        <v>46077</v>
      </c>
    </row>
    <row r="1444" spans="1:13" ht="18.75" hidden="1" x14ac:dyDescent="0.25">
      <c r="A1444" s="71"/>
      <c r="B1444" s="19" t="e">
        <f>VLOOKUP(Table27[[#This Row],[Location 
(drop-down)]],'List source'!D$2:E$71,2,FALSE)</f>
        <v>#N/A</v>
      </c>
      <c r="C1444" s="178" t="s">
        <v>5070</v>
      </c>
      <c r="D1444" s="21" t="e">
        <f t="shared" si="44"/>
        <v>#N/A</v>
      </c>
      <c r="E1444" s="71"/>
      <c r="F1444" s="10" t="e" cm="1">
        <f t="array" aca="1" ref="F14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4" s="75"/>
      <c r="I1444" s="73"/>
      <c r="J1444" s="73"/>
      <c r="K1444" s="74"/>
      <c r="L1444" s="68"/>
      <c r="M1444" s="10">
        <f t="shared" ca="1" si="45"/>
        <v>46077</v>
      </c>
    </row>
    <row r="1445" spans="1:13" ht="18.75" hidden="1" x14ac:dyDescent="0.25">
      <c r="A1445" s="71"/>
      <c r="B1445" s="19" t="e">
        <f>VLOOKUP(Table27[[#This Row],[Location 
(drop-down)]],'List source'!D$2:E$71,2,FALSE)</f>
        <v>#N/A</v>
      </c>
      <c r="C1445" s="178" t="s">
        <v>5071</v>
      </c>
      <c r="D1445" s="21" t="e">
        <f t="shared" si="44"/>
        <v>#N/A</v>
      </c>
      <c r="E1445" s="71"/>
      <c r="F1445" s="10" t="e" cm="1">
        <f t="array" aca="1" ref="F14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5" s="75"/>
      <c r="I1445" s="73"/>
      <c r="J1445" s="73"/>
      <c r="K1445" s="74"/>
      <c r="L1445" s="68"/>
      <c r="M1445" s="10">
        <f t="shared" ca="1" si="45"/>
        <v>46077</v>
      </c>
    </row>
    <row r="1446" spans="1:13" ht="18.75" hidden="1" x14ac:dyDescent="0.25">
      <c r="A1446" s="71"/>
      <c r="B1446" s="19" t="e">
        <f>VLOOKUP(Table27[[#This Row],[Location 
(drop-down)]],'List source'!D$2:E$71,2,FALSE)</f>
        <v>#N/A</v>
      </c>
      <c r="C1446" s="178" t="s">
        <v>5072</v>
      </c>
      <c r="D1446" s="21" t="e">
        <f t="shared" si="44"/>
        <v>#N/A</v>
      </c>
      <c r="E1446" s="71"/>
      <c r="F1446" s="10" t="e" cm="1">
        <f t="array" aca="1" ref="F14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6" s="75"/>
      <c r="I1446" s="73"/>
      <c r="J1446" s="73"/>
      <c r="K1446" s="74"/>
      <c r="L1446" s="68"/>
      <c r="M1446" s="10">
        <f t="shared" ca="1" si="45"/>
        <v>46077</v>
      </c>
    </row>
    <row r="1447" spans="1:13" ht="18.75" hidden="1" x14ac:dyDescent="0.25">
      <c r="A1447" s="71"/>
      <c r="B1447" s="19" t="e">
        <f>VLOOKUP(Table27[[#This Row],[Location 
(drop-down)]],'List source'!D$2:E$71,2,FALSE)</f>
        <v>#N/A</v>
      </c>
      <c r="C1447" s="178" t="s">
        <v>5073</v>
      </c>
      <c r="D1447" s="21" t="e">
        <f t="shared" si="44"/>
        <v>#N/A</v>
      </c>
      <c r="E1447" s="71"/>
      <c r="F1447" s="10" t="e" cm="1">
        <f t="array" aca="1" ref="F14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7" s="75"/>
      <c r="I1447" s="73"/>
      <c r="J1447" s="73"/>
      <c r="K1447" s="74"/>
      <c r="L1447" s="68"/>
      <c r="M1447" s="10">
        <f t="shared" ca="1" si="45"/>
        <v>46077</v>
      </c>
    </row>
    <row r="1448" spans="1:13" ht="18.75" hidden="1" x14ac:dyDescent="0.25">
      <c r="A1448" s="71"/>
      <c r="B1448" s="19" t="e">
        <f>VLOOKUP(Table27[[#This Row],[Location 
(drop-down)]],'List source'!D$2:E$71,2,FALSE)</f>
        <v>#N/A</v>
      </c>
      <c r="C1448" s="178" t="s">
        <v>5074</v>
      </c>
      <c r="D1448" s="21" t="e">
        <f t="shared" si="44"/>
        <v>#N/A</v>
      </c>
      <c r="E1448" s="71"/>
      <c r="F1448" s="10" t="e" cm="1">
        <f t="array" aca="1" ref="F14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8" s="75"/>
      <c r="I1448" s="73"/>
      <c r="J1448" s="73"/>
      <c r="K1448" s="74"/>
      <c r="L1448" s="68"/>
      <c r="M1448" s="10">
        <f t="shared" ca="1" si="45"/>
        <v>46077</v>
      </c>
    </row>
    <row r="1449" spans="1:13" ht="18.75" hidden="1" x14ac:dyDescent="0.25">
      <c r="A1449" s="71"/>
      <c r="B1449" s="19" t="e">
        <f>VLOOKUP(Table27[[#This Row],[Location 
(drop-down)]],'List source'!D$2:E$71,2,FALSE)</f>
        <v>#N/A</v>
      </c>
      <c r="C1449" s="178" t="s">
        <v>5075</v>
      </c>
      <c r="D1449" s="21" t="e">
        <f t="shared" si="44"/>
        <v>#N/A</v>
      </c>
      <c r="E1449" s="71"/>
      <c r="F1449" s="10" t="e" cm="1">
        <f t="array" aca="1" ref="F14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4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49" s="75"/>
      <c r="I1449" s="73"/>
      <c r="J1449" s="73"/>
      <c r="K1449" s="74"/>
      <c r="L1449" s="68"/>
      <c r="M1449" s="10">
        <f t="shared" ca="1" si="45"/>
        <v>46077</v>
      </c>
    </row>
    <row r="1450" spans="1:13" ht="18.75" hidden="1" x14ac:dyDescent="0.25">
      <c r="A1450" s="71"/>
      <c r="B1450" s="19" t="e">
        <f>VLOOKUP(Table27[[#This Row],[Location 
(drop-down)]],'List source'!D$2:E$71,2,FALSE)</f>
        <v>#N/A</v>
      </c>
      <c r="C1450" s="178" t="s">
        <v>5076</v>
      </c>
      <c r="D1450" s="21" t="e">
        <f t="shared" si="44"/>
        <v>#N/A</v>
      </c>
      <c r="E1450" s="71"/>
      <c r="F1450" s="10" t="e" cm="1">
        <f t="array" aca="1" ref="F14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0" s="75"/>
      <c r="I1450" s="73"/>
      <c r="J1450" s="73"/>
      <c r="K1450" s="74"/>
      <c r="L1450" s="68"/>
      <c r="M1450" s="10">
        <f t="shared" ca="1" si="45"/>
        <v>46077</v>
      </c>
    </row>
    <row r="1451" spans="1:13" ht="18.75" hidden="1" x14ac:dyDescent="0.25">
      <c r="A1451" s="71"/>
      <c r="B1451" s="19" t="e">
        <f>VLOOKUP(Table27[[#This Row],[Location 
(drop-down)]],'List source'!D$2:E$71,2,FALSE)</f>
        <v>#N/A</v>
      </c>
      <c r="C1451" s="178" t="s">
        <v>5077</v>
      </c>
      <c r="D1451" s="21" t="e">
        <f t="shared" si="44"/>
        <v>#N/A</v>
      </c>
      <c r="E1451" s="71"/>
      <c r="F1451" s="10" t="e" cm="1">
        <f t="array" aca="1" ref="F14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1" s="75"/>
      <c r="I1451" s="73"/>
      <c r="J1451" s="73"/>
      <c r="K1451" s="74"/>
      <c r="L1451" s="68"/>
      <c r="M1451" s="10">
        <f t="shared" ca="1" si="45"/>
        <v>46077</v>
      </c>
    </row>
    <row r="1452" spans="1:13" ht="18.75" hidden="1" x14ac:dyDescent="0.25">
      <c r="A1452" s="71"/>
      <c r="B1452" s="19" t="e">
        <f>VLOOKUP(Table27[[#This Row],[Location 
(drop-down)]],'List source'!D$2:E$71,2,FALSE)</f>
        <v>#N/A</v>
      </c>
      <c r="C1452" s="178" t="s">
        <v>5078</v>
      </c>
      <c r="D1452" s="21" t="e">
        <f t="shared" si="44"/>
        <v>#N/A</v>
      </c>
      <c r="E1452" s="71"/>
      <c r="F1452" s="10" t="e" cm="1">
        <f t="array" aca="1" ref="F14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2" s="75"/>
      <c r="I1452" s="73"/>
      <c r="J1452" s="73"/>
      <c r="K1452" s="74"/>
      <c r="L1452" s="68"/>
      <c r="M1452" s="10">
        <f t="shared" ca="1" si="45"/>
        <v>46077</v>
      </c>
    </row>
    <row r="1453" spans="1:13" ht="18.75" hidden="1" x14ac:dyDescent="0.25">
      <c r="A1453" s="71"/>
      <c r="B1453" s="19" t="e">
        <f>VLOOKUP(Table27[[#This Row],[Location 
(drop-down)]],'List source'!D$2:E$71,2,FALSE)</f>
        <v>#N/A</v>
      </c>
      <c r="C1453" s="178" t="s">
        <v>5079</v>
      </c>
      <c r="D1453" s="21" t="e">
        <f t="shared" si="44"/>
        <v>#N/A</v>
      </c>
      <c r="E1453" s="71"/>
      <c r="F1453" s="10" t="e" cm="1">
        <f t="array" aca="1" ref="F14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3" s="75"/>
      <c r="I1453" s="73"/>
      <c r="J1453" s="73"/>
      <c r="K1453" s="74"/>
      <c r="L1453" s="68"/>
      <c r="M1453" s="10">
        <f t="shared" ca="1" si="45"/>
        <v>46077</v>
      </c>
    </row>
    <row r="1454" spans="1:13" ht="18.75" hidden="1" x14ac:dyDescent="0.25">
      <c r="A1454" s="71"/>
      <c r="B1454" s="19" t="e">
        <f>VLOOKUP(Table27[[#This Row],[Location 
(drop-down)]],'List source'!D$2:E$71,2,FALSE)</f>
        <v>#N/A</v>
      </c>
      <c r="C1454" s="178" t="s">
        <v>5080</v>
      </c>
      <c r="D1454" s="21" t="e">
        <f t="shared" si="44"/>
        <v>#N/A</v>
      </c>
      <c r="E1454" s="71"/>
      <c r="F1454" s="10" t="e" cm="1">
        <f t="array" aca="1" ref="F14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4" s="75"/>
      <c r="I1454" s="73"/>
      <c r="J1454" s="73"/>
      <c r="K1454" s="74"/>
      <c r="L1454" s="68"/>
      <c r="M1454" s="10">
        <f t="shared" ca="1" si="45"/>
        <v>46077</v>
      </c>
    </row>
    <row r="1455" spans="1:13" ht="18.75" hidden="1" x14ac:dyDescent="0.25">
      <c r="A1455" s="71"/>
      <c r="B1455" s="19" t="e">
        <f>VLOOKUP(Table27[[#This Row],[Location 
(drop-down)]],'List source'!D$2:E$71,2,FALSE)</f>
        <v>#N/A</v>
      </c>
      <c r="C1455" s="178" t="s">
        <v>5081</v>
      </c>
      <c r="D1455" s="21" t="e">
        <f t="shared" si="44"/>
        <v>#N/A</v>
      </c>
      <c r="E1455" s="71"/>
      <c r="F1455" s="10" t="e" cm="1">
        <f t="array" aca="1" ref="F14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5" s="75"/>
      <c r="I1455" s="73"/>
      <c r="J1455" s="73"/>
      <c r="K1455" s="74"/>
      <c r="L1455" s="68"/>
      <c r="M1455" s="10">
        <f t="shared" ca="1" si="45"/>
        <v>46077</v>
      </c>
    </row>
    <row r="1456" spans="1:13" ht="18.75" hidden="1" x14ac:dyDescent="0.25">
      <c r="A1456" s="71"/>
      <c r="B1456" s="19" t="e">
        <f>VLOOKUP(Table27[[#This Row],[Location 
(drop-down)]],'List source'!D$2:E$71,2,FALSE)</f>
        <v>#N/A</v>
      </c>
      <c r="C1456" s="178" t="s">
        <v>5082</v>
      </c>
      <c r="D1456" s="21" t="e">
        <f t="shared" si="44"/>
        <v>#N/A</v>
      </c>
      <c r="E1456" s="71"/>
      <c r="F1456" s="10" t="e" cm="1">
        <f t="array" aca="1" ref="F14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6" s="75"/>
      <c r="I1456" s="73"/>
      <c r="J1456" s="73"/>
      <c r="K1456" s="74"/>
      <c r="L1456" s="68"/>
      <c r="M1456" s="10">
        <f t="shared" ca="1" si="45"/>
        <v>46077</v>
      </c>
    </row>
    <row r="1457" spans="1:13" ht="18.75" hidden="1" x14ac:dyDescent="0.25">
      <c r="A1457" s="71"/>
      <c r="B1457" s="19" t="e">
        <f>VLOOKUP(Table27[[#This Row],[Location 
(drop-down)]],'List source'!D$2:E$71,2,FALSE)</f>
        <v>#N/A</v>
      </c>
      <c r="C1457" s="178" t="s">
        <v>5083</v>
      </c>
      <c r="D1457" s="21" t="e">
        <f t="shared" si="44"/>
        <v>#N/A</v>
      </c>
      <c r="E1457" s="71"/>
      <c r="F1457" s="10" t="e" cm="1">
        <f t="array" aca="1" ref="F14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7" s="75"/>
      <c r="I1457" s="73"/>
      <c r="J1457" s="73"/>
      <c r="K1457" s="74"/>
      <c r="L1457" s="68"/>
      <c r="M1457" s="10">
        <f t="shared" ca="1" si="45"/>
        <v>46077</v>
      </c>
    </row>
    <row r="1458" spans="1:13" ht="18.75" hidden="1" x14ac:dyDescent="0.25">
      <c r="A1458" s="71"/>
      <c r="B1458" s="19" t="e">
        <f>VLOOKUP(Table27[[#This Row],[Location 
(drop-down)]],'List source'!D$2:E$71,2,FALSE)</f>
        <v>#N/A</v>
      </c>
      <c r="C1458" s="178" t="s">
        <v>5084</v>
      </c>
      <c r="D1458" s="21" t="e">
        <f t="shared" si="44"/>
        <v>#N/A</v>
      </c>
      <c r="E1458" s="71"/>
      <c r="F1458" s="10" t="e" cm="1">
        <f t="array" aca="1" ref="F14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8" s="75"/>
      <c r="I1458" s="73"/>
      <c r="J1458" s="73"/>
      <c r="K1458" s="74"/>
      <c r="L1458" s="68"/>
      <c r="M1458" s="10">
        <f t="shared" ca="1" si="45"/>
        <v>46077</v>
      </c>
    </row>
    <row r="1459" spans="1:13" ht="18.75" hidden="1" x14ac:dyDescent="0.25">
      <c r="A1459" s="71"/>
      <c r="B1459" s="19" t="e">
        <f>VLOOKUP(Table27[[#This Row],[Location 
(drop-down)]],'List source'!D$2:E$71,2,FALSE)</f>
        <v>#N/A</v>
      </c>
      <c r="C1459" s="178" t="s">
        <v>5085</v>
      </c>
      <c r="D1459" s="21" t="e">
        <f t="shared" si="44"/>
        <v>#N/A</v>
      </c>
      <c r="E1459" s="71"/>
      <c r="F1459" s="10" t="e" cm="1">
        <f t="array" aca="1" ref="F14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5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59" s="75"/>
      <c r="I1459" s="73"/>
      <c r="J1459" s="73"/>
      <c r="K1459" s="74"/>
      <c r="L1459" s="68"/>
      <c r="M1459" s="10">
        <f t="shared" ca="1" si="45"/>
        <v>46077</v>
      </c>
    </row>
    <row r="1460" spans="1:13" ht="18.75" hidden="1" x14ac:dyDescent="0.25">
      <c r="A1460" s="71"/>
      <c r="B1460" s="19" t="e">
        <f>VLOOKUP(Table27[[#This Row],[Location 
(drop-down)]],'List source'!D$2:E$71,2,FALSE)</f>
        <v>#N/A</v>
      </c>
      <c r="C1460" s="178" t="s">
        <v>5086</v>
      </c>
      <c r="D1460" s="21" t="e">
        <f t="shared" si="44"/>
        <v>#N/A</v>
      </c>
      <c r="E1460" s="71"/>
      <c r="F1460" s="10" t="e" cm="1">
        <f t="array" aca="1" ref="F14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0" s="75"/>
      <c r="I1460" s="73"/>
      <c r="J1460" s="73"/>
      <c r="K1460" s="74"/>
      <c r="L1460" s="68"/>
      <c r="M1460" s="10">
        <f t="shared" ca="1" si="45"/>
        <v>46077</v>
      </c>
    </row>
    <row r="1461" spans="1:13" ht="18.75" hidden="1" x14ac:dyDescent="0.25">
      <c r="A1461" s="71"/>
      <c r="B1461" s="19" t="e">
        <f>VLOOKUP(Table27[[#This Row],[Location 
(drop-down)]],'List source'!D$2:E$71,2,FALSE)</f>
        <v>#N/A</v>
      </c>
      <c r="C1461" s="178" t="s">
        <v>5087</v>
      </c>
      <c r="D1461" s="21" t="e">
        <f t="shared" si="44"/>
        <v>#N/A</v>
      </c>
      <c r="E1461" s="71"/>
      <c r="F1461" s="10" t="e" cm="1">
        <f t="array" aca="1" ref="F14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1" s="75"/>
      <c r="I1461" s="73"/>
      <c r="J1461" s="73"/>
      <c r="K1461" s="74"/>
      <c r="L1461" s="68"/>
      <c r="M1461" s="10">
        <f t="shared" ca="1" si="45"/>
        <v>46077</v>
      </c>
    </row>
    <row r="1462" spans="1:13" ht="18.75" hidden="1" x14ac:dyDescent="0.25">
      <c r="A1462" s="71"/>
      <c r="B1462" s="19" t="e">
        <f>VLOOKUP(Table27[[#This Row],[Location 
(drop-down)]],'List source'!D$2:E$71,2,FALSE)</f>
        <v>#N/A</v>
      </c>
      <c r="C1462" s="178" t="s">
        <v>5088</v>
      </c>
      <c r="D1462" s="21" t="e">
        <f t="shared" si="44"/>
        <v>#N/A</v>
      </c>
      <c r="E1462" s="71"/>
      <c r="F1462" s="10" t="e" cm="1">
        <f t="array" aca="1" ref="F14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2" s="75"/>
      <c r="I1462" s="73"/>
      <c r="J1462" s="73"/>
      <c r="K1462" s="74"/>
      <c r="L1462" s="68"/>
      <c r="M1462" s="10">
        <f t="shared" ca="1" si="45"/>
        <v>46077</v>
      </c>
    </row>
    <row r="1463" spans="1:13" ht="18.75" hidden="1" x14ac:dyDescent="0.25">
      <c r="A1463" s="71"/>
      <c r="B1463" s="19" t="e">
        <f>VLOOKUP(Table27[[#This Row],[Location 
(drop-down)]],'List source'!D$2:E$71,2,FALSE)</f>
        <v>#N/A</v>
      </c>
      <c r="C1463" s="178" t="s">
        <v>5089</v>
      </c>
      <c r="D1463" s="21" t="e">
        <f t="shared" si="44"/>
        <v>#N/A</v>
      </c>
      <c r="E1463" s="71"/>
      <c r="F1463" s="10" t="e" cm="1">
        <f t="array" aca="1" ref="F14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3" s="75"/>
      <c r="I1463" s="73"/>
      <c r="J1463" s="73"/>
      <c r="K1463" s="74"/>
      <c r="L1463" s="68"/>
      <c r="M1463" s="10">
        <f t="shared" ca="1" si="45"/>
        <v>46077</v>
      </c>
    </row>
    <row r="1464" spans="1:13" ht="18.75" hidden="1" x14ac:dyDescent="0.25">
      <c r="A1464" s="71"/>
      <c r="B1464" s="19" t="e">
        <f>VLOOKUP(Table27[[#This Row],[Location 
(drop-down)]],'List source'!D$2:E$71,2,FALSE)</f>
        <v>#N/A</v>
      </c>
      <c r="C1464" s="178" t="s">
        <v>5090</v>
      </c>
      <c r="D1464" s="21" t="e">
        <f t="shared" si="44"/>
        <v>#N/A</v>
      </c>
      <c r="E1464" s="71"/>
      <c r="F1464" s="10" t="e" cm="1">
        <f t="array" aca="1" ref="F14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4" s="75"/>
      <c r="I1464" s="73"/>
      <c r="J1464" s="73"/>
      <c r="K1464" s="74"/>
      <c r="L1464" s="68"/>
      <c r="M1464" s="10">
        <f t="shared" ca="1" si="45"/>
        <v>46077</v>
      </c>
    </row>
    <row r="1465" spans="1:13" ht="18.75" hidden="1" x14ac:dyDescent="0.25">
      <c r="A1465" s="71"/>
      <c r="B1465" s="19" t="e">
        <f>VLOOKUP(Table27[[#This Row],[Location 
(drop-down)]],'List source'!D$2:E$71,2,FALSE)</f>
        <v>#N/A</v>
      </c>
      <c r="C1465" s="178" t="s">
        <v>5091</v>
      </c>
      <c r="D1465" s="21" t="e">
        <f t="shared" si="44"/>
        <v>#N/A</v>
      </c>
      <c r="E1465" s="71"/>
      <c r="F1465" s="10" t="e" cm="1">
        <f t="array" aca="1" ref="F14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5" s="75"/>
      <c r="I1465" s="73"/>
      <c r="J1465" s="73"/>
      <c r="K1465" s="74"/>
      <c r="L1465" s="68"/>
      <c r="M1465" s="10">
        <f t="shared" ca="1" si="45"/>
        <v>46077</v>
      </c>
    </row>
    <row r="1466" spans="1:13" ht="18.75" hidden="1" x14ac:dyDescent="0.25">
      <c r="A1466" s="71"/>
      <c r="B1466" s="19" t="e">
        <f>VLOOKUP(Table27[[#This Row],[Location 
(drop-down)]],'List source'!D$2:E$71,2,FALSE)</f>
        <v>#N/A</v>
      </c>
      <c r="C1466" s="178" t="s">
        <v>5092</v>
      </c>
      <c r="D1466" s="21" t="e">
        <f t="shared" si="44"/>
        <v>#N/A</v>
      </c>
      <c r="E1466" s="71"/>
      <c r="F1466" s="10" t="e" cm="1">
        <f t="array" aca="1" ref="F14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6" s="75"/>
      <c r="I1466" s="73"/>
      <c r="J1466" s="73"/>
      <c r="K1466" s="74"/>
      <c r="L1466" s="68"/>
      <c r="M1466" s="10">
        <f t="shared" ca="1" si="45"/>
        <v>46077</v>
      </c>
    </row>
    <row r="1467" spans="1:13" ht="18.75" hidden="1" x14ac:dyDescent="0.25">
      <c r="A1467" s="71"/>
      <c r="B1467" s="19" t="e">
        <f>VLOOKUP(Table27[[#This Row],[Location 
(drop-down)]],'List source'!D$2:E$71,2,FALSE)</f>
        <v>#N/A</v>
      </c>
      <c r="C1467" s="178" t="s">
        <v>5093</v>
      </c>
      <c r="D1467" s="21" t="e">
        <f t="shared" si="44"/>
        <v>#N/A</v>
      </c>
      <c r="E1467" s="71"/>
      <c r="F1467" s="10" t="e" cm="1">
        <f t="array" aca="1" ref="F14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7" s="75"/>
      <c r="I1467" s="73"/>
      <c r="J1467" s="73"/>
      <c r="K1467" s="74"/>
      <c r="L1467" s="68"/>
      <c r="M1467" s="10">
        <f t="shared" ca="1" si="45"/>
        <v>46077</v>
      </c>
    </row>
    <row r="1468" spans="1:13" ht="18.75" hidden="1" x14ac:dyDescent="0.25">
      <c r="A1468" s="71"/>
      <c r="B1468" s="19" t="e">
        <f>VLOOKUP(Table27[[#This Row],[Location 
(drop-down)]],'List source'!D$2:E$71,2,FALSE)</f>
        <v>#N/A</v>
      </c>
      <c r="C1468" s="178" t="s">
        <v>5094</v>
      </c>
      <c r="D1468" s="21" t="e">
        <f t="shared" si="44"/>
        <v>#N/A</v>
      </c>
      <c r="E1468" s="71"/>
      <c r="F1468" s="10" t="e" cm="1">
        <f t="array" aca="1" ref="F14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8" s="75"/>
      <c r="I1468" s="73"/>
      <c r="J1468" s="73"/>
      <c r="K1468" s="74"/>
      <c r="L1468" s="68"/>
      <c r="M1468" s="10">
        <f t="shared" ca="1" si="45"/>
        <v>46077</v>
      </c>
    </row>
    <row r="1469" spans="1:13" ht="18.75" hidden="1" x14ac:dyDescent="0.25">
      <c r="A1469" s="71"/>
      <c r="B1469" s="19" t="e">
        <f>VLOOKUP(Table27[[#This Row],[Location 
(drop-down)]],'List source'!D$2:E$71,2,FALSE)</f>
        <v>#N/A</v>
      </c>
      <c r="C1469" s="178" t="s">
        <v>5095</v>
      </c>
      <c r="D1469" s="21" t="e">
        <f t="shared" si="44"/>
        <v>#N/A</v>
      </c>
      <c r="E1469" s="71"/>
      <c r="F1469" s="10" t="e" cm="1">
        <f t="array" aca="1" ref="F14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6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69" s="75"/>
      <c r="I1469" s="73"/>
      <c r="J1469" s="73"/>
      <c r="K1469" s="74"/>
      <c r="L1469" s="68"/>
      <c r="M1469" s="10">
        <f t="shared" ca="1" si="45"/>
        <v>46077</v>
      </c>
    </row>
    <row r="1470" spans="1:13" ht="18.75" hidden="1" x14ac:dyDescent="0.25">
      <c r="A1470" s="71"/>
      <c r="B1470" s="19" t="e">
        <f>VLOOKUP(Table27[[#This Row],[Location 
(drop-down)]],'List source'!D$2:E$71,2,FALSE)</f>
        <v>#N/A</v>
      </c>
      <c r="C1470" s="178" t="s">
        <v>5096</v>
      </c>
      <c r="D1470" s="21" t="e">
        <f t="shared" si="44"/>
        <v>#N/A</v>
      </c>
      <c r="E1470" s="71"/>
      <c r="F1470" s="10" t="e" cm="1">
        <f t="array" aca="1" ref="F14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0" s="75"/>
      <c r="I1470" s="73"/>
      <c r="J1470" s="73"/>
      <c r="K1470" s="74"/>
      <c r="L1470" s="68"/>
      <c r="M1470" s="10">
        <f t="shared" ca="1" si="45"/>
        <v>46077</v>
      </c>
    </row>
    <row r="1471" spans="1:13" ht="18.75" hidden="1" x14ac:dyDescent="0.25">
      <c r="A1471" s="71"/>
      <c r="B1471" s="19" t="e">
        <f>VLOOKUP(Table27[[#This Row],[Location 
(drop-down)]],'List source'!D$2:E$71,2,FALSE)</f>
        <v>#N/A</v>
      </c>
      <c r="C1471" s="178" t="s">
        <v>5097</v>
      </c>
      <c r="D1471" s="21" t="e">
        <f t="shared" si="44"/>
        <v>#N/A</v>
      </c>
      <c r="E1471" s="71"/>
      <c r="F1471" s="10" t="e" cm="1">
        <f t="array" aca="1" ref="F14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1" s="75"/>
      <c r="I1471" s="73"/>
      <c r="J1471" s="73"/>
      <c r="K1471" s="74"/>
      <c r="L1471" s="68"/>
      <c r="M1471" s="10">
        <f t="shared" ca="1" si="45"/>
        <v>46077</v>
      </c>
    </row>
    <row r="1472" spans="1:13" ht="18.75" hidden="1" x14ac:dyDescent="0.25">
      <c r="A1472" s="71"/>
      <c r="B1472" s="19" t="e">
        <f>VLOOKUP(Table27[[#This Row],[Location 
(drop-down)]],'List source'!D$2:E$71,2,FALSE)</f>
        <v>#N/A</v>
      </c>
      <c r="C1472" s="178" t="s">
        <v>5098</v>
      </c>
      <c r="D1472" s="21" t="e">
        <f t="shared" si="44"/>
        <v>#N/A</v>
      </c>
      <c r="E1472" s="71"/>
      <c r="F1472" s="10" t="e" cm="1">
        <f t="array" aca="1" ref="F14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2" s="75"/>
      <c r="I1472" s="73"/>
      <c r="J1472" s="73"/>
      <c r="K1472" s="74"/>
      <c r="L1472" s="68"/>
      <c r="M1472" s="10">
        <f t="shared" ca="1" si="45"/>
        <v>46077</v>
      </c>
    </row>
    <row r="1473" spans="1:13" ht="18.75" hidden="1" x14ac:dyDescent="0.25">
      <c r="A1473" s="71"/>
      <c r="B1473" s="19" t="e">
        <f>VLOOKUP(Table27[[#This Row],[Location 
(drop-down)]],'List source'!D$2:E$71,2,FALSE)</f>
        <v>#N/A</v>
      </c>
      <c r="C1473" s="178" t="s">
        <v>5099</v>
      </c>
      <c r="D1473" s="21" t="e">
        <f t="shared" si="44"/>
        <v>#N/A</v>
      </c>
      <c r="E1473" s="71"/>
      <c r="F1473" s="10" t="e" cm="1">
        <f t="array" aca="1" ref="F14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3" s="75"/>
      <c r="I1473" s="73"/>
      <c r="J1473" s="73"/>
      <c r="K1473" s="74"/>
      <c r="L1473" s="68"/>
      <c r="M1473" s="10">
        <f t="shared" ca="1" si="45"/>
        <v>46077</v>
      </c>
    </row>
    <row r="1474" spans="1:13" ht="18.75" hidden="1" x14ac:dyDescent="0.25">
      <c r="A1474" s="71"/>
      <c r="B1474" s="19" t="e">
        <f>VLOOKUP(Table27[[#This Row],[Location 
(drop-down)]],'List source'!D$2:E$71,2,FALSE)</f>
        <v>#N/A</v>
      </c>
      <c r="C1474" s="178" t="s">
        <v>5100</v>
      </c>
      <c r="D1474" s="21" t="e">
        <f t="shared" ref="D1474:D1502" si="46">"PTO" &amp; C1474 &amp; "-" &amp; B1474 &amp; "-" &amp; "25"</f>
        <v>#N/A</v>
      </c>
      <c r="E1474" s="71"/>
      <c r="F1474" s="10" t="e" cm="1">
        <f t="array" aca="1" ref="F14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4" s="75"/>
      <c r="I1474" s="73"/>
      <c r="J1474" s="73"/>
      <c r="K1474" s="74"/>
      <c r="L1474" s="68"/>
      <c r="M1474" s="10">
        <f t="shared" ref="M1474:M1502" ca="1" si="47">IF(ISBLANK(K1474), TODAY()-(I1474), "CLOSED")</f>
        <v>46077</v>
      </c>
    </row>
    <row r="1475" spans="1:13" ht="18.75" hidden="1" x14ac:dyDescent="0.25">
      <c r="A1475" s="71"/>
      <c r="B1475" s="19" t="e">
        <f>VLOOKUP(Table27[[#This Row],[Location 
(drop-down)]],'List source'!D$2:E$71,2,FALSE)</f>
        <v>#N/A</v>
      </c>
      <c r="C1475" s="178" t="s">
        <v>5101</v>
      </c>
      <c r="D1475" s="21" t="e">
        <f t="shared" si="46"/>
        <v>#N/A</v>
      </c>
      <c r="E1475" s="71"/>
      <c r="F1475" s="10" t="e" cm="1">
        <f t="array" aca="1" ref="F14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5" s="75"/>
      <c r="I1475" s="73"/>
      <c r="J1475" s="73"/>
      <c r="K1475" s="74"/>
      <c r="L1475" s="68"/>
      <c r="M1475" s="10">
        <f t="shared" ca="1" si="47"/>
        <v>46077</v>
      </c>
    </row>
    <row r="1476" spans="1:13" ht="18.75" hidden="1" x14ac:dyDescent="0.25">
      <c r="A1476" s="71"/>
      <c r="B1476" s="19" t="e">
        <f>VLOOKUP(Table27[[#This Row],[Location 
(drop-down)]],'List source'!D$2:E$71,2,FALSE)</f>
        <v>#N/A</v>
      </c>
      <c r="C1476" s="178" t="s">
        <v>5102</v>
      </c>
      <c r="D1476" s="21" t="e">
        <f t="shared" si="46"/>
        <v>#N/A</v>
      </c>
      <c r="E1476" s="71"/>
      <c r="F1476" s="10" t="e" cm="1">
        <f t="array" aca="1" ref="F14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6" s="75"/>
      <c r="I1476" s="73"/>
      <c r="J1476" s="73"/>
      <c r="K1476" s="74"/>
      <c r="L1476" s="68"/>
      <c r="M1476" s="10">
        <f t="shared" ca="1" si="47"/>
        <v>46077</v>
      </c>
    </row>
    <row r="1477" spans="1:13" ht="18.75" hidden="1" x14ac:dyDescent="0.25">
      <c r="A1477" s="71"/>
      <c r="B1477" s="19" t="e">
        <f>VLOOKUP(Table27[[#This Row],[Location 
(drop-down)]],'List source'!D$2:E$71,2,FALSE)</f>
        <v>#N/A</v>
      </c>
      <c r="C1477" s="178" t="s">
        <v>5103</v>
      </c>
      <c r="D1477" s="21" t="e">
        <f t="shared" si="46"/>
        <v>#N/A</v>
      </c>
      <c r="E1477" s="71"/>
      <c r="F1477" s="10" t="e" cm="1">
        <f t="array" aca="1" ref="F14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7" s="75"/>
      <c r="I1477" s="73"/>
      <c r="J1477" s="73"/>
      <c r="K1477" s="74"/>
      <c r="L1477" s="68"/>
      <c r="M1477" s="10">
        <f t="shared" ca="1" si="47"/>
        <v>46077</v>
      </c>
    </row>
    <row r="1478" spans="1:13" ht="18.75" hidden="1" x14ac:dyDescent="0.25">
      <c r="A1478" s="71"/>
      <c r="B1478" s="19" t="e">
        <f>VLOOKUP(Table27[[#This Row],[Location 
(drop-down)]],'List source'!D$2:E$71,2,FALSE)</f>
        <v>#N/A</v>
      </c>
      <c r="C1478" s="178" t="s">
        <v>5104</v>
      </c>
      <c r="D1478" s="21" t="e">
        <f t="shared" si="46"/>
        <v>#N/A</v>
      </c>
      <c r="E1478" s="71"/>
      <c r="F1478" s="10" t="e" cm="1">
        <f t="array" aca="1" ref="F14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8" s="75"/>
      <c r="I1478" s="73"/>
      <c r="J1478" s="73"/>
      <c r="K1478" s="74"/>
      <c r="L1478" s="68"/>
      <c r="M1478" s="10">
        <f t="shared" ca="1" si="47"/>
        <v>46077</v>
      </c>
    </row>
    <row r="1479" spans="1:13" ht="18.75" hidden="1" x14ac:dyDescent="0.25">
      <c r="A1479" s="71"/>
      <c r="B1479" s="19" t="e">
        <f>VLOOKUP(Table27[[#This Row],[Location 
(drop-down)]],'List source'!D$2:E$71,2,FALSE)</f>
        <v>#N/A</v>
      </c>
      <c r="C1479" s="178" t="s">
        <v>5105</v>
      </c>
      <c r="D1479" s="21" t="e">
        <f t="shared" si="46"/>
        <v>#N/A</v>
      </c>
      <c r="E1479" s="71"/>
      <c r="F1479" s="10" t="e" cm="1">
        <f t="array" aca="1" ref="F14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7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79" s="75"/>
      <c r="I1479" s="73"/>
      <c r="J1479" s="73"/>
      <c r="K1479" s="74"/>
      <c r="L1479" s="68"/>
      <c r="M1479" s="10">
        <f t="shared" ca="1" si="47"/>
        <v>46077</v>
      </c>
    </row>
    <row r="1480" spans="1:13" ht="18.75" hidden="1" x14ac:dyDescent="0.25">
      <c r="A1480" s="71"/>
      <c r="B1480" s="19" t="e">
        <f>VLOOKUP(Table27[[#This Row],[Location 
(drop-down)]],'List source'!D$2:E$71,2,FALSE)</f>
        <v>#N/A</v>
      </c>
      <c r="C1480" s="178" t="s">
        <v>5106</v>
      </c>
      <c r="D1480" s="21" t="e">
        <f t="shared" si="46"/>
        <v>#N/A</v>
      </c>
      <c r="E1480" s="71"/>
      <c r="F1480" s="10" t="e" cm="1">
        <f t="array" aca="1" ref="F14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0" s="75"/>
      <c r="I1480" s="73"/>
      <c r="J1480" s="73"/>
      <c r="K1480" s="74"/>
      <c r="L1480" s="68"/>
      <c r="M1480" s="10">
        <f t="shared" ca="1" si="47"/>
        <v>46077</v>
      </c>
    </row>
    <row r="1481" spans="1:13" ht="18.75" hidden="1" x14ac:dyDescent="0.25">
      <c r="A1481" s="71"/>
      <c r="B1481" s="19" t="e">
        <f>VLOOKUP(Table27[[#This Row],[Location 
(drop-down)]],'List source'!D$2:E$71,2,FALSE)</f>
        <v>#N/A</v>
      </c>
      <c r="C1481" s="178" t="s">
        <v>5107</v>
      </c>
      <c r="D1481" s="21" t="e">
        <f t="shared" si="46"/>
        <v>#N/A</v>
      </c>
      <c r="E1481" s="71"/>
      <c r="F1481" s="10" t="e" cm="1">
        <f t="array" aca="1" ref="F14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1" s="75"/>
      <c r="I1481" s="73"/>
      <c r="J1481" s="73"/>
      <c r="K1481" s="74"/>
      <c r="L1481" s="68"/>
      <c r="M1481" s="10">
        <f t="shared" ca="1" si="47"/>
        <v>46077</v>
      </c>
    </row>
    <row r="1482" spans="1:13" ht="18.75" hidden="1" x14ac:dyDescent="0.25">
      <c r="A1482" s="71"/>
      <c r="B1482" s="19" t="e">
        <f>VLOOKUP(Table27[[#This Row],[Location 
(drop-down)]],'List source'!D$2:E$71,2,FALSE)</f>
        <v>#N/A</v>
      </c>
      <c r="C1482" s="178" t="s">
        <v>5108</v>
      </c>
      <c r="D1482" s="21" t="e">
        <f t="shared" si="46"/>
        <v>#N/A</v>
      </c>
      <c r="E1482" s="71"/>
      <c r="F1482" s="10" t="e" cm="1">
        <f t="array" aca="1" ref="F14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2" s="75"/>
      <c r="I1482" s="73"/>
      <c r="J1482" s="73"/>
      <c r="K1482" s="74"/>
      <c r="L1482" s="68"/>
      <c r="M1482" s="10">
        <f t="shared" ca="1" si="47"/>
        <v>46077</v>
      </c>
    </row>
    <row r="1483" spans="1:13" ht="18.75" hidden="1" x14ac:dyDescent="0.25">
      <c r="A1483" s="71"/>
      <c r="B1483" s="19" t="e">
        <f>VLOOKUP(Table27[[#This Row],[Location 
(drop-down)]],'List source'!D$2:E$71,2,FALSE)</f>
        <v>#N/A</v>
      </c>
      <c r="C1483" s="178" t="s">
        <v>5109</v>
      </c>
      <c r="D1483" s="21" t="e">
        <f t="shared" si="46"/>
        <v>#N/A</v>
      </c>
      <c r="E1483" s="71"/>
      <c r="F1483" s="10" t="e" cm="1">
        <f t="array" aca="1" ref="F14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3" s="75"/>
      <c r="I1483" s="73"/>
      <c r="J1483" s="73"/>
      <c r="K1483" s="74"/>
      <c r="L1483" s="68"/>
      <c r="M1483" s="10">
        <f t="shared" ca="1" si="47"/>
        <v>46077</v>
      </c>
    </row>
    <row r="1484" spans="1:13" ht="18.75" hidden="1" x14ac:dyDescent="0.25">
      <c r="A1484" s="71"/>
      <c r="B1484" s="19" t="e">
        <f>VLOOKUP(Table27[[#This Row],[Location 
(drop-down)]],'List source'!D$2:E$71,2,FALSE)</f>
        <v>#N/A</v>
      </c>
      <c r="C1484" s="178" t="s">
        <v>5110</v>
      </c>
      <c r="D1484" s="21" t="e">
        <f t="shared" si="46"/>
        <v>#N/A</v>
      </c>
      <c r="E1484" s="71"/>
      <c r="F1484" s="10" t="e" cm="1">
        <f t="array" aca="1" ref="F14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4" s="75"/>
      <c r="I1484" s="73"/>
      <c r="J1484" s="73"/>
      <c r="K1484" s="74"/>
      <c r="L1484" s="68"/>
      <c r="M1484" s="10">
        <f t="shared" ca="1" si="47"/>
        <v>46077</v>
      </c>
    </row>
    <row r="1485" spans="1:13" ht="18.75" hidden="1" x14ac:dyDescent="0.25">
      <c r="A1485" s="71"/>
      <c r="B1485" s="19" t="e">
        <f>VLOOKUP(Table27[[#This Row],[Location 
(drop-down)]],'List source'!D$2:E$71,2,FALSE)</f>
        <v>#N/A</v>
      </c>
      <c r="C1485" s="178" t="s">
        <v>5111</v>
      </c>
      <c r="D1485" s="21" t="e">
        <f t="shared" si="46"/>
        <v>#N/A</v>
      </c>
      <c r="E1485" s="71"/>
      <c r="F1485" s="10" t="e" cm="1">
        <f t="array" aca="1" ref="F14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5" s="75"/>
      <c r="I1485" s="73"/>
      <c r="J1485" s="73"/>
      <c r="K1485" s="74"/>
      <c r="L1485" s="68"/>
      <c r="M1485" s="10">
        <f t="shared" ca="1" si="47"/>
        <v>46077</v>
      </c>
    </row>
    <row r="1486" spans="1:13" ht="18.75" hidden="1" x14ac:dyDescent="0.25">
      <c r="A1486" s="71"/>
      <c r="B1486" s="19" t="e">
        <f>VLOOKUP(Table27[[#This Row],[Location 
(drop-down)]],'List source'!D$2:E$71,2,FALSE)</f>
        <v>#N/A</v>
      </c>
      <c r="C1486" s="178" t="s">
        <v>5112</v>
      </c>
      <c r="D1486" s="21" t="e">
        <f t="shared" si="46"/>
        <v>#N/A</v>
      </c>
      <c r="E1486" s="71"/>
      <c r="F1486" s="10" t="e" cm="1">
        <f t="array" aca="1" ref="F14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6" s="75"/>
      <c r="I1486" s="73"/>
      <c r="J1486" s="73"/>
      <c r="K1486" s="74"/>
      <c r="L1486" s="68"/>
      <c r="M1486" s="10">
        <f t="shared" ca="1" si="47"/>
        <v>46077</v>
      </c>
    </row>
    <row r="1487" spans="1:13" ht="18.75" hidden="1" x14ac:dyDescent="0.25">
      <c r="A1487" s="71"/>
      <c r="B1487" s="19" t="e">
        <f>VLOOKUP(Table27[[#This Row],[Location 
(drop-down)]],'List source'!D$2:E$71,2,FALSE)</f>
        <v>#N/A</v>
      </c>
      <c r="C1487" s="178" t="s">
        <v>5113</v>
      </c>
      <c r="D1487" s="21" t="e">
        <f t="shared" si="46"/>
        <v>#N/A</v>
      </c>
      <c r="E1487" s="71"/>
      <c r="F1487" s="10" t="e" cm="1">
        <f t="array" aca="1" ref="F14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7" s="75"/>
      <c r="I1487" s="73"/>
      <c r="J1487" s="73"/>
      <c r="K1487" s="74"/>
      <c r="L1487" s="68"/>
      <c r="M1487" s="10">
        <f t="shared" ca="1" si="47"/>
        <v>46077</v>
      </c>
    </row>
    <row r="1488" spans="1:13" ht="18.75" hidden="1" x14ac:dyDescent="0.25">
      <c r="A1488" s="71"/>
      <c r="B1488" s="19" t="e">
        <f>VLOOKUP(Table27[[#This Row],[Location 
(drop-down)]],'List source'!D$2:E$71,2,FALSE)</f>
        <v>#N/A</v>
      </c>
      <c r="C1488" s="178" t="s">
        <v>5114</v>
      </c>
      <c r="D1488" s="21" t="e">
        <f t="shared" si="46"/>
        <v>#N/A</v>
      </c>
      <c r="E1488" s="71"/>
      <c r="F1488" s="10" t="e" cm="1">
        <f t="array" aca="1" ref="F14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8" s="75"/>
      <c r="I1488" s="73"/>
      <c r="J1488" s="73"/>
      <c r="K1488" s="74"/>
      <c r="L1488" s="68"/>
      <c r="M1488" s="10">
        <f t="shared" ca="1" si="47"/>
        <v>46077</v>
      </c>
    </row>
    <row r="1489" spans="1:13" ht="18.75" hidden="1" x14ac:dyDescent="0.25">
      <c r="A1489" s="71"/>
      <c r="B1489" s="19" t="e">
        <f>VLOOKUP(Table27[[#This Row],[Location 
(drop-down)]],'List source'!D$2:E$71,2,FALSE)</f>
        <v>#N/A</v>
      </c>
      <c r="C1489" s="178" t="s">
        <v>5115</v>
      </c>
      <c r="D1489" s="21" t="e">
        <f t="shared" si="46"/>
        <v>#N/A</v>
      </c>
      <c r="E1489" s="71"/>
      <c r="F1489" s="10" t="e" cm="1">
        <f t="array" aca="1" ref="F14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8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89" s="75"/>
      <c r="I1489" s="73"/>
      <c r="J1489" s="73"/>
      <c r="K1489" s="74"/>
      <c r="L1489" s="68"/>
      <c r="M1489" s="10">
        <f t="shared" ca="1" si="47"/>
        <v>46077</v>
      </c>
    </row>
    <row r="1490" spans="1:13" ht="18.75" hidden="1" x14ac:dyDescent="0.25">
      <c r="A1490" s="71"/>
      <c r="B1490" s="19" t="e">
        <f>VLOOKUP(Table27[[#This Row],[Location 
(drop-down)]],'List source'!D$2:E$71,2,FALSE)</f>
        <v>#N/A</v>
      </c>
      <c r="C1490" s="178" t="s">
        <v>5116</v>
      </c>
      <c r="D1490" s="21" t="e">
        <f t="shared" si="46"/>
        <v>#N/A</v>
      </c>
      <c r="E1490" s="71"/>
      <c r="F1490" s="10" t="e" cm="1">
        <f t="array" aca="1" ref="F14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0" s="75"/>
      <c r="I1490" s="73"/>
      <c r="J1490" s="73"/>
      <c r="K1490" s="74"/>
      <c r="L1490" s="68"/>
      <c r="M1490" s="10">
        <f t="shared" ca="1" si="47"/>
        <v>46077</v>
      </c>
    </row>
    <row r="1491" spans="1:13" ht="18.75" hidden="1" x14ac:dyDescent="0.25">
      <c r="A1491" s="71"/>
      <c r="B1491" s="19" t="e">
        <f>VLOOKUP(Table27[[#This Row],[Location 
(drop-down)]],'List source'!D$2:E$71,2,FALSE)</f>
        <v>#N/A</v>
      </c>
      <c r="C1491" s="178" t="s">
        <v>5117</v>
      </c>
      <c r="D1491" s="21" t="e">
        <f t="shared" si="46"/>
        <v>#N/A</v>
      </c>
      <c r="E1491" s="71"/>
      <c r="F1491" s="10" t="e" cm="1">
        <f t="array" aca="1" ref="F14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1" s="75"/>
      <c r="I1491" s="73"/>
      <c r="J1491" s="73"/>
      <c r="K1491" s="74"/>
      <c r="L1491" s="68"/>
      <c r="M1491" s="10">
        <f t="shared" ca="1" si="47"/>
        <v>46077</v>
      </c>
    </row>
    <row r="1492" spans="1:13" ht="18.75" hidden="1" x14ac:dyDescent="0.25">
      <c r="A1492" s="71"/>
      <c r="B1492" s="19" t="e">
        <f>VLOOKUP(Table27[[#This Row],[Location 
(drop-down)]],'List source'!D$2:E$71,2,FALSE)</f>
        <v>#N/A</v>
      </c>
      <c r="C1492" s="178" t="s">
        <v>5118</v>
      </c>
      <c r="D1492" s="21" t="e">
        <f t="shared" si="46"/>
        <v>#N/A</v>
      </c>
      <c r="E1492" s="71"/>
      <c r="F1492" s="10" t="e" cm="1">
        <f t="array" aca="1" ref="F14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2" s="75"/>
      <c r="I1492" s="73"/>
      <c r="J1492" s="73"/>
      <c r="K1492" s="74"/>
      <c r="L1492" s="68"/>
      <c r="M1492" s="10">
        <f t="shared" ca="1" si="47"/>
        <v>46077</v>
      </c>
    </row>
    <row r="1493" spans="1:13" ht="18.75" hidden="1" x14ac:dyDescent="0.25">
      <c r="A1493" s="71"/>
      <c r="B1493" s="19" t="e">
        <f>VLOOKUP(Table27[[#This Row],[Location 
(drop-down)]],'List source'!D$2:E$71,2,FALSE)</f>
        <v>#N/A</v>
      </c>
      <c r="C1493" s="178" t="s">
        <v>5119</v>
      </c>
      <c r="D1493" s="21" t="e">
        <f t="shared" si="46"/>
        <v>#N/A</v>
      </c>
      <c r="E1493" s="71"/>
      <c r="F1493" s="10" t="e" cm="1">
        <f t="array" aca="1" ref="F14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3"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3" s="75"/>
      <c r="I1493" s="73"/>
      <c r="J1493" s="73"/>
      <c r="K1493" s="74"/>
      <c r="L1493" s="68"/>
      <c r="M1493" s="10">
        <f t="shared" ca="1" si="47"/>
        <v>46077</v>
      </c>
    </row>
    <row r="1494" spans="1:13" ht="18.75" hidden="1" x14ac:dyDescent="0.25">
      <c r="A1494" s="71"/>
      <c r="B1494" s="19" t="e">
        <f>VLOOKUP(Table27[[#This Row],[Location 
(drop-down)]],'List source'!D$2:E$71,2,FALSE)</f>
        <v>#N/A</v>
      </c>
      <c r="C1494" s="178" t="s">
        <v>5120</v>
      </c>
      <c r="D1494" s="21" t="e">
        <f t="shared" si="46"/>
        <v>#N/A</v>
      </c>
      <c r="E1494" s="71"/>
      <c r="F1494" s="10" t="e" cm="1">
        <f t="array" aca="1" ref="F14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4"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4" s="75"/>
      <c r="I1494" s="73"/>
      <c r="J1494" s="73"/>
      <c r="K1494" s="74"/>
      <c r="L1494" s="68"/>
      <c r="M1494" s="10">
        <f t="shared" ca="1" si="47"/>
        <v>46077</v>
      </c>
    </row>
    <row r="1495" spans="1:13" ht="18.75" hidden="1" x14ac:dyDescent="0.25">
      <c r="A1495" s="71"/>
      <c r="B1495" s="19" t="e">
        <f>VLOOKUP(Table27[[#This Row],[Location 
(drop-down)]],'List source'!D$2:E$71,2,FALSE)</f>
        <v>#N/A</v>
      </c>
      <c r="C1495" s="178" t="s">
        <v>5121</v>
      </c>
      <c r="D1495" s="21" t="e">
        <f t="shared" si="46"/>
        <v>#N/A</v>
      </c>
      <c r="E1495" s="71"/>
      <c r="F1495" s="10" t="e" cm="1">
        <f t="array" aca="1" ref="F14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5"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5" s="75"/>
      <c r="I1495" s="73"/>
      <c r="J1495" s="73"/>
      <c r="K1495" s="74"/>
      <c r="L1495" s="68"/>
      <c r="M1495" s="10">
        <f t="shared" ca="1" si="47"/>
        <v>46077</v>
      </c>
    </row>
    <row r="1496" spans="1:13" ht="18.75" hidden="1" x14ac:dyDescent="0.25">
      <c r="A1496" s="71"/>
      <c r="B1496" s="19" t="e">
        <f>VLOOKUP(Table27[[#This Row],[Location 
(drop-down)]],'List source'!D$2:E$71,2,FALSE)</f>
        <v>#N/A</v>
      </c>
      <c r="C1496" s="178" t="s">
        <v>5122</v>
      </c>
      <c r="D1496" s="21" t="e">
        <f t="shared" si="46"/>
        <v>#N/A</v>
      </c>
      <c r="E1496" s="71"/>
      <c r="F1496" s="10" t="e" cm="1">
        <f t="array" aca="1" ref="F14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6"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6" s="75"/>
      <c r="I1496" s="73"/>
      <c r="J1496" s="73"/>
      <c r="K1496" s="74"/>
      <c r="L1496" s="68"/>
      <c r="M1496" s="10">
        <f t="shared" ca="1" si="47"/>
        <v>46077</v>
      </c>
    </row>
    <row r="1497" spans="1:13" ht="18.75" hidden="1" x14ac:dyDescent="0.25">
      <c r="A1497" s="71"/>
      <c r="B1497" s="19" t="e">
        <f>VLOOKUP(Table27[[#This Row],[Location 
(drop-down)]],'List source'!D$2:E$71,2,FALSE)</f>
        <v>#N/A</v>
      </c>
      <c r="C1497" s="178" t="s">
        <v>5123</v>
      </c>
      <c r="D1497" s="21" t="e">
        <f t="shared" si="46"/>
        <v>#N/A</v>
      </c>
      <c r="E1497" s="71"/>
      <c r="F1497" s="10" t="e" cm="1">
        <f t="array" aca="1" ref="F14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7" s="75"/>
      <c r="I1497" s="73"/>
      <c r="J1497" s="73"/>
      <c r="K1497" s="74"/>
      <c r="L1497" s="68"/>
      <c r="M1497" s="10">
        <f t="shared" ca="1" si="47"/>
        <v>46077</v>
      </c>
    </row>
    <row r="1498" spans="1:13" ht="18.75" hidden="1" x14ac:dyDescent="0.25">
      <c r="A1498" s="71"/>
      <c r="B1498" s="19" t="e">
        <f>VLOOKUP(Table27[[#This Row],[Location 
(drop-down)]],'List source'!D$2:E$71,2,FALSE)</f>
        <v>#N/A</v>
      </c>
      <c r="C1498" s="178" t="s">
        <v>5124</v>
      </c>
      <c r="D1498" s="21" t="e">
        <f t="shared" si="46"/>
        <v>#N/A</v>
      </c>
      <c r="E1498" s="71"/>
      <c r="F1498" s="10" t="e" cm="1">
        <f t="array" aca="1" ref="F14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8" s="75"/>
      <c r="I1498" s="73"/>
      <c r="J1498" s="73"/>
      <c r="K1498" s="74"/>
      <c r="L1498" s="68"/>
      <c r="M1498" s="10">
        <f t="shared" ca="1" si="47"/>
        <v>46077</v>
      </c>
    </row>
    <row r="1499" spans="1:13" ht="18.75" hidden="1" x14ac:dyDescent="0.25">
      <c r="A1499" s="71"/>
      <c r="B1499" s="19" t="e">
        <f>VLOOKUP(Table27[[#This Row],[Location 
(drop-down)]],'List source'!D$2:E$71,2,FALSE)</f>
        <v>#N/A</v>
      </c>
      <c r="C1499" s="178" t="s">
        <v>5125</v>
      </c>
      <c r="D1499" s="21" t="e">
        <f t="shared" si="46"/>
        <v>#N/A</v>
      </c>
      <c r="E1499" s="71"/>
      <c r="F1499" s="10" t="e" cm="1">
        <f t="array" aca="1" ref="F14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99"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99" s="75"/>
      <c r="I1499" s="73"/>
      <c r="J1499" s="73"/>
      <c r="K1499" s="74"/>
      <c r="L1499" s="68"/>
      <c r="M1499" s="10">
        <f t="shared" ca="1" si="47"/>
        <v>46077</v>
      </c>
    </row>
    <row r="1500" spans="1:13" ht="18.75" hidden="1" x14ac:dyDescent="0.25">
      <c r="A1500" s="71"/>
      <c r="B1500" s="19" t="e">
        <f>VLOOKUP(Table27[[#This Row],[Location 
(drop-down)]],'List source'!D$2:E$71,2,FALSE)</f>
        <v>#N/A</v>
      </c>
      <c r="C1500" s="178" t="s">
        <v>5126</v>
      </c>
      <c r="D1500" s="21" t="e">
        <f t="shared" si="46"/>
        <v>#N/A</v>
      </c>
      <c r="E1500" s="71"/>
      <c r="F1500" s="10" t="e" cm="1">
        <f t="array" aca="1" ref="F15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500"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500" s="75"/>
      <c r="I1500" s="73"/>
      <c r="J1500" s="73"/>
      <c r="K1500" s="74"/>
      <c r="L1500" s="68"/>
      <c r="M1500" s="10">
        <f t="shared" ca="1" si="47"/>
        <v>46077</v>
      </c>
    </row>
    <row r="1501" spans="1:13" ht="18.75" hidden="1" x14ac:dyDescent="0.25">
      <c r="A1501" s="71"/>
      <c r="B1501" s="19" t="e">
        <f>VLOOKUP(Table27[[#This Row],[Location 
(drop-down)]],'List source'!D$2:E$71,2,FALSE)</f>
        <v>#N/A</v>
      </c>
      <c r="C1501" s="178" t="s">
        <v>5127</v>
      </c>
      <c r="D1501" s="21" t="e">
        <f t="shared" si="46"/>
        <v>#N/A</v>
      </c>
      <c r="E1501" s="71"/>
      <c r="F1501" s="10" t="e" cm="1">
        <f t="array" aca="1" ref="F15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501"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501" s="75"/>
      <c r="I1501" s="73"/>
      <c r="J1501" s="73"/>
      <c r="K1501" s="74"/>
      <c r="L1501" s="68"/>
      <c r="M1501" s="10">
        <f t="shared" ca="1" si="47"/>
        <v>46077</v>
      </c>
    </row>
    <row r="1502" spans="1:13" hidden="1" x14ac:dyDescent="0.25">
      <c r="A1502" s="9"/>
      <c r="B1502" s="19" t="e">
        <f>VLOOKUP(Table27[[#This Row],[Location 
(drop-down)]],'List source'!D$2:E$71,2,FALSE)</f>
        <v>#N/A</v>
      </c>
      <c r="C1502" s="264"/>
      <c r="D1502" s="13" t="e">
        <f t="shared" si="46"/>
        <v>#N/A</v>
      </c>
      <c r="E1502" s="9"/>
      <c r="F1502" s="10" t="e" cm="1">
        <f t="array" aca="1" ref="F15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502"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502" s="10"/>
      <c r="I1502" s="12"/>
      <c r="J1502" s="12"/>
      <c r="K1502" s="63"/>
      <c r="L1502" s="37"/>
      <c r="M1502" s="10">
        <f t="shared" ca="1" si="47"/>
        <v>46077</v>
      </c>
    </row>
    <row r="1503" spans="1:13" x14ac:dyDescent="0.25">
      <c r="A1503" s="71"/>
      <c r="B1503" s="72"/>
      <c r="C1503" s="72">
        <f>SUBTOTAL(109,$C$706:C718)</f>
        <v>0</v>
      </c>
      <c r="D1503" s="72"/>
      <c r="E1503" s="71"/>
      <c r="F1503" s="75"/>
      <c r="G1503" s="71"/>
      <c r="H1503" s="75"/>
      <c r="I1503" s="73"/>
      <c r="J1503" s="73"/>
      <c r="K1503" s="74"/>
      <c r="L1503" s="68"/>
      <c r="M1503" s="341"/>
    </row>
  </sheetData>
  <phoneticPr fontId="4" type="noConversion"/>
  <conditionalFormatting sqref="M2:M1502">
    <cfRule type="expression" dxfId="0" priority="1">
      <formula>ISNUMBER(M2)=TRUE</formula>
    </cfRule>
  </conditionalFormatting>
  <pageMargins left="0.7" right="0.7" top="0.75" bottom="0.75" header="0.3" footer="0.3"/>
  <pageSetup scale="42" fitToHeight="0" orientation="landscape"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DED54644-82F3-4483-B51E-345391EB5985}">
          <x14:formula1>
            <xm:f>'List source'!$A$14:$A$19</xm:f>
          </x14:formula1>
          <xm:sqref>E181 E277</xm:sqref>
        </x14:dataValidation>
        <x14:dataValidation type="list" allowBlank="1" showInputMessage="1" showErrorMessage="1" xr:uid="{5F963C38-A229-4E21-95D2-00310E402D68}">
          <x14:formula1>
            <xm:f>'List source'!$D$2:$D$71</xm:f>
          </x14:formula1>
          <xm:sqref>A2:A1502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4973-6DC2-4202-B3EC-3BAD08FAFCFC}">
  <sheetPr codeName="Sheet7"/>
  <dimension ref="C6:E14"/>
  <sheetViews>
    <sheetView workbookViewId="0">
      <selection activeCell="H15" sqref="H15"/>
    </sheetView>
  </sheetViews>
  <sheetFormatPr defaultRowHeight="15" x14ac:dyDescent="0.25"/>
  <sheetData>
    <row r="6" spans="3:5" x14ac:dyDescent="0.25">
      <c r="D6">
        <v>2024</v>
      </c>
      <c r="E6">
        <v>2025</v>
      </c>
    </row>
    <row r="7" spans="3:5" x14ac:dyDescent="0.25">
      <c r="C7" t="s">
        <v>5128</v>
      </c>
      <c r="D7">
        <v>92</v>
      </c>
      <c r="E7">
        <v>12</v>
      </c>
    </row>
    <row r="8" spans="3:5" x14ac:dyDescent="0.25">
      <c r="C8" t="s">
        <v>5129</v>
      </c>
      <c r="D8">
        <v>8</v>
      </c>
      <c r="E8">
        <v>0</v>
      </c>
    </row>
    <row r="9" spans="3:5" x14ac:dyDescent="0.25">
      <c r="C9" t="s">
        <v>5130</v>
      </c>
      <c r="D9">
        <v>90</v>
      </c>
      <c r="E9">
        <v>0</v>
      </c>
    </row>
    <row r="10" spans="3:5" x14ac:dyDescent="0.25">
      <c r="C10" t="s">
        <v>5131</v>
      </c>
      <c r="D10">
        <v>82</v>
      </c>
      <c r="E10">
        <v>0</v>
      </c>
    </row>
    <row r="11" spans="3:5" x14ac:dyDescent="0.25">
      <c r="C11" t="s">
        <v>5132</v>
      </c>
      <c r="D11">
        <v>164</v>
      </c>
      <c r="E11">
        <v>98</v>
      </c>
    </row>
    <row r="12" spans="3:5" x14ac:dyDescent="0.25">
      <c r="C12" t="s">
        <v>5133</v>
      </c>
      <c r="D12">
        <v>1</v>
      </c>
      <c r="E12">
        <v>183</v>
      </c>
    </row>
    <row r="13" spans="3:5" x14ac:dyDescent="0.25">
      <c r="C13" t="s">
        <v>5134</v>
      </c>
      <c r="D13">
        <v>18</v>
      </c>
      <c r="E13">
        <v>261</v>
      </c>
    </row>
    <row r="14" spans="3:5" x14ac:dyDescent="0.25">
      <c r="D14">
        <f>SUM(D7:D13)</f>
        <v>455</v>
      </c>
      <c r="E14">
        <f>SUM(E7:E13)</f>
        <v>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A6AD65BF9EAF46BCDE1074A69F3580" ma:contentTypeVersion="10" ma:contentTypeDescription="Create a new document." ma:contentTypeScope="" ma:versionID="99319468e78aa794aad993e4c3699c91">
  <xsd:schema xmlns:xsd="http://www.w3.org/2001/XMLSchema" xmlns:xs="http://www.w3.org/2001/XMLSchema" xmlns:p="http://schemas.microsoft.com/office/2006/metadata/properties" xmlns:ns2="afd8d06a-9698-4952-99f3-b656f6d2fda8" xmlns:ns3="0cd52cba-1e1b-45f5-9409-4e2ce17b546f" targetNamespace="http://schemas.microsoft.com/office/2006/metadata/properties" ma:root="true" ma:fieldsID="44cb9243e6b59ab47691a4fbe6682349" ns2:_="" ns3:_="">
    <xsd:import namespace="afd8d06a-9698-4952-99f3-b656f6d2fda8"/>
    <xsd:import namespace="0cd52cba-1e1b-45f5-9409-4e2ce17b54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8d06a-9698-4952-99f3-b656f6d2fd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2fdbb0-a107-45e2-bf17-b198bd7ecb7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cd52cba-1e1b-45f5-9409-4e2ce17b54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94ff1-a9ac-447a-87a8-8b81b435660f}" ma:internalName="TaxCatchAll" ma:showField="CatchAllData" ma:web="0cd52cba-1e1b-45f5-9409-4e2ce17b54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fd8d06a-9698-4952-99f3-b656f6d2fda8">
      <Terms xmlns="http://schemas.microsoft.com/office/infopath/2007/PartnerControls"/>
    </lcf76f155ced4ddcb4097134ff3c332f>
    <TaxCatchAll xmlns="0cd52cba-1e1b-45f5-9409-4e2ce17b546f" xsi:nil="true"/>
  </documentManagement>
</p:properties>
</file>

<file path=customXml/itemProps1.xml><?xml version="1.0" encoding="utf-8"?>
<ds:datastoreItem xmlns:ds="http://schemas.openxmlformats.org/officeDocument/2006/customXml" ds:itemID="{F9AFF140-55E2-4C12-BEFD-5DAAFF23A2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8d06a-9698-4952-99f3-b656f6d2fda8"/>
    <ds:schemaRef ds:uri="0cd52cba-1e1b-45f5-9409-4e2ce17b54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D7F5C0-1621-48DD-BF04-EFDBFDB74781}">
  <ds:schemaRefs>
    <ds:schemaRef ds:uri="http://schemas.microsoft.com/sharepoint/v3/contenttype/forms"/>
  </ds:schemaRefs>
</ds:datastoreItem>
</file>

<file path=customXml/itemProps3.xml><?xml version="1.0" encoding="utf-8"?>
<ds:datastoreItem xmlns:ds="http://schemas.openxmlformats.org/officeDocument/2006/customXml" ds:itemID="{862ABC5B-0831-4929-944D-7B7242EFFE4A}">
  <ds:schemaRefs>
    <ds:schemaRef ds:uri="http://schemas.microsoft.com/DataMashup"/>
  </ds:schemaRefs>
</ds:datastoreItem>
</file>

<file path=customXml/itemProps4.xml><?xml version="1.0" encoding="utf-8"?>
<ds:datastoreItem xmlns:ds="http://schemas.openxmlformats.org/officeDocument/2006/customXml" ds:itemID="{68735331-916F-4097-A819-9EC14473AEFA}">
  <ds:schemaRefs>
    <ds:schemaRef ds:uri="http://schemas.microsoft.com/office/2006/metadata/properties"/>
    <ds:schemaRef ds:uri="http://schemas.microsoft.com/office/infopath/2007/PartnerControls"/>
    <ds:schemaRef ds:uri="afd8d06a-9698-4952-99f3-b656f6d2fda8"/>
    <ds:schemaRef ds:uri="0cd52cba-1e1b-45f5-9409-4e2ce17b54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Assessment '25</vt:lpstr>
      <vt:lpstr>CAR '25</vt:lpstr>
      <vt:lpstr>PAR '25</vt:lpstr>
      <vt:lpstr>List source</vt:lpstr>
      <vt:lpstr>CAF '25</vt:lpstr>
      <vt:lpstr>PTO '25</vt:lpstr>
      <vt:lpstr>Sheet1</vt:lpstr>
      <vt:lpstr>'PTO ''25'!Print_Area</vt:lpstr>
      <vt:lpstr>'Assessment ''25'!Print_Titles</vt:lpstr>
      <vt:lpstr>'CAF ''25'!Print_Titles</vt:lpstr>
      <vt:lpstr>'CAR ''25'!Print_Titles</vt:lpstr>
      <vt:lpstr>'PAR ''25'!Print_Titles</vt:lpstr>
      <vt:lpstr>'PTO ''25'!Print_Titles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AmSpec Group</dc:creator>
  <cp:keywords/>
  <dc:description/>
  <cp:lastModifiedBy>Jose Peralta</cp:lastModifiedBy>
  <cp:revision/>
  <dcterms:created xsi:type="dcterms:W3CDTF">2019-01-08T20:28:04Z</dcterms:created>
  <dcterms:modified xsi:type="dcterms:W3CDTF">2026-02-24T18:46:28Z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0x01010074A6AD65BF9EAF46BCDE1074A69F3580</vt:lpwstr>
  </property>
  <property fmtid="{D5CDD505-2E9C-101B-9397-08002B2CF9AE}" pid="3" name="MSIP_Label_a3a59af8-8950-43c2-9c28-eaff525f5f00_Enabled">
    <vt:lpwstr>true</vt:lpwstr>
  </property>
  <property fmtid="{D5CDD505-2E9C-101B-9397-08002B2CF9AE}" pid="4" name="MSIP_Label_a3a59af8-8950-43c2-9c28-eaff525f5f00_SetDate">
    <vt:lpwstr>2024-03-08T17:10:49Z</vt:lpwstr>
  </property>
  <property fmtid="{D5CDD505-2E9C-101B-9397-08002B2CF9AE}" pid="5" name="MSIP_Label_a3a59af8-8950-43c2-9c28-eaff525f5f00_Method">
    <vt:lpwstr>Standard</vt:lpwstr>
  </property>
  <property fmtid="{D5CDD505-2E9C-101B-9397-08002B2CF9AE}" pid="6" name="MSIP_Label_a3a59af8-8950-43c2-9c28-eaff525f5f00_Name">
    <vt:lpwstr>defa4170-0d19-0005-0004-bc88714345d2</vt:lpwstr>
  </property>
  <property fmtid="{D5CDD505-2E9C-101B-9397-08002B2CF9AE}" pid="7" name="MSIP_Label_a3a59af8-8950-43c2-9c28-eaff525f5f00_SiteId">
    <vt:lpwstr>fddf0fb0-6be4-4e34-ace1-e795bc64c91f</vt:lpwstr>
  </property>
  <property fmtid="{D5CDD505-2E9C-101B-9397-08002B2CF9AE}" pid="8" name="MSIP_Label_a3a59af8-8950-43c2-9c28-eaff525f5f00_ActionId">
    <vt:lpwstr>06366ec9-e4c9-497a-89ea-c487544f53fb</vt:lpwstr>
  </property>
  <property fmtid="{D5CDD505-2E9C-101B-9397-08002B2CF9AE}" pid="9" name="MSIP_Label_a3a59af8-8950-43c2-9c28-eaff525f5f00_ContentBits">
    <vt:lpwstr>0</vt:lpwstr>
  </property>
  <property fmtid="{D5CDD505-2E9C-101B-9397-08002B2CF9AE}" pid="10" name="MediaServiceImageTags">
    <vt:lpwstr/>
  </property>
</Properties>
</file>